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https://d.docs.live.net/4bbcf8710505adf3/Documents/My Books/TTO_Book/tto-companion-tools/workbook/"/>
    </mc:Choice>
  </mc:AlternateContent>
  <xr:revisionPtr revIDLastSave="0" documentId="8_{D7BA427E-1A9E-48C0-B763-0EEF12841346}" xr6:coauthVersionLast="47" xr6:coauthVersionMax="47" xr10:uidLastSave="{00000000-0000-0000-0000-000000000000}"/>
  <bookViews>
    <workbookView xWindow="-120" yWindow="-120" windowWidth="29040" windowHeight="15720" xr2:uid="{D5630537-8C0F-4914-961E-DF56B3B06612}"/>
  </bookViews>
  <sheets>
    <sheet name="Read_Me" sheetId="1" r:id="rId1"/>
    <sheet name="Cases" sheetId="2" r:id="rId2"/>
    <sheet name="Exposures" sheetId="3" r:id="rId3"/>
    <sheet name="Administrations" sheetId="4" r:id="rId4"/>
    <sheet name="Events" sheetId="5" r:id="rId5"/>
    <sheet name="Milestones" sheetId="6" r:id="rId6"/>
    <sheet name="Drug_Event_Links" sheetId="7" r:id="rId7"/>
    <sheet name="Intervals" sheetId="8" r:id="rId8"/>
    <sheet name="Product_Dossier" sheetId="9" r:id="rId9"/>
    <sheet name="Parameter_Register" sheetId="10" r:id="rId10"/>
    <sheet name="PK_Exercises" sheetId="11" r:id="rId11"/>
    <sheet name="PD_Profile" sheetId="12" r:id="rId12"/>
    <sheet name="Temporal_Profile" sheetId="13" r:id="rId13"/>
    <sheet name="Biology_Review" sheetId="14" r:id="rId14"/>
    <sheet name="Dechallenge_Rechallenge" sheetId="15" r:id="rId15"/>
    <sheet name="Alternatives_Followup" sheetId="16" r:id="rId16"/>
    <sheet name="Assessment_QC" sheetId="17" r:id="rId17"/>
    <sheet name="Examples" sheetId="18" r:id="rId18"/>
    <sheet name="Verification" sheetId="19" r:id="rId19"/>
    <sheet name="Timepoints" sheetId="20" r:id="rId20"/>
    <sheet name="Flags_Messages" sheetId="21" r:id="rId21"/>
    <sheet name="Lists" sheetId="22" r:id="rId22"/>
  </sheets>
  <definedNames>
    <definedName name="_xlnm._FilterDatabase" localSheetId="3" hidden="1">Administrations!$A$4:$BL$78</definedName>
    <definedName name="_xlnm._FilterDatabase" localSheetId="15" hidden="1">Alternatives_Followup!$A$4:$J$41</definedName>
    <definedName name="_xlnm._FilterDatabase" localSheetId="16" hidden="1">Assessment_QC!$A$4:$M$23</definedName>
    <definedName name="_xlnm._FilterDatabase" localSheetId="13" hidden="1">Biology_Review!$A$4:$I$23</definedName>
    <definedName name="_xlnm._FilterDatabase" localSheetId="1" hidden="1">Cases!$A$4:$M$56</definedName>
    <definedName name="_xlnm._FilterDatabase" localSheetId="14" hidden="1">Dechallenge_Rechallenge!$A$4:$K$23</definedName>
    <definedName name="_xlnm._FilterDatabase" localSheetId="6" hidden="1">Drug_Event_Links!$A$4:$M$52</definedName>
    <definedName name="_xlnm._FilterDatabase" localSheetId="4" hidden="1">Events!$A$4:$AT$41</definedName>
    <definedName name="_xlnm._FilterDatabase" localSheetId="2" hidden="1">Exposures!$A$4:$BO$67</definedName>
    <definedName name="_xlnm._FilterDatabase" localSheetId="7" hidden="1">Intervals!$A$4:$CQ$96</definedName>
    <definedName name="_xlnm._FilterDatabase" localSheetId="5" hidden="1">Milestones!$A$4:$AF$66</definedName>
    <definedName name="_xlnm._FilterDatabase" localSheetId="9" hidden="1">Parameter_Register!$A$4:$S$35</definedName>
    <definedName name="_xlnm._FilterDatabase" localSheetId="8" hidden="1">Product_Dossier!$A$4:$P$45</definedName>
    <definedName name="_xlnm._FilterDatabase" localSheetId="12" hidden="1">Temporal_Profile!$A$4:$J$22</definedName>
    <definedName name="_xlnm._FilterDatabase" localSheetId="19" hidden="1">Timepoints!$A$4:$Z$403</definedName>
    <definedName name="nADM_A_Date">Administrations!$O$5:$O$78</definedName>
    <definedName name="nADM_A_Err">Administrations!$W$5:$W$78</definedName>
    <definedName name="nADM_A_Hi">Administrations!$AA$5:$AA$78</definedName>
    <definedName name="nADM_A_HT">Administrations!$X$5:$X$78</definedName>
    <definedName name="nADM_A_Lo">Administrations!$Z$5:$Z$78</definedName>
    <definedName name="nADM_A_Loc">Administrations!$AB$5:$AB$78</definedName>
    <definedName name="nADM_A_Lower">Administrations!$T$5:$T$78</definedName>
    <definedName name="nADM_A_Month">Administrations!$S$5:$S$78</definedName>
    <definedName name="nADM_A_Off">Administrations!$Q$5:$Q$78</definedName>
    <definedName name="nADM_A_OK">Administrations!$Y$5:$Y$78</definedName>
    <definedName name="nADM_A_Prec">Administrations!$N$5:$N$78</definedName>
    <definedName name="nADM_A_Src">Administrations!$V$5:$V$78</definedName>
    <definedName name="nADM_A_Text">Administrations!$M$5:$M$78</definedName>
    <definedName name="nADM_A_Time">Administrations!$P$5:$P$78</definedName>
    <definedName name="nADM_A_Upper">Administrations!$U$5:$U$78</definedName>
    <definedName name="nADM_A_UTC">Administrations!$AC$5:$AC$78</definedName>
    <definedName name="nADM_A_Year">Administrations!$R$5:$R$78</definedName>
    <definedName name="nADM_Admin_ID">Administrations!$C$5:$C$78</definedName>
    <definedName name="nADM_BSA_div">Administrations!$AY$5:$AY$78</definedName>
    <definedName name="nADM_BSA_m2">Administrations!$J$5:$J$78</definedName>
    <definedName name="nADM_BSA_n">Administrations!$AW$5:$AW$78</definedName>
    <definedName name="nADM_Case_ID">Administrations!$A$5:$A$78</definedName>
    <definedName name="nADM_Case_Version">Administrations!$B$5:$B$78</definedName>
    <definedName name="nADM_Check_Message">Administrations!$BL$5:$BL$78</definedName>
    <definedName name="nADM_Dose">Administrations!$F$5:$F$78</definedName>
    <definedName name="nADM_Dose_n">Administrations!$AU$5:$AU$78</definedName>
    <definedName name="nADM_Dose_per_BSA">Administrations!$AZ$5:$AZ$78</definedName>
    <definedName name="nADM_Dose_Unit">Administrations!$G$5:$G$78</definedName>
    <definedName name="nADM_Dup">Administrations!$AM$5:$AM$78</definedName>
    <definedName name="nADM_End_Date">Administrations!$AD$5:$AD$78</definedName>
    <definedName name="nADM_End_Off">Administrations!$AF$5:$AF$78</definedName>
    <definedName name="nADM_End_Src">Administrations!$AG$5:$AG$78</definedName>
    <definedName name="nADM_End_Time">Administrations!$AE$5:$AE$78</definedName>
    <definedName name="nADM_Ep_Found">Administrations!$BJ$5:$BJ$78</definedName>
    <definedName name="nADM_Exposure_Episode_ID">Administrations!$D$5:$D$78</definedName>
    <definedName name="nADM_HasBSA">Administrations!$AX$5:$AX$78</definedName>
    <definedName name="nADM_HasDose">Administrations!$AV$5:$AV$78</definedName>
    <definedName name="nADM_Key">Administrations!$AL$5:$AL$78</definedName>
    <definedName name="nADM_Kind">Administrations!$E$5:$E$78</definedName>
    <definedName name="nADM_Lo_n">Administrations!$AR$5:$AR$78</definedName>
    <definedName name="nADM_Loc_n">Administrations!$AP$5:$AP$78</definedName>
    <definedName name="nADM_Missing_Reason">Administrations!$K$5:$K$78</definedName>
    <definedName name="nADM_Notes">Administrations!$L$5:$L$78</definedName>
    <definedName name="nADM_Overlap">Administrations!$BH$5:$BH$78</definedName>
    <definedName name="nADM_Rate">Administrations!$H$5:$H$78</definedName>
    <definedName name="nADM_Rate_n">Administrations!$AT$5:$AT$78</definedName>
    <definedName name="nADM_Rate_Unit">Administrations!$I$5:$I$78</definedName>
    <definedName name="nADM_Record_Check">Administrations!$BK$5:$BK$78</definedName>
    <definedName name="nADM_SE_Err">Administrations!$AH$5:$AH$78</definedName>
    <definedName name="nADM_SE_Loc">Administrations!$AI$5:$AI$78</definedName>
    <definedName name="nADM_SE_OK">Administrations!$AJ$5:$AJ$78</definedName>
    <definedName name="nADM_SE_UTC">Administrations!$AK$5:$AK$78</definedName>
    <definedName name="nADM_Seg_Check">Administrations!$BI$5:$BI$78</definedName>
    <definedName name="nADM_SegE_cmp">Administrations!$BG$5:$BG$78</definedName>
    <definedName name="nADM_SegE_Loc_n">Administrations!$BE$5:$BE$78</definedName>
    <definedName name="nADM_SegE_UTC_n">Administrations!$BC$5:$BC$78</definedName>
    <definedName name="nADM_SegOK">Administrations!$BA$5:$BA$78</definedName>
    <definedName name="nADM_SegS_cmp">Administrations!$BF$5:$BF$78</definedName>
    <definedName name="nADM_SegS_Loc_n">Administrations!$BD$5:$BD$78</definedName>
    <definedName name="nADM_SegS_UTC_n">Administrations!$BB$5:$BB$78</definedName>
    <definedName name="nADM_SelKey">Administrations!$AN$5:$AN$78</definedName>
    <definedName name="nADM_Sort_n">Administrations!$AS$5:$AS$78</definedName>
    <definedName name="nADM_UTC_n">Administrations!$AQ$5:$AQ$78</definedName>
    <definedName name="nADM_Valid">Administrations!$AO$5:$AO$78</definedName>
    <definedName name="nCASE_Key">Cases!$J$5:$J$56</definedName>
    <definedName name="nEVT_Key">Events!$AQ$5:$AQ$41</definedName>
    <definedName name="nEX_Match">Examples!$L$7:$L$77</definedName>
    <definedName name="nEX_Status">Examples!$C$4</definedName>
    <definedName name="nEXP_Key">Exposures!$BL$5:$BL$67</definedName>
    <definedName name="nINT_A_Dup">Intervals!$BK$5:$BK$96</definedName>
    <definedName name="nINT_A_Err">Intervals!$BN$5:$BN$96</definedName>
    <definedName name="nINT_A_Hi">Intervals!$BT$5:$BT$96</definedName>
    <definedName name="nINT_A_HT">Intervals!$BO$5:$BO$96</definedName>
    <definedName name="nINT_A_Lo">Intervals!$BS$5:$BS$96</definedName>
    <definedName name="nINT_A_Loc">Intervals!$BQ$5:$BQ$96</definedName>
    <definedName name="nINT_A_OK">Intervals!$BP$5:$BP$96</definedName>
    <definedName name="nINT_A_Prec">Intervals!$BM$5:$BM$96</definedName>
    <definedName name="nINT_A_Row">Intervals!$BJ$5:$BJ$96</definedName>
    <definedName name="nINT_A_Type">Intervals!$BL$5:$BL$96</definedName>
    <definedName name="nINT_A_UTC">Intervals!$BR$5:$BR$96</definedName>
    <definedName name="nINT_Anchor_Description">Intervals!$F$5:$F$96</definedName>
    <definedName name="nINT_Anchor_Display">Intervals!$AI$5:$AI$96</definedName>
    <definedName name="nINT_Anchor_ISO">Intervals!$AH$5:$AH$96</definedName>
    <definedName name="nINT_Anchor_Record_ID">Intervals!$G$5:$G$96</definedName>
    <definedName name="nINT_Anchor_Record_ID_Used">Intervals!$AG$5:$AG$96</definedName>
    <definedName name="nINT_Anchor_Type">Intervals!$E$5:$E$96</definedName>
    <definedName name="nINT_Assumptions">Intervals!$AN$5:$AN$96</definedName>
    <definedName name="nINT_C5_MaxKey">Intervals!$BG$5:$BG$96</definedName>
    <definedName name="nINT_C5_Row">Intervals!$BH$5:$BH$96</definedName>
    <definedName name="nINT_C5_Selected">Intervals!$BI$5:$BI$96</definedName>
    <definedName name="nINT_C6_Code">Intervals!$CQ$5:$CQ$96</definedName>
    <definedName name="nINT_C6_Factor">Intervals!$CP$5:$CP$96</definedName>
    <definedName name="nINT_C7_Note">Intervals!$AO$5:$AO$96</definedName>
    <definedName name="nINT_Calculation_Mode">Intervals!$I$5:$I$96</definedName>
    <definedName name="nINT_Calculation_Mode_Used">Intervals!$Y$5:$Y$96</definedName>
    <definedName name="nINT_Calculation_Version">Intervals!$AP$5:$AP$96</definedName>
    <definedName name="nINT_Case_ID">Intervals!$B$5:$B$96</definedName>
    <definedName name="nINT_Case_Version">Intervals!$C$5:$C$96</definedName>
    <definedName name="nINT_CaseKey">Intervals!$AR$5:$AR$96</definedName>
    <definedName name="nINT_Constrained_Maximum">Intervals!$AE$5:$AE$96</definedName>
    <definedName name="nINT_Constrained_Minimum">Intervals!$AD$5:$AD$96</definedName>
    <definedName name="nINT_Constraint_Not_After">Intervals!$Q$5:$Q$96</definedName>
    <definedName name="nINT_Constraint_Not_Before">Intervals!$P$5:$P$96</definedName>
    <definedName name="nINT_Constraint_Source">Intervals!$R$5:$R$96</definedName>
    <definedName name="nINT_Dup">Intervals!$AT$5:$AT$96</definedName>
    <definedName name="nINT_End_Display">Intervals!$AK$5:$AK$96</definedName>
    <definedName name="nINT_End_ISO">Intervals!$AJ$5:$AJ$96</definedName>
    <definedName name="nINT_End_Record_ID">Intervals!$H$5:$H$96</definedName>
    <definedName name="nINT_Event_Episode_ID">Intervals!$AM$5:$AM$96</definedName>
    <definedName name="nINT_Exposure_Episode_ID">Intervals!$AL$5:$AL$96</definedName>
    <definedName name="nINT_f_AdminSame">Intervals!$CL$5:$CL$96</definedName>
    <definedName name="nINT_f_C7">Intervals!$CN$5:$CN$96</definedName>
    <definedName name="nINT_f_Interv">Intervals!$CO$5:$CO$96</definedName>
    <definedName name="nINT_f_SameDate">Intervals!$CJ$5:$CJ$96</definedName>
    <definedName name="nINT_f_SeqUnc">Intervals!$CK$5:$CK$96</definedName>
    <definedName name="nINT_f_TDundef">Intervals!$CM$5:$CM$96</definedName>
    <definedName name="nINT_f_TZ">Intervals!$CI$5:$CI$96</definedName>
    <definedName name="nINT_Interval_ID">Intervals!$A$5:$A$96</definedName>
    <definedName name="nINT_Interval_Maximum">Intervals!$W$5:$W$96</definedName>
    <definedName name="nINT_Interval_Minimum">Intervals!$V$5:$V$96</definedName>
    <definedName name="nINT_Interval_Value">Intervals!$U$5:$U$96</definedName>
    <definedName name="nINT_IntervCount">Intervals!$BU$5:$BU$96</definedName>
    <definedName name="nINT_K_CErr">Intervals!$CH$5:$CH$96</definedName>
    <definedName name="nINT_K_CHi">Intervals!$CG$5:$CG$96</definedName>
    <definedName name="nINT_K_CLo">Intervals!$CF$5:$CF$96</definedName>
    <definedName name="nINT_K_Days">Intervals!$CB$5:$CB$96</definedName>
    <definedName name="nINT_K_Err">Intervals!$BX$5:$BX$96</definedName>
    <definedName name="nINT_K_HasC">Intervals!$CE$5:$CE$96</definedName>
    <definedName name="nINT_K_Max4">Intervals!$CD$5:$CD$96</definedName>
    <definedName name="nINT_K_Min">Intervals!$CA$5:$CA$96</definedName>
    <definedName name="nINT_K_Min4">Intervals!$CC$5:$CC$96</definedName>
    <definedName name="nINT_K_Needs">Intervals!$BY$5:$BY$96</definedName>
    <definedName name="nINT_K_TZU">Intervals!$BZ$5:$BZ$96</definedName>
    <definedName name="nINT_Key">Intervals!$AS$5:$AS$96</definedName>
    <definedName name="nINT_Link_ID">Intervals!$D$5:$D$96</definedName>
    <definedName name="nINT_LinkRow">Intervals!$AU$5:$AU$96</definedName>
    <definedName name="nINT_Messages">Intervals!$AC$5:$AC$96</definedName>
    <definedName name="nINT_O_Dup">Intervals!$AW$5:$AW$96</definedName>
    <definedName name="nINT_O_Err">Intervals!$AZ$5:$AZ$96</definedName>
    <definedName name="nINT_O_Hi">Intervals!$BF$5:$BF$96</definedName>
    <definedName name="nINT_O_HT">Intervals!$BA$5:$BA$96</definedName>
    <definedName name="nINT_O_Lo">Intervals!$BE$5:$BE$96</definedName>
    <definedName name="nINT_O_Loc">Intervals!$BC$5:$BC$96</definedName>
    <definedName name="nINT_O_OK">Intervals!$BB$5:$BB$96</definedName>
    <definedName name="nINT_O_Prec">Intervals!$AY$5:$AY$96</definedName>
    <definedName name="nINT_O_Row">Intervals!$AV$5:$AV$96</definedName>
    <definedName name="nINT_O_Type">Intervals!$AX$5:$AX$96</definedName>
    <definedName name="nINT_O_UTC">Intervals!$BD$5:$BD$96</definedName>
    <definedName name="nINT_Pre_Err">Intervals!$BV$5:$BV$96</definedName>
    <definedName name="nINT_Pre_Needs">Intervals!$BW$5:$BW$96</definedName>
    <definedName name="nINT_QC_Flags">Intervals!$AB$5:$AB$96</definedName>
    <definedName name="nINT_Reported_Bounds_Justification">Intervals!$O$5:$O$96</definedName>
    <definedName name="nINT_Reported_Lower">Intervals!$L$5:$L$96</definedName>
    <definedName name="nINT_Reported_Text">Intervals!$K$5:$K$96</definedName>
    <definedName name="nINT_Reported_Timing_Result">Intervals!$AF$5:$AF$96</definedName>
    <definedName name="nINT_Reported_Unit">Intervals!$N$5:$N$96</definedName>
    <definedName name="nINT_Reported_Upper">Intervals!$M$5:$M$96</definedName>
    <definedName name="nINT_Result_Display">Intervals!$T$5:$T$96</definedName>
    <definedName name="nINT_Reviewer_Note">Intervals!$S$5:$S$96</definedName>
    <definedName name="nINT_RowEmpty">Intervals!$AQ$5:$AQ$96</definedName>
    <definedName name="nINT_Sequence_Status">Intervals!$Z$5:$Z$96</definedName>
    <definedName name="nINT_Treatment_Day">Intervals!$AA$5:$AA$96</definedName>
    <definedName name="nINT_Treatment_Day_Convention">Intervals!$J$5:$J$96</definedName>
    <definedName name="nINT_Unit">Intervals!$X$5:$X$96</definedName>
    <definedName name="nLIST_Action">Lists!$AA$5:$AA$9</definedName>
    <definedName name="nLIST_AdminKind">Lists!$O$5:$O$7</definedName>
    <definedName name="nLIST_AnchorType">Lists!$C$5:$C$11</definedName>
    <definedName name="nLIST_CLUnit">Lists!$I$5:$I$6</definedName>
    <definedName name="nLIST_DaysOnly">Lists!$H$5:$H$5</definedName>
    <definedName name="nLIST_DocType">Lists!$W$5:$W$8</definedName>
    <definedName name="nLIST_DoseUnit">Lists!$Q$5:$Q$11</definedName>
    <definedName name="nLIST_Fit">Lists!$U$5:$U$8</definedName>
    <definedName name="nLIST_HalfLifeType">Lists!$Y$5:$Y$8</definedName>
    <definedName name="nLIST_ItemType">Lists!$AD$5:$AD$6</definedName>
    <definedName name="nLIST_MechStatus">Lists!$Z$5:$Z$6</definedName>
    <definedName name="nLIST_MethodB">Lists!$T$5:$T$7</definedName>
    <definedName name="nLIST_MilestoneType">Lists!$S$5:$S$13</definedName>
    <definedName name="nLIST_MissingReason">Lists!$X$5:$X$8</definedName>
    <definedName name="nLIST_Mode">Lists!$D$5:$D$7</definedName>
    <definedName name="nLIST_Months">Lists!$AE$5:$AE$16</definedName>
    <definedName name="nLIST_Offset">Lists!$B$5:$B$43</definedName>
    <definedName name="nLIST_Precision">Lists!$A$5:$A$9</definedName>
    <definedName name="nLIST_Priority">Lists!$AB$5:$AB$7</definedName>
    <definedName name="nLIST_QueryStatus">Lists!$AC$5:$AC$8</definedName>
    <definedName name="nLIST_RateUnit">Lists!$P$5:$P$6</definedName>
    <definedName name="nLIST_ReportedUnit">Lists!$F$5:$F$11</definedName>
    <definedName name="nLIST_Role">Lists!$R$5:$R$10</definedName>
    <definedName name="nLIST_SCrUnit">Lists!$N$5:$N$6</definedName>
    <definedName name="nLIST_Sex">Lists!$L$5:$L$7</definedName>
    <definedName name="nLIST_Status">Lists!$J$5:$J$9</definedName>
    <definedName name="nLIST_TD">Lists!$E$5:$E$6</definedName>
    <definedName name="nLIST_TimeUnit">Lists!$G$5:$G$7</definedName>
    <definedName name="nLIST_TimingType">Lists!$V$5:$V$10</definedName>
    <definedName name="nLIST_WeightType">Lists!$M$5:$M$8</definedName>
    <definedName name="nLIST_YesNo">Lists!$K$5:$K$6</definedName>
    <definedName name="nLNK_Case_ID">Drug_Event_Links!$A$5:$A$52</definedName>
    <definedName name="nLNK_Case_Version">Drug_Event_Links!$B$5:$B$52</definedName>
    <definedName name="nLNK_Check_Message">Drug_Event_Links!$M$5:$M$52</definedName>
    <definedName name="nLNK_Dup">Drug_Event_Links!$I$5:$I$52</definedName>
    <definedName name="nLNK_Event_Episode_ID">Drug_Event_Links!$E$5:$E$52</definedName>
    <definedName name="nLNK_Evt_Found">Drug_Event_Links!$K$5:$K$52</definedName>
    <definedName name="nLNK_Exp_Found">Drug_Event_Links!$J$5:$J$52</definedName>
    <definedName name="nLNK_Exposure_Episode_ID">Drug_Event_Links!$D$5:$D$52</definedName>
    <definedName name="nLNK_Key">Drug_Event_Links!$H$5:$H$52</definedName>
    <definedName name="nLNK_Link_ID">Drug_Event_Links!$C$5:$C$52</definedName>
    <definedName name="nLNK_Reason">Drug_Event_Links!$F$5:$F$52</definedName>
    <definedName name="nLNK_Record_Check">Drug_Event_Links!$L$5:$L$52</definedName>
    <definedName name="nLNK_Selected_By">Drug_Event_Links!$G$5:$G$52</definedName>
    <definedName name="nMS_Key">Milestones!$AC$5:$AC$66</definedName>
    <definedName name="nMSG_Code">Flags_Messages!$A$5:$A$28</definedName>
    <definedName name="nMSG_Text">Flags_Messages!$D$5:$D$28</definedName>
    <definedName name="nQ1_Assumptions">PK_Exercises!$X$8:$X$20</definedName>
    <definedName name="nQ1_Calc_ID">PK_Exercises!$A$8:$A$20</definedName>
    <definedName name="nQ1_Calculation_Version">PK_Exercises!$AA$8:$AA$20</definedName>
    <definedName name="nQ1_Case_ID">PK_Exercises!$B$8:$B$20</definedName>
    <definedName name="nQ1_Case_Version">PK_Exercises!$C$8:$C$20</definedName>
    <definedName name="nQ1_Err">PK_Exercises!$AD$8:$AD$20</definedName>
    <definedName name="nQ1_Formula_in_words">PK_Exercises!$Z$8:$Z$20</definedName>
    <definedName name="nQ1_Fraction_Remaining">PK_Exercises!$Q$8:$Q$20</definedName>
    <definedName name="nQ1_G_Model">PK_Exercises!$E$8:$E$20</definedName>
    <definedName name="nQ1_G_Params">PK_Exercises!$F$8:$F$20</definedName>
    <definedName name="nQ1_G_RefTime">PK_Exercises!$G$8:$G$20</definedName>
    <definedName name="nQ1_G_Status">PK_Exercises!$H$8:$H$20</definedName>
    <definedName name="nQ1_k_per_hour">PK_Exercises!$T$8:$T$20</definedName>
    <definedName name="nQ1_k_per_unit">PK_Exercises!$S$8:$S$20</definedName>
    <definedName name="nQ1_Key">PK_Exercises!$AC$8:$AC$20</definedName>
    <definedName name="nQ1_Mandatory_Text">PK_Exercises!$Y$8:$Y$20</definedName>
    <definedName name="nQ1_Messages">PK_Exercises!$V$8:$V$20</definedName>
    <definedName name="nQ1_Needs">PK_Exercises!$AE$8:$AE$20</definedName>
    <definedName name="nQ1_Ok">PK_Exercises!$AF$8:$AF$20</definedName>
    <definedName name="nQ1_Parameter_Set">PK_Exercises!$W$8:$W$20</definedName>
    <definedName name="nQ1_Percent_Remaining">PK_Exercises!$R$8:$R$20</definedName>
    <definedName name="nQ1_QC_Flags">PK_Exercises!$U$8:$U$20</definedName>
    <definedName name="nQ1_Question">PK_Exercises!$D$8:$D$20</definedName>
    <definedName name="nQ1_Result_Display">PK_Exercises!$P$8:$P$20</definedName>
    <definedName name="nQ1_RowEmpty">PK_Exercises!$AB$8:$AB$20</definedName>
    <definedName name="nQ1_t">PK_Exercises!$M$8:$M$20</definedName>
    <definedName name="nQ1_t_half">PK_Exercises!$J$8:$J$20</definedName>
    <definedName name="nQ1_t_half_Source">PK_Exercises!$L$8:$L$20</definedName>
    <definedName name="nQ1_t_half_Status">PK_Exercises!$K$8:$K$20</definedName>
    <definedName name="nQ1_t_Source">PK_Exercises!$O$8:$O$20</definedName>
    <definedName name="nQ1_t_Status">PK_Exercises!$N$8:$N$20</definedName>
    <definedName name="nQ1_Time_Unit">PK_Exercises!$I$8:$I$20</definedName>
    <definedName name="nQ10_Calc_ID">PK_Exercises!$A$154:$A$164</definedName>
    <definedName name="nQ10_Calculation_Version">PK_Exercises!$U$154:$U$164</definedName>
    <definedName name="nQ10_Case_ID">PK_Exercises!$B$154:$B$164</definedName>
    <definedName name="nQ10_Case_Version">PK_Exercises!$C$154:$C$164</definedName>
    <definedName name="nQ10_Err">PK_Exercises!$Y$154:$Y$164</definedName>
    <definedName name="nQ10_Exposure_Episode_ID">PK_Exercises!$E$154:$E$164</definedName>
    <definedName name="nQ10_FirstRow">PK_Exercises!$AD$154:$AD$164</definedName>
    <definedName name="nQ10_Formula_in_words">PK_Exercises!$T$154:$T$164</definedName>
    <definedName name="nQ10_Key">PK_Exercises!$W$154:$W$164</definedName>
    <definedName name="nQ10_Mandatory_Text">PK_Exercises!$S$154:$S$164</definedName>
    <definedName name="nQ10_MaxSort">PK_Exercises!$AC$154:$AC$164</definedName>
    <definedName name="nQ10_Messages">PK_Exercises!$Q$154:$Q$164</definedName>
    <definedName name="nQ10_Method_A_mg_m2">PK_Exercises!$J$154:$J$164</definedName>
    <definedName name="nQ10_Method_B">PK_Exercises!$F$154:$F$164</definedName>
    <definedName name="nQ10_Method_B_BSA_m2">PK_Exercises!$N$154:$N$164</definedName>
    <definedName name="nQ10_Method_B_BSA_Source">PK_Exercises!$H$154:$H$164</definedName>
    <definedName name="nQ10_Method_B_mg_m2">PK_Exercises!$O$154:$O$164</definedName>
    <definedName name="nQ10_Method_B_Stated_BSA">PK_Exercises!$G$154:$G$164</definedName>
    <definedName name="nQ10_MethodB_Err">PK_Exercises!$AE$154:$AE$164</definedName>
    <definedName name="nQ10_MinSort">PK_Exercises!$AB$154:$AB$164</definedName>
    <definedName name="nQ10_N_Doses">PK_Exercises!$L$154:$L$164</definedName>
    <definedName name="nQ10_N_With_BSA">PK_Exercises!$M$154:$M$164</definedName>
    <definedName name="nQ10_Needs">PK_Exercises!$Z$154:$Z$164</definedName>
    <definedName name="nQ10_Ok">PK_Exercises!$AA$154:$AA$164</definedName>
    <definedName name="nQ10_Parameter_Set">PK_Exercises!$R$154:$R$164</definedName>
    <definedName name="nQ10_QC_Flags">PK_Exercises!$P$154:$P$164</definedName>
    <definedName name="nQ10_Question">PK_Exercises!$D$154:$D$164</definedName>
    <definedName name="nQ10_Result_Display">PK_Exercises!$I$154:$I$164</definedName>
    <definedName name="nQ10_RowEmpty">PK_Exercises!$V$154:$V$164</definedName>
    <definedName name="nQ10_SelKey">PK_Exercises!$X$154:$X$164</definedName>
    <definedName name="nQ10_Total_Dose_mg">PK_Exercises!$K$154:$K$164</definedName>
    <definedName name="nQ11_Age_Status">PK_Exercises!$H$171:$H$188</definedName>
    <definedName name="nQ11_Age_years">PK_Exercises!$G$171:$G$188</definedName>
    <definedName name="nQ11_Calc_ID">PK_Exercises!$A$171:$A$188</definedName>
    <definedName name="nQ11_Calculation_Version">PK_Exercises!$AA$171:$AA$188</definedName>
    <definedName name="nQ11_Case_ID">PK_Exercises!$B$171:$B$188</definedName>
    <definedName name="nQ11_Case_Version">PK_Exercises!$C$171:$C$188</definedName>
    <definedName name="nQ11_CrCl_Female_If_Sex_Not_Recorded">PK_Exercises!$T$171:$T$188</definedName>
    <definedName name="nQ11_CrCl_Male_If_Sex_Not_Recorded">PK_Exercises!$U$171:$U$188</definedName>
    <definedName name="nQ11_CrCl_mL_min">PK_Exercises!$S$171:$S$188</definedName>
    <definedName name="nQ11_Err">PK_Exercises!$AD$171:$AD$188</definedName>
    <definedName name="nQ11_Formula_in_words">PK_Exercises!$Z$171:$Z$188</definedName>
    <definedName name="nQ11_Key">PK_Exercises!$AC$171:$AC$188</definedName>
    <definedName name="nQ11_Mandatory_Text">PK_Exercises!$Y$171:$Y$188</definedName>
    <definedName name="nQ11_Messages">PK_Exercises!$W$171:$W$188</definedName>
    <definedName name="nQ11_Needs">PK_Exercises!$AE$171:$AE$188</definedName>
    <definedName name="nQ11_Ok">PK_Exercises!$AF$171:$AF$188</definedName>
    <definedName name="nQ11_Parameter_Set">PK_Exercises!$X$171:$X$188</definedName>
    <definedName name="nQ11_QC_Flags">PK_Exercises!$V$171:$V$188</definedName>
    <definedName name="nQ11_Question">PK_Exercises!$D$171:$D$188</definedName>
    <definedName name="nQ11_Result_Display">PK_Exercises!$Q$171:$Q$188</definedName>
    <definedName name="nQ11_RowEmpty">PK_Exercises!$AB$171:$AB$188</definedName>
    <definedName name="nQ11_SCr">PK_Exercises!$L$171:$L$188</definedName>
    <definedName name="nQ11_SCr_mg_dL">PK_Exercises!$R$171:$R$188</definedName>
    <definedName name="nQ11_SCr_Source">PK_Exercises!$O$171:$O$188</definedName>
    <definedName name="nQ11_SCr_Status">PK_Exercises!$N$171:$N$188</definedName>
    <definedName name="nQ11_SCr_Unit">PK_Exercises!$M$171:$M$188</definedName>
    <definedName name="nQ11_Sex">PK_Exercises!$P$171:$P$188</definedName>
    <definedName name="nQ11_Stability_Basis">PK_Exercises!$F$171:$F$188</definedName>
    <definedName name="nQ11_Stability_Confirmed">PK_Exercises!$E$171:$E$188</definedName>
    <definedName name="nQ11_Weight_kg">PK_Exercises!$I$171:$I$188</definedName>
    <definedName name="nQ11_Weight_Status">PK_Exercises!$K$171:$K$188</definedName>
    <definedName name="nQ11_Weight_Type">PK_Exercises!$J$171:$J$188</definedName>
    <definedName name="nQ2_Assumptions">PK_Exercises!$V$27:$V$36</definedName>
    <definedName name="nQ2_Calc_ID">PK_Exercises!$A$27:$A$36</definedName>
    <definedName name="nQ2_Calculation_Version">PK_Exercises!$Y$27:$Y$36</definedName>
    <definedName name="nQ2_Case_ID">PK_Exercises!$B$27:$B$36</definedName>
    <definedName name="nQ2_Case_Version">PK_Exercises!$C$27:$C$36</definedName>
    <definedName name="nQ2_Err">PK_Exercises!$AB$27:$AB$36</definedName>
    <definedName name="nQ2_f_target">PK_Exercises!$M$27:$M$36</definedName>
    <definedName name="nQ2_f_target_Source">PK_Exercises!$O$27:$O$36</definedName>
    <definedName name="nQ2_f_target_Status">PK_Exercises!$N$27:$N$36</definedName>
    <definedName name="nQ2_Formula_in_words">PK_Exercises!$X$27:$X$36</definedName>
    <definedName name="nQ2_G_Model">PK_Exercises!$E$27:$E$36</definedName>
    <definedName name="nQ2_G_Params">PK_Exercises!$F$27:$F$36</definedName>
    <definedName name="nQ2_G_RefTime">PK_Exercises!$G$27:$G$36</definedName>
    <definedName name="nQ2_G_Status">PK_Exercises!$H$27:$H$36</definedName>
    <definedName name="nQ2_Half_Lives">PK_Exercises!$Q$27:$Q$36</definedName>
    <definedName name="nQ2_Key">PK_Exercises!$AA$27:$AA$36</definedName>
    <definedName name="nQ2_Mandatory_Text">PK_Exercises!$W$27:$W$36</definedName>
    <definedName name="nQ2_Messages">PK_Exercises!$T$27:$T$36</definedName>
    <definedName name="nQ2_Needs">PK_Exercises!$AC$27:$AC$36</definedName>
    <definedName name="nQ2_Ok">PK_Exercises!$AD$27:$AD$36</definedName>
    <definedName name="nQ2_Parameter_Set">PK_Exercises!$U$27:$U$36</definedName>
    <definedName name="nQ2_QC_Flags">PK_Exercises!$S$27:$S$36</definedName>
    <definedName name="nQ2_Question">PK_Exercises!$D$27:$D$36</definedName>
    <definedName name="nQ2_Result_Display">PK_Exercises!$P$27:$P$36</definedName>
    <definedName name="nQ2_RowEmpty">PK_Exercises!$Z$27:$Z$36</definedName>
    <definedName name="nQ2_t_half">PK_Exercises!$J$27:$J$36</definedName>
    <definedName name="nQ2_t_half_Source">PK_Exercises!$L$27:$L$36</definedName>
    <definedName name="nQ2_t_half_Status">PK_Exercises!$K$27:$K$36</definedName>
    <definedName name="nQ2_Time_to_f">PK_Exercises!$R$27:$R$36</definedName>
    <definedName name="nQ2_Time_Unit">PK_Exercises!$I$27:$I$36</definedName>
    <definedName name="nQ3_Accumulation_Factor">PK_Exercises!$Q$43:$Q$52</definedName>
    <definedName name="nQ3_Assumptions">PK_Exercises!$U$43:$U$52</definedName>
    <definedName name="nQ3_Calc_ID">PK_Exercises!$A$43:$A$52</definedName>
    <definedName name="nQ3_Calculation_Version">PK_Exercises!$X$43:$X$52</definedName>
    <definedName name="nQ3_Case_ID">PK_Exercises!$B$43:$B$52</definedName>
    <definedName name="nQ3_Case_Version">PK_Exercises!$C$43:$C$52</definedName>
    <definedName name="nQ3_Err">PK_Exercises!$AA$43:$AA$52</definedName>
    <definedName name="nQ3_Formula_in_words">PK_Exercises!$W$43:$W$52</definedName>
    <definedName name="nQ3_G_Model">PK_Exercises!$E$43:$E$52</definedName>
    <definedName name="nQ3_G_Params">PK_Exercises!$F$43:$F$52</definedName>
    <definedName name="nQ3_G_RefTime">PK_Exercises!$G$43:$G$52</definedName>
    <definedName name="nQ3_G_Status">PK_Exercises!$H$43:$H$52</definedName>
    <definedName name="nQ3_Key">PK_Exercises!$Z$43:$Z$52</definedName>
    <definedName name="nQ3_Mandatory_Text">PK_Exercises!$V$43:$V$52</definedName>
    <definedName name="nQ3_Messages">PK_Exercises!$S$43:$S$52</definedName>
    <definedName name="nQ3_Needs">PK_Exercises!$AB$43:$AB$52</definedName>
    <definedName name="nQ3_Ok">PK_Exercises!$AC$43:$AC$52</definedName>
    <definedName name="nQ3_Parameter_Set">PK_Exercises!$T$43:$T$52</definedName>
    <definedName name="nQ3_QC_Flags">PK_Exercises!$R$43:$R$52</definedName>
    <definedName name="nQ3_Question">PK_Exercises!$D$43:$D$52</definedName>
    <definedName name="nQ3_Result_Display">PK_Exercises!$P$43:$P$52</definedName>
    <definedName name="nQ3_RowEmpty">PK_Exercises!$Y$43:$Y$52</definedName>
    <definedName name="nQ3_t_half">PK_Exercises!$J$43:$J$52</definedName>
    <definedName name="nQ3_t_half_Source">PK_Exercises!$L$43:$L$52</definedName>
    <definedName name="nQ3_t_half_Status">PK_Exercises!$K$43:$K$52</definedName>
    <definedName name="nQ3_tau">PK_Exercises!$M$43:$M$52</definedName>
    <definedName name="nQ3_tau_Source">PK_Exercises!$O$43:$O$52</definedName>
    <definedName name="nQ3_tau_Status">PK_Exercises!$N$43:$N$52</definedName>
    <definedName name="nQ3_Time_Unit">PK_Exercises!$I$43:$I$52</definedName>
    <definedName name="nQ4_Assumptions">PK_Exercises!$AA$59:$AA$73</definedName>
    <definedName name="nQ4_Calc_ID">PK_Exercises!$A$59:$A$73</definedName>
    <definedName name="nQ4_Calculation_Version">PK_Exercises!$AD$59:$AD$73</definedName>
    <definedName name="nQ4_Case_ID">PK_Exercises!$B$59:$B$73</definedName>
    <definedName name="nQ4_Case_Version">PK_Exercises!$C$59:$C$73</definedName>
    <definedName name="nQ4_CL_after">PK_Exercises!$M$59:$M$73</definedName>
    <definedName name="nQ4_CL_after_Source">PK_Exercises!$O$59:$O$73</definedName>
    <definedName name="nQ4_CL_after_Status">PK_Exercises!$N$59:$N$73</definedName>
    <definedName name="nQ4_CL_before">PK_Exercises!$J$59:$J$73</definedName>
    <definedName name="nQ4_CL_before_Source">PK_Exercises!$L$59:$L$73</definedName>
    <definedName name="nQ4_CL_before_Status">PK_Exercises!$K$59:$K$73</definedName>
    <definedName name="nQ4_CL_Unit">PK_Exercises!$I$59:$I$73</definedName>
    <definedName name="nQ4_Css_Ratio">PK_Exercises!$U$59:$U$73</definedName>
    <definedName name="nQ4_Err">PK_Exercises!$AG$59:$AG$73</definedName>
    <definedName name="nQ4_Formula_in_words">PK_Exercises!$AC$59:$AC$73</definedName>
    <definedName name="nQ4_G_Model">PK_Exercises!$E$59:$E$73</definedName>
    <definedName name="nQ4_G_Params">PK_Exercises!$F$59:$F$73</definedName>
    <definedName name="nQ4_G_RefTime">PK_Exercises!$G$59:$G$73</definedName>
    <definedName name="nQ4_G_Status">PK_Exercises!$H$59:$H$73</definedName>
    <definedName name="nQ4_HalfLife_Ratio">PK_Exercises!$T$59:$T$73</definedName>
    <definedName name="nQ4_Key">PK_Exercises!$AF$59:$AF$73</definedName>
    <definedName name="nQ4_Mandatory_Text">PK_Exercises!$AB$59:$AB$73</definedName>
    <definedName name="nQ4_Messages">PK_Exercises!$Y$59:$Y$73</definedName>
    <definedName name="nQ4_Needs">PK_Exercises!$AH$59:$AH$73</definedName>
    <definedName name="nQ4_Ok">PK_Exercises!$AI$59:$AI$73</definedName>
    <definedName name="nQ4_Parameter_Set">PK_Exercises!$Z$59:$Z$73</definedName>
    <definedName name="nQ4_QC_Flags">PK_Exercises!$X$59:$X$73</definedName>
    <definedName name="nQ4_Question">PK_Exercises!$D$59:$D$73</definedName>
    <definedName name="nQ4_Result_Display">PK_Exercises!$S$59:$S$73</definedName>
    <definedName name="nQ4_RowEmpty">PK_Exercises!$AE$59:$AE$73</definedName>
    <definedName name="nQ4_t_half_after_h">PK_Exercises!$W$59:$W$73</definedName>
    <definedName name="nQ4_t_half_before_h">PK_Exercises!$V$59:$V$73</definedName>
    <definedName name="nQ4_V_L">PK_Exercises!$P$59:$P$73</definedName>
    <definedName name="nQ4_V_L_Source">PK_Exercises!$R$59:$R$73</definedName>
    <definedName name="nQ4_V_L_Status">PK_Exercises!$Q$59:$Q$73</definedName>
    <definedName name="nQ5_Assumptions">PK_Exercises!$Y$80:$Y$89</definedName>
    <definedName name="nQ5_Calc_ID">PK_Exercises!$A$80:$A$89</definedName>
    <definedName name="nQ5_Calculation_Version">PK_Exercises!$AB$80:$AB$89</definedName>
    <definedName name="nQ5_Case_ID">PK_Exercises!$B$80:$B$89</definedName>
    <definedName name="nQ5_Case_Version">PK_Exercises!$C$80:$C$89</definedName>
    <definedName name="nQ5_Err">PK_Exercises!$AE$80:$AE$89</definedName>
    <definedName name="nQ5_Formula_in_words">PK_Exercises!$AA$80:$AA$89</definedName>
    <definedName name="nQ5_G_Model">PK_Exercises!$E$80:$E$89</definedName>
    <definedName name="nQ5_G_Params">PK_Exercises!$F$80:$F$89</definedName>
    <definedName name="nQ5_G_RefTime">PK_Exercises!$G$80:$G$89</definedName>
    <definedName name="nQ5_G_Status">PK_Exercises!$H$80:$H$89</definedName>
    <definedName name="nQ5_Key">PK_Exercises!$AD$80:$AD$89</definedName>
    <definedName name="nQ5_Mandatory_Text">PK_Exercises!$Z$80:$Z$89</definedName>
    <definedName name="nQ5_Messages">PK_Exercises!$W$80:$W$89</definedName>
    <definedName name="nQ5_Metabolite_Percent">PK_Exercises!$U$80:$U$89</definedName>
    <definedName name="nQ5_Metabolite_t_half">PK_Exercises!$M$80:$M$89</definedName>
    <definedName name="nQ5_Metabolite_t_half_Source">PK_Exercises!$O$80:$O$89</definedName>
    <definedName name="nQ5_Metabolite_t_half_Status">PK_Exercises!$N$80:$N$89</definedName>
    <definedName name="nQ5_Needs">PK_Exercises!$AF$80:$AF$89</definedName>
    <definedName name="nQ5_Ok">PK_Exercises!$AG$80:$AG$89</definedName>
    <definedName name="nQ5_Parameter_Set">PK_Exercises!$X$80:$X$89</definedName>
    <definedName name="nQ5_Parent_Percent">PK_Exercises!$T$80:$T$89</definedName>
    <definedName name="nQ5_Parent_t_half">PK_Exercises!$J$80:$J$89</definedName>
    <definedName name="nQ5_Parent_t_half_Source">PK_Exercises!$L$80:$L$89</definedName>
    <definedName name="nQ5_Parent_t_half_Status">PK_Exercises!$K$80:$K$89</definedName>
    <definedName name="nQ5_QC_Flags">PK_Exercises!$V$80:$V$89</definedName>
    <definedName name="nQ5_Question">PK_Exercises!$D$80:$D$89</definedName>
    <definedName name="nQ5_Result_Display">PK_Exercises!$S$80:$S$89</definedName>
    <definedName name="nQ5_RowEmpty">PK_Exercises!$AC$80:$AC$89</definedName>
    <definedName name="nQ5_t">PK_Exercises!$P$80:$P$89</definedName>
    <definedName name="nQ5_t_Source">PK_Exercises!$R$80:$R$89</definedName>
    <definedName name="nQ5_t_Status">PK_Exercises!$Q$80:$Q$89</definedName>
    <definedName name="nQ5_Time_Unit">PK_Exercises!$I$80:$I$89</definedName>
    <definedName name="nQ6_Calc_ID">PD_Profile!$A$28:$A$37</definedName>
    <definedName name="nQ6_Calculation_Version">PD_Profile!$U$28:$U$37</definedName>
    <definedName name="nQ6_Case_ID">PD_Profile!$B$28:$B$37</definedName>
    <definedName name="nQ6_Case_Version">PD_Profile!$C$28:$C$37</definedName>
    <definedName name="nQ6_Err">PD_Profile!$X$28:$X$37</definedName>
    <definedName name="nQ6_Formula_in_words">PD_Profile!$T$28:$T$37</definedName>
    <definedName name="nQ6_Fraction_Replaced">PD_Profile!$N$28:$N$37</definedName>
    <definedName name="nQ6_Key">PD_Profile!$W$28:$W$37</definedName>
    <definedName name="nQ6_Mandatory_Text">PD_Profile!$S$28:$S$37</definedName>
    <definedName name="nQ6_Messages">PD_Profile!$Q$28:$Q$37</definedName>
    <definedName name="nQ6_Needs">PD_Profile!$Y$28:$Y$37</definedName>
    <definedName name="nQ6_Ok">PD_Profile!$Z$28:$Z$37</definedName>
    <definedName name="nQ6_Parameter_Set">PD_Profile!$R$28:$R$37</definedName>
    <definedName name="nQ6_Percent_Replaced">PD_Profile!$O$28:$O$37</definedName>
    <definedName name="nQ6_QC_Flags">PD_Profile!$P$28:$P$37</definedName>
    <definedName name="nQ6_Question">PD_Profile!$D$28:$D$37</definedName>
    <definedName name="nQ6_Replacement_Half_Time">PD_Profile!$G$28:$G$37</definedName>
    <definedName name="nQ6_Replacement_Half_Time_Source">PD_Profile!$I$28:$I$37</definedName>
    <definedName name="nQ6_Replacement_Half_Time_Status">PD_Profile!$H$28:$H$37</definedName>
    <definedName name="nQ6_Result_Display">PD_Profile!$M$28:$M$37</definedName>
    <definedName name="nQ6_RowEmpty">PD_Profile!$V$28:$V$37</definedName>
    <definedName name="nQ6_t">PD_Profile!$J$28:$J$37</definedName>
    <definedName name="nQ6_t_Source">PD_Profile!$L$28:$L$37</definedName>
    <definedName name="nQ6_t_Status">PD_Profile!$K$28:$K$37</definedName>
    <definedName name="nQ6_Teaching_Switch">PD_Profile!$E$28:$E$37</definedName>
    <definedName name="nQ6_Time_Unit">PD_Profile!$F$28:$F$37</definedName>
    <definedName name="nQ7_Assumptions">PK_Exercises!$V$96:$V$108</definedName>
    <definedName name="nQ7_Calc_ID">PK_Exercises!$A$96:$A$108</definedName>
    <definedName name="nQ7_Calculation_Version">PK_Exercises!$Y$96:$Y$108</definedName>
    <definedName name="nQ7_Case_ID">PK_Exercises!$B$96:$B$108</definedName>
    <definedName name="nQ7_Case_Version">PK_Exercises!$C$96:$C$108</definedName>
    <definedName name="nQ7_Err">PK_Exercises!$AB$96:$AB$108</definedName>
    <definedName name="nQ7_Formula_in_words">PK_Exercises!$X$96:$X$108</definedName>
    <definedName name="nQ7_Fraction_Remaining">PK_Exercises!$Q$96:$Q$108</definedName>
    <definedName name="nQ7_G_Model">PK_Exercises!$E$96:$E$108</definedName>
    <definedName name="nQ7_G_Params">PK_Exercises!$F$96:$F$108</definedName>
    <definedName name="nQ7_G_RefTime">PK_Exercises!$G$96:$G$108</definedName>
    <definedName name="nQ7_G_Status">PK_Exercises!$H$96:$H$108</definedName>
    <definedName name="nQ7_Key">PK_Exercises!$AA$96:$AA$108</definedName>
    <definedName name="nQ7_Mandatory_Text">PK_Exercises!$W$96:$W$108</definedName>
    <definedName name="nQ7_Messages">PK_Exercises!$T$96:$T$108</definedName>
    <definedName name="nQ7_Needs">PK_Exercises!$AC$96:$AC$108</definedName>
    <definedName name="nQ7_Ok">PK_Exercises!$AD$96:$AD$108</definedName>
    <definedName name="nQ7_Parameter_Set">PK_Exercises!$U$96:$U$108</definedName>
    <definedName name="nQ7_Percent_Remaining">PK_Exercises!$R$96:$R$108</definedName>
    <definedName name="nQ7_QC_Flags">PK_Exercises!$S$96:$S$108</definedName>
    <definedName name="nQ7_Question">PK_Exercises!$D$96:$D$108</definedName>
    <definedName name="nQ7_Result_Display">PK_Exercises!$P$96:$P$108</definedName>
    <definedName name="nQ7_RowEmpty">PK_Exercises!$Z$96:$Z$108</definedName>
    <definedName name="nQ7_t">PK_Exercises!$M$96:$M$108</definedName>
    <definedName name="nQ7_t_half">PK_Exercises!$J$96:$J$108</definedName>
    <definedName name="nQ7_t_half_Source">PK_Exercises!$L$96:$L$108</definedName>
    <definedName name="nQ7_t_half_Status">PK_Exercises!$K$96:$K$108</definedName>
    <definedName name="nQ7_t_Source">PK_Exercises!$O$96:$O$108</definedName>
    <definedName name="nQ7_t_Status">PK_Exercises!$N$96:$N$108</definedName>
    <definedName name="nQ7_Time_Unit">PK_Exercises!$I$96:$I$108</definedName>
    <definedName name="nQ8_Assumptions">PK_Exercises!$AA$115:$AA$129</definedName>
    <definedName name="nQ8_Calc_ID">PK_Exercises!$A$115:$A$129</definedName>
    <definedName name="nQ8_Calculation_Version">PK_Exercises!$AD$115:$AD$129</definedName>
    <definedName name="nQ8_Case_ID">PK_Exercises!$B$115:$B$129</definedName>
    <definedName name="nQ8_Case_Version">PK_Exercises!$C$115:$C$129</definedName>
    <definedName name="nQ8_Err">PK_Exercises!$AG$115:$AG$129</definedName>
    <definedName name="nQ8_Formula_in_words">PK_Exercises!$AC$115:$AC$129</definedName>
    <definedName name="nQ8_Fraction_at_Lower">PK_Exercises!$T$115:$T$129</definedName>
    <definedName name="nQ8_Fraction_at_Upper">PK_Exercises!$U$115:$U$129</definedName>
    <definedName name="nQ8_G_Model">PK_Exercises!$E$115:$E$129</definedName>
    <definedName name="nQ8_G_Params">PK_Exercises!$F$115:$F$129</definedName>
    <definedName name="nQ8_G_RefTime">PK_Exercises!$G$115:$G$129</definedName>
    <definedName name="nQ8_G_Status">PK_Exercises!$H$115:$H$129</definedName>
    <definedName name="nQ8_Key">PK_Exercises!$AF$115:$AF$129</definedName>
    <definedName name="nQ8_Mandatory_Text">PK_Exercises!$AB$115:$AB$129</definedName>
    <definedName name="nQ8_Messages">PK_Exercises!$Y$115:$Y$129</definedName>
    <definedName name="nQ8_Needs">PK_Exercises!$AH$115:$AH$129</definedName>
    <definedName name="nQ8_Ok">PK_Exercises!$AI$115:$AI$129</definedName>
    <definedName name="nQ8_Parameter_Set">PK_Exercises!$Z$115:$Z$129</definedName>
    <definedName name="nQ8_Percent_at_Lower">PK_Exercises!$V$115:$V$129</definedName>
    <definedName name="nQ8_Percent_at_Upper">PK_Exercises!$W$115:$W$129</definedName>
    <definedName name="nQ8_QC_Flags">PK_Exercises!$X$115:$X$129</definedName>
    <definedName name="nQ8_Question">PK_Exercises!$D$115:$D$129</definedName>
    <definedName name="nQ8_Result_Display">PK_Exercises!$S$115:$S$129</definedName>
    <definedName name="nQ8_RowEmpty">PK_Exercises!$AE$115:$AE$129</definedName>
    <definedName name="nQ8_t">PK_Exercises!$P$115:$P$129</definedName>
    <definedName name="nQ8_t_half_lower">PK_Exercises!$J$115:$J$129</definedName>
    <definedName name="nQ8_t_half_lower_Source">PK_Exercises!$L$115:$L$129</definedName>
    <definedName name="nQ8_t_half_lower_Status">PK_Exercises!$K$115:$K$129</definedName>
    <definedName name="nQ8_t_half_upper">PK_Exercises!$M$115:$M$129</definedName>
    <definedName name="nQ8_t_half_upper_Source">PK_Exercises!$O$115:$O$129</definedName>
    <definedName name="nQ8_t_half_upper_Status">PK_Exercises!$N$115:$N$129</definedName>
    <definedName name="nQ8_t_Source">PK_Exercises!$R$115:$R$129</definedName>
    <definedName name="nQ8_t_Status">PK_Exercises!$Q$115:$Q$129</definedName>
    <definedName name="nQ8_Time_Unit">PK_Exercises!$I$115:$I$129</definedName>
    <definedName name="nQ9_AllKnown">PK_Exercises!$AD$136:$AD$147</definedName>
    <definedName name="nQ9_Amount_mg">PK_Exercises!$K$136:$K$147</definedName>
    <definedName name="nQ9_BadSeg">PK_Exercises!$AE$136:$AE$147</definedName>
    <definedName name="nQ9_Calc_ID">PK_Exercises!$A$136:$A$147</definedName>
    <definedName name="nQ9_Calculation_Version">PK_Exercises!$T$136:$T$147</definedName>
    <definedName name="nQ9_Case_ID">PK_Exercises!$B$136:$B$147</definedName>
    <definedName name="nQ9_Case_Version">PK_Exercises!$C$136:$C$147</definedName>
    <definedName name="nQ9_Err">PK_Exercises!$AF$136:$AF$147</definedName>
    <definedName name="nQ9_Exposure_Episode_ID">PK_Exercises!$E$136:$E$147</definedName>
    <definedName name="nQ9_Formula_in_words">PK_Exercises!$S$136:$S$147</definedName>
    <definedName name="nQ9_Key">PK_Exercises!$V$136:$V$147</definedName>
    <definedName name="nQ9_Mandatory_Text">PK_Exercises!$R$136:$R$147</definedName>
    <definedName name="nQ9_Messages">PK_Exercises!$P$136:$P$147</definedName>
    <definedName name="nQ9_N_Seg">PK_Exercises!$AC$136:$AC$147</definedName>
    <definedName name="nQ9_Needs">PK_Exercises!$AG$136:$AG$147</definedName>
    <definedName name="nQ9_O_HT">PK_Exercises!$Y$136:$Y$147</definedName>
    <definedName name="nQ9_O_Loc">PK_Exercises!$AA$136:$AA$147</definedName>
    <definedName name="nQ9_O_OK">PK_Exercises!$Z$136:$Z$147</definedName>
    <definedName name="nQ9_O_Row">PK_Exercises!$X$136:$X$147</definedName>
    <definedName name="nQ9_O_UTC">PK_Exercises!$AB$136:$AB$147</definedName>
    <definedName name="nQ9_Ok">PK_Exercises!$AH$136:$AH$147</definedName>
    <definedName name="nQ9_Onset_Record_ID">PK_Exercises!$F$136:$F$147</definedName>
    <definedName name="nQ9_Parameter_Set">PK_Exercises!$Q$136:$Q$147</definedName>
    <definedName name="nQ9_Percent_of_Planned">PK_Exercises!$L$136:$L$147</definedName>
    <definedName name="nQ9_Planned_Dose_mg">PK_Exercises!$G$136:$G$147</definedName>
    <definedName name="nQ9_Planned_Dose_mg_Source">PK_Exercises!$I$136:$I$147</definedName>
    <definedName name="nQ9_Planned_Dose_mg_Status">PK_Exercises!$H$136:$H$147</definedName>
    <definedName name="nQ9_QC_Flags">PK_Exercises!$O$136:$O$147</definedName>
    <definedName name="nQ9_Question">PK_Exercises!$D$136:$D$147</definedName>
    <definedName name="nQ9_Result_Display">PK_Exercises!$J$136:$J$147</definedName>
    <definedName name="nQ9_RowEmpty">PK_Exercises!$U$136:$U$147</definedName>
    <definedName name="nQ9_Segments_Used">PK_Exercises!$M$136:$M$147</definedName>
    <definedName name="nQ9_SelKey">PK_Exercises!$W$136:$W$147</definedName>
    <definedName name="nQ9_Sum_Loc">PK_Exercises!$AJ$136:$AJ$147</definedName>
    <definedName name="nQ9_Sum_UTC">PK_Exercises!$AI$136:$AI$147</definedName>
    <definedName name="nQ9_Time_Basis">PK_Exercises!$N$136:$N$147</definedName>
    <definedName name="nTOL_ABS">Verification!$D$5</definedName>
    <definedName name="nTOL_REL">Verification!$B$5</definedName>
    <definedName name="nTP_Case_ID">Timepoints!$D$5:$D$403</definedName>
    <definedName name="nTP_Case_Key">Timepoints!$F$5:$F$403</definedName>
    <definedName name="nTP_Case_Version">Timepoints!$E$5:$E$403</definedName>
    <definedName name="nTP_Display">Timepoints!$R$5:$R$403</definedName>
    <definedName name="nTP_Dup">Timepoints!$V$5:$V$403</definedName>
    <definedName name="nTP_Episode_ID">Timepoints!$G$5:$G$403</definedName>
    <definedName name="nTP_Err">Timepoints!$J$5:$J$403</definedName>
    <definedName name="nTP_Hi">Timepoints!$P$5:$P$403</definedName>
    <definedName name="nTP_Hi_n">Timepoints!$Z$5:$Z$403</definedName>
    <definedName name="nTP_HT">Timepoints!$K$5:$K$403</definedName>
    <definedName name="nTP_ISO">Timepoints!$Q$5:$Q$403</definedName>
    <definedName name="nTP_Key">Timepoints!$A$5:$A$403</definedName>
    <definedName name="nTP_Lo">Timepoints!$O$5:$O$403</definedName>
    <definedName name="nTP_Lo_n">Timepoints!$Y$5:$Y$403</definedName>
    <definedName name="nTP_Loc">Timepoints!$M$5:$M$403</definedName>
    <definedName name="nTP_Loc_n">Timepoints!$W$5:$W$403</definedName>
    <definedName name="nTP_Offset">Timepoints!$I$5:$I$403</definedName>
    <definedName name="nTP_OK">Timepoints!$L$5:$L$403</definedName>
    <definedName name="nTP_Original_Text">Timepoints!$S$5:$S$403</definedName>
    <definedName name="nTP_Precision">Timepoints!$H$5:$H$403</definedName>
    <definedName name="nTP_Record_ID">Timepoints!$B$5:$B$403</definedName>
    <definedName name="nTP_Record_Type">Timepoints!$C$5:$C$403</definedName>
    <definedName name="nTP_Source">Timepoints!$T$5:$T$403</definedName>
    <definedName name="nTP_Source_Location">Timepoints!$U$5:$U$403</definedName>
    <definedName name="nTP_UTC">Timepoints!$N$5:$N$403</definedName>
    <definedName name="nTP_UTC_n">Timepoints!$X$5:$X$403</definedName>
    <definedName name="nVER_Overall">Verification!$C$4</definedName>
    <definedName name="_xlnm.Print_Area" localSheetId="17">Examples!$A$1:$L$81</definedName>
    <definedName name="_xlnm.Print_Area" localSheetId="0">Read_Me!$B$1:$C$65</definedName>
    <definedName name="_xlnm.Print_Area" localSheetId="18">Verification!$A$1:$H$143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warnBelowVersion="2" setVersion="2"/>
    </ext>
  </extLst>
</workbook>
</file>

<file path=xl/calcChain.xml><?xml version="1.0" encoding="utf-8"?>
<calcChain xmlns="http://schemas.openxmlformats.org/spreadsheetml/2006/main">
  <c r="F34" i="19" l="1"/>
  <c r="F33" i="19"/>
  <c r="F32" i="19"/>
  <c r="F31" i="19"/>
  <c r="F30" i="19"/>
  <c r="F29" i="19"/>
  <c r="F28" i="19"/>
  <c r="F27" i="19"/>
  <c r="F26" i="19"/>
  <c r="F25" i="19"/>
  <c r="F24" i="19"/>
  <c r="F23" i="19"/>
  <c r="F22" i="19"/>
  <c r="H21" i="19"/>
  <c r="G21" i="19"/>
  <c r="F21" i="19"/>
  <c r="F20" i="19"/>
  <c r="H19" i="19"/>
  <c r="F19" i="19"/>
  <c r="F18" i="19"/>
  <c r="F17" i="19"/>
  <c r="F16" i="19"/>
  <c r="F15" i="19"/>
  <c r="F14" i="19"/>
  <c r="F13" i="19"/>
  <c r="F12" i="19"/>
  <c r="F11" i="19"/>
  <c r="F10" i="19"/>
  <c r="F9" i="19"/>
  <c r="F8" i="19"/>
  <c r="M21" i="17"/>
  <c r="M22" i="17"/>
  <c r="M23" i="17"/>
  <c r="M5" i="17"/>
  <c r="M6" i="17"/>
  <c r="M7" i="17"/>
  <c r="M8" i="17"/>
  <c r="M9" i="17"/>
  <c r="M10" i="17"/>
  <c r="M11" i="17"/>
  <c r="M12" i="17"/>
  <c r="M13" i="17"/>
  <c r="M14" i="17"/>
  <c r="M15" i="17"/>
  <c r="M16" i="17"/>
  <c r="M17" i="17"/>
  <c r="M18" i="17"/>
  <c r="M19" i="17"/>
  <c r="L5" i="17"/>
  <c r="L6" i="17"/>
  <c r="L7" i="17"/>
  <c r="L8" i="17"/>
  <c r="L9" i="17"/>
  <c r="L10" i="17"/>
  <c r="L11" i="17"/>
  <c r="L12" i="17"/>
  <c r="L13" i="17"/>
  <c r="L14" i="17"/>
  <c r="L15" i="17"/>
  <c r="L16" i="17"/>
  <c r="L17" i="17"/>
  <c r="L18" i="17"/>
  <c r="L19" i="17"/>
  <c r="K5" i="17"/>
  <c r="K6" i="17"/>
  <c r="K7" i="17"/>
  <c r="K8" i="17"/>
  <c r="K9" i="17"/>
  <c r="K10" i="17"/>
  <c r="K11" i="17"/>
  <c r="K12" i="17"/>
  <c r="K13" i="17"/>
  <c r="K14" i="17"/>
  <c r="K15" i="17"/>
  <c r="K16" i="17"/>
  <c r="K17" i="17"/>
  <c r="K18" i="17"/>
  <c r="K19" i="17"/>
  <c r="J21" i="17"/>
  <c r="J22" i="17"/>
  <c r="J23" i="17"/>
  <c r="J5" i="17"/>
  <c r="J6" i="17"/>
  <c r="J7" i="17"/>
  <c r="J8" i="17"/>
  <c r="J9" i="17"/>
  <c r="J10" i="17"/>
  <c r="J11" i="17"/>
  <c r="J12" i="17"/>
  <c r="J13" i="17"/>
  <c r="J14" i="17"/>
  <c r="J15" i="17"/>
  <c r="J16" i="17"/>
  <c r="J17" i="17"/>
  <c r="J18" i="17"/>
  <c r="J19" i="17"/>
  <c r="J36" i="16"/>
  <c r="J37" i="16"/>
  <c r="J38" i="16"/>
  <c r="J39" i="16"/>
  <c r="J40" i="16"/>
  <c r="J41" i="16"/>
  <c r="J5" i="16"/>
  <c r="J6" i="16"/>
  <c r="J7" i="16"/>
  <c r="J8" i="16"/>
  <c r="J9" i="16"/>
  <c r="J10" i="16"/>
  <c r="J11" i="16"/>
  <c r="J12" i="16"/>
  <c r="J13" i="16"/>
  <c r="J14" i="16"/>
  <c r="J15" i="16"/>
  <c r="J16" i="16"/>
  <c r="J17" i="16"/>
  <c r="J18" i="16"/>
  <c r="J19" i="16"/>
  <c r="J20" i="16"/>
  <c r="J21" i="16"/>
  <c r="J22" i="16"/>
  <c r="J23" i="16"/>
  <c r="J24" i="16"/>
  <c r="J25" i="16"/>
  <c r="J26" i="16"/>
  <c r="J27" i="16"/>
  <c r="J28" i="16"/>
  <c r="J29" i="16"/>
  <c r="J30" i="16"/>
  <c r="J31" i="16"/>
  <c r="J32" i="16"/>
  <c r="J33" i="16"/>
  <c r="J34" i="16"/>
  <c r="I21" i="14"/>
  <c r="I22" i="14"/>
  <c r="I23" i="14"/>
  <c r="I5" i="14"/>
  <c r="I6" i="14"/>
  <c r="I7" i="14"/>
  <c r="I8" i="14"/>
  <c r="I9" i="14"/>
  <c r="I10" i="14"/>
  <c r="I11" i="14"/>
  <c r="I12" i="14"/>
  <c r="I13" i="14"/>
  <c r="I14" i="14"/>
  <c r="I15" i="14"/>
  <c r="I16" i="14"/>
  <c r="I17" i="14"/>
  <c r="I18" i="14"/>
  <c r="I19" i="14"/>
  <c r="S31" i="10"/>
  <c r="S32" i="10"/>
  <c r="S33" i="10"/>
  <c r="S34" i="10"/>
  <c r="S35" i="10"/>
  <c r="S5" i="10"/>
  <c r="S6" i="10"/>
  <c r="S7" i="10"/>
  <c r="S8" i="10"/>
  <c r="S9" i="10"/>
  <c r="S10" i="10"/>
  <c r="S11" i="10"/>
  <c r="S12" i="10"/>
  <c r="S13" i="10"/>
  <c r="S14" i="10"/>
  <c r="S15" i="10"/>
  <c r="S16" i="10"/>
  <c r="S17" i="10"/>
  <c r="S18" i="10"/>
  <c r="S19" i="10"/>
  <c r="S20" i="10"/>
  <c r="S21" i="10"/>
  <c r="S22" i="10"/>
  <c r="S23" i="10"/>
  <c r="S24" i="10"/>
  <c r="S25" i="10"/>
  <c r="S26" i="10"/>
  <c r="S27" i="10"/>
  <c r="S28" i="10"/>
  <c r="S29" i="10"/>
  <c r="P36" i="9"/>
  <c r="P37" i="9"/>
  <c r="P38" i="9"/>
  <c r="P39" i="9"/>
  <c r="P40" i="9"/>
  <c r="P41" i="9"/>
  <c r="P42" i="9"/>
  <c r="P43" i="9"/>
  <c r="P44" i="9"/>
  <c r="P45" i="9"/>
  <c r="P5" i="9"/>
  <c r="P6" i="9"/>
  <c r="P7" i="9"/>
  <c r="P8" i="9"/>
  <c r="P9" i="9"/>
  <c r="P10" i="9"/>
  <c r="P11" i="9"/>
  <c r="P12" i="9"/>
  <c r="P13" i="9"/>
  <c r="P14" i="9"/>
  <c r="P15" i="9"/>
  <c r="P16" i="9"/>
  <c r="P17" i="9"/>
  <c r="P18" i="9"/>
  <c r="P19" i="9"/>
  <c r="P20" i="9"/>
  <c r="P21" i="9"/>
  <c r="P22" i="9"/>
  <c r="P23" i="9"/>
  <c r="P24" i="9"/>
  <c r="P25" i="9"/>
  <c r="P26" i="9"/>
  <c r="P27" i="9"/>
  <c r="P28" i="9"/>
  <c r="P29" i="9"/>
  <c r="P30" i="9"/>
  <c r="P31" i="9"/>
  <c r="P32" i="9"/>
  <c r="P33" i="9"/>
  <c r="P34" i="9"/>
  <c r="W37" i="12"/>
  <c r="W28" i="12"/>
  <c r="W29" i="12"/>
  <c r="W30" i="12"/>
  <c r="W31" i="12"/>
  <c r="W32" i="12"/>
  <c r="W33" i="12"/>
  <c r="W34" i="12"/>
  <c r="W35" i="12"/>
  <c r="V37" i="12"/>
  <c r="V28" i="12"/>
  <c r="V29" i="12"/>
  <c r="V30" i="12"/>
  <c r="V31" i="12"/>
  <c r="V32" i="12"/>
  <c r="V33" i="12"/>
  <c r="V34" i="12"/>
  <c r="V35" i="12"/>
  <c r="U37" i="12"/>
  <c r="U28" i="12"/>
  <c r="U29" i="12"/>
  <c r="U30" i="12"/>
  <c r="U31" i="12"/>
  <c r="U32" i="12"/>
  <c r="U33" i="12"/>
  <c r="U34" i="12"/>
  <c r="U35" i="12"/>
  <c r="T37" i="12"/>
  <c r="T28" i="12"/>
  <c r="T29" i="12"/>
  <c r="T30" i="12"/>
  <c r="T31" i="12"/>
  <c r="T32" i="12"/>
  <c r="T33" i="12"/>
  <c r="T34" i="12"/>
  <c r="T35" i="12"/>
  <c r="S37" i="12"/>
  <c r="S28" i="12"/>
  <c r="S29" i="12"/>
  <c r="S30" i="12"/>
  <c r="S31" i="12"/>
  <c r="S32" i="12"/>
  <c r="S33" i="12"/>
  <c r="S34" i="12"/>
  <c r="S35" i="12"/>
  <c r="R37" i="12"/>
  <c r="R28" i="12"/>
  <c r="R29" i="12"/>
  <c r="R30" i="12"/>
  <c r="R31" i="12"/>
  <c r="R32" i="12"/>
  <c r="R33" i="12"/>
  <c r="R34" i="12"/>
  <c r="R35" i="12"/>
  <c r="Q28" i="12"/>
  <c r="Q29" i="12"/>
  <c r="Q30" i="12"/>
  <c r="Q31" i="12"/>
  <c r="Q32" i="12"/>
  <c r="Q33" i="12"/>
  <c r="Q34" i="12"/>
  <c r="Q35" i="12"/>
  <c r="P28" i="12"/>
  <c r="P29" i="12"/>
  <c r="P30" i="12"/>
  <c r="P31" i="12"/>
  <c r="P32" i="12"/>
  <c r="P33" i="12"/>
  <c r="P34" i="12"/>
  <c r="P35" i="12"/>
  <c r="M28" i="12"/>
  <c r="M29" i="12"/>
  <c r="M30" i="12"/>
  <c r="M31" i="12"/>
  <c r="M32" i="12"/>
  <c r="M33" i="12"/>
  <c r="M34" i="12"/>
  <c r="M35" i="12"/>
  <c r="AC184" i="11"/>
  <c r="AC185" i="11"/>
  <c r="AC186" i="11"/>
  <c r="AC187" i="11"/>
  <c r="AC188" i="11"/>
  <c r="AC180" i="11"/>
  <c r="AC181" i="11"/>
  <c r="AC182" i="11"/>
  <c r="AC171" i="11"/>
  <c r="AC172" i="11"/>
  <c r="AC173" i="11"/>
  <c r="AC174" i="11"/>
  <c r="AC175" i="11"/>
  <c r="AC176" i="11"/>
  <c r="AC177" i="11"/>
  <c r="AC178" i="11"/>
  <c r="AB184" i="11"/>
  <c r="AB185" i="11"/>
  <c r="AB186" i="11"/>
  <c r="AB187" i="11"/>
  <c r="AB188" i="11"/>
  <c r="AB180" i="11"/>
  <c r="AB181" i="11"/>
  <c r="AB182" i="11"/>
  <c r="AB171" i="11"/>
  <c r="AB172" i="11"/>
  <c r="AB173" i="11"/>
  <c r="AB174" i="11"/>
  <c r="AB175" i="11"/>
  <c r="AB176" i="11"/>
  <c r="AB177" i="11"/>
  <c r="AB178" i="11"/>
  <c r="AA184" i="11"/>
  <c r="AA185" i="11"/>
  <c r="AA186" i="11"/>
  <c r="AA187" i="11"/>
  <c r="AA188" i="11"/>
  <c r="AA180" i="11"/>
  <c r="AA181" i="11"/>
  <c r="AA182" i="11"/>
  <c r="AA171" i="11"/>
  <c r="AA172" i="11"/>
  <c r="AA173" i="11"/>
  <c r="AA174" i="11"/>
  <c r="AA175" i="11"/>
  <c r="AA176" i="11"/>
  <c r="AA177" i="11"/>
  <c r="AA178" i="11"/>
  <c r="Z184" i="11"/>
  <c r="Z185" i="11"/>
  <c r="Z186" i="11"/>
  <c r="Z187" i="11"/>
  <c r="Z188" i="11"/>
  <c r="Z180" i="11"/>
  <c r="Z181" i="11"/>
  <c r="Z182" i="11"/>
  <c r="Z171" i="11"/>
  <c r="Z172" i="11"/>
  <c r="Z173" i="11"/>
  <c r="Z174" i="11"/>
  <c r="Z175" i="11"/>
  <c r="Z176" i="11"/>
  <c r="Z177" i="11"/>
  <c r="Z178" i="11"/>
  <c r="Y184" i="11"/>
  <c r="Y185" i="11"/>
  <c r="Y186" i="11"/>
  <c r="Y187" i="11"/>
  <c r="Y188" i="11"/>
  <c r="Y180" i="11"/>
  <c r="Y181" i="11"/>
  <c r="Y182" i="11"/>
  <c r="Y171" i="11"/>
  <c r="Y172" i="11"/>
  <c r="Y173" i="11"/>
  <c r="Y174" i="11"/>
  <c r="Y175" i="11"/>
  <c r="Y176" i="11"/>
  <c r="Y177" i="11"/>
  <c r="Y178" i="11"/>
  <c r="X184" i="11"/>
  <c r="X185" i="11"/>
  <c r="X186" i="11"/>
  <c r="X187" i="11"/>
  <c r="X188" i="11"/>
  <c r="X180" i="11"/>
  <c r="X181" i="11"/>
  <c r="X182" i="11"/>
  <c r="X171" i="11"/>
  <c r="X172" i="11"/>
  <c r="X173" i="11"/>
  <c r="X174" i="11"/>
  <c r="X175" i="11"/>
  <c r="X176" i="11"/>
  <c r="X177" i="11"/>
  <c r="X178" i="11"/>
  <c r="W171" i="11"/>
  <c r="W172" i="11"/>
  <c r="W173" i="11"/>
  <c r="W174" i="11"/>
  <c r="W175" i="11"/>
  <c r="W176" i="11"/>
  <c r="W177" i="11"/>
  <c r="W178" i="11"/>
  <c r="V171" i="11"/>
  <c r="V172" i="11"/>
  <c r="V173" i="11"/>
  <c r="V174" i="11"/>
  <c r="V175" i="11"/>
  <c r="V176" i="11"/>
  <c r="V177" i="11"/>
  <c r="V178" i="11"/>
  <c r="Q171" i="11"/>
  <c r="Q172" i="11"/>
  <c r="Q173" i="11"/>
  <c r="Q174" i="11"/>
  <c r="Q175" i="11"/>
  <c r="Q176" i="11"/>
  <c r="Q177" i="11"/>
  <c r="Q178" i="11"/>
  <c r="X163" i="11"/>
  <c r="X164" i="11"/>
  <c r="X154" i="11"/>
  <c r="X155" i="11"/>
  <c r="X156" i="11"/>
  <c r="X157" i="11"/>
  <c r="X158" i="11"/>
  <c r="X159" i="11"/>
  <c r="X160" i="11"/>
  <c r="X161" i="11"/>
  <c r="W163" i="11"/>
  <c r="W164" i="11"/>
  <c r="W154" i="11"/>
  <c r="W155" i="11"/>
  <c r="W156" i="11"/>
  <c r="W157" i="11"/>
  <c r="W158" i="11"/>
  <c r="W159" i="11"/>
  <c r="W160" i="11"/>
  <c r="W161" i="11"/>
  <c r="V163" i="11"/>
  <c r="V164" i="11"/>
  <c r="V154" i="11"/>
  <c r="V155" i="11"/>
  <c r="V156" i="11"/>
  <c r="V157" i="11"/>
  <c r="V158" i="11"/>
  <c r="V159" i="11"/>
  <c r="V160" i="11"/>
  <c r="V161" i="11"/>
  <c r="U163" i="11"/>
  <c r="U164" i="11"/>
  <c r="U154" i="11"/>
  <c r="U155" i="11"/>
  <c r="U156" i="11"/>
  <c r="U157" i="11"/>
  <c r="U158" i="11"/>
  <c r="U159" i="11"/>
  <c r="U160" i="11"/>
  <c r="U161" i="11"/>
  <c r="T163" i="11"/>
  <c r="T164" i="11"/>
  <c r="T154" i="11"/>
  <c r="T155" i="11"/>
  <c r="T156" i="11"/>
  <c r="T157" i="11"/>
  <c r="T158" i="11"/>
  <c r="T159" i="11"/>
  <c r="T160" i="11"/>
  <c r="T161" i="11"/>
  <c r="S163" i="11"/>
  <c r="S164" i="11"/>
  <c r="S154" i="11"/>
  <c r="S155" i="11"/>
  <c r="S156" i="11"/>
  <c r="S157" i="11"/>
  <c r="S158" i="11"/>
  <c r="S159" i="11"/>
  <c r="S160" i="11"/>
  <c r="S161" i="11"/>
  <c r="R163" i="11"/>
  <c r="R164" i="11"/>
  <c r="R154" i="11"/>
  <c r="R155" i="11"/>
  <c r="R156" i="11"/>
  <c r="R157" i="11"/>
  <c r="R158" i="11"/>
  <c r="R159" i="11"/>
  <c r="R160" i="11"/>
  <c r="R161" i="11"/>
  <c r="Q154" i="11"/>
  <c r="Q155" i="11"/>
  <c r="Q156" i="11"/>
  <c r="Q157" i="11"/>
  <c r="Q158" i="11"/>
  <c r="Q159" i="11"/>
  <c r="Q160" i="11"/>
  <c r="Q161" i="11"/>
  <c r="P154" i="11"/>
  <c r="P155" i="11"/>
  <c r="P156" i="11"/>
  <c r="P157" i="11"/>
  <c r="P158" i="11"/>
  <c r="P159" i="11"/>
  <c r="P160" i="11"/>
  <c r="P161" i="11"/>
  <c r="M154" i="11"/>
  <c r="M155" i="11"/>
  <c r="M156" i="11"/>
  <c r="M157" i="11"/>
  <c r="M158" i="11"/>
  <c r="M159" i="11"/>
  <c r="M160" i="11"/>
  <c r="M161" i="11"/>
  <c r="L154" i="11"/>
  <c r="L155" i="11"/>
  <c r="L156" i="11"/>
  <c r="L157" i="11"/>
  <c r="L158" i="11"/>
  <c r="L159" i="11"/>
  <c r="L160" i="11"/>
  <c r="L161" i="11"/>
  <c r="I154" i="11"/>
  <c r="I155" i="11"/>
  <c r="I156" i="11"/>
  <c r="I157" i="11"/>
  <c r="I158" i="11"/>
  <c r="I159" i="11"/>
  <c r="I160" i="11"/>
  <c r="I161" i="11"/>
  <c r="X136" i="11"/>
  <c r="X137" i="11"/>
  <c r="X138" i="11"/>
  <c r="X139" i="11"/>
  <c r="X140" i="11"/>
  <c r="X141" i="11"/>
  <c r="Y141" i="11" s="1"/>
  <c r="X142" i="11"/>
  <c r="X143" i="11"/>
  <c r="W147" i="11"/>
  <c r="W145" i="11"/>
  <c r="W136" i="11"/>
  <c r="W137" i="11"/>
  <c r="W138" i="11"/>
  <c r="W139" i="11"/>
  <c r="W140" i="11"/>
  <c r="W141" i="11"/>
  <c r="W142" i="11"/>
  <c r="W143" i="11"/>
  <c r="AC143" i="11" s="1"/>
  <c r="V147" i="11"/>
  <c r="V145" i="11"/>
  <c r="V136" i="11"/>
  <c r="V137" i="11"/>
  <c r="V138" i="11"/>
  <c r="V139" i="11"/>
  <c r="V140" i="11"/>
  <c r="V141" i="11"/>
  <c r="V142" i="11"/>
  <c r="V143" i="11"/>
  <c r="U147" i="11"/>
  <c r="U145" i="11"/>
  <c r="U136" i="11"/>
  <c r="U137" i="11"/>
  <c r="U138" i="11"/>
  <c r="U139" i="11"/>
  <c r="U140" i="11"/>
  <c r="U141" i="11"/>
  <c r="U142" i="11"/>
  <c r="U143" i="11"/>
  <c r="T147" i="11"/>
  <c r="T145" i="11"/>
  <c r="T136" i="11"/>
  <c r="T137" i="11"/>
  <c r="T138" i="11"/>
  <c r="T139" i="11"/>
  <c r="T141" i="11"/>
  <c r="T142" i="11"/>
  <c r="T143" i="11"/>
  <c r="S147" i="11"/>
  <c r="S145" i="11"/>
  <c r="S136" i="11"/>
  <c r="S137" i="11"/>
  <c r="S138" i="11"/>
  <c r="S139" i="11"/>
  <c r="S141" i="11"/>
  <c r="S142" i="11"/>
  <c r="S143" i="11"/>
  <c r="R147" i="11"/>
  <c r="R145" i="11"/>
  <c r="R136" i="11"/>
  <c r="R137" i="11"/>
  <c r="R138" i="11"/>
  <c r="R139" i="11"/>
  <c r="R140" i="11"/>
  <c r="R141" i="11"/>
  <c r="R142" i="11"/>
  <c r="R143" i="11"/>
  <c r="Q147" i="11"/>
  <c r="Q145" i="11"/>
  <c r="Q136" i="11"/>
  <c r="Q137" i="11"/>
  <c r="Q138" i="11"/>
  <c r="Q139" i="11"/>
  <c r="Q140" i="11"/>
  <c r="Q141" i="11"/>
  <c r="Q142" i="11"/>
  <c r="Q143" i="11"/>
  <c r="P136" i="11"/>
  <c r="P137" i="11"/>
  <c r="P138" i="11"/>
  <c r="P139" i="11"/>
  <c r="P140" i="11"/>
  <c r="P141" i="11"/>
  <c r="P142" i="11"/>
  <c r="P143" i="11"/>
  <c r="O136" i="11"/>
  <c r="O137" i="11"/>
  <c r="O138" i="11"/>
  <c r="O139" i="11"/>
  <c r="O140" i="11"/>
  <c r="O141" i="11"/>
  <c r="O142" i="11"/>
  <c r="O143" i="11"/>
  <c r="M136" i="11"/>
  <c r="M137" i="11"/>
  <c r="M138" i="11"/>
  <c r="M139" i="11"/>
  <c r="M140" i="11"/>
  <c r="M141" i="11"/>
  <c r="M142" i="11"/>
  <c r="M143" i="11"/>
  <c r="J136" i="11"/>
  <c r="J137" i="11"/>
  <c r="J138" i="11"/>
  <c r="J139" i="11"/>
  <c r="J140" i="11"/>
  <c r="J141" i="11"/>
  <c r="J142" i="11"/>
  <c r="J143" i="11"/>
  <c r="AF129" i="11"/>
  <c r="AF124" i="11"/>
  <c r="AF125" i="11"/>
  <c r="AF126" i="11"/>
  <c r="AF127" i="11"/>
  <c r="AF115" i="11"/>
  <c r="AF116" i="11"/>
  <c r="AF117" i="11"/>
  <c r="AF118" i="11"/>
  <c r="AF119" i="11"/>
  <c r="AF120" i="11"/>
  <c r="AF121" i="11"/>
  <c r="AF122" i="11"/>
  <c r="AE129" i="11"/>
  <c r="AE124" i="11"/>
  <c r="AE125" i="11"/>
  <c r="AE126" i="11"/>
  <c r="AE127" i="11"/>
  <c r="AE115" i="11"/>
  <c r="AE116" i="11"/>
  <c r="AE117" i="11"/>
  <c r="AE118" i="11"/>
  <c r="AE119" i="11"/>
  <c r="AE120" i="11"/>
  <c r="AE121" i="11"/>
  <c r="AE122" i="11"/>
  <c r="AD129" i="11"/>
  <c r="AD124" i="11"/>
  <c r="AD125" i="11"/>
  <c r="AD126" i="11"/>
  <c r="AD127" i="11"/>
  <c r="AD115" i="11"/>
  <c r="AD116" i="11"/>
  <c r="AD117" i="11"/>
  <c r="AD118" i="11"/>
  <c r="AD119" i="11"/>
  <c r="AD120" i="11"/>
  <c r="AD121" i="11"/>
  <c r="AD122" i="11"/>
  <c r="AC129" i="11"/>
  <c r="AC124" i="11"/>
  <c r="AC125" i="11"/>
  <c r="AC126" i="11"/>
  <c r="AC127" i="11"/>
  <c r="AC115" i="11"/>
  <c r="AC116" i="11"/>
  <c r="AC117" i="11"/>
  <c r="AC118" i="11"/>
  <c r="AC119" i="11"/>
  <c r="AC120" i="11"/>
  <c r="AC121" i="11"/>
  <c r="AC122" i="11"/>
  <c r="AB129" i="11"/>
  <c r="AB124" i="11"/>
  <c r="AB125" i="11"/>
  <c r="AB126" i="11"/>
  <c r="AB127" i="11"/>
  <c r="AB115" i="11"/>
  <c r="AB116" i="11"/>
  <c r="AB117" i="11"/>
  <c r="AB118" i="11"/>
  <c r="AB119" i="11"/>
  <c r="AB120" i="11"/>
  <c r="AB121" i="11"/>
  <c r="AB122" i="11"/>
  <c r="AA129" i="11"/>
  <c r="AA124" i="11"/>
  <c r="AA125" i="11"/>
  <c r="AA126" i="11"/>
  <c r="AA127" i="11"/>
  <c r="AA115" i="11"/>
  <c r="AA116" i="11"/>
  <c r="AA117" i="11"/>
  <c r="AA118" i="11"/>
  <c r="AA119" i="11"/>
  <c r="AA120" i="11"/>
  <c r="AA121" i="11"/>
  <c r="AA122" i="11"/>
  <c r="Z129" i="11"/>
  <c r="Z124" i="11"/>
  <c r="Z125" i="11"/>
  <c r="Z126" i="11"/>
  <c r="Z127" i="11"/>
  <c r="Z115" i="11"/>
  <c r="Z116" i="11"/>
  <c r="Z117" i="11"/>
  <c r="Z118" i="11"/>
  <c r="Z119" i="11"/>
  <c r="Z120" i="11"/>
  <c r="Z121" i="11"/>
  <c r="Z122" i="11"/>
  <c r="Y115" i="11"/>
  <c r="Y116" i="11"/>
  <c r="Y117" i="11"/>
  <c r="Y118" i="11"/>
  <c r="Y119" i="11"/>
  <c r="Y120" i="11"/>
  <c r="Y121" i="11"/>
  <c r="Y122" i="11"/>
  <c r="X115" i="11"/>
  <c r="X116" i="11"/>
  <c r="X117" i="11"/>
  <c r="X118" i="11"/>
  <c r="X119" i="11"/>
  <c r="X120" i="11"/>
  <c r="X121" i="11"/>
  <c r="X122" i="11"/>
  <c r="S115" i="11"/>
  <c r="S116" i="11"/>
  <c r="S117" i="11"/>
  <c r="S118" i="11"/>
  <c r="S119" i="11"/>
  <c r="S120" i="11"/>
  <c r="S121" i="11"/>
  <c r="S122" i="11"/>
  <c r="AA108" i="11"/>
  <c r="AA105" i="11"/>
  <c r="AA106" i="11"/>
  <c r="AA96" i="11"/>
  <c r="AA97" i="11"/>
  <c r="AA98" i="11"/>
  <c r="AA99" i="11"/>
  <c r="AA100" i="11"/>
  <c r="AA101" i="11"/>
  <c r="AA102" i="11"/>
  <c r="AA103" i="11"/>
  <c r="Z108" i="11"/>
  <c r="Z105" i="11"/>
  <c r="Z106" i="11"/>
  <c r="Z96" i="11"/>
  <c r="Z97" i="11"/>
  <c r="Z98" i="11"/>
  <c r="Z99" i="11"/>
  <c r="Z100" i="11"/>
  <c r="Z101" i="11"/>
  <c r="Z102" i="11"/>
  <c r="Z103" i="11"/>
  <c r="Y108" i="11"/>
  <c r="Y105" i="11"/>
  <c r="Y106" i="11"/>
  <c r="Y96" i="11"/>
  <c r="Y97" i="11"/>
  <c r="Y98" i="11"/>
  <c r="Y99" i="11"/>
  <c r="Y100" i="11"/>
  <c r="Y101" i="11"/>
  <c r="Y102" i="11"/>
  <c r="Y103" i="11"/>
  <c r="X108" i="11"/>
  <c r="X105" i="11"/>
  <c r="X106" i="11"/>
  <c r="X96" i="11"/>
  <c r="X97" i="11"/>
  <c r="X98" i="11"/>
  <c r="X99" i="11"/>
  <c r="X100" i="11"/>
  <c r="X101" i="11"/>
  <c r="X102" i="11"/>
  <c r="X103" i="11"/>
  <c r="W108" i="11"/>
  <c r="W105" i="11"/>
  <c r="W106" i="11"/>
  <c r="W96" i="11"/>
  <c r="W97" i="11"/>
  <c r="W98" i="11"/>
  <c r="W99" i="11"/>
  <c r="W100" i="11"/>
  <c r="W101" i="11"/>
  <c r="W102" i="11"/>
  <c r="W103" i="11"/>
  <c r="V108" i="11"/>
  <c r="V105" i="11"/>
  <c r="V106" i="11"/>
  <c r="V96" i="11"/>
  <c r="V97" i="11"/>
  <c r="V98" i="11"/>
  <c r="V99" i="11"/>
  <c r="V100" i="11"/>
  <c r="V101" i="11"/>
  <c r="V102" i="11"/>
  <c r="V103" i="11"/>
  <c r="U108" i="11"/>
  <c r="U105" i="11"/>
  <c r="U106" i="11"/>
  <c r="U96" i="11"/>
  <c r="U97" i="11"/>
  <c r="U98" i="11"/>
  <c r="U99" i="11"/>
  <c r="U100" i="11"/>
  <c r="U101" i="11"/>
  <c r="U102" i="11"/>
  <c r="U103" i="11"/>
  <c r="T96" i="11"/>
  <c r="T97" i="11"/>
  <c r="T98" i="11"/>
  <c r="T99" i="11"/>
  <c r="T100" i="11"/>
  <c r="T101" i="11"/>
  <c r="T102" i="11"/>
  <c r="T103" i="11"/>
  <c r="S96" i="11"/>
  <c r="S97" i="11"/>
  <c r="S98" i="11"/>
  <c r="S99" i="11"/>
  <c r="S100" i="11"/>
  <c r="S101" i="11"/>
  <c r="S102" i="11"/>
  <c r="S103" i="11"/>
  <c r="P96" i="11"/>
  <c r="P97" i="11"/>
  <c r="P98" i="11"/>
  <c r="P99" i="11"/>
  <c r="P100" i="11"/>
  <c r="P101" i="11"/>
  <c r="P102" i="11"/>
  <c r="P103" i="11"/>
  <c r="AD89" i="11"/>
  <c r="AD80" i="11"/>
  <c r="AD81" i="11"/>
  <c r="AD82" i="11"/>
  <c r="AD83" i="11"/>
  <c r="AD84" i="11"/>
  <c r="AD85" i="11"/>
  <c r="AD86" i="11"/>
  <c r="AD87" i="11"/>
  <c r="AC89" i="11"/>
  <c r="AC80" i="11"/>
  <c r="AC81" i="11"/>
  <c r="AC82" i="11"/>
  <c r="AC83" i="11"/>
  <c r="AC84" i="11"/>
  <c r="AC85" i="11"/>
  <c r="AC86" i="11"/>
  <c r="AC87" i="11"/>
  <c r="AB89" i="11"/>
  <c r="AB80" i="11"/>
  <c r="AB81" i="11"/>
  <c r="AB82" i="11"/>
  <c r="AB83" i="11"/>
  <c r="AB84" i="11"/>
  <c r="AB85" i="11"/>
  <c r="AB86" i="11"/>
  <c r="AB87" i="11"/>
  <c r="AA89" i="11"/>
  <c r="AA80" i="11"/>
  <c r="AA81" i="11"/>
  <c r="AA82" i="11"/>
  <c r="AF73" i="11"/>
  <c r="AF68" i="11"/>
  <c r="AF69" i="11"/>
  <c r="AF70" i="11"/>
  <c r="AF71" i="11"/>
  <c r="AF59" i="11"/>
  <c r="AF60" i="11"/>
  <c r="AF61" i="11"/>
  <c r="AF62" i="11"/>
  <c r="AF63" i="11"/>
  <c r="AF64" i="11"/>
  <c r="AF65" i="11"/>
  <c r="AF66" i="11"/>
  <c r="AE73" i="11"/>
  <c r="AE68" i="11"/>
  <c r="AE69" i="11"/>
  <c r="AE70" i="11"/>
  <c r="AE71" i="11"/>
  <c r="AE59" i="11"/>
  <c r="AE60" i="11"/>
  <c r="AE61" i="11"/>
  <c r="AE62" i="11"/>
  <c r="AE63" i="11"/>
  <c r="AE64" i="11"/>
  <c r="AE65" i="11"/>
  <c r="AE66" i="11"/>
  <c r="AD73" i="11"/>
  <c r="AD68" i="11"/>
  <c r="AD69" i="11"/>
  <c r="AD70" i="11"/>
  <c r="AD71" i="11"/>
  <c r="AD59" i="11"/>
  <c r="AD60" i="11"/>
  <c r="AD61" i="11"/>
  <c r="AD62" i="11"/>
  <c r="AD63" i="11"/>
  <c r="AD64" i="11"/>
  <c r="AD65" i="11"/>
  <c r="AD66" i="11"/>
  <c r="AC73" i="11"/>
  <c r="AC68" i="11"/>
  <c r="AC69" i="11"/>
  <c r="AC70" i="11"/>
  <c r="AC71" i="11"/>
  <c r="AC59" i="11"/>
  <c r="AC60" i="11"/>
  <c r="AC61" i="11"/>
  <c r="AC62" i="11"/>
  <c r="AC63" i="11"/>
  <c r="AC64" i="11"/>
  <c r="AC65" i="11"/>
  <c r="AC66" i="11"/>
  <c r="AB73" i="11"/>
  <c r="AB68" i="11"/>
  <c r="AB69" i="11"/>
  <c r="AB70" i="11"/>
  <c r="AB71" i="11"/>
  <c r="AB59" i="11"/>
  <c r="AB60" i="11"/>
  <c r="AB61" i="11"/>
  <c r="AB62" i="11"/>
  <c r="AB63" i="11"/>
  <c r="AB64" i="11"/>
  <c r="AB65" i="11"/>
  <c r="AB66" i="11"/>
  <c r="AA73" i="11"/>
  <c r="AA68" i="11"/>
  <c r="AA69" i="11"/>
  <c r="AA70" i="11"/>
  <c r="AA71" i="11"/>
  <c r="AA59" i="11"/>
  <c r="AA60" i="11"/>
  <c r="AA61" i="11"/>
  <c r="AA62" i="11"/>
  <c r="AA63" i="11"/>
  <c r="AA64" i="11"/>
  <c r="AA65" i="11"/>
  <c r="AA66" i="11"/>
  <c r="Z73" i="11"/>
  <c r="Z68" i="11"/>
  <c r="Z69" i="11"/>
  <c r="Z70" i="11"/>
  <c r="Z71" i="11"/>
  <c r="Z59" i="11"/>
  <c r="Z60" i="11"/>
  <c r="Z61" i="11"/>
  <c r="Z62" i="11"/>
  <c r="Z63" i="11"/>
  <c r="Z64" i="11"/>
  <c r="Z65" i="11"/>
  <c r="Z66" i="11"/>
  <c r="X59" i="11"/>
  <c r="X60" i="11"/>
  <c r="X61" i="11"/>
  <c r="X62" i="11"/>
  <c r="X63" i="11"/>
  <c r="X64" i="11"/>
  <c r="X65" i="11"/>
  <c r="X66" i="11"/>
  <c r="S59" i="11"/>
  <c r="S60" i="11"/>
  <c r="S61" i="11"/>
  <c r="S62" i="11"/>
  <c r="S63" i="11"/>
  <c r="S64" i="11"/>
  <c r="S65" i="11"/>
  <c r="S66" i="11"/>
  <c r="Z52" i="11"/>
  <c r="Z43" i="11"/>
  <c r="Z44" i="11"/>
  <c r="Z45" i="11"/>
  <c r="Z46" i="11"/>
  <c r="Z47" i="11"/>
  <c r="Z48" i="11"/>
  <c r="Z49" i="11"/>
  <c r="Z50" i="11"/>
  <c r="Y52" i="11"/>
  <c r="Y43" i="11"/>
  <c r="Y44" i="11"/>
  <c r="Y45" i="11"/>
  <c r="Y46" i="11"/>
  <c r="Y47" i="11"/>
  <c r="Y48" i="11"/>
  <c r="Y49" i="11"/>
  <c r="Y50" i="11"/>
  <c r="X52" i="11"/>
  <c r="X43" i="11"/>
  <c r="X44" i="11"/>
  <c r="X45" i="11"/>
  <c r="X46" i="11"/>
  <c r="X47" i="11"/>
  <c r="X48" i="11"/>
  <c r="X49" i="11"/>
  <c r="X50" i="11"/>
  <c r="W52" i="11"/>
  <c r="W43" i="11"/>
  <c r="W44" i="11"/>
  <c r="W45" i="11"/>
  <c r="W46" i="11"/>
  <c r="W47" i="11"/>
  <c r="W48" i="11"/>
  <c r="W49" i="11"/>
  <c r="W50" i="11"/>
  <c r="V52" i="11"/>
  <c r="V43" i="11"/>
  <c r="V44" i="11"/>
  <c r="V45" i="11"/>
  <c r="V46" i="11"/>
  <c r="V47" i="11"/>
  <c r="V48" i="11"/>
  <c r="V49" i="11"/>
  <c r="V50" i="11"/>
  <c r="U52" i="11"/>
  <c r="U43" i="11"/>
  <c r="U44" i="11"/>
  <c r="U45" i="11"/>
  <c r="U46" i="11"/>
  <c r="U47" i="11"/>
  <c r="U48" i="11"/>
  <c r="U49" i="11"/>
  <c r="U50" i="11"/>
  <c r="T52" i="11"/>
  <c r="T43" i="11"/>
  <c r="T44" i="11"/>
  <c r="T45" i="11"/>
  <c r="T46" i="11"/>
  <c r="T47" i="11"/>
  <c r="T48" i="11"/>
  <c r="T49" i="11"/>
  <c r="T50" i="11"/>
  <c r="R43" i="11"/>
  <c r="R44" i="11"/>
  <c r="R45" i="11"/>
  <c r="R46" i="11"/>
  <c r="R47" i="11"/>
  <c r="R48" i="11"/>
  <c r="R49" i="11"/>
  <c r="R50" i="11"/>
  <c r="P43" i="11"/>
  <c r="P44" i="11"/>
  <c r="P45" i="11"/>
  <c r="P46" i="11"/>
  <c r="P47" i="11"/>
  <c r="P48" i="11"/>
  <c r="P49" i="11"/>
  <c r="P50" i="11"/>
  <c r="AA36" i="11"/>
  <c r="AA27" i="11"/>
  <c r="AA28" i="11"/>
  <c r="AA29" i="11"/>
  <c r="AA30" i="11"/>
  <c r="AA31" i="11"/>
  <c r="AA32" i="11"/>
  <c r="AA33" i="11"/>
  <c r="AA34" i="11"/>
  <c r="Z36" i="11"/>
  <c r="Z27" i="11"/>
  <c r="Z28" i="11"/>
  <c r="Z29" i="11"/>
  <c r="Z30" i="11"/>
  <c r="Z31" i="11"/>
  <c r="Z32" i="11"/>
  <c r="Z33" i="11"/>
  <c r="Z34" i="11"/>
  <c r="Y36" i="11"/>
  <c r="Y27" i="11"/>
  <c r="Y28" i="11"/>
  <c r="Y29" i="11"/>
  <c r="Y30" i="11"/>
  <c r="Y31" i="11"/>
  <c r="Y32" i="11"/>
  <c r="Y33" i="11"/>
  <c r="Y34" i="11"/>
  <c r="X36" i="11"/>
  <c r="X27" i="11"/>
  <c r="X28" i="11"/>
  <c r="X29" i="11"/>
  <c r="X30" i="11"/>
  <c r="X31" i="11"/>
  <c r="X32" i="11"/>
  <c r="X33" i="11"/>
  <c r="X34" i="11"/>
  <c r="W36" i="11"/>
  <c r="W27" i="11"/>
  <c r="W28" i="11"/>
  <c r="W29" i="11"/>
  <c r="W30" i="11"/>
  <c r="W31" i="11"/>
  <c r="W32" i="11"/>
  <c r="W33" i="11"/>
  <c r="W34" i="11"/>
  <c r="V36" i="11"/>
  <c r="V27" i="11"/>
  <c r="V28" i="11"/>
  <c r="V29" i="11"/>
  <c r="V30" i="11"/>
  <c r="V31" i="11"/>
  <c r="V32" i="11"/>
  <c r="V33" i="11"/>
  <c r="V34" i="11"/>
  <c r="U36" i="11"/>
  <c r="U27" i="11"/>
  <c r="U28" i="11"/>
  <c r="U29" i="11"/>
  <c r="U30" i="11"/>
  <c r="U31" i="11"/>
  <c r="U32" i="11"/>
  <c r="U33" i="11"/>
  <c r="U34" i="11"/>
  <c r="S27" i="11"/>
  <c r="S28" i="11"/>
  <c r="S29" i="11"/>
  <c r="S30" i="11"/>
  <c r="S31" i="11"/>
  <c r="S32" i="11"/>
  <c r="S33" i="11"/>
  <c r="S34" i="11"/>
  <c r="P27" i="11"/>
  <c r="P28" i="11"/>
  <c r="P29" i="11"/>
  <c r="P30" i="11"/>
  <c r="P31" i="11"/>
  <c r="P32" i="11"/>
  <c r="P33" i="11"/>
  <c r="P34" i="11"/>
  <c r="AC17" i="11"/>
  <c r="AC18" i="11"/>
  <c r="AC19" i="11"/>
  <c r="AC20" i="11"/>
  <c r="AC8" i="11"/>
  <c r="AC9" i="11"/>
  <c r="AC10" i="11"/>
  <c r="AC11" i="11"/>
  <c r="AC12" i="11"/>
  <c r="AC13" i="11"/>
  <c r="AC14" i="11"/>
  <c r="AC15" i="11"/>
  <c r="AB17" i="11"/>
  <c r="AB18" i="11"/>
  <c r="AB19" i="11"/>
  <c r="AB20" i="11"/>
  <c r="AB8" i="11"/>
  <c r="AB9" i="11"/>
  <c r="AB10" i="11"/>
  <c r="AB11" i="11"/>
  <c r="AB12" i="11"/>
  <c r="AB13" i="11"/>
  <c r="AB14" i="11"/>
  <c r="AB15" i="11"/>
  <c r="AA17" i="11"/>
  <c r="AA18" i="11"/>
  <c r="AA19" i="11"/>
  <c r="AA20" i="11"/>
  <c r="AA8" i="11"/>
  <c r="AA9" i="11"/>
  <c r="AA10" i="11"/>
  <c r="AA11" i="11"/>
  <c r="AA12" i="11"/>
  <c r="AA13" i="11"/>
  <c r="AA14" i="11"/>
  <c r="AA15" i="11"/>
  <c r="Z17" i="11"/>
  <c r="Z18" i="11"/>
  <c r="Z19" i="11"/>
  <c r="Z20" i="11"/>
  <c r="Z8" i="11"/>
  <c r="Z9" i="11"/>
  <c r="Z10" i="11"/>
  <c r="Z11" i="11"/>
  <c r="Z12" i="11"/>
  <c r="Z13" i="11"/>
  <c r="Z14" i="11"/>
  <c r="Z15" i="11"/>
  <c r="Y17" i="11"/>
  <c r="Y18" i="11"/>
  <c r="Y19" i="11"/>
  <c r="Y20" i="11"/>
  <c r="Y8" i="11"/>
  <c r="Y9" i="11"/>
  <c r="Y10" i="11"/>
  <c r="Y11" i="11"/>
  <c r="Y12" i="11"/>
  <c r="Y13" i="11"/>
  <c r="Y14" i="11"/>
  <c r="Y15" i="11"/>
  <c r="X17" i="11"/>
  <c r="X18" i="11"/>
  <c r="X19" i="11"/>
  <c r="X20" i="11"/>
  <c r="X8" i="11"/>
  <c r="X9" i="11"/>
  <c r="X10" i="11"/>
  <c r="X11" i="11"/>
  <c r="X12" i="11"/>
  <c r="X13" i="11"/>
  <c r="X14" i="11"/>
  <c r="X15" i="11"/>
  <c r="W17" i="11"/>
  <c r="W18" i="11"/>
  <c r="W19" i="11"/>
  <c r="W20" i="11"/>
  <c r="W8" i="11"/>
  <c r="W9" i="11"/>
  <c r="W10" i="11"/>
  <c r="W11" i="11"/>
  <c r="W12" i="11"/>
  <c r="W13" i="11"/>
  <c r="W14" i="11"/>
  <c r="W15" i="11"/>
  <c r="U8" i="11"/>
  <c r="U9" i="11"/>
  <c r="U10" i="11"/>
  <c r="U11" i="11"/>
  <c r="U12" i="11"/>
  <c r="U13" i="11"/>
  <c r="U14" i="11"/>
  <c r="U15" i="11"/>
  <c r="P8" i="11"/>
  <c r="P9" i="11"/>
  <c r="P10" i="11"/>
  <c r="P11" i="11"/>
  <c r="P12" i="11"/>
  <c r="P13" i="11"/>
  <c r="P14" i="11"/>
  <c r="P15" i="11"/>
  <c r="CQ78" i="8"/>
  <c r="AF78" i="8" s="1"/>
  <c r="CQ79" i="8"/>
  <c r="AF79" i="8" s="1"/>
  <c r="CQ80" i="8"/>
  <c r="AF80" i="8" s="1"/>
  <c r="CQ81" i="8"/>
  <c r="AF81" i="8" s="1"/>
  <c r="CQ82" i="8"/>
  <c r="AF82" i="8" s="1"/>
  <c r="CQ83" i="8"/>
  <c r="AF83" i="8" s="1"/>
  <c r="CQ84" i="8"/>
  <c r="AF84" i="8" s="1"/>
  <c r="CQ85" i="8"/>
  <c r="AF85" i="8" s="1"/>
  <c r="CQ86" i="8"/>
  <c r="AF86" i="8" s="1"/>
  <c r="CQ87" i="8"/>
  <c r="AF87" i="8" s="1"/>
  <c r="CQ88" i="8"/>
  <c r="AF88" i="8" s="1"/>
  <c r="CQ90" i="8"/>
  <c r="AF90" i="8" s="1"/>
  <c r="CQ91" i="8"/>
  <c r="AF91" i="8" s="1"/>
  <c r="CQ92" i="8"/>
  <c r="AF92" i="8" s="1"/>
  <c r="CQ93" i="8"/>
  <c r="AF93" i="8" s="1"/>
  <c r="CQ94" i="8"/>
  <c r="AF94" i="8" s="1"/>
  <c r="CQ95" i="8"/>
  <c r="AF95" i="8" s="1"/>
  <c r="CQ96" i="8"/>
  <c r="AF96" i="8" s="1"/>
  <c r="CQ46" i="8"/>
  <c r="AF46" i="8" s="1"/>
  <c r="CQ47" i="8"/>
  <c r="AF47" i="8" s="1"/>
  <c r="CQ48" i="8"/>
  <c r="AF48" i="8" s="1"/>
  <c r="CQ49" i="8"/>
  <c r="AF49" i="8" s="1"/>
  <c r="CQ50" i="8"/>
  <c r="AF50" i="8" s="1"/>
  <c r="CQ51" i="8"/>
  <c r="AF51" i="8" s="1"/>
  <c r="CQ52" i="8"/>
  <c r="AF52" i="8" s="1"/>
  <c r="CQ53" i="8"/>
  <c r="AF53" i="8" s="1"/>
  <c r="CQ54" i="8"/>
  <c r="AF54" i="8" s="1"/>
  <c r="CQ55" i="8"/>
  <c r="AF55" i="8" s="1"/>
  <c r="CQ56" i="8"/>
  <c r="AF56" i="8" s="1"/>
  <c r="CQ57" i="8"/>
  <c r="AF57" i="8" s="1"/>
  <c r="CQ58" i="8"/>
  <c r="AF58" i="8" s="1"/>
  <c r="CQ59" i="8"/>
  <c r="AF59" i="8" s="1"/>
  <c r="CQ60" i="8"/>
  <c r="AF60" i="8" s="1"/>
  <c r="CQ61" i="8"/>
  <c r="AF61" i="8" s="1"/>
  <c r="CQ62" i="8"/>
  <c r="AF62" i="8" s="1"/>
  <c r="CQ63" i="8"/>
  <c r="AF63" i="8" s="1"/>
  <c r="CQ64" i="8"/>
  <c r="AF64" i="8" s="1"/>
  <c r="CQ65" i="8"/>
  <c r="AF65" i="8" s="1"/>
  <c r="CQ66" i="8"/>
  <c r="AF66" i="8" s="1"/>
  <c r="CQ67" i="8"/>
  <c r="AF67" i="8" s="1"/>
  <c r="CQ68" i="8"/>
  <c r="AF68" i="8" s="1"/>
  <c r="CQ69" i="8"/>
  <c r="AF69" i="8" s="1"/>
  <c r="CQ70" i="8"/>
  <c r="AF70" i="8" s="1"/>
  <c r="CQ71" i="8"/>
  <c r="AF71" i="8" s="1"/>
  <c r="CQ72" i="8"/>
  <c r="AF72" i="8" s="1"/>
  <c r="CQ73" i="8"/>
  <c r="AF73" i="8" s="1"/>
  <c r="CQ74" i="8"/>
  <c r="AF74" i="8" s="1"/>
  <c r="CQ75" i="8"/>
  <c r="AF75" i="8" s="1"/>
  <c r="CQ76" i="8"/>
  <c r="AF76" i="8" s="1"/>
  <c r="CQ5" i="8"/>
  <c r="AF5" i="8" s="1"/>
  <c r="CQ6" i="8"/>
  <c r="AF6" i="8" s="1"/>
  <c r="CQ7" i="8"/>
  <c r="AF7" i="8" s="1"/>
  <c r="CQ8" i="8"/>
  <c r="AF8" i="8" s="1"/>
  <c r="CQ9" i="8"/>
  <c r="AF9" i="8" s="1"/>
  <c r="CQ10" i="8"/>
  <c r="AF10" i="8" s="1"/>
  <c r="CQ11" i="8"/>
  <c r="AF11" i="8" s="1"/>
  <c r="CQ12" i="8"/>
  <c r="AF12" i="8" s="1"/>
  <c r="CQ13" i="8"/>
  <c r="AF13" i="8" s="1"/>
  <c r="CQ14" i="8"/>
  <c r="AF14" i="8" s="1"/>
  <c r="CQ15" i="8"/>
  <c r="AF15" i="8" s="1"/>
  <c r="CQ16" i="8"/>
  <c r="AF16" i="8" s="1"/>
  <c r="CQ17" i="8"/>
  <c r="AF17" i="8" s="1"/>
  <c r="CQ18" i="8"/>
  <c r="AF18" i="8" s="1"/>
  <c r="CQ19" i="8"/>
  <c r="AF19" i="8" s="1"/>
  <c r="CQ20" i="8"/>
  <c r="AF20" i="8" s="1"/>
  <c r="CQ21" i="8"/>
  <c r="AF21" i="8" s="1"/>
  <c r="CQ22" i="8"/>
  <c r="AF22" i="8" s="1"/>
  <c r="CQ23" i="8"/>
  <c r="AF23" i="8" s="1"/>
  <c r="CQ24" i="8"/>
  <c r="AF24" i="8" s="1"/>
  <c r="CQ25" i="8"/>
  <c r="AF25" i="8" s="1"/>
  <c r="CQ26" i="8"/>
  <c r="AF26" i="8" s="1"/>
  <c r="CQ27" i="8"/>
  <c r="AF27" i="8" s="1"/>
  <c r="CQ28" i="8"/>
  <c r="AF28" i="8" s="1"/>
  <c r="CQ29" i="8"/>
  <c r="AF29" i="8" s="1"/>
  <c r="CQ30" i="8"/>
  <c r="AF30" i="8" s="1"/>
  <c r="CQ31" i="8"/>
  <c r="AF31" i="8" s="1"/>
  <c r="CQ32" i="8"/>
  <c r="AF32" i="8" s="1"/>
  <c r="CQ33" i="8"/>
  <c r="AF33" i="8" s="1"/>
  <c r="CQ34" i="8"/>
  <c r="AF34" i="8" s="1"/>
  <c r="CQ35" i="8"/>
  <c r="AF35" i="8" s="1"/>
  <c r="CQ36" i="8"/>
  <c r="AF36" i="8" s="1"/>
  <c r="CQ37" i="8"/>
  <c r="AF37" i="8" s="1"/>
  <c r="CQ38" i="8"/>
  <c r="AF38" i="8" s="1"/>
  <c r="CQ39" i="8"/>
  <c r="AF39" i="8" s="1"/>
  <c r="CQ40" i="8"/>
  <c r="AF40" i="8" s="1"/>
  <c r="CQ41" i="8"/>
  <c r="AF41" i="8" s="1"/>
  <c r="CQ42" i="8"/>
  <c r="AF42" i="8" s="1"/>
  <c r="CQ43" i="8"/>
  <c r="AF43" i="8" s="1"/>
  <c r="CQ44" i="8"/>
  <c r="AF44" i="8" s="1"/>
  <c r="CP78" i="8"/>
  <c r="CP79" i="8"/>
  <c r="CP80" i="8"/>
  <c r="CP81" i="8"/>
  <c r="CP82" i="8"/>
  <c r="CP83" i="8"/>
  <c r="CP84" i="8"/>
  <c r="CP85" i="8"/>
  <c r="CP86" i="8"/>
  <c r="CP87" i="8"/>
  <c r="CP88" i="8"/>
  <c r="CP89" i="8"/>
  <c r="CP90" i="8"/>
  <c r="CP91" i="8"/>
  <c r="CP92" i="8"/>
  <c r="CP93" i="8"/>
  <c r="CP94" i="8"/>
  <c r="CP95" i="8"/>
  <c r="CP96" i="8"/>
  <c r="CP46" i="8"/>
  <c r="CP47" i="8"/>
  <c r="CP48" i="8"/>
  <c r="CP49" i="8"/>
  <c r="CP50" i="8"/>
  <c r="CP51" i="8"/>
  <c r="CP52" i="8"/>
  <c r="CP53" i="8"/>
  <c r="CP54" i="8"/>
  <c r="CP55" i="8"/>
  <c r="CP56" i="8"/>
  <c r="CP57" i="8"/>
  <c r="CP58" i="8"/>
  <c r="CP59" i="8"/>
  <c r="CP60" i="8"/>
  <c r="CP61" i="8"/>
  <c r="CP62" i="8"/>
  <c r="CP63" i="8"/>
  <c r="CP64" i="8"/>
  <c r="CP65" i="8"/>
  <c r="CP66" i="8"/>
  <c r="CP67" i="8"/>
  <c r="CP68" i="8"/>
  <c r="CP69" i="8"/>
  <c r="CP70" i="8"/>
  <c r="CP71" i="8"/>
  <c r="CP72" i="8"/>
  <c r="CP73" i="8"/>
  <c r="CP74" i="8"/>
  <c r="CP75" i="8"/>
  <c r="CP76" i="8"/>
  <c r="CP5" i="8"/>
  <c r="CP6" i="8"/>
  <c r="CP7" i="8"/>
  <c r="CP8" i="8"/>
  <c r="CP9" i="8"/>
  <c r="CP10" i="8"/>
  <c r="CP11" i="8"/>
  <c r="CP12" i="8"/>
  <c r="CP13" i="8"/>
  <c r="CP14" i="8"/>
  <c r="CP15" i="8"/>
  <c r="CP16" i="8"/>
  <c r="CP17" i="8"/>
  <c r="CP18" i="8"/>
  <c r="CP19" i="8"/>
  <c r="CP20" i="8"/>
  <c r="CP21" i="8"/>
  <c r="CP22" i="8"/>
  <c r="CP23" i="8"/>
  <c r="CP24" i="8"/>
  <c r="CP25" i="8"/>
  <c r="CP26" i="8"/>
  <c r="CP27" i="8"/>
  <c r="CP28" i="8"/>
  <c r="CP29" i="8"/>
  <c r="CP30" i="8"/>
  <c r="CP31" i="8"/>
  <c r="CP32" i="8"/>
  <c r="CP33" i="8"/>
  <c r="CP34" i="8"/>
  <c r="CP35" i="8"/>
  <c r="CP36" i="8"/>
  <c r="CP37" i="8"/>
  <c r="CP38" i="8"/>
  <c r="CP39" i="8"/>
  <c r="CP40" i="8"/>
  <c r="CP41" i="8"/>
  <c r="CP42" i="8"/>
  <c r="CP43" i="8"/>
  <c r="CP44" i="8"/>
  <c r="CE78" i="8"/>
  <c r="CE79" i="8"/>
  <c r="CE80" i="8"/>
  <c r="CE81" i="8"/>
  <c r="CE82" i="8"/>
  <c r="CE83" i="8"/>
  <c r="CE84" i="8"/>
  <c r="CE85" i="8"/>
  <c r="CE86" i="8"/>
  <c r="CE87" i="8"/>
  <c r="CE88" i="8"/>
  <c r="CE89" i="8"/>
  <c r="CE90" i="8"/>
  <c r="CE91" i="8"/>
  <c r="CE92" i="8"/>
  <c r="CE93" i="8"/>
  <c r="CE94" i="8"/>
  <c r="CE95" i="8"/>
  <c r="CE96" i="8"/>
  <c r="CE46" i="8"/>
  <c r="CE47" i="8"/>
  <c r="CE48" i="8"/>
  <c r="CE49" i="8"/>
  <c r="CE50" i="8"/>
  <c r="CE51" i="8"/>
  <c r="CE52" i="8"/>
  <c r="CE53" i="8"/>
  <c r="CE54" i="8"/>
  <c r="CE55" i="8"/>
  <c r="CE56" i="8"/>
  <c r="CE57" i="8"/>
  <c r="CE58" i="8"/>
  <c r="CE59" i="8"/>
  <c r="CE60" i="8"/>
  <c r="CE61" i="8"/>
  <c r="CE62" i="8"/>
  <c r="CE63" i="8"/>
  <c r="CE64" i="8"/>
  <c r="CE65" i="8"/>
  <c r="CE66" i="8"/>
  <c r="CE67" i="8"/>
  <c r="CE68" i="8"/>
  <c r="CE69" i="8"/>
  <c r="CE70" i="8"/>
  <c r="CE71" i="8"/>
  <c r="CE72" i="8"/>
  <c r="CE73" i="8"/>
  <c r="CE74" i="8"/>
  <c r="CE75" i="8"/>
  <c r="CE76" i="8"/>
  <c r="CE5" i="8"/>
  <c r="CE6" i="8"/>
  <c r="CE7" i="8"/>
  <c r="CE8" i="8"/>
  <c r="CE9" i="8"/>
  <c r="CE10" i="8"/>
  <c r="CE11" i="8"/>
  <c r="CE12" i="8"/>
  <c r="CE13" i="8"/>
  <c r="CE14" i="8"/>
  <c r="CE15" i="8"/>
  <c r="CE16" i="8"/>
  <c r="CE17" i="8"/>
  <c r="CE18" i="8"/>
  <c r="CE19" i="8"/>
  <c r="CE20" i="8"/>
  <c r="CE21" i="8"/>
  <c r="CE22" i="8"/>
  <c r="CE23" i="8"/>
  <c r="CE24" i="8"/>
  <c r="CE25" i="8"/>
  <c r="CE26" i="8"/>
  <c r="CE27" i="8"/>
  <c r="CE28" i="8"/>
  <c r="CE29" i="8"/>
  <c r="CE30" i="8"/>
  <c r="CE31" i="8"/>
  <c r="CE32" i="8"/>
  <c r="CE33" i="8"/>
  <c r="CE34" i="8"/>
  <c r="CE35" i="8"/>
  <c r="CE36" i="8"/>
  <c r="CE37" i="8"/>
  <c r="CE38" i="8"/>
  <c r="CE39" i="8"/>
  <c r="CE40" i="8"/>
  <c r="CE41" i="8"/>
  <c r="CE42" i="8"/>
  <c r="CE43" i="8"/>
  <c r="CE44" i="8"/>
  <c r="AU5" i="8"/>
  <c r="AU6" i="8"/>
  <c r="AU7" i="8"/>
  <c r="AU8" i="8"/>
  <c r="AU9" i="8"/>
  <c r="AU10" i="8"/>
  <c r="AU11" i="8"/>
  <c r="AU12" i="8"/>
  <c r="AU13" i="8"/>
  <c r="AU14" i="8"/>
  <c r="AU15" i="8"/>
  <c r="AU16" i="8"/>
  <c r="AU17" i="8"/>
  <c r="AU18" i="8"/>
  <c r="AU19" i="8"/>
  <c r="AU20" i="8"/>
  <c r="AU21" i="8"/>
  <c r="AU22" i="8"/>
  <c r="AU23" i="8"/>
  <c r="AU24" i="8"/>
  <c r="AU25" i="8"/>
  <c r="AU26" i="8"/>
  <c r="AU27" i="8"/>
  <c r="AU28" i="8"/>
  <c r="AU29" i="8"/>
  <c r="AU30" i="8"/>
  <c r="AU31" i="8"/>
  <c r="AU32" i="8"/>
  <c r="AU33" i="8"/>
  <c r="AU34" i="8"/>
  <c r="AU35" i="8"/>
  <c r="AU36" i="8"/>
  <c r="AU37" i="8"/>
  <c r="AU38" i="8"/>
  <c r="AU39" i="8"/>
  <c r="AU40" i="8"/>
  <c r="AU41" i="8"/>
  <c r="AU42" i="8"/>
  <c r="AU43" i="8"/>
  <c r="AU44" i="8"/>
  <c r="AS5" i="8"/>
  <c r="AT5" i="8" s="1"/>
  <c r="AS6" i="8"/>
  <c r="AT6" i="8" s="1"/>
  <c r="AS7" i="8"/>
  <c r="AT7" i="8" s="1"/>
  <c r="AS8" i="8"/>
  <c r="AT8" i="8" s="1"/>
  <c r="AS9" i="8"/>
  <c r="AT9" i="8" s="1"/>
  <c r="AS10" i="8"/>
  <c r="AT10" i="8" s="1"/>
  <c r="AS11" i="8"/>
  <c r="AT11" i="8" s="1"/>
  <c r="AS12" i="8"/>
  <c r="AT12" i="8" s="1"/>
  <c r="AS13" i="8"/>
  <c r="AT13" i="8" s="1"/>
  <c r="AS14" i="8"/>
  <c r="AT14" i="8" s="1"/>
  <c r="AS15" i="8"/>
  <c r="AT15" i="8" s="1"/>
  <c r="AS16" i="8"/>
  <c r="AT16" i="8" s="1"/>
  <c r="AS17" i="8"/>
  <c r="AT17" i="8" s="1"/>
  <c r="AS18" i="8"/>
  <c r="AT18" i="8" s="1"/>
  <c r="AS19" i="8"/>
  <c r="AT19" i="8" s="1"/>
  <c r="AS20" i="8"/>
  <c r="AT20" i="8" s="1"/>
  <c r="AS21" i="8"/>
  <c r="AT21" i="8" s="1"/>
  <c r="AS22" i="8"/>
  <c r="AT22" i="8" s="1"/>
  <c r="AS23" i="8"/>
  <c r="AT23" i="8" s="1"/>
  <c r="AS24" i="8"/>
  <c r="AT24" i="8" s="1"/>
  <c r="AS25" i="8"/>
  <c r="AT25" i="8" s="1"/>
  <c r="AS26" i="8"/>
  <c r="AT26" i="8" s="1"/>
  <c r="AS27" i="8"/>
  <c r="AT27" i="8" s="1"/>
  <c r="AS28" i="8"/>
  <c r="AT28" i="8" s="1"/>
  <c r="AS29" i="8"/>
  <c r="AT29" i="8" s="1"/>
  <c r="AS30" i="8"/>
  <c r="AT30" i="8" s="1"/>
  <c r="AS31" i="8"/>
  <c r="AT31" i="8" s="1"/>
  <c r="AS32" i="8"/>
  <c r="AT32" i="8" s="1"/>
  <c r="AS33" i="8"/>
  <c r="AT33" i="8" s="1"/>
  <c r="AS34" i="8"/>
  <c r="AT34" i="8" s="1"/>
  <c r="AS35" i="8"/>
  <c r="AT35" i="8" s="1"/>
  <c r="AS36" i="8"/>
  <c r="AT36" i="8" s="1"/>
  <c r="AS37" i="8"/>
  <c r="AT37" i="8" s="1"/>
  <c r="AS38" i="8"/>
  <c r="AT38" i="8" s="1"/>
  <c r="AS39" i="8"/>
  <c r="AT39" i="8" s="1"/>
  <c r="AS40" i="8"/>
  <c r="AT40" i="8" s="1"/>
  <c r="AS41" i="8"/>
  <c r="AT41" i="8" s="1"/>
  <c r="AS42" i="8"/>
  <c r="AT42" i="8" s="1"/>
  <c r="AS43" i="8"/>
  <c r="AT43" i="8" s="1"/>
  <c r="AS44" i="8"/>
  <c r="AT44" i="8" s="1"/>
  <c r="AR78" i="8"/>
  <c r="AR79" i="8"/>
  <c r="AR80" i="8"/>
  <c r="AR81" i="8"/>
  <c r="AR82" i="8"/>
  <c r="AR83" i="8"/>
  <c r="AR84" i="8"/>
  <c r="AR85" i="8"/>
  <c r="AR86" i="8"/>
  <c r="AR87" i="8"/>
  <c r="AR88" i="8"/>
  <c r="AR89" i="8"/>
  <c r="AR90" i="8"/>
  <c r="AR91" i="8"/>
  <c r="AR92" i="8"/>
  <c r="AR93" i="8"/>
  <c r="AR94" i="8"/>
  <c r="AR95" i="8"/>
  <c r="AR96" i="8"/>
  <c r="AR46" i="8"/>
  <c r="AR47" i="8"/>
  <c r="AR48" i="8"/>
  <c r="AR49" i="8"/>
  <c r="AR50" i="8"/>
  <c r="AR51" i="8"/>
  <c r="AR52" i="8"/>
  <c r="AR53" i="8"/>
  <c r="AR54" i="8"/>
  <c r="AR55" i="8"/>
  <c r="AR56" i="8"/>
  <c r="AR57" i="8"/>
  <c r="AR58" i="8"/>
  <c r="AR59" i="8"/>
  <c r="AR60" i="8"/>
  <c r="AR61" i="8"/>
  <c r="AR62" i="8"/>
  <c r="AR63" i="8"/>
  <c r="AR64" i="8"/>
  <c r="AR65" i="8"/>
  <c r="AR66" i="8"/>
  <c r="AR67" i="8"/>
  <c r="AR68" i="8"/>
  <c r="AR69" i="8"/>
  <c r="AR70" i="8"/>
  <c r="AR71" i="8"/>
  <c r="AR72" i="8"/>
  <c r="AR73" i="8"/>
  <c r="AR74" i="8"/>
  <c r="AR75" i="8"/>
  <c r="AR76" i="8"/>
  <c r="AR5" i="8"/>
  <c r="AR6" i="8"/>
  <c r="AR7" i="8"/>
  <c r="AR8" i="8"/>
  <c r="AR9" i="8"/>
  <c r="AR10" i="8"/>
  <c r="AR11" i="8"/>
  <c r="AR12" i="8"/>
  <c r="AR13" i="8"/>
  <c r="AR14" i="8"/>
  <c r="AR15" i="8"/>
  <c r="AR16" i="8"/>
  <c r="AR17" i="8"/>
  <c r="AR18" i="8"/>
  <c r="AR19" i="8"/>
  <c r="AR20" i="8"/>
  <c r="AR21" i="8"/>
  <c r="AR22" i="8"/>
  <c r="AR23" i="8"/>
  <c r="AR24" i="8"/>
  <c r="AR25" i="8"/>
  <c r="AR26" i="8"/>
  <c r="AR27" i="8"/>
  <c r="AR28" i="8"/>
  <c r="AR29" i="8"/>
  <c r="AR30" i="8"/>
  <c r="AR31" i="8"/>
  <c r="AR32" i="8"/>
  <c r="AR33" i="8"/>
  <c r="AR34" i="8"/>
  <c r="AR35" i="8"/>
  <c r="AR36" i="8"/>
  <c r="AR37" i="8"/>
  <c r="AR38" i="8"/>
  <c r="AR39" i="8"/>
  <c r="AR40" i="8"/>
  <c r="AR41" i="8"/>
  <c r="AR42" i="8"/>
  <c r="AR43" i="8"/>
  <c r="AR44" i="8"/>
  <c r="AQ78" i="8"/>
  <c r="AQ79" i="8"/>
  <c r="AQ80" i="8"/>
  <c r="AQ81" i="8"/>
  <c r="AQ82" i="8"/>
  <c r="AQ83" i="8"/>
  <c r="AQ84" i="8"/>
  <c r="AQ85" i="8"/>
  <c r="AQ86" i="8"/>
  <c r="AQ87" i="8"/>
  <c r="AQ88" i="8"/>
  <c r="AQ89" i="8"/>
  <c r="AQ90" i="8"/>
  <c r="AQ91" i="8"/>
  <c r="AQ92" i="8"/>
  <c r="AQ93" i="8"/>
  <c r="AQ94" i="8"/>
  <c r="AQ95" i="8"/>
  <c r="AQ96" i="8"/>
  <c r="AQ46" i="8"/>
  <c r="AQ47" i="8"/>
  <c r="AQ48" i="8"/>
  <c r="AQ49" i="8"/>
  <c r="AQ50" i="8"/>
  <c r="AQ51" i="8"/>
  <c r="AQ52" i="8"/>
  <c r="AQ53" i="8"/>
  <c r="AQ54" i="8"/>
  <c r="AQ55" i="8"/>
  <c r="AQ56" i="8"/>
  <c r="AQ57" i="8"/>
  <c r="AQ58" i="8"/>
  <c r="AQ59" i="8"/>
  <c r="AQ60" i="8"/>
  <c r="AQ61" i="8"/>
  <c r="AQ62" i="8"/>
  <c r="AQ63" i="8"/>
  <c r="AQ64" i="8"/>
  <c r="AQ65" i="8"/>
  <c r="AQ66" i="8"/>
  <c r="AQ67" i="8"/>
  <c r="AQ68" i="8"/>
  <c r="AQ69" i="8"/>
  <c r="AQ70" i="8"/>
  <c r="AQ71" i="8"/>
  <c r="AQ72" i="8"/>
  <c r="AQ73" i="8"/>
  <c r="AQ74" i="8"/>
  <c r="AQ75" i="8"/>
  <c r="AQ76" i="8"/>
  <c r="AQ5" i="8"/>
  <c r="AQ6" i="8"/>
  <c r="AQ7" i="8"/>
  <c r="AQ8" i="8"/>
  <c r="AQ9" i="8"/>
  <c r="AQ10" i="8"/>
  <c r="AQ11" i="8"/>
  <c r="AQ12" i="8"/>
  <c r="AQ13" i="8"/>
  <c r="AQ14" i="8"/>
  <c r="AQ15" i="8"/>
  <c r="AQ16" i="8"/>
  <c r="AQ17" i="8"/>
  <c r="AQ18" i="8"/>
  <c r="AQ19" i="8"/>
  <c r="AQ20" i="8"/>
  <c r="AQ21" i="8"/>
  <c r="AQ22" i="8"/>
  <c r="AQ23" i="8"/>
  <c r="AQ24" i="8"/>
  <c r="AQ25" i="8"/>
  <c r="AQ26" i="8"/>
  <c r="AQ27" i="8"/>
  <c r="AQ28" i="8"/>
  <c r="AQ29" i="8"/>
  <c r="AQ30" i="8"/>
  <c r="AQ31" i="8"/>
  <c r="AQ32" i="8"/>
  <c r="AQ33" i="8"/>
  <c r="AQ34" i="8"/>
  <c r="AQ35" i="8"/>
  <c r="AQ36" i="8"/>
  <c r="AQ37" i="8"/>
  <c r="AQ38" i="8"/>
  <c r="AQ39" i="8"/>
  <c r="AQ40" i="8"/>
  <c r="AQ41" i="8"/>
  <c r="AQ42" i="8"/>
  <c r="AQ43" i="8"/>
  <c r="AQ44" i="8"/>
  <c r="AP78" i="8"/>
  <c r="AP79" i="8"/>
  <c r="AP80" i="8"/>
  <c r="AP81" i="8"/>
  <c r="AP82" i="8"/>
  <c r="AP83" i="8"/>
  <c r="AP84" i="8"/>
  <c r="AP85" i="8"/>
  <c r="AP86" i="8"/>
  <c r="AP87" i="8"/>
  <c r="AP88" i="8"/>
  <c r="AP89" i="8"/>
  <c r="AP90" i="8"/>
  <c r="AP91" i="8"/>
  <c r="AP92" i="8"/>
  <c r="AP93" i="8"/>
  <c r="AP94" i="8"/>
  <c r="AP95" i="8"/>
  <c r="AP96" i="8"/>
  <c r="AP46" i="8"/>
  <c r="AP47" i="8"/>
  <c r="AP48" i="8"/>
  <c r="AP49" i="8"/>
  <c r="AP50" i="8"/>
  <c r="AP51" i="8"/>
  <c r="AP52" i="8"/>
  <c r="AP53" i="8"/>
  <c r="AP54" i="8"/>
  <c r="AP55" i="8"/>
  <c r="AP56" i="8"/>
  <c r="AP57" i="8"/>
  <c r="AP58" i="8"/>
  <c r="AP59" i="8"/>
  <c r="AP60" i="8"/>
  <c r="AP61" i="8"/>
  <c r="AP62" i="8"/>
  <c r="AP63" i="8"/>
  <c r="AP64" i="8"/>
  <c r="AP65" i="8"/>
  <c r="AP66" i="8"/>
  <c r="AP67" i="8"/>
  <c r="AP68" i="8"/>
  <c r="AP69" i="8"/>
  <c r="AP70" i="8"/>
  <c r="AP71" i="8"/>
  <c r="AP72" i="8"/>
  <c r="AP73" i="8"/>
  <c r="AP74" i="8"/>
  <c r="AP75" i="8"/>
  <c r="AP76" i="8"/>
  <c r="AP5" i="8"/>
  <c r="AP6" i="8"/>
  <c r="AP7" i="8"/>
  <c r="AP8" i="8"/>
  <c r="AP9" i="8"/>
  <c r="AP10" i="8"/>
  <c r="AP11" i="8"/>
  <c r="AP12" i="8"/>
  <c r="AP13" i="8"/>
  <c r="AP14" i="8"/>
  <c r="AP15" i="8"/>
  <c r="AP16" i="8"/>
  <c r="AP17" i="8"/>
  <c r="AP18" i="8"/>
  <c r="AP19" i="8"/>
  <c r="AP20" i="8"/>
  <c r="AP21" i="8"/>
  <c r="AP22" i="8"/>
  <c r="AP23" i="8"/>
  <c r="AP24" i="8"/>
  <c r="AP25" i="8"/>
  <c r="AP26" i="8"/>
  <c r="AP27" i="8"/>
  <c r="AP28" i="8"/>
  <c r="AP29" i="8"/>
  <c r="AP30" i="8"/>
  <c r="AP31" i="8"/>
  <c r="AP32" i="8"/>
  <c r="AP33" i="8"/>
  <c r="AP34" i="8"/>
  <c r="AP35" i="8"/>
  <c r="AP36" i="8"/>
  <c r="AP37" i="8"/>
  <c r="AP38" i="8"/>
  <c r="AP39" i="8"/>
  <c r="AP40" i="8"/>
  <c r="AP41" i="8"/>
  <c r="AP42" i="8"/>
  <c r="AP43" i="8"/>
  <c r="AP44" i="8"/>
  <c r="AG78" i="8"/>
  <c r="AG79" i="8"/>
  <c r="AG80" i="8"/>
  <c r="AG81" i="8"/>
  <c r="AG82" i="8"/>
  <c r="AG83" i="8"/>
  <c r="AG85" i="8"/>
  <c r="AG86" i="8"/>
  <c r="AG87" i="8"/>
  <c r="AG88" i="8"/>
  <c r="AG89" i="8"/>
  <c r="AG90" i="8"/>
  <c r="AG91" i="8"/>
  <c r="AG92" i="8"/>
  <c r="AG93" i="8"/>
  <c r="AG94" i="8"/>
  <c r="AG95" i="8"/>
  <c r="AG96" i="8"/>
  <c r="AG46" i="8"/>
  <c r="AG47" i="8"/>
  <c r="AG49" i="8"/>
  <c r="AG50" i="8"/>
  <c r="AG51" i="8"/>
  <c r="AG52" i="8"/>
  <c r="AG53" i="8"/>
  <c r="AG54" i="8"/>
  <c r="AG55" i="8"/>
  <c r="AG56" i="8"/>
  <c r="AG57" i="8"/>
  <c r="AG58" i="8"/>
  <c r="AG59" i="8"/>
  <c r="AG60" i="8"/>
  <c r="AG61" i="8"/>
  <c r="AG62" i="8"/>
  <c r="AG64" i="8"/>
  <c r="AG65" i="8"/>
  <c r="AG68" i="8"/>
  <c r="AG69" i="8"/>
  <c r="AG70" i="8"/>
  <c r="AG71" i="8"/>
  <c r="AG72" i="8"/>
  <c r="AG73" i="8"/>
  <c r="AG75" i="8"/>
  <c r="AG76" i="8"/>
  <c r="AG5" i="8"/>
  <c r="BJ5" i="8" s="1"/>
  <c r="AG6" i="8"/>
  <c r="BJ6" i="8" s="1"/>
  <c r="AG7" i="8"/>
  <c r="BJ7" i="8" s="1"/>
  <c r="AG8" i="8"/>
  <c r="BJ8" i="8" s="1"/>
  <c r="AG9" i="8"/>
  <c r="BJ9" i="8" s="1"/>
  <c r="AG10" i="8"/>
  <c r="BJ10" i="8" s="1"/>
  <c r="AG11" i="8"/>
  <c r="BJ11" i="8" s="1"/>
  <c r="AG12" i="8"/>
  <c r="BJ12" i="8" s="1"/>
  <c r="AG13" i="8"/>
  <c r="BJ13" i="8" s="1"/>
  <c r="AG14" i="8"/>
  <c r="BJ14" i="8" s="1"/>
  <c r="AG15" i="8"/>
  <c r="BJ15" i="8" s="1"/>
  <c r="AG16" i="8"/>
  <c r="BJ16" i="8" s="1"/>
  <c r="AG17" i="8"/>
  <c r="BJ17" i="8" s="1"/>
  <c r="AG18" i="8"/>
  <c r="BJ18" i="8" s="1"/>
  <c r="AG19" i="8"/>
  <c r="BJ19" i="8" s="1"/>
  <c r="AG20" i="8"/>
  <c r="BJ20" i="8" s="1"/>
  <c r="AG21" i="8"/>
  <c r="BJ21" i="8" s="1"/>
  <c r="AG22" i="8"/>
  <c r="BJ22" i="8" s="1"/>
  <c r="AG23" i="8"/>
  <c r="BJ23" i="8" s="1"/>
  <c r="AG24" i="8"/>
  <c r="BJ24" i="8" s="1"/>
  <c r="AG25" i="8"/>
  <c r="BJ25" i="8" s="1"/>
  <c r="AG26" i="8"/>
  <c r="BJ26" i="8" s="1"/>
  <c r="AG27" i="8"/>
  <c r="BJ27" i="8" s="1"/>
  <c r="AG28" i="8"/>
  <c r="BJ28" i="8" s="1"/>
  <c r="AG29" i="8"/>
  <c r="BJ29" i="8" s="1"/>
  <c r="AG30" i="8"/>
  <c r="BJ30" i="8" s="1"/>
  <c r="AG31" i="8"/>
  <c r="BJ31" i="8" s="1"/>
  <c r="AG32" i="8"/>
  <c r="AG33" i="8"/>
  <c r="AG34" i="8"/>
  <c r="AG35" i="8"/>
  <c r="AG36" i="8"/>
  <c r="AG37" i="8"/>
  <c r="AG38" i="8"/>
  <c r="AG39" i="8"/>
  <c r="AG40" i="8"/>
  <c r="AG41" i="8"/>
  <c r="AG42" i="8"/>
  <c r="AG43" i="8"/>
  <c r="AG44" i="8"/>
  <c r="AC5" i="8"/>
  <c r="AC6" i="8"/>
  <c r="AC7" i="8"/>
  <c r="AC8" i="8"/>
  <c r="AC9" i="8"/>
  <c r="AC10" i="8"/>
  <c r="AC11" i="8"/>
  <c r="AC12" i="8"/>
  <c r="AC13" i="8"/>
  <c r="AC14" i="8"/>
  <c r="AC15" i="8"/>
  <c r="AC16" i="8"/>
  <c r="AC17" i="8"/>
  <c r="AC18" i="8"/>
  <c r="AC19" i="8"/>
  <c r="AC20" i="8"/>
  <c r="AC21" i="8"/>
  <c r="AC22" i="8"/>
  <c r="AC23" i="8"/>
  <c r="AC24" i="8"/>
  <c r="AC25" i="8"/>
  <c r="AC26" i="8"/>
  <c r="AC27" i="8"/>
  <c r="AC28" i="8"/>
  <c r="AC29" i="8"/>
  <c r="AC30" i="8"/>
  <c r="AC31" i="8"/>
  <c r="AC32" i="8"/>
  <c r="AC33" i="8"/>
  <c r="AC34" i="8"/>
  <c r="AC35" i="8"/>
  <c r="AC36" i="8"/>
  <c r="AC37" i="8"/>
  <c r="AC38" i="8"/>
  <c r="AC39" i="8"/>
  <c r="AC40" i="8"/>
  <c r="AC41" i="8"/>
  <c r="AC42" i="8"/>
  <c r="AC43" i="8"/>
  <c r="AC44" i="8"/>
  <c r="AB5" i="8"/>
  <c r="AB6" i="8"/>
  <c r="AB7" i="8"/>
  <c r="AB8" i="8"/>
  <c r="AB9" i="8"/>
  <c r="AB10" i="8"/>
  <c r="AB11" i="8"/>
  <c r="AB12" i="8"/>
  <c r="AB13" i="8"/>
  <c r="AB14" i="8"/>
  <c r="AB15" i="8"/>
  <c r="AB16" i="8"/>
  <c r="AB17" i="8"/>
  <c r="AB18" i="8"/>
  <c r="AB19" i="8"/>
  <c r="AB20" i="8"/>
  <c r="AB21" i="8"/>
  <c r="AB22" i="8"/>
  <c r="AB23" i="8"/>
  <c r="AB24" i="8"/>
  <c r="AB25" i="8"/>
  <c r="AB26" i="8"/>
  <c r="AB27" i="8"/>
  <c r="AB28" i="8"/>
  <c r="AB29" i="8"/>
  <c r="AB30" i="8"/>
  <c r="AB31" i="8"/>
  <c r="AB32" i="8"/>
  <c r="AB33" i="8"/>
  <c r="AB34" i="8"/>
  <c r="AB35" i="8"/>
  <c r="AB36" i="8"/>
  <c r="AB37" i="8"/>
  <c r="AB38" i="8"/>
  <c r="AB39" i="8"/>
  <c r="AB40" i="8"/>
  <c r="AB41" i="8"/>
  <c r="AB42" i="8"/>
  <c r="AB43" i="8"/>
  <c r="AB44" i="8"/>
  <c r="Y5" i="8"/>
  <c r="Y6" i="8"/>
  <c r="Y7" i="8"/>
  <c r="Y8" i="8"/>
  <c r="Y9" i="8"/>
  <c r="Y10" i="8"/>
  <c r="Y11" i="8"/>
  <c r="Y12" i="8"/>
  <c r="Y13" i="8"/>
  <c r="Y14" i="8"/>
  <c r="Y15" i="8"/>
  <c r="Y16" i="8"/>
  <c r="Y17" i="8"/>
  <c r="Y18" i="8"/>
  <c r="Y19" i="8"/>
  <c r="Y20" i="8"/>
  <c r="Y21" i="8"/>
  <c r="Y22" i="8"/>
  <c r="Y23" i="8"/>
  <c r="Y24" i="8"/>
  <c r="Y25" i="8"/>
  <c r="Y26" i="8"/>
  <c r="Y27" i="8"/>
  <c r="Y28" i="8"/>
  <c r="Y29" i="8"/>
  <c r="Y30" i="8"/>
  <c r="Y31" i="8"/>
  <c r="Y32" i="8"/>
  <c r="Y33" i="8"/>
  <c r="Y34" i="8"/>
  <c r="Y35" i="8"/>
  <c r="Y36" i="8"/>
  <c r="Y37" i="8"/>
  <c r="Y38" i="8"/>
  <c r="Y39" i="8"/>
  <c r="Y40" i="8"/>
  <c r="Y41" i="8"/>
  <c r="Y42" i="8"/>
  <c r="Y43" i="8"/>
  <c r="Y44" i="8"/>
  <c r="T5" i="8"/>
  <c r="T6" i="8"/>
  <c r="T7" i="8"/>
  <c r="T8" i="8"/>
  <c r="T9" i="8"/>
  <c r="T10" i="8"/>
  <c r="T11" i="8"/>
  <c r="T12" i="8"/>
  <c r="T13" i="8"/>
  <c r="T14" i="8"/>
  <c r="T15" i="8"/>
  <c r="T16" i="8"/>
  <c r="T17" i="8"/>
  <c r="T18" i="8"/>
  <c r="T19" i="8"/>
  <c r="T20" i="8"/>
  <c r="T21" i="8"/>
  <c r="T22" i="8"/>
  <c r="T23" i="8"/>
  <c r="T24" i="8"/>
  <c r="T25" i="8"/>
  <c r="T26" i="8"/>
  <c r="T27" i="8"/>
  <c r="T28" i="8"/>
  <c r="T29" i="8"/>
  <c r="T30" i="8"/>
  <c r="T31" i="8"/>
  <c r="T32" i="8"/>
  <c r="T33" i="8"/>
  <c r="T34" i="8"/>
  <c r="T35" i="8"/>
  <c r="T36" i="8"/>
  <c r="T37" i="8"/>
  <c r="T38" i="8"/>
  <c r="T39" i="8"/>
  <c r="T40" i="8"/>
  <c r="T41" i="8"/>
  <c r="T42" i="8"/>
  <c r="T43" i="8"/>
  <c r="T44" i="8"/>
  <c r="F5" i="20"/>
  <c r="F6" i="20"/>
  <c r="F7" i="20"/>
  <c r="F8" i="20"/>
  <c r="F9" i="20"/>
  <c r="F10" i="20"/>
  <c r="F11" i="20"/>
  <c r="F12" i="20"/>
  <c r="F13" i="20"/>
  <c r="F14" i="20"/>
  <c r="F15" i="20"/>
  <c r="F16" i="20"/>
  <c r="F17" i="20"/>
  <c r="F18" i="20"/>
  <c r="F19" i="20"/>
  <c r="F20" i="20"/>
  <c r="F21" i="20"/>
  <c r="F22" i="20"/>
  <c r="F23" i="20"/>
  <c r="F24" i="20"/>
  <c r="F25" i="20"/>
  <c r="F26" i="20"/>
  <c r="F27" i="20"/>
  <c r="F28" i="20"/>
  <c r="F29" i="20"/>
  <c r="F30" i="20"/>
  <c r="F31" i="20"/>
  <c r="F32" i="20"/>
  <c r="F33" i="20"/>
  <c r="F34" i="20"/>
  <c r="F35" i="20"/>
  <c r="F41" i="20"/>
  <c r="F47" i="20"/>
  <c r="F65" i="20"/>
  <c r="F67" i="20"/>
  <c r="F131" i="20"/>
  <c r="F132" i="20"/>
  <c r="F133" i="20"/>
  <c r="F134" i="20"/>
  <c r="F135" i="20"/>
  <c r="F136" i="20"/>
  <c r="F137" i="20"/>
  <c r="F138" i="20"/>
  <c r="F139" i="20"/>
  <c r="F140" i="20"/>
  <c r="F141" i="20"/>
  <c r="F142" i="20"/>
  <c r="F143" i="20"/>
  <c r="F144" i="20"/>
  <c r="F145" i="20"/>
  <c r="F146" i="20"/>
  <c r="F147" i="20"/>
  <c r="F148" i="20"/>
  <c r="F149" i="20"/>
  <c r="F150" i="20"/>
  <c r="F151" i="20"/>
  <c r="F152" i="20"/>
  <c r="F153" i="20"/>
  <c r="F154" i="20"/>
  <c r="F155" i="20"/>
  <c r="F156" i="20"/>
  <c r="F157" i="20"/>
  <c r="F158" i="20"/>
  <c r="F159" i="20"/>
  <c r="F160" i="20"/>
  <c r="F161" i="20"/>
  <c r="F162" i="20"/>
  <c r="F163" i="20"/>
  <c r="F164" i="20"/>
  <c r="F165" i="20"/>
  <c r="F166" i="20"/>
  <c r="F167" i="20"/>
  <c r="F168" i="20"/>
  <c r="F169" i="20"/>
  <c r="F170" i="20"/>
  <c r="F171" i="20"/>
  <c r="F172" i="20"/>
  <c r="F173" i="20"/>
  <c r="F174" i="20"/>
  <c r="F175" i="20"/>
  <c r="F176" i="20"/>
  <c r="F177" i="20"/>
  <c r="F178" i="20"/>
  <c r="F179" i="20"/>
  <c r="F180" i="20"/>
  <c r="F182" i="20"/>
  <c r="F183" i="20"/>
  <c r="F184" i="20"/>
  <c r="F185" i="20"/>
  <c r="F186" i="20"/>
  <c r="F187" i="20"/>
  <c r="F188" i="20"/>
  <c r="F189" i="20"/>
  <c r="F190" i="20"/>
  <c r="F191" i="20"/>
  <c r="F192" i="20"/>
  <c r="F193" i="20"/>
  <c r="F194" i="20"/>
  <c r="F195" i="20"/>
  <c r="F196" i="20"/>
  <c r="F197" i="20"/>
  <c r="F198" i="20"/>
  <c r="F199" i="20"/>
  <c r="F200" i="20"/>
  <c r="F201" i="20"/>
  <c r="F202" i="20"/>
  <c r="F203" i="20"/>
  <c r="F204" i="20"/>
  <c r="F205" i="20"/>
  <c r="F206" i="20"/>
  <c r="F207" i="20"/>
  <c r="F208" i="20"/>
  <c r="F209" i="20"/>
  <c r="F210" i="20"/>
  <c r="F211" i="20"/>
  <c r="F212" i="20"/>
  <c r="F213" i="20"/>
  <c r="F214" i="20"/>
  <c r="F215" i="20"/>
  <c r="F216" i="20"/>
  <c r="F217" i="20"/>
  <c r="F218" i="20"/>
  <c r="F219" i="20"/>
  <c r="F220" i="20"/>
  <c r="F221" i="20"/>
  <c r="F222" i="20"/>
  <c r="F223" i="20"/>
  <c r="F224" i="20"/>
  <c r="F225" i="20"/>
  <c r="F226" i="20"/>
  <c r="F227" i="20"/>
  <c r="F228" i="20"/>
  <c r="F229" i="20"/>
  <c r="F230" i="20"/>
  <c r="F231" i="20"/>
  <c r="F232" i="20"/>
  <c r="F233" i="20"/>
  <c r="F234" i="20"/>
  <c r="F235" i="20"/>
  <c r="F236" i="20"/>
  <c r="F237" i="20"/>
  <c r="F238" i="20"/>
  <c r="F239" i="20"/>
  <c r="F240" i="20"/>
  <c r="F241" i="20"/>
  <c r="F242" i="20"/>
  <c r="F243" i="20"/>
  <c r="F244" i="20"/>
  <c r="F245" i="20"/>
  <c r="F246" i="20"/>
  <c r="F247" i="20"/>
  <c r="F248" i="20"/>
  <c r="F249" i="20"/>
  <c r="F250" i="20"/>
  <c r="F251" i="20"/>
  <c r="F252" i="20"/>
  <c r="F253" i="20"/>
  <c r="F254" i="20"/>
  <c r="F259" i="20"/>
  <c r="F265" i="20"/>
  <c r="F266" i="20"/>
  <c r="F267" i="20"/>
  <c r="F268" i="20"/>
  <c r="F269" i="20"/>
  <c r="F270" i="20"/>
  <c r="F271" i="20"/>
  <c r="F272" i="20"/>
  <c r="F273" i="20"/>
  <c r="F274" i="20"/>
  <c r="F275" i="20"/>
  <c r="F276" i="20"/>
  <c r="F277" i="20"/>
  <c r="F278" i="20"/>
  <c r="F279" i="20"/>
  <c r="F280" i="20"/>
  <c r="F281" i="20"/>
  <c r="F282" i="20"/>
  <c r="F283" i="20"/>
  <c r="F287" i="20"/>
  <c r="F305" i="20"/>
  <c r="F306" i="20"/>
  <c r="F307" i="20"/>
  <c r="F308" i="20"/>
  <c r="F309" i="20"/>
  <c r="F310" i="20"/>
  <c r="F311" i="20"/>
  <c r="F312" i="20"/>
  <c r="F313" i="20"/>
  <c r="F314" i="20"/>
  <c r="F315" i="20"/>
  <c r="F316" i="20"/>
  <c r="F317" i="20"/>
  <c r="F318" i="20"/>
  <c r="F319" i="20"/>
  <c r="F320" i="20"/>
  <c r="F321" i="20"/>
  <c r="F322" i="20"/>
  <c r="F324" i="20"/>
  <c r="F325" i="20"/>
  <c r="F326" i="20"/>
  <c r="F327" i="20"/>
  <c r="F328" i="20"/>
  <c r="F329" i="20"/>
  <c r="F330" i="20"/>
  <c r="F331" i="20"/>
  <c r="F332" i="20"/>
  <c r="F333" i="20"/>
  <c r="F334" i="20"/>
  <c r="F335" i="20"/>
  <c r="F336" i="20"/>
  <c r="F337" i="20"/>
  <c r="F338" i="20"/>
  <c r="F339" i="20"/>
  <c r="F340" i="20"/>
  <c r="F341" i="20"/>
  <c r="F342" i="20"/>
  <c r="F343" i="20"/>
  <c r="F344" i="20"/>
  <c r="F345" i="20"/>
  <c r="F346" i="20"/>
  <c r="F347" i="20"/>
  <c r="F348" i="20"/>
  <c r="F349" i="20"/>
  <c r="F350" i="20"/>
  <c r="F351" i="20"/>
  <c r="F352" i="20"/>
  <c r="F353" i="20"/>
  <c r="F354" i="20"/>
  <c r="F355" i="20"/>
  <c r="F356" i="20"/>
  <c r="F357" i="20"/>
  <c r="F358" i="20"/>
  <c r="F359" i="20"/>
  <c r="F360" i="20"/>
  <c r="F361" i="20"/>
  <c r="F362" i="20"/>
  <c r="F363" i="20"/>
  <c r="F364" i="20"/>
  <c r="F365" i="20"/>
  <c r="F366" i="20"/>
  <c r="F367" i="20"/>
  <c r="F368" i="20"/>
  <c r="F369" i="20"/>
  <c r="F370" i="20"/>
  <c r="F371" i="20"/>
  <c r="F372" i="20"/>
  <c r="F373" i="20"/>
  <c r="F374" i="20"/>
  <c r="F375" i="20"/>
  <c r="F376" i="20"/>
  <c r="F377" i="20"/>
  <c r="F378" i="20"/>
  <c r="F379" i="20"/>
  <c r="F380" i="20"/>
  <c r="F381" i="20"/>
  <c r="F382" i="20"/>
  <c r="A5" i="20"/>
  <c r="A6" i="20"/>
  <c r="A7" i="20"/>
  <c r="A8" i="20"/>
  <c r="A9" i="20"/>
  <c r="A10" i="20"/>
  <c r="A11" i="20"/>
  <c r="A12" i="20"/>
  <c r="A13" i="20"/>
  <c r="A14" i="20"/>
  <c r="A15" i="20"/>
  <c r="B342" i="20"/>
  <c r="B343" i="20"/>
  <c r="B344" i="20"/>
  <c r="B345" i="20"/>
  <c r="B346" i="20"/>
  <c r="B347" i="20"/>
  <c r="B348" i="20"/>
  <c r="B349" i="20"/>
  <c r="B350" i="20"/>
  <c r="B351" i="20"/>
  <c r="B352" i="20"/>
  <c r="B353" i="20"/>
  <c r="B354" i="20"/>
  <c r="B355" i="20"/>
  <c r="B356" i="20"/>
  <c r="B357" i="20"/>
  <c r="B358" i="20"/>
  <c r="B359" i="20"/>
  <c r="B360" i="20"/>
  <c r="B361" i="20"/>
  <c r="B362" i="20"/>
  <c r="B363" i="20"/>
  <c r="B364" i="20"/>
  <c r="B365" i="20"/>
  <c r="B366" i="20"/>
  <c r="B367" i="20"/>
  <c r="B368" i="20"/>
  <c r="B369" i="20"/>
  <c r="B370" i="20"/>
  <c r="B371" i="20"/>
  <c r="B372" i="20"/>
  <c r="B373" i="20"/>
  <c r="B374" i="20"/>
  <c r="B375" i="20"/>
  <c r="B376" i="20"/>
  <c r="B377" i="20"/>
  <c r="B378" i="20"/>
  <c r="B379" i="20"/>
  <c r="B380" i="20"/>
  <c r="B381" i="20"/>
  <c r="B382" i="20"/>
  <c r="B383" i="20"/>
  <c r="B384" i="20"/>
  <c r="B385" i="20"/>
  <c r="B386" i="20"/>
  <c r="B387" i="20"/>
  <c r="B388" i="20"/>
  <c r="B389" i="20"/>
  <c r="B390" i="20"/>
  <c r="B391" i="20"/>
  <c r="B392" i="20"/>
  <c r="B393" i="20"/>
  <c r="B394" i="20"/>
  <c r="B395" i="20"/>
  <c r="B396" i="20"/>
  <c r="B397" i="20"/>
  <c r="B398" i="20"/>
  <c r="B399" i="20"/>
  <c r="B400" i="20"/>
  <c r="B401" i="20"/>
  <c r="B402" i="20"/>
  <c r="B403" i="20"/>
  <c r="B305" i="20"/>
  <c r="B306" i="20"/>
  <c r="B307" i="20"/>
  <c r="B308" i="20"/>
  <c r="B309" i="20"/>
  <c r="B310" i="20"/>
  <c r="B311" i="20"/>
  <c r="B312" i="20"/>
  <c r="B313" i="20"/>
  <c r="B314" i="20"/>
  <c r="B315" i="20"/>
  <c r="B316" i="20"/>
  <c r="B317" i="20"/>
  <c r="B318" i="20"/>
  <c r="B319" i="20"/>
  <c r="B320" i="20"/>
  <c r="B321" i="20"/>
  <c r="B322" i="20"/>
  <c r="B323" i="20"/>
  <c r="B324" i="20"/>
  <c r="B325" i="20"/>
  <c r="B326" i="20"/>
  <c r="B327" i="20"/>
  <c r="B328" i="20"/>
  <c r="B329" i="20"/>
  <c r="B330" i="20"/>
  <c r="B331" i="20"/>
  <c r="B332" i="20"/>
  <c r="B333" i="20"/>
  <c r="B334" i="20"/>
  <c r="B335" i="20"/>
  <c r="B336" i="20"/>
  <c r="B337" i="20"/>
  <c r="B338" i="20"/>
  <c r="B339" i="20"/>
  <c r="B340" i="20"/>
  <c r="B341" i="20"/>
  <c r="B268" i="20"/>
  <c r="B269" i="20"/>
  <c r="B270" i="20"/>
  <c r="B271" i="20"/>
  <c r="B272" i="20"/>
  <c r="B273" i="20"/>
  <c r="B274" i="20"/>
  <c r="B275" i="20"/>
  <c r="B276" i="20"/>
  <c r="B277" i="20"/>
  <c r="B278" i="20"/>
  <c r="B279" i="20"/>
  <c r="B280" i="20"/>
  <c r="B281" i="20"/>
  <c r="B282" i="20"/>
  <c r="B283" i="20"/>
  <c r="B284" i="20"/>
  <c r="B285" i="20"/>
  <c r="B286" i="20"/>
  <c r="B287" i="20"/>
  <c r="B288" i="20"/>
  <c r="B289" i="20"/>
  <c r="B290" i="20"/>
  <c r="B291" i="20"/>
  <c r="B292" i="20"/>
  <c r="B293" i="20"/>
  <c r="B294" i="20"/>
  <c r="B295" i="20"/>
  <c r="B296" i="20"/>
  <c r="B297" i="20"/>
  <c r="B298" i="20"/>
  <c r="B299" i="20"/>
  <c r="B300" i="20"/>
  <c r="B301" i="20"/>
  <c r="B302" i="20"/>
  <c r="B303" i="20"/>
  <c r="B304" i="20"/>
  <c r="N194" i="20"/>
  <c r="X194" i="20" s="1"/>
  <c r="N195" i="20"/>
  <c r="X195" i="20" s="1"/>
  <c r="N196" i="20"/>
  <c r="X196" i="20" s="1"/>
  <c r="N197" i="20"/>
  <c r="X197" i="20" s="1"/>
  <c r="N198" i="20"/>
  <c r="X198" i="20" s="1"/>
  <c r="N199" i="20"/>
  <c r="X199" i="20" s="1"/>
  <c r="N200" i="20"/>
  <c r="X200" i="20" s="1"/>
  <c r="B194" i="20"/>
  <c r="B195" i="20"/>
  <c r="B196" i="20"/>
  <c r="B197" i="20"/>
  <c r="B198" i="20"/>
  <c r="B199" i="20"/>
  <c r="B200" i="20"/>
  <c r="B201" i="20"/>
  <c r="B202" i="20"/>
  <c r="B203" i="20"/>
  <c r="B204" i="20"/>
  <c r="B205" i="20"/>
  <c r="B206" i="20"/>
  <c r="B207" i="20"/>
  <c r="B208" i="20"/>
  <c r="B209" i="20"/>
  <c r="B210" i="20"/>
  <c r="B211" i="20"/>
  <c r="B212" i="20"/>
  <c r="B213" i="20"/>
  <c r="B214" i="20"/>
  <c r="B215" i="20"/>
  <c r="B216" i="20"/>
  <c r="B217" i="20"/>
  <c r="B218" i="20"/>
  <c r="B219" i="20"/>
  <c r="B220" i="20"/>
  <c r="B221" i="20"/>
  <c r="B222" i="20"/>
  <c r="B223" i="20"/>
  <c r="B224" i="20"/>
  <c r="B225" i="20"/>
  <c r="B226" i="20"/>
  <c r="B227" i="20"/>
  <c r="B228" i="20"/>
  <c r="B229" i="20"/>
  <c r="B230" i="20"/>
  <c r="B231" i="20"/>
  <c r="B232" i="20"/>
  <c r="B233" i="20"/>
  <c r="B234" i="20"/>
  <c r="B235" i="20"/>
  <c r="B236" i="20"/>
  <c r="B237" i="20"/>
  <c r="B238" i="20"/>
  <c r="B239" i="20"/>
  <c r="B240" i="20"/>
  <c r="B241" i="20"/>
  <c r="B242" i="20"/>
  <c r="B243" i="20"/>
  <c r="B244" i="20"/>
  <c r="B245" i="20"/>
  <c r="B246" i="20"/>
  <c r="B247" i="20"/>
  <c r="B248" i="20"/>
  <c r="B249" i="20"/>
  <c r="B250" i="20"/>
  <c r="B251" i="20"/>
  <c r="B252" i="20"/>
  <c r="B253" i="20"/>
  <c r="B254" i="20"/>
  <c r="B255" i="20"/>
  <c r="B256" i="20"/>
  <c r="B257" i="20"/>
  <c r="B258" i="20"/>
  <c r="B259" i="20"/>
  <c r="B260" i="20"/>
  <c r="B261" i="20"/>
  <c r="B262" i="20"/>
  <c r="B263" i="20"/>
  <c r="B264" i="20"/>
  <c r="B265" i="20"/>
  <c r="B266" i="20"/>
  <c r="B267" i="20"/>
  <c r="B131" i="20"/>
  <c r="A131" i="20" s="1"/>
  <c r="B132" i="20"/>
  <c r="A132" i="20" s="1"/>
  <c r="B133" i="20"/>
  <c r="A133" i="20" s="1"/>
  <c r="B134" i="20"/>
  <c r="A134" i="20" s="1"/>
  <c r="B135" i="20"/>
  <c r="A135" i="20" s="1"/>
  <c r="B136" i="20"/>
  <c r="A136" i="20" s="1"/>
  <c r="B137" i="20"/>
  <c r="A137" i="20" s="1"/>
  <c r="B138" i="20"/>
  <c r="A138" i="20" s="1"/>
  <c r="B139" i="20"/>
  <c r="A139" i="20" s="1"/>
  <c r="B140" i="20"/>
  <c r="A140" i="20" s="1"/>
  <c r="B141" i="20"/>
  <c r="A141" i="20" s="1"/>
  <c r="B142" i="20"/>
  <c r="A142" i="20" s="1"/>
  <c r="B143" i="20"/>
  <c r="A143" i="20" s="1"/>
  <c r="B144" i="20"/>
  <c r="A144" i="20" s="1"/>
  <c r="B145" i="20"/>
  <c r="A145" i="20" s="1"/>
  <c r="B146" i="20"/>
  <c r="A146" i="20" s="1"/>
  <c r="B147" i="20"/>
  <c r="A147" i="20" s="1"/>
  <c r="B148" i="20"/>
  <c r="A148" i="20" s="1"/>
  <c r="B149" i="20"/>
  <c r="A149" i="20" s="1"/>
  <c r="B150" i="20"/>
  <c r="A150" i="20" s="1"/>
  <c r="B151" i="20"/>
  <c r="A151" i="20" s="1"/>
  <c r="B152" i="20"/>
  <c r="A152" i="20" s="1"/>
  <c r="B153" i="20"/>
  <c r="A153" i="20" s="1"/>
  <c r="B154" i="20"/>
  <c r="A154" i="20" s="1"/>
  <c r="B155" i="20"/>
  <c r="A155" i="20" s="1"/>
  <c r="B156" i="20"/>
  <c r="A156" i="20" s="1"/>
  <c r="B157" i="20"/>
  <c r="A157" i="20" s="1"/>
  <c r="B158" i="20"/>
  <c r="A158" i="20" s="1"/>
  <c r="B159" i="20"/>
  <c r="A159" i="20" s="1"/>
  <c r="B160" i="20"/>
  <c r="A160" i="20" s="1"/>
  <c r="B161" i="20"/>
  <c r="A161" i="20" s="1"/>
  <c r="B162" i="20"/>
  <c r="A162" i="20" s="1"/>
  <c r="B163" i="20"/>
  <c r="A163" i="20" s="1"/>
  <c r="B164" i="20"/>
  <c r="A164" i="20" s="1"/>
  <c r="B165" i="20"/>
  <c r="A165" i="20" s="1"/>
  <c r="B166" i="20"/>
  <c r="A166" i="20" s="1"/>
  <c r="B167" i="20"/>
  <c r="A167" i="20" s="1"/>
  <c r="B168" i="20"/>
  <c r="A168" i="20" s="1"/>
  <c r="B169" i="20"/>
  <c r="A169" i="20" s="1"/>
  <c r="B170" i="20"/>
  <c r="A170" i="20" s="1"/>
  <c r="B171" i="20"/>
  <c r="A171" i="20" s="1"/>
  <c r="B172" i="20"/>
  <c r="A172" i="20" s="1"/>
  <c r="B173" i="20"/>
  <c r="A173" i="20" s="1"/>
  <c r="B174" i="20"/>
  <c r="A174" i="20" s="1"/>
  <c r="B175" i="20"/>
  <c r="A175" i="20" s="1"/>
  <c r="B176" i="20"/>
  <c r="A176" i="20" s="1"/>
  <c r="B177" i="20"/>
  <c r="A177" i="20" s="1"/>
  <c r="B178" i="20"/>
  <c r="A178" i="20" s="1"/>
  <c r="B179" i="20"/>
  <c r="A179" i="20" s="1"/>
  <c r="B180" i="20"/>
  <c r="A180" i="20" s="1"/>
  <c r="B181" i="20"/>
  <c r="B182" i="20"/>
  <c r="A182" i="20" s="1"/>
  <c r="B183" i="20"/>
  <c r="A183" i="20" s="1"/>
  <c r="B184" i="20"/>
  <c r="A184" i="20" s="1"/>
  <c r="B185" i="20"/>
  <c r="A185" i="20" s="1"/>
  <c r="B186" i="20"/>
  <c r="A186" i="20" s="1"/>
  <c r="B187" i="20"/>
  <c r="A187" i="20" s="1"/>
  <c r="B188" i="20"/>
  <c r="A188" i="20" s="1"/>
  <c r="B189" i="20"/>
  <c r="A189" i="20" s="1"/>
  <c r="B190" i="20"/>
  <c r="A190" i="20" s="1"/>
  <c r="B191" i="20"/>
  <c r="A191" i="20" s="1"/>
  <c r="B192" i="20"/>
  <c r="A192" i="20" s="1"/>
  <c r="B193" i="20"/>
  <c r="A193" i="20" s="1"/>
  <c r="B68" i="20"/>
  <c r="A68" i="20" s="1"/>
  <c r="B69" i="20"/>
  <c r="A69" i="20" s="1"/>
  <c r="B70" i="20"/>
  <c r="A70" i="20" s="1"/>
  <c r="B71" i="20"/>
  <c r="A71" i="20" s="1"/>
  <c r="B72" i="20"/>
  <c r="A72" i="20" s="1"/>
  <c r="B73" i="20"/>
  <c r="A73" i="20" s="1"/>
  <c r="B74" i="20"/>
  <c r="A74" i="20" s="1"/>
  <c r="B75" i="20"/>
  <c r="A75" i="20" s="1"/>
  <c r="B76" i="20"/>
  <c r="A76" i="20" s="1"/>
  <c r="B77" i="20"/>
  <c r="A77" i="20" s="1"/>
  <c r="B78" i="20"/>
  <c r="A78" i="20" s="1"/>
  <c r="B79" i="20"/>
  <c r="A79" i="20" s="1"/>
  <c r="B80" i="20"/>
  <c r="A80" i="20" s="1"/>
  <c r="B81" i="20"/>
  <c r="A81" i="20" s="1"/>
  <c r="B82" i="20"/>
  <c r="A82" i="20" s="1"/>
  <c r="B83" i="20"/>
  <c r="A83" i="20" s="1"/>
  <c r="B84" i="20"/>
  <c r="A84" i="20" s="1"/>
  <c r="B85" i="20"/>
  <c r="A85" i="20" s="1"/>
  <c r="B86" i="20"/>
  <c r="A86" i="20" s="1"/>
  <c r="B87" i="20"/>
  <c r="A87" i="20" s="1"/>
  <c r="B88" i="20"/>
  <c r="A88" i="20" s="1"/>
  <c r="B89" i="20"/>
  <c r="A89" i="20" s="1"/>
  <c r="B90" i="20"/>
  <c r="A90" i="20" s="1"/>
  <c r="B91" i="20"/>
  <c r="A91" i="20" s="1"/>
  <c r="B92" i="20"/>
  <c r="A92" i="20" s="1"/>
  <c r="B93" i="20"/>
  <c r="A93" i="20" s="1"/>
  <c r="B94" i="20"/>
  <c r="A94" i="20" s="1"/>
  <c r="B95" i="20"/>
  <c r="A95" i="20" s="1"/>
  <c r="B96" i="20"/>
  <c r="A96" i="20" s="1"/>
  <c r="B97" i="20"/>
  <c r="A97" i="20" s="1"/>
  <c r="B98" i="20"/>
  <c r="A98" i="20" s="1"/>
  <c r="B99" i="20"/>
  <c r="B100" i="20"/>
  <c r="B101" i="20"/>
  <c r="A101" i="20" s="1"/>
  <c r="B102" i="20"/>
  <c r="B103" i="20"/>
  <c r="B104" i="20"/>
  <c r="A104" i="20" s="1"/>
  <c r="B105" i="20"/>
  <c r="B106" i="20"/>
  <c r="B107" i="20"/>
  <c r="B108" i="20"/>
  <c r="B109" i="20"/>
  <c r="A109" i="20" s="1"/>
  <c r="B110" i="20"/>
  <c r="A110" i="20" s="1"/>
  <c r="B111" i="20"/>
  <c r="A111" i="20" s="1"/>
  <c r="B112" i="20"/>
  <c r="A112" i="20" s="1"/>
  <c r="B113" i="20"/>
  <c r="A113" i="20" s="1"/>
  <c r="B114" i="20"/>
  <c r="A114" i="20" s="1"/>
  <c r="B115" i="20"/>
  <c r="A115" i="20" s="1"/>
  <c r="B116" i="20"/>
  <c r="A116" i="20" s="1"/>
  <c r="B117" i="20"/>
  <c r="A117" i="20" s="1"/>
  <c r="B118" i="20"/>
  <c r="B119" i="20"/>
  <c r="A119" i="20" s="1"/>
  <c r="B120" i="20"/>
  <c r="A120" i="20" s="1"/>
  <c r="B121" i="20"/>
  <c r="A121" i="20" s="1"/>
  <c r="B122" i="20"/>
  <c r="A122" i="20" s="1"/>
  <c r="B123" i="20"/>
  <c r="A123" i="20" s="1"/>
  <c r="B124" i="20"/>
  <c r="A124" i="20" s="1"/>
  <c r="B125" i="20"/>
  <c r="A125" i="20" s="1"/>
  <c r="B126" i="20"/>
  <c r="B127" i="20"/>
  <c r="B128" i="20"/>
  <c r="B129" i="20"/>
  <c r="B130" i="20"/>
  <c r="U5" i="20"/>
  <c r="U6" i="20"/>
  <c r="U7" i="20"/>
  <c r="U8" i="20"/>
  <c r="U9" i="20"/>
  <c r="U10" i="20"/>
  <c r="U11" i="20"/>
  <c r="U12" i="20"/>
  <c r="U13" i="20"/>
  <c r="U14" i="20"/>
  <c r="U15" i="20"/>
  <c r="U16" i="20"/>
  <c r="U17" i="20"/>
  <c r="U18" i="20"/>
  <c r="U19" i="20"/>
  <c r="U20" i="20"/>
  <c r="U21" i="20"/>
  <c r="U22" i="20"/>
  <c r="U23" i="20"/>
  <c r="U24" i="20"/>
  <c r="U25" i="20"/>
  <c r="U26" i="20"/>
  <c r="U27" i="20"/>
  <c r="U28" i="20"/>
  <c r="U29" i="20"/>
  <c r="U30" i="20"/>
  <c r="U31" i="20"/>
  <c r="U32" i="20"/>
  <c r="U33" i="20"/>
  <c r="U34" i="20"/>
  <c r="U35" i="20"/>
  <c r="U36" i="20"/>
  <c r="U37" i="20"/>
  <c r="U38" i="20"/>
  <c r="U39" i="20"/>
  <c r="U40" i="20"/>
  <c r="U41" i="20"/>
  <c r="U42" i="20"/>
  <c r="U43" i="20"/>
  <c r="U44" i="20"/>
  <c r="U45" i="20"/>
  <c r="U46" i="20"/>
  <c r="U47" i="20"/>
  <c r="U48" i="20"/>
  <c r="U49" i="20"/>
  <c r="U50" i="20"/>
  <c r="U51" i="20"/>
  <c r="U52" i="20"/>
  <c r="U53" i="20"/>
  <c r="U54" i="20"/>
  <c r="U55" i="20"/>
  <c r="U56" i="20"/>
  <c r="U57" i="20"/>
  <c r="U58" i="20"/>
  <c r="U59" i="20"/>
  <c r="U60" i="20"/>
  <c r="U61" i="20"/>
  <c r="U62" i="20"/>
  <c r="U63" i="20"/>
  <c r="U64" i="20"/>
  <c r="U65" i="20"/>
  <c r="U66" i="20"/>
  <c r="U67" i="20"/>
  <c r="T5" i="20"/>
  <c r="T6" i="20"/>
  <c r="T7" i="20"/>
  <c r="T8" i="20"/>
  <c r="T9" i="20"/>
  <c r="T10" i="20"/>
  <c r="T11" i="20"/>
  <c r="T12" i="20"/>
  <c r="T13" i="20"/>
  <c r="T14" i="20"/>
  <c r="T15" i="20"/>
  <c r="T16" i="20"/>
  <c r="T17" i="20"/>
  <c r="T18" i="20"/>
  <c r="T19" i="20"/>
  <c r="T20" i="20"/>
  <c r="T21" i="20"/>
  <c r="T22" i="20"/>
  <c r="T23" i="20"/>
  <c r="T24" i="20"/>
  <c r="T25" i="20"/>
  <c r="T26" i="20"/>
  <c r="T27" i="20"/>
  <c r="T28" i="20"/>
  <c r="T29" i="20"/>
  <c r="T30" i="20"/>
  <c r="T31" i="20"/>
  <c r="T32" i="20"/>
  <c r="T33" i="20"/>
  <c r="T34" i="20"/>
  <c r="T35" i="20"/>
  <c r="T36" i="20"/>
  <c r="T37" i="20"/>
  <c r="T38" i="20"/>
  <c r="T39" i="20"/>
  <c r="T40" i="20"/>
  <c r="T41" i="20"/>
  <c r="T42" i="20"/>
  <c r="T43" i="20"/>
  <c r="T44" i="20"/>
  <c r="T45" i="20"/>
  <c r="T46" i="20"/>
  <c r="T47" i="20"/>
  <c r="T48" i="20"/>
  <c r="T49" i="20"/>
  <c r="T50" i="20"/>
  <c r="T51" i="20"/>
  <c r="T52" i="20"/>
  <c r="T53" i="20"/>
  <c r="T54" i="20"/>
  <c r="T55" i="20"/>
  <c r="T56" i="20"/>
  <c r="T57" i="20"/>
  <c r="T58" i="20"/>
  <c r="T59" i="20"/>
  <c r="T60" i="20"/>
  <c r="T61" i="20"/>
  <c r="T62" i="20"/>
  <c r="T63" i="20"/>
  <c r="T64" i="20"/>
  <c r="T65" i="20"/>
  <c r="T66" i="20"/>
  <c r="T67" i="20"/>
  <c r="S5" i="20"/>
  <c r="S6" i="20"/>
  <c r="S7" i="20"/>
  <c r="S8" i="20"/>
  <c r="S9" i="20"/>
  <c r="S10" i="20"/>
  <c r="S11" i="20"/>
  <c r="S12" i="20"/>
  <c r="S13" i="20"/>
  <c r="S14" i="20"/>
  <c r="S15" i="20"/>
  <c r="S16" i="20"/>
  <c r="S17" i="20"/>
  <c r="S18" i="20"/>
  <c r="S19" i="20"/>
  <c r="S20" i="20"/>
  <c r="S21" i="20"/>
  <c r="S22" i="20"/>
  <c r="S23" i="20"/>
  <c r="S24" i="20"/>
  <c r="S25" i="20"/>
  <c r="S26" i="20"/>
  <c r="S27" i="20"/>
  <c r="S28" i="20"/>
  <c r="S29" i="20"/>
  <c r="S30" i="20"/>
  <c r="S31" i="20"/>
  <c r="S32" i="20"/>
  <c r="S33" i="20"/>
  <c r="S34" i="20"/>
  <c r="S35" i="20"/>
  <c r="S36" i="20"/>
  <c r="S37" i="20"/>
  <c r="S38" i="20"/>
  <c r="S39" i="20"/>
  <c r="S40" i="20"/>
  <c r="S41" i="20"/>
  <c r="S42" i="20"/>
  <c r="S43" i="20"/>
  <c r="S44" i="20"/>
  <c r="S45" i="20"/>
  <c r="S46" i="20"/>
  <c r="S47" i="20"/>
  <c r="S48" i="20"/>
  <c r="S49" i="20"/>
  <c r="S50" i="20"/>
  <c r="S51" i="20"/>
  <c r="S52" i="20"/>
  <c r="S53" i="20"/>
  <c r="S54" i="20"/>
  <c r="S55" i="20"/>
  <c r="S56" i="20"/>
  <c r="S57" i="20"/>
  <c r="S58" i="20"/>
  <c r="S59" i="20"/>
  <c r="S60" i="20"/>
  <c r="S61" i="20"/>
  <c r="S62" i="20"/>
  <c r="S63" i="20"/>
  <c r="S64" i="20"/>
  <c r="S65" i="20"/>
  <c r="S66" i="20"/>
  <c r="S67" i="20"/>
  <c r="P5" i="20"/>
  <c r="Z5" i="20" s="1"/>
  <c r="P6" i="20"/>
  <c r="Z6" i="20" s="1"/>
  <c r="P7" i="20"/>
  <c r="Z7" i="20" s="1"/>
  <c r="P8" i="20"/>
  <c r="Z8" i="20" s="1"/>
  <c r="P9" i="20"/>
  <c r="Z9" i="20" s="1"/>
  <c r="P10" i="20"/>
  <c r="Z10" i="20" s="1"/>
  <c r="P11" i="20"/>
  <c r="Z11" i="20" s="1"/>
  <c r="P12" i="20"/>
  <c r="Z12" i="20" s="1"/>
  <c r="P13" i="20"/>
  <c r="Z13" i="20" s="1"/>
  <c r="P14" i="20"/>
  <c r="Z14" i="20" s="1"/>
  <c r="P15" i="20"/>
  <c r="Z15" i="20" s="1"/>
  <c r="P16" i="20"/>
  <c r="Z16" i="20" s="1"/>
  <c r="P17" i="20"/>
  <c r="Z17" i="20" s="1"/>
  <c r="P18" i="20"/>
  <c r="Z18" i="20" s="1"/>
  <c r="P19" i="20"/>
  <c r="Z19" i="20" s="1"/>
  <c r="P20" i="20"/>
  <c r="Z20" i="20" s="1"/>
  <c r="P21" i="20"/>
  <c r="Z21" i="20" s="1"/>
  <c r="P22" i="20"/>
  <c r="Z22" i="20" s="1"/>
  <c r="P23" i="20"/>
  <c r="Z23" i="20" s="1"/>
  <c r="P24" i="20"/>
  <c r="Z24" i="20" s="1"/>
  <c r="P25" i="20"/>
  <c r="Z25" i="20" s="1"/>
  <c r="P26" i="20"/>
  <c r="Z26" i="20" s="1"/>
  <c r="P27" i="20"/>
  <c r="Z27" i="20" s="1"/>
  <c r="P28" i="20"/>
  <c r="Z28" i="20" s="1"/>
  <c r="P29" i="20"/>
  <c r="Z29" i="20" s="1"/>
  <c r="P30" i="20"/>
  <c r="Z30" i="20" s="1"/>
  <c r="P31" i="20"/>
  <c r="Z31" i="20" s="1"/>
  <c r="P32" i="20"/>
  <c r="Z32" i="20" s="1"/>
  <c r="P33" i="20"/>
  <c r="Z33" i="20" s="1"/>
  <c r="P34" i="20"/>
  <c r="Z34" i="20" s="1"/>
  <c r="P35" i="20"/>
  <c r="Z35" i="20" s="1"/>
  <c r="P41" i="20"/>
  <c r="Z41" i="20" s="1"/>
  <c r="P47" i="20"/>
  <c r="Z47" i="20" s="1"/>
  <c r="P65" i="20"/>
  <c r="Z65" i="20" s="1"/>
  <c r="P67" i="20"/>
  <c r="Z67" i="20" s="1"/>
  <c r="O5" i="20"/>
  <c r="Y5" i="20" s="1"/>
  <c r="O6" i="20"/>
  <c r="Y6" i="20" s="1"/>
  <c r="O7" i="20"/>
  <c r="Y7" i="20" s="1"/>
  <c r="O8" i="20"/>
  <c r="Y8" i="20" s="1"/>
  <c r="O9" i="20"/>
  <c r="Y9" i="20" s="1"/>
  <c r="O10" i="20"/>
  <c r="Y10" i="20" s="1"/>
  <c r="O11" i="20"/>
  <c r="Y11" i="20" s="1"/>
  <c r="O12" i="20"/>
  <c r="Y12" i="20" s="1"/>
  <c r="O13" i="20"/>
  <c r="Y13" i="20" s="1"/>
  <c r="O14" i="20"/>
  <c r="Y14" i="20" s="1"/>
  <c r="O15" i="20"/>
  <c r="Y15" i="20" s="1"/>
  <c r="O16" i="20"/>
  <c r="Y16" i="20" s="1"/>
  <c r="O17" i="20"/>
  <c r="Y17" i="20" s="1"/>
  <c r="O18" i="20"/>
  <c r="Y18" i="20" s="1"/>
  <c r="O19" i="20"/>
  <c r="Y19" i="20" s="1"/>
  <c r="O20" i="20"/>
  <c r="Y20" i="20" s="1"/>
  <c r="O21" i="20"/>
  <c r="Y21" i="20" s="1"/>
  <c r="O22" i="20"/>
  <c r="Y22" i="20" s="1"/>
  <c r="O23" i="20"/>
  <c r="Y23" i="20" s="1"/>
  <c r="O24" i="20"/>
  <c r="Y24" i="20" s="1"/>
  <c r="O25" i="20"/>
  <c r="Y25" i="20" s="1"/>
  <c r="O26" i="20"/>
  <c r="Y26" i="20" s="1"/>
  <c r="O27" i="20"/>
  <c r="Y27" i="20" s="1"/>
  <c r="O28" i="20"/>
  <c r="Y28" i="20" s="1"/>
  <c r="O29" i="20"/>
  <c r="Y29" i="20" s="1"/>
  <c r="O30" i="20"/>
  <c r="Y30" i="20" s="1"/>
  <c r="O31" i="20"/>
  <c r="Y31" i="20" s="1"/>
  <c r="O32" i="20"/>
  <c r="Y32" i="20" s="1"/>
  <c r="O33" i="20"/>
  <c r="Y33" i="20" s="1"/>
  <c r="O34" i="20"/>
  <c r="Y34" i="20" s="1"/>
  <c r="O35" i="20"/>
  <c r="Y35" i="20" s="1"/>
  <c r="O41" i="20"/>
  <c r="Y41" i="20" s="1"/>
  <c r="O47" i="20"/>
  <c r="Y47" i="20" s="1"/>
  <c r="O65" i="20"/>
  <c r="Y65" i="20" s="1"/>
  <c r="O67" i="20"/>
  <c r="Y67" i="20" s="1"/>
  <c r="N5" i="20"/>
  <c r="X5" i="20" s="1"/>
  <c r="N6" i="20"/>
  <c r="X6" i="20" s="1"/>
  <c r="N7" i="20"/>
  <c r="X7" i="20" s="1"/>
  <c r="N8" i="20"/>
  <c r="X8" i="20" s="1"/>
  <c r="N9" i="20"/>
  <c r="X9" i="20" s="1"/>
  <c r="N10" i="20"/>
  <c r="X10" i="20" s="1"/>
  <c r="N11" i="20"/>
  <c r="X11" i="20" s="1"/>
  <c r="N12" i="20"/>
  <c r="X12" i="20" s="1"/>
  <c r="B5" i="20"/>
  <c r="B6" i="20"/>
  <c r="B7" i="20"/>
  <c r="B8" i="20"/>
  <c r="B9" i="20"/>
  <c r="B10" i="20"/>
  <c r="B11" i="20"/>
  <c r="B12" i="20"/>
  <c r="B13" i="20"/>
  <c r="B14" i="20"/>
  <c r="B15" i="20"/>
  <c r="B16" i="20"/>
  <c r="B17" i="20"/>
  <c r="B18" i="20"/>
  <c r="B19" i="20"/>
  <c r="B20" i="20"/>
  <c r="B21" i="20"/>
  <c r="B22" i="20"/>
  <c r="B23" i="20"/>
  <c r="B24" i="20"/>
  <c r="B25" i="20"/>
  <c r="B26" i="20"/>
  <c r="B27" i="20"/>
  <c r="B28" i="20"/>
  <c r="B29" i="20"/>
  <c r="B30" i="20"/>
  <c r="B31" i="20"/>
  <c r="B32" i="20"/>
  <c r="B33" i="20"/>
  <c r="B34" i="20"/>
  <c r="B35" i="20"/>
  <c r="B36" i="20"/>
  <c r="J36" i="20" s="1"/>
  <c r="B37" i="20"/>
  <c r="B38" i="20"/>
  <c r="B39" i="20"/>
  <c r="B40" i="20"/>
  <c r="B41" i="20"/>
  <c r="B42" i="20"/>
  <c r="B43" i="20"/>
  <c r="B44" i="20"/>
  <c r="B45" i="20"/>
  <c r="B46" i="20"/>
  <c r="B47" i="20"/>
  <c r="B48" i="20"/>
  <c r="B49" i="20"/>
  <c r="B50" i="20"/>
  <c r="B51" i="20"/>
  <c r="B52" i="20"/>
  <c r="B53" i="20"/>
  <c r="B54" i="20"/>
  <c r="B55" i="20"/>
  <c r="B56" i="20"/>
  <c r="B57" i="20"/>
  <c r="B58" i="20"/>
  <c r="B59" i="20"/>
  <c r="B60" i="20"/>
  <c r="B61" i="20"/>
  <c r="B62" i="20"/>
  <c r="B63" i="20"/>
  <c r="B64" i="20"/>
  <c r="B65" i="20"/>
  <c r="B66" i="20"/>
  <c r="B67" i="20"/>
  <c r="L5" i="7"/>
  <c r="M5" i="7" s="1"/>
  <c r="L6" i="7"/>
  <c r="M6" i="7" s="1"/>
  <c r="L7" i="7"/>
  <c r="M7" i="7" s="1"/>
  <c r="L8" i="7"/>
  <c r="M8" i="7" s="1"/>
  <c r="L9" i="7"/>
  <c r="M9" i="7" s="1"/>
  <c r="L10" i="7"/>
  <c r="M10" i="7" s="1"/>
  <c r="L11" i="7"/>
  <c r="M11" i="7" s="1"/>
  <c r="L12" i="7"/>
  <c r="M12" i="7" s="1"/>
  <c r="L13" i="7"/>
  <c r="M13" i="7" s="1"/>
  <c r="L14" i="7"/>
  <c r="M14" i="7" s="1"/>
  <c r="L15" i="7"/>
  <c r="M15" i="7" s="1"/>
  <c r="L16" i="7"/>
  <c r="M16" i="7" s="1"/>
  <c r="L17" i="7"/>
  <c r="M17" i="7" s="1"/>
  <c r="L18" i="7"/>
  <c r="M18" i="7" s="1"/>
  <c r="L19" i="7"/>
  <c r="M19" i="7" s="1"/>
  <c r="L20" i="7"/>
  <c r="M20" i="7" s="1"/>
  <c r="L21" i="7"/>
  <c r="M21" i="7" s="1"/>
  <c r="L22" i="7"/>
  <c r="M22" i="7" s="1"/>
  <c r="L23" i="7"/>
  <c r="M23" i="7" s="1"/>
  <c r="L24" i="7"/>
  <c r="M24" i="7" s="1"/>
  <c r="K5" i="7"/>
  <c r="K6" i="7"/>
  <c r="K7" i="7"/>
  <c r="K8" i="7"/>
  <c r="K9" i="7"/>
  <c r="K10" i="7"/>
  <c r="K11" i="7"/>
  <c r="K12" i="7"/>
  <c r="K13" i="7"/>
  <c r="K14" i="7"/>
  <c r="K15" i="7"/>
  <c r="K16" i="7"/>
  <c r="K17" i="7"/>
  <c r="K18" i="7"/>
  <c r="K19" i="7"/>
  <c r="K20" i="7"/>
  <c r="K21" i="7"/>
  <c r="K22" i="7"/>
  <c r="K23" i="7"/>
  <c r="K24" i="7"/>
  <c r="J5" i="7"/>
  <c r="J6" i="7"/>
  <c r="J7" i="7"/>
  <c r="J8" i="7"/>
  <c r="J9" i="7"/>
  <c r="J10" i="7"/>
  <c r="J11" i="7"/>
  <c r="J12" i="7"/>
  <c r="J13" i="7"/>
  <c r="J14" i="7"/>
  <c r="J15" i="7"/>
  <c r="J16" i="7"/>
  <c r="J17" i="7"/>
  <c r="J18" i="7"/>
  <c r="J19" i="7"/>
  <c r="J20" i="7"/>
  <c r="J21" i="7"/>
  <c r="J22" i="7"/>
  <c r="J23" i="7"/>
  <c r="J24" i="7"/>
  <c r="H36" i="7"/>
  <c r="H37" i="7"/>
  <c r="H38" i="7"/>
  <c r="H39" i="7"/>
  <c r="H40" i="7"/>
  <c r="H41" i="7"/>
  <c r="H42" i="7"/>
  <c r="H43" i="7"/>
  <c r="H44" i="7"/>
  <c r="H45" i="7"/>
  <c r="H46" i="7"/>
  <c r="H47" i="7"/>
  <c r="H48" i="7"/>
  <c r="H49" i="7"/>
  <c r="H50" i="7"/>
  <c r="H51" i="7"/>
  <c r="H52" i="7"/>
  <c r="H26" i="7"/>
  <c r="H27" i="7"/>
  <c r="H28" i="7"/>
  <c r="H29" i="7"/>
  <c r="H30" i="7"/>
  <c r="H31" i="7"/>
  <c r="H32" i="7"/>
  <c r="H33" i="7"/>
  <c r="H34" i="7"/>
  <c r="H5" i="7"/>
  <c r="I5" i="7" s="1"/>
  <c r="H6" i="7"/>
  <c r="I6" i="7" s="1"/>
  <c r="H7" i="7"/>
  <c r="I7" i="7" s="1"/>
  <c r="H8" i="7"/>
  <c r="I8" i="7" s="1"/>
  <c r="H9" i="7"/>
  <c r="I9" i="7" s="1"/>
  <c r="H10" i="7"/>
  <c r="I10" i="7" s="1"/>
  <c r="H11" i="7"/>
  <c r="I11" i="7" s="1"/>
  <c r="H12" i="7"/>
  <c r="I12" i="7" s="1"/>
  <c r="H13" i="7"/>
  <c r="I13" i="7" s="1"/>
  <c r="H14" i="7"/>
  <c r="I14" i="7" s="1"/>
  <c r="H15" i="7"/>
  <c r="I15" i="7" s="1"/>
  <c r="H16" i="7"/>
  <c r="I16" i="7" s="1"/>
  <c r="H17" i="7"/>
  <c r="I17" i="7" s="1"/>
  <c r="H18" i="7"/>
  <c r="I18" i="7" s="1"/>
  <c r="H19" i="7"/>
  <c r="I19" i="7" s="1"/>
  <c r="H20" i="7"/>
  <c r="I20" i="7" s="1"/>
  <c r="H21" i="7"/>
  <c r="I21" i="7" s="1"/>
  <c r="H22" i="7"/>
  <c r="I22" i="7" s="1"/>
  <c r="H23" i="7"/>
  <c r="I23" i="7" s="1"/>
  <c r="H24" i="7"/>
  <c r="I24" i="7" s="1"/>
  <c r="AE5" i="6"/>
  <c r="AF5" i="6" s="1"/>
  <c r="AE6" i="6"/>
  <c r="AF6" i="6" s="1"/>
  <c r="AE7" i="6"/>
  <c r="AF7" i="6" s="1"/>
  <c r="AE8" i="6"/>
  <c r="AF8" i="6" s="1"/>
  <c r="AE9" i="6"/>
  <c r="AF9" i="6" s="1"/>
  <c r="AE10" i="6"/>
  <c r="AF10" i="6" s="1"/>
  <c r="AE11" i="6"/>
  <c r="AF11" i="6" s="1"/>
  <c r="AE12" i="6"/>
  <c r="AF12" i="6" s="1"/>
  <c r="AE13" i="6"/>
  <c r="AF13" i="6" s="1"/>
  <c r="AE14" i="6"/>
  <c r="AF14" i="6" s="1"/>
  <c r="AE15" i="6"/>
  <c r="AF15" i="6" s="1"/>
  <c r="AE16" i="6"/>
  <c r="AF16" i="6" s="1"/>
  <c r="AE17" i="6"/>
  <c r="AF17" i="6" s="1"/>
  <c r="AE18" i="6"/>
  <c r="AF18" i="6" s="1"/>
  <c r="AE19" i="6"/>
  <c r="AF19" i="6" s="1"/>
  <c r="AE20" i="6"/>
  <c r="AF20" i="6" s="1"/>
  <c r="AE21" i="6"/>
  <c r="AF21" i="6" s="1"/>
  <c r="AE22" i="6"/>
  <c r="AF22" i="6" s="1"/>
  <c r="AE23" i="6"/>
  <c r="AF23" i="6" s="1"/>
  <c r="AE24" i="6"/>
  <c r="AF24" i="6" s="1"/>
  <c r="AE25" i="6"/>
  <c r="AF25" i="6" s="1"/>
  <c r="AE26" i="6"/>
  <c r="AF26" i="6" s="1"/>
  <c r="AE27" i="6"/>
  <c r="AF27" i="6" s="1"/>
  <c r="AE28" i="6"/>
  <c r="AF28" i="6" s="1"/>
  <c r="AE29" i="6"/>
  <c r="AF29" i="6" s="1"/>
  <c r="AE30" i="6"/>
  <c r="AF30" i="6" s="1"/>
  <c r="AE31" i="6"/>
  <c r="AF31" i="6" s="1"/>
  <c r="AE32" i="6"/>
  <c r="AF32" i="6" s="1"/>
  <c r="AE33" i="6"/>
  <c r="AF33" i="6" s="1"/>
  <c r="AE34" i="6"/>
  <c r="AF34" i="6" s="1"/>
  <c r="AE35" i="6"/>
  <c r="AF35" i="6" s="1"/>
  <c r="AE36" i="6"/>
  <c r="AF36" i="6" s="1"/>
  <c r="AE37" i="6"/>
  <c r="AF37" i="6" s="1"/>
  <c r="AE38" i="6"/>
  <c r="AF38" i="6" s="1"/>
  <c r="AE39" i="6"/>
  <c r="AF39" i="6" s="1"/>
  <c r="AE40" i="6"/>
  <c r="AF40" i="6" s="1"/>
  <c r="AE41" i="6"/>
  <c r="AF41" i="6" s="1"/>
  <c r="AE42" i="6"/>
  <c r="AF42" i="6" s="1"/>
  <c r="AE43" i="6"/>
  <c r="AF43" i="6" s="1"/>
  <c r="AE44" i="6"/>
  <c r="AF44" i="6" s="1"/>
  <c r="AC46" i="6"/>
  <c r="AC47" i="6"/>
  <c r="AC48" i="6"/>
  <c r="AC49" i="6"/>
  <c r="AC50" i="6"/>
  <c r="AC51" i="6"/>
  <c r="AC52" i="6"/>
  <c r="AC53" i="6"/>
  <c r="AC54" i="6"/>
  <c r="AC55" i="6"/>
  <c r="AC56" i="6"/>
  <c r="AC57" i="6"/>
  <c r="AC58" i="6"/>
  <c r="AC59" i="6"/>
  <c r="AC60" i="6"/>
  <c r="AC61" i="6"/>
  <c r="AC62" i="6"/>
  <c r="AC63" i="6"/>
  <c r="AC64" i="6"/>
  <c r="AC65" i="6"/>
  <c r="AC66" i="6"/>
  <c r="AC5" i="6"/>
  <c r="AD5" i="6" s="1"/>
  <c r="AC6" i="6"/>
  <c r="AD6" i="6" s="1"/>
  <c r="AC7" i="6"/>
  <c r="AD7" i="6" s="1"/>
  <c r="AC8" i="6"/>
  <c r="AD8" i="6" s="1"/>
  <c r="AC9" i="6"/>
  <c r="AD9" i="6" s="1"/>
  <c r="AC10" i="6"/>
  <c r="AD10" i="6" s="1"/>
  <c r="AC11" i="6"/>
  <c r="AD11" i="6" s="1"/>
  <c r="AC12" i="6"/>
  <c r="AD12" i="6" s="1"/>
  <c r="AC13" i="6"/>
  <c r="AD13" i="6" s="1"/>
  <c r="AC14" i="6"/>
  <c r="AD14" i="6" s="1"/>
  <c r="AC15" i="6"/>
  <c r="AD15" i="6" s="1"/>
  <c r="AC16" i="6"/>
  <c r="AD16" i="6" s="1"/>
  <c r="AC17" i="6"/>
  <c r="AD17" i="6" s="1"/>
  <c r="AC18" i="6"/>
  <c r="AD18" i="6" s="1"/>
  <c r="AC19" i="6"/>
  <c r="AD19" i="6" s="1"/>
  <c r="AC20" i="6"/>
  <c r="AD20" i="6" s="1"/>
  <c r="AC21" i="6"/>
  <c r="AD21" i="6" s="1"/>
  <c r="AC22" i="6"/>
  <c r="AD22" i="6" s="1"/>
  <c r="AC23" i="6"/>
  <c r="AD23" i="6" s="1"/>
  <c r="AC24" i="6"/>
  <c r="AD24" i="6" s="1"/>
  <c r="AC25" i="6"/>
  <c r="AD25" i="6" s="1"/>
  <c r="AC26" i="6"/>
  <c r="AD26" i="6" s="1"/>
  <c r="AC27" i="6"/>
  <c r="AD27" i="6" s="1"/>
  <c r="AC28" i="6"/>
  <c r="AD28" i="6" s="1"/>
  <c r="AC29" i="6"/>
  <c r="AD29" i="6" s="1"/>
  <c r="AC30" i="6"/>
  <c r="AD30" i="6" s="1"/>
  <c r="AC31" i="6"/>
  <c r="AD31" i="6" s="1"/>
  <c r="AC32" i="6"/>
  <c r="AD32" i="6" s="1"/>
  <c r="AC33" i="6"/>
  <c r="AD33" i="6" s="1"/>
  <c r="AC34" i="6"/>
  <c r="AD34" i="6" s="1"/>
  <c r="AC35" i="6"/>
  <c r="AD35" i="6" s="1"/>
  <c r="AC36" i="6"/>
  <c r="AD36" i="6" s="1"/>
  <c r="AC37" i="6"/>
  <c r="AD37" i="6" s="1"/>
  <c r="AC38" i="6"/>
  <c r="AD38" i="6" s="1"/>
  <c r="AC39" i="6"/>
  <c r="AD39" i="6" s="1"/>
  <c r="AC40" i="6"/>
  <c r="AD40" i="6" s="1"/>
  <c r="AC41" i="6"/>
  <c r="AD41" i="6" s="1"/>
  <c r="AC42" i="6"/>
  <c r="AD42" i="6" s="1"/>
  <c r="AC43" i="6"/>
  <c r="AD43" i="6" s="1"/>
  <c r="AC44" i="6"/>
  <c r="AD44" i="6" s="1"/>
  <c r="V46" i="6"/>
  <c r="V47" i="6"/>
  <c r="V48" i="6"/>
  <c r="V49" i="6"/>
  <c r="V50" i="6"/>
  <c r="V51" i="6"/>
  <c r="V52" i="6"/>
  <c r="V53" i="6"/>
  <c r="V54" i="6"/>
  <c r="V55" i="6"/>
  <c r="V56" i="6"/>
  <c r="V57" i="6"/>
  <c r="V58" i="6"/>
  <c r="V59" i="6"/>
  <c r="V60" i="6"/>
  <c r="V61" i="6"/>
  <c r="V62" i="6"/>
  <c r="V63" i="6"/>
  <c r="V64" i="6"/>
  <c r="V65" i="6"/>
  <c r="V66" i="6"/>
  <c r="V5" i="6"/>
  <c r="V6" i="6"/>
  <c r="V7" i="6"/>
  <c r="V8" i="6"/>
  <c r="V9" i="6"/>
  <c r="V10" i="6"/>
  <c r="V11" i="6"/>
  <c r="V12" i="6"/>
  <c r="V13" i="6"/>
  <c r="V14" i="6"/>
  <c r="V15" i="6"/>
  <c r="V16" i="6"/>
  <c r="V17" i="6"/>
  <c r="V18" i="6"/>
  <c r="V19" i="6"/>
  <c r="V20" i="6"/>
  <c r="V21" i="6"/>
  <c r="V22" i="6"/>
  <c r="V23" i="6"/>
  <c r="V24" i="6"/>
  <c r="V25" i="6"/>
  <c r="V26" i="6"/>
  <c r="V27" i="6"/>
  <c r="V28" i="6"/>
  <c r="V29" i="6"/>
  <c r="V30" i="6"/>
  <c r="V31" i="6"/>
  <c r="V32" i="6"/>
  <c r="V33" i="6"/>
  <c r="V34" i="6"/>
  <c r="V35" i="6"/>
  <c r="V36" i="6"/>
  <c r="V37" i="6"/>
  <c r="V38" i="6"/>
  <c r="V39" i="6"/>
  <c r="V40" i="6"/>
  <c r="V41" i="6"/>
  <c r="V42" i="6"/>
  <c r="V43" i="6"/>
  <c r="V44" i="6"/>
  <c r="AS5" i="5"/>
  <c r="AT5" i="5" s="1"/>
  <c r="AS6" i="5"/>
  <c r="AT6" i="5" s="1"/>
  <c r="AS7" i="5"/>
  <c r="AT7" i="5" s="1"/>
  <c r="AS8" i="5"/>
  <c r="AT8" i="5" s="1"/>
  <c r="AS9" i="5"/>
  <c r="AT9" i="5" s="1"/>
  <c r="AS10" i="5"/>
  <c r="AT10" i="5" s="1"/>
  <c r="AS11" i="5"/>
  <c r="AT11" i="5" s="1"/>
  <c r="AS12" i="5"/>
  <c r="AT12" i="5" s="1"/>
  <c r="AS13" i="5"/>
  <c r="AT13" i="5" s="1"/>
  <c r="AS14" i="5"/>
  <c r="AT14" i="5" s="1"/>
  <c r="AS15" i="5"/>
  <c r="AT15" i="5" s="1"/>
  <c r="AS16" i="5"/>
  <c r="AT16" i="5" s="1"/>
  <c r="AS17" i="5"/>
  <c r="AT17" i="5" s="1"/>
  <c r="AS18" i="5"/>
  <c r="AT18" i="5" s="1"/>
  <c r="AS19" i="5"/>
  <c r="AT19" i="5" s="1"/>
  <c r="AQ25" i="5"/>
  <c r="AQ26" i="5"/>
  <c r="AQ27" i="5"/>
  <c r="AQ28" i="5"/>
  <c r="AQ29" i="5"/>
  <c r="AQ30" i="5"/>
  <c r="AQ31" i="5"/>
  <c r="AQ32" i="5"/>
  <c r="AQ33" i="5"/>
  <c r="AQ34" i="5"/>
  <c r="AQ35" i="5"/>
  <c r="AQ36" i="5"/>
  <c r="AQ37" i="5"/>
  <c r="AQ38" i="5"/>
  <c r="AQ39" i="5"/>
  <c r="AQ40" i="5"/>
  <c r="AQ41" i="5"/>
  <c r="AQ21" i="5"/>
  <c r="AQ22" i="5"/>
  <c r="AQ23" i="5"/>
  <c r="AQ5" i="5"/>
  <c r="AQ6" i="5"/>
  <c r="AR6" i="5" s="1"/>
  <c r="AQ7" i="5"/>
  <c r="AR7" i="5" s="1"/>
  <c r="AQ8" i="5"/>
  <c r="AR8" i="5" s="1"/>
  <c r="AQ9" i="5"/>
  <c r="AR9" i="5" s="1"/>
  <c r="AQ10" i="5"/>
  <c r="AR10" i="5" s="1"/>
  <c r="AQ11" i="5"/>
  <c r="AR11" i="5" s="1"/>
  <c r="AQ12" i="5"/>
  <c r="AR12" i="5" s="1"/>
  <c r="AQ13" i="5"/>
  <c r="AR13" i="5" s="1"/>
  <c r="AQ14" i="5"/>
  <c r="AR14" i="5" s="1"/>
  <c r="AQ15" i="5"/>
  <c r="AR15" i="5" s="1"/>
  <c r="AQ16" i="5"/>
  <c r="AR16" i="5" s="1"/>
  <c r="AQ17" i="5"/>
  <c r="AR17" i="5" s="1"/>
  <c r="AQ18" i="5"/>
  <c r="AR18" i="5" s="1"/>
  <c r="AQ19" i="5"/>
  <c r="AR19" i="5" s="1"/>
  <c r="AJ25" i="5"/>
  <c r="AJ26" i="5"/>
  <c r="AJ27" i="5"/>
  <c r="AJ28" i="5"/>
  <c r="AJ29" i="5"/>
  <c r="AJ30" i="5"/>
  <c r="AJ31" i="5"/>
  <c r="AJ32" i="5"/>
  <c r="AJ33" i="5"/>
  <c r="AJ34" i="5"/>
  <c r="AJ35" i="5"/>
  <c r="AJ36" i="5"/>
  <c r="AJ37" i="5"/>
  <c r="AJ38" i="5"/>
  <c r="AJ39" i="5"/>
  <c r="AJ40" i="5"/>
  <c r="AJ41" i="5"/>
  <c r="AJ21" i="5"/>
  <c r="AJ22" i="5"/>
  <c r="AJ23" i="5"/>
  <c r="AJ5" i="5"/>
  <c r="AJ6" i="5"/>
  <c r="AJ7" i="5"/>
  <c r="AJ8" i="5"/>
  <c r="AJ9" i="5"/>
  <c r="AJ10" i="5"/>
  <c r="AJ11" i="5"/>
  <c r="AJ12" i="5"/>
  <c r="AJ13" i="5"/>
  <c r="AJ14" i="5"/>
  <c r="AJ15" i="5"/>
  <c r="AJ16" i="5"/>
  <c r="AJ17" i="5"/>
  <c r="AJ18" i="5"/>
  <c r="AJ19" i="5"/>
  <c r="S25" i="5"/>
  <c r="S26" i="5"/>
  <c r="S27" i="5"/>
  <c r="S28" i="5"/>
  <c r="S29" i="5"/>
  <c r="S30" i="5"/>
  <c r="S31" i="5"/>
  <c r="S32" i="5"/>
  <c r="S33" i="5"/>
  <c r="S34" i="5"/>
  <c r="S35" i="5"/>
  <c r="S36" i="5"/>
  <c r="S37" i="5"/>
  <c r="S38" i="5"/>
  <c r="S39" i="5"/>
  <c r="S40" i="5"/>
  <c r="S41" i="5"/>
  <c r="S21" i="5"/>
  <c r="S22" i="5"/>
  <c r="S23" i="5"/>
  <c r="S5" i="5"/>
  <c r="S6" i="5"/>
  <c r="S7" i="5"/>
  <c r="S8" i="5"/>
  <c r="S9" i="5"/>
  <c r="S10" i="5"/>
  <c r="S11" i="5"/>
  <c r="S12" i="5"/>
  <c r="S13" i="5"/>
  <c r="S14" i="5"/>
  <c r="S15" i="5"/>
  <c r="S16" i="5"/>
  <c r="S17" i="5"/>
  <c r="S18" i="5"/>
  <c r="S19" i="5"/>
  <c r="BK5" i="4"/>
  <c r="BL5" i="4" s="1"/>
  <c r="BK6" i="4"/>
  <c r="BL6" i="4" s="1"/>
  <c r="BK7" i="4"/>
  <c r="BL7" i="4" s="1"/>
  <c r="BK8" i="4"/>
  <c r="BL8" i="4" s="1"/>
  <c r="BK9" i="4"/>
  <c r="BL9" i="4" s="1"/>
  <c r="BK10" i="4"/>
  <c r="BL10" i="4" s="1"/>
  <c r="BK11" i="4"/>
  <c r="BL11" i="4" s="1"/>
  <c r="BK12" i="4"/>
  <c r="BL12" i="4" s="1"/>
  <c r="BK13" i="4"/>
  <c r="BL13" i="4" s="1"/>
  <c r="BK14" i="4"/>
  <c r="BL14" i="4" s="1"/>
  <c r="BK15" i="4"/>
  <c r="BL15" i="4" s="1"/>
  <c r="BK16" i="4"/>
  <c r="BL16" i="4" s="1"/>
  <c r="BK17" i="4"/>
  <c r="BL17" i="4" s="1"/>
  <c r="BK18" i="4"/>
  <c r="BL18" i="4" s="1"/>
  <c r="BK19" i="4"/>
  <c r="BL19" i="4" s="1"/>
  <c r="BK20" i="4"/>
  <c r="BL20" i="4" s="1"/>
  <c r="BK21" i="4"/>
  <c r="BL21" i="4" s="1"/>
  <c r="BK22" i="4"/>
  <c r="BL22" i="4" s="1"/>
  <c r="BK23" i="4"/>
  <c r="BL23" i="4" s="1"/>
  <c r="BK24" i="4"/>
  <c r="BL24" i="4" s="1"/>
  <c r="BK25" i="4"/>
  <c r="BL25" i="4" s="1"/>
  <c r="BK26" i="4"/>
  <c r="BL26" i="4" s="1"/>
  <c r="BK27" i="4"/>
  <c r="BL27" i="4" s="1"/>
  <c r="BK28" i="4"/>
  <c r="BL28" i="4" s="1"/>
  <c r="BK29" i="4"/>
  <c r="BL29" i="4" s="1"/>
  <c r="BK30" i="4"/>
  <c r="BL30" i="4" s="1"/>
  <c r="BK31" i="4"/>
  <c r="BL31" i="4" s="1"/>
  <c r="BK32" i="4"/>
  <c r="BL32" i="4" s="1"/>
  <c r="BK33" i="4"/>
  <c r="BL33" i="4" s="1"/>
  <c r="BK34" i="4"/>
  <c r="BL34" i="4" s="1"/>
  <c r="BK35" i="4"/>
  <c r="BL35" i="4" s="1"/>
  <c r="BK36" i="4"/>
  <c r="BL36" i="4" s="1"/>
  <c r="BK37" i="4"/>
  <c r="BL37" i="4" s="1"/>
  <c r="BK38" i="4"/>
  <c r="BL38" i="4" s="1"/>
  <c r="BK39" i="4"/>
  <c r="BL39" i="4" s="1"/>
  <c r="BK40" i="4"/>
  <c r="BL40" i="4" s="1"/>
  <c r="BK41" i="4"/>
  <c r="BL41" i="4" s="1"/>
  <c r="BK42" i="4"/>
  <c r="BL42" i="4" s="1"/>
  <c r="BK43" i="4"/>
  <c r="BL43" i="4" s="1"/>
  <c r="BK44" i="4"/>
  <c r="BL44" i="4" s="1"/>
  <c r="BK45" i="4"/>
  <c r="BL45" i="4" s="1"/>
  <c r="BK46" i="4"/>
  <c r="BL46" i="4" s="1"/>
  <c r="BK47" i="4"/>
  <c r="BL47" i="4" s="1"/>
  <c r="BK48" i="4"/>
  <c r="BL48" i="4" s="1"/>
  <c r="BK49" i="4"/>
  <c r="BL49" i="4" s="1"/>
  <c r="BK50" i="4"/>
  <c r="BL50" i="4" s="1"/>
  <c r="BK51" i="4"/>
  <c r="BL51" i="4" s="1"/>
  <c r="BK52" i="4"/>
  <c r="BL52" i="4" s="1"/>
  <c r="BK53" i="4"/>
  <c r="BL53" i="4" s="1"/>
  <c r="BK54" i="4"/>
  <c r="BL54" i="4" s="1"/>
  <c r="BK55" i="4"/>
  <c r="BL55" i="4" s="1"/>
  <c r="BK56" i="4"/>
  <c r="BL56" i="4" s="1"/>
  <c r="BK57" i="4"/>
  <c r="BL57" i="4" s="1"/>
  <c r="BK58" i="4"/>
  <c r="BL58" i="4" s="1"/>
  <c r="BK59" i="4"/>
  <c r="BL59" i="4" s="1"/>
  <c r="BK60" i="4"/>
  <c r="BL60" i="4" s="1"/>
  <c r="BK61" i="4"/>
  <c r="BL61" i="4" s="1"/>
  <c r="BK62" i="4"/>
  <c r="BL62" i="4" s="1"/>
  <c r="BK63" i="4"/>
  <c r="BL63" i="4" s="1"/>
  <c r="BK64" i="4"/>
  <c r="BL64" i="4" s="1"/>
  <c r="BJ5" i="4"/>
  <c r="BJ6" i="4"/>
  <c r="BJ7" i="4"/>
  <c r="BJ8" i="4"/>
  <c r="BJ9" i="4"/>
  <c r="BJ10" i="4"/>
  <c r="BJ11" i="4"/>
  <c r="BJ12" i="4"/>
  <c r="BJ13" i="4"/>
  <c r="BJ14" i="4"/>
  <c r="BJ15" i="4"/>
  <c r="BJ16" i="4"/>
  <c r="BJ17" i="4"/>
  <c r="BJ18" i="4"/>
  <c r="BJ19" i="4"/>
  <c r="BJ20" i="4"/>
  <c r="BJ21" i="4"/>
  <c r="BJ22" i="4"/>
  <c r="BJ23" i="4"/>
  <c r="BJ24" i="4"/>
  <c r="BJ25" i="4"/>
  <c r="BJ26" i="4"/>
  <c r="BJ27" i="4"/>
  <c r="BJ28" i="4"/>
  <c r="BJ29" i="4"/>
  <c r="BJ30" i="4"/>
  <c r="BJ31" i="4"/>
  <c r="BJ32" i="4"/>
  <c r="BJ33" i="4"/>
  <c r="BJ34" i="4"/>
  <c r="BJ35" i="4"/>
  <c r="BJ36" i="4"/>
  <c r="BJ37" i="4"/>
  <c r="BJ38" i="4"/>
  <c r="BJ39" i="4"/>
  <c r="BJ40" i="4"/>
  <c r="BJ41" i="4"/>
  <c r="BJ42" i="4"/>
  <c r="BJ43" i="4"/>
  <c r="BJ44" i="4"/>
  <c r="BJ45" i="4"/>
  <c r="BJ46" i="4"/>
  <c r="BJ47" i="4"/>
  <c r="BJ48" i="4"/>
  <c r="BJ49" i="4"/>
  <c r="BJ50" i="4"/>
  <c r="BJ51" i="4"/>
  <c r="BJ52" i="4"/>
  <c r="BJ53" i="4"/>
  <c r="BJ54" i="4"/>
  <c r="BJ55" i="4"/>
  <c r="BJ56" i="4"/>
  <c r="BJ57" i="4"/>
  <c r="BJ58" i="4"/>
  <c r="BJ59" i="4"/>
  <c r="BJ60" i="4"/>
  <c r="BJ61" i="4"/>
  <c r="BJ62" i="4"/>
  <c r="BJ63" i="4"/>
  <c r="BJ64" i="4"/>
  <c r="BI71" i="4"/>
  <c r="BI72" i="4"/>
  <c r="BI73" i="4"/>
  <c r="BI76" i="4"/>
  <c r="BI77" i="4"/>
  <c r="BI78" i="4"/>
  <c r="BI67" i="4"/>
  <c r="BI68" i="4"/>
  <c r="BI69" i="4"/>
  <c r="BI5" i="4"/>
  <c r="BI6" i="4"/>
  <c r="BI7" i="4"/>
  <c r="BI8" i="4"/>
  <c r="BI9" i="4"/>
  <c r="BI10" i="4"/>
  <c r="BI11" i="4"/>
  <c r="BI12" i="4"/>
  <c r="BI13" i="4"/>
  <c r="BI14" i="4"/>
  <c r="BI15" i="4"/>
  <c r="BI16" i="4"/>
  <c r="BI17" i="4"/>
  <c r="BI18" i="4"/>
  <c r="BI19" i="4"/>
  <c r="BI20" i="4"/>
  <c r="BI21" i="4"/>
  <c r="BI22" i="4"/>
  <c r="BI23" i="4"/>
  <c r="BI24" i="4"/>
  <c r="BI25" i="4"/>
  <c r="BI26" i="4"/>
  <c r="BI27" i="4"/>
  <c r="BI28" i="4"/>
  <c r="BI29" i="4"/>
  <c r="BI30" i="4"/>
  <c r="BI31" i="4"/>
  <c r="BI32" i="4"/>
  <c r="BI33" i="4"/>
  <c r="BI34" i="4"/>
  <c r="BI35" i="4"/>
  <c r="BI36" i="4"/>
  <c r="BI37" i="4"/>
  <c r="BI38" i="4"/>
  <c r="BI39" i="4"/>
  <c r="BI40" i="4"/>
  <c r="BI41" i="4"/>
  <c r="BI42" i="4"/>
  <c r="BI43" i="4"/>
  <c r="BI44" i="4"/>
  <c r="BI45" i="4"/>
  <c r="BI46" i="4"/>
  <c r="BI47" i="4"/>
  <c r="BI48" i="4"/>
  <c r="BI49" i="4"/>
  <c r="BI50" i="4"/>
  <c r="BI51" i="4"/>
  <c r="BI52" i="4"/>
  <c r="BI53" i="4"/>
  <c r="BI54" i="4"/>
  <c r="BI55" i="4"/>
  <c r="BI56" i="4"/>
  <c r="BI57" i="4"/>
  <c r="BI58" i="4"/>
  <c r="BI59" i="4"/>
  <c r="BI60" i="4"/>
  <c r="BI61" i="4"/>
  <c r="BI62" i="4"/>
  <c r="BI63" i="4"/>
  <c r="BI64" i="4"/>
  <c r="AY71" i="4"/>
  <c r="AY72" i="4"/>
  <c r="AY73" i="4"/>
  <c r="AY74" i="4"/>
  <c r="AY75" i="4"/>
  <c r="AY76" i="4"/>
  <c r="AY77" i="4"/>
  <c r="AY78" i="4"/>
  <c r="AY66" i="4"/>
  <c r="AY67" i="4"/>
  <c r="AY68" i="4"/>
  <c r="AY69" i="4"/>
  <c r="AY5" i="4"/>
  <c r="AY6" i="4"/>
  <c r="AY7" i="4"/>
  <c r="AY8" i="4"/>
  <c r="AY9" i="4"/>
  <c r="AY10" i="4"/>
  <c r="AY11" i="4"/>
  <c r="AY12" i="4"/>
  <c r="AY13" i="4"/>
  <c r="AY14" i="4"/>
  <c r="AY15" i="4"/>
  <c r="AY16" i="4"/>
  <c r="AY17" i="4"/>
  <c r="AY18" i="4"/>
  <c r="AY19" i="4"/>
  <c r="AY20" i="4"/>
  <c r="AY21" i="4"/>
  <c r="AY22" i="4"/>
  <c r="AY23" i="4"/>
  <c r="AY24" i="4"/>
  <c r="AY25" i="4"/>
  <c r="AY26" i="4"/>
  <c r="AY27" i="4"/>
  <c r="AY28" i="4"/>
  <c r="AY29" i="4"/>
  <c r="AY30" i="4"/>
  <c r="AY31" i="4"/>
  <c r="AY32" i="4"/>
  <c r="AY33" i="4"/>
  <c r="AY34" i="4"/>
  <c r="AY35" i="4"/>
  <c r="AY36" i="4"/>
  <c r="AY37" i="4"/>
  <c r="AY38" i="4"/>
  <c r="AY39" i="4"/>
  <c r="AY40" i="4"/>
  <c r="AY41" i="4"/>
  <c r="AY42" i="4"/>
  <c r="AY43" i="4"/>
  <c r="AY44" i="4"/>
  <c r="AY45" i="4"/>
  <c r="AY46" i="4"/>
  <c r="AY47" i="4"/>
  <c r="AY48" i="4"/>
  <c r="AY49" i="4"/>
  <c r="AY50" i="4"/>
  <c r="AY51" i="4"/>
  <c r="AY52" i="4"/>
  <c r="AY53" i="4"/>
  <c r="AY54" i="4"/>
  <c r="AY55" i="4"/>
  <c r="AY56" i="4"/>
  <c r="AY57" i="4"/>
  <c r="AY58" i="4"/>
  <c r="AY59" i="4"/>
  <c r="AY60" i="4"/>
  <c r="AY61" i="4"/>
  <c r="AY62" i="4"/>
  <c r="AY63" i="4"/>
  <c r="AY64" i="4"/>
  <c r="AX71" i="4"/>
  <c r="AX72" i="4"/>
  <c r="AX73" i="4"/>
  <c r="AX74" i="4"/>
  <c r="AX75" i="4"/>
  <c r="AX76" i="4"/>
  <c r="AX77" i="4"/>
  <c r="AX78" i="4"/>
  <c r="AX66" i="4"/>
  <c r="AX67" i="4"/>
  <c r="AX68" i="4"/>
  <c r="AX69" i="4"/>
  <c r="AX5" i="4"/>
  <c r="AX6" i="4"/>
  <c r="AX7" i="4"/>
  <c r="AX8" i="4"/>
  <c r="AX9" i="4"/>
  <c r="AX10" i="4"/>
  <c r="AX11" i="4"/>
  <c r="AX12" i="4"/>
  <c r="AX13" i="4"/>
  <c r="AX14" i="4"/>
  <c r="AX15" i="4"/>
  <c r="AX16" i="4"/>
  <c r="AX17" i="4"/>
  <c r="AX18" i="4"/>
  <c r="AX19" i="4"/>
  <c r="AX20" i="4"/>
  <c r="AX21" i="4"/>
  <c r="AX22" i="4"/>
  <c r="AX23" i="4"/>
  <c r="AX24" i="4"/>
  <c r="AX25" i="4"/>
  <c r="AX26" i="4"/>
  <c r="AX27" i="4"/>
  <c r="AX28" i="4"/>
  <c r="AX29" i="4"/>
  <c r="AX30" i="4"/>
  <c r="AX31" i="4"/>
  <c r="AX32" i="4"/>
  <c r="AX33" i="4"/>
  <c r="AX34" i="4"/>
  <c r="AX35" i="4"/>
  <c r="AX36" i="4"/>
  <c r="AX37" i="4"/>
  <c r="AX38" i="4"/>
  <c r="AX39" i="4"/>
  <c r="AX40" i="4"/>
  <c r="AX41" i="4"/>
  <c r="AX42" i="4"/>
  <c r="AX43" i="4"/>
  <c r="AX44" i="4"/>
  <c r="AX45" i="4"/>
  <c r="AX46" i="4"/>
  <c r="AX47" i="4"/>
  <c r="AX48" i="4"/>
  <c r="AX49" i="4"/>
  <c r="AX50" i="4"/>
  <c r="AX51" i="4"/>
  <c r="AX52" i="4"/>
  <c r="AX53" i="4"/>
  <c r="AX54" i="4"/>
  <c r="AX55" i="4"/>
  <c r="AX56" i="4"/>
  <c r="AX57" i="4"/>
  <c r="AX58" i="4"/>
  <c r="AX59" i="4"/>
  <c r="AX60" i="4"/>
  <c r="AX61" i="4"/>
  <c r="AX62" i="4"/>
  <c r="AX63" i="4"/>
  <c r="AX64" i="4"/>
  <c r="AW71" i="4"/>
  <c r="AW72" i="4"/>
  <c r="AW73" i="4"/>
  <c r="AW74" i="4"/>
  <c r="AW75" i="4"/>
  <c r="AW76" i="4"/>
  <c r="AW77" i="4"/>
  <c r="AW78" i="4"/>
  <c r="AW66" i="4"/>
  <c r="AW67" i="4"/>
  <c r="AW68" i="4"/>
  <c r="AW69" i="4"/>
  <c r="AW5" i="4"/>
  <c r="AW6" i="4"/>
  <c r="AW7" i="4"/>
  <c r="AW8" i="4"/>
  <c r="AW9" i="4"/>
  <c r="AW10" i="4"/>
  <c r="AW11" i="4"/>
  <c r="AW12" i="4"/>
  <c r="AW13" i="4"/>
  <c r="AW14" i="4"/>
  <c r="AW15" i="4"/>
  <c r="AW16" i="4"/>
  <c r="AW17" i="4"/>
  <c r="AW18" i="4"/>
  <c r="AW19" i="4"/>
  <c r="AW20" i="4"/>
  <c r="AW21" i="4"/>
  <c r="AW22" i="4"/>
  <c r="AW23" i="4"/>
  <c r="AW24" i="4"/>
  <c r="AW25" i="4"/>
  <c r="AW26" i="4"/>
  <c r="AW27" i="4"/>
  <c r="AW28" i="4"/>
  <c r="AW29" i="4"/>
  <c r="AW30" i="4"/>
  <c r="AW31" i="4"/>
  <c r="AW32" i="4"/>
  <c r="AW33" i="4"/>
  <c r="AW34" i="4"/>
  <c r="AW35" i="4"/>
  <c r="AW36" i="4"/>
  <c r="AW37" i="4"/>
  <c r="AW38" i="4"/>
  <c r="AW39" i="4"/>
  <c r="AW40" i="4"/>
  <c r="AW41" i="4"/>
  <c r="AW42" i="4"/>
  <c r="AW43" i="4"/>
  <c r="AW44" i="4"/>
  <c r="AW45" i="4"/>
  <c r="AW46" i="4"/>
  <c r="AW47" i="4"/>
  <c r="AW48" i="4"/>
  <c r="AW49" i="4"/>
  <c r="AW50" i="4"/>
  <c r="AW51" i="4"/>
  <c r="AW52" i="4"/>
  <c r="AW53" i="4"/>
  <c r="AW54" i="4"/>
  <c r="AW55" i="4"/>
  <c r="AW56" i="4"/>
  <c r="AW57" i="4"/>
  <c r="AW58" i="4"/>
  <c r="AW59" i="4"/>
  <c r="AW60" i="4"/>
  <c r="AW61" i="4"/>
  <c r="AW62" i="4"/>
  <c r="AW63" i="4"/>
  <c r="AW64" i="4"/>
  <c r="AV71" i="4"/>
  <c r="AZ71" i="4" s="1"/>
  <c r="AV72" i="4"/>
  <c r="AZ72" i="4" s="1"/>
  <c r="AV73" i="4"/>
  <c r="AZ73" i="4" s="1"/>
  <c r="AV74" i="4"/>
  <c r="AZ74" i="4" s="1"/>
  <c r="AV75" i="4"/>
  <c r="AZ75" i="4" s="1"/>
  <c r="AV76" i="4"/>
  <c r="AV77" i="4"/>
  <c r="AV78" i="4"/>
  <c r="AV66" i="4"/>
  <c r="AZ66" i="4" s="1"/>
  <c r="AV67" i="4"/>
  <c r="AZ67" i="4" s="1"/>
  <c r="AV68" i="4"/>
  <c r="AZ68" i="4" s="1"/>
  <c r="AV69" i="4"/>
  <c r="AZ69" i="4" s="1"/>
  <c r="AV5" i="4"/>
  <c r="AZ5" i="4" s="1"/>
  <c r="AV6" i="4"/>
  <c r="AZ6" i="4" s="1"/>
  <c r="AV7" i="4"/>
  <c r="AZ7" i="4" s="1"/>
  <c r="AV8" i="4"/>
  <c r="AZ8" i="4" s="1"/>
  <c r="AV9" i="4"/>
  <c r="AZ9" i="4" s="1"/>
  <c r="AV10" i="4"/>
  <c r="AZ10" i="4" s="1"/>
  <c r="AV11" i="4"/>
  <c r="AZ11" i="4" s="1"/>
  <c r="AV12" i="4"/>
  <c r="AZ12" i="4" s="1"/>
  <c r="AV13" i="4"/>
  <c r="AZ13" i="4" s="1"/>
  <c r="AV14" i="4"/>
  <c r="AZ14" i="4" s="1"/>
  <c r="AV15" i="4"/>
  <c r="AZ15" i="4" s="1"/>
  <c r="AV16" i="4"/>
  <c r="AZ16" i="4" s="1"/>
  <c r="AV17" i="4"/>
  <c r="AZ17" i="4" s="1"/>
  <c r="AV18" i="4"/>
  <c r="AZ18" i="4" s="1"/>
  <c r="AV19" i="4"/>
  <c r="AZ19" i="4" s="1"/>
  <c r="AV20" i="4"/>
  <c r="AZ20" i="4" s="1"/>
  <c r="AV21" i="4"/>
  <c r="AZ21" i="4" s="1"/>
  <c r="AV22" i="4"/>
  <c r="AZ22" i="4" s="1"/>
  <c r="AV23" i="4"/>
  <c r="AZ23" i="4" s="1"/>
  <c r="AV24" i="4"/>
  <c r="AZ24" i="4" s="1"/>
  <c r="AV25" i="4"/>
  <c r="AZ25" i="4" s="1"/>
  <c r="AV26" i="4"/>
  <c r="AZ26" i="4" s="1"/>
  <c r="AV27" i="4"/>
  <c r="AZ27" i="4" s="1"/>
  <c r="AV28" i="4"/>
  <c r="AZ28" i="4" s="1"/>
  <c r="AV29" i="4"/>
  <c r="AZ29" i="4" s="1"/>
  <c r="AV30" i="4"/>
  <c r="AZ30" i="4" s="1"/>
  <c r="AV31" i="4"/>
  <c r="AZ31" i="4" s="1"/>
  <c r="AV32" i="4"/>
  <c r="AZ32" i="4" s="1"/>
  <c r="AV33" i="4"/>
  <c r="AZ33" i="4" s="1"/>
  <c r="AV34" i="4"/>
  <c r="AZ34" i="4" s="1"/>
  <c r="AV35" i="4"/>
  <c r="AZ35" i="4" s="1"/>
  <c r="AV36" i="4"/>
  <c r="AZ36" i="4" s="1"/>
  <c r="AV37" i="4"/>
  <c r="AZ37" i="4" s="1"/>
  <c r="AV38" i="4"/>
  <c r="AZ38" i="4" s="1"/>
  <c r="AV39" i="4"/>
  <c r="AZ39" i="4" s="1"/>
  <c r="AV40" i="4"/>
  <c r="AZ40" i="4" s="1"/>
  <c r="AV41" i="4"/>
  <c r="AZ41" i="4" s="1"/>
  <c r="AV42" i="4"/>
  <c r="AZ42" i="4" s="1"/>
  <c r="AV43" i="4"/>
  <c r="AZ43" i="4" s="1"/>
  <c r="AV44" i="4"/>
  <c r="AZ44" i="4" s="1"/>
  <c r="AV45" i="4"/>
  <c r="AZ45" i="4" s="1"/>
  <c r="AV46" i="4"/>
  <c r="AZ46" i="4" s="1"/>
  <c r="AV47" i="4"/>
  <c r="AV48" i="4"/>
  <c r="AV49" i="4"/>
  <c r="AV50" i="4"/>
  <c r="AV51" i="4"/>
  <c r="AV52" i="4"/>
  <c r="AV53" i="4"/>
  <c r="AV54" i="4"/>
  <c r="AV55" i="4"/>
  <c r="AV56" i="4"/>
  <c r="AV57" i="4"/>
  <c r="AV58" i="4"/>
  <c r="AV59" i="4"/>
  <c r="AV60" i="4"/>
  <c r="AV61" i="4"/>
  <c r="AV62" i="4"/>
  <c r="AV63" i="4"/>
  <c r="AV64" i="4"/>
  <c r="AU71" i="4"/>
  <c r="AU72" i="4"/>
  <c r="AU73" i="4"/>
  <c r="AU74" i="4"/>
  <c r="AU75" i="4"/>
  <c r="AU76" i="4"/>
  <c r="AU77" i="4"/>
  <c r="AU78" i="4"/>
  <c r="AU66" i="4"/>
  <c r="AU67" i="4"/>
  <c r="AU68" i="4"/>
  <c r="AU69" i="4"/>
  <c r="AU5" i="4"/>
  <c r="AU6" i="4"/>
  <c r="AU7" i="4"/>
  <c r="AU8" i="4"/>
  <c r="AU9" i="4"/>
  <c r="AU10" i="4"/>
  <c r="AU11" i="4"/>
  <c r="AU12" i="4"/>
  <c r="AU13" i="4"/>
  <c r="AU14" i="4"/>
  <c r="AU15" i="4"/>
  <c r="AU16" i="4"/>
  <c r="AU17" i="4"/>
  <c r="AU18" i="4"/>
  <c r="AU19" i="4"/>
  <c r="AU20" i="4"/>
  <c r="AU21" i="4"/>
  <c r="AU22" i="4"/>
  <c r="AU23" i="4"/>
  <c r="AU24" i="4"/>
  <c r="AU25" i="4"/>
  <c r="AU26" i="4"/>
  <c r="AU27" i="4"/>
  <c r="AU28" i="4"/>
  <c r="AU29" i="4"/>
  <c r="AU30" i="4"/>
  <c r="AU31" i="4"/>
  <c r="AU32" i="4"/>
  <c r="AU33" i="4"/>
  <c r="AU34" i="4"/>
  <c r="AU35" i="4"/>
  <c r="AU36" i="4"/>
  <c r="AU37" i="4"/>
  <c r="AU38" i="4"/>
  <c r="AU39" i="4"/>
  <c r="AU40" i="4"/>
  <c r="AU41" i="4"/>
  <c r="AU42" i="4"/>
  <c r="AU43" i="4"/>
  <c r="AU44" i="4"/>
  <c r="AU45" i="4"/>
  <c r="AU46" i="4"/>
  <c r="AU47" i="4"/>
  <c r="AU48" i="4"/>
  <c r="AU49" i="4"/>
  <c r="AU50" i="4"/>
  <c r="AU51" i="4"/>
  <c r="AU52" i="4"/>
  <c r="AU53" i="4"/>
  <c r="AU54" i="4"/>
  <c r="AU55" i="4"/>
  <c r="AU56" i="4"/>
  <c r="AU57" i="4"/>
  <c r="AU58" i="4"/>
  <c r="AU59" i="4"/>
  <c r="AU60" i="4"/>
  <c r="AU61" i="4"/>
  <c r="AU62" i="4"/>
  <c r="AU63" i="4"/>
  <c r="AU64" i="4"/>
  <c r="AT71" i="4"/>
  <c r="AT72" i="4"/>
  <c r="AT73" i="4"/>
  <c r="AT74" i="4"/>
  <c r="AT75" i="4"/>
  <c r="AT76" i="4"/>
  <c r="AT77" i="4"/>
  <c r="AT78" i="4"/>
  <c r="AT66" i="4"/>
  <c r="AT67" i="4"/>
  <c r="AT68" i="4"/>
  <c r="AT69" i="4"/>
  <c r="AT5" i="4"/>
  <c r="AT6" i="4"/>
  <c r="AT7" i="4"/>
  <c r="AT8" i="4"/>
  <c r="AT9" i="4"/>
  <c r="AT10" i="4"/>
  <c r="AT11" i="4"/>
  <c r="AT12" i="4"/>
  <c r="AT13" i="4"/>
  <c r="AT14" i="4"/>
  <c r="AT15" i="4"/>
  <c r="AT16" i="4"/>
  <c r="AT17" i="4"/>
  <c r="AT18" i="4"/>
  <c r="AT19" i="4"/>
  <c r="AT20" i="4"/>
  <c r="AT21" i="4"/>
  <c r="AT22" i="4"/>
  <c r="AT23" i="4"/>
  <c r="AT24" i="4"/>
  <c r="AT25" i="4"/>
  <c r="AT26" i="4"/>
  <c r="AT27" i="4"/>
  <c r="AT28" i="4"/>
  <c r="AT29" i="4"/>
  <c r="AT30" i="4"/>
  <c r="AT31" i="4"/>
  <c r="AT32" i="4"/>
  <c r="AT33" i="4"/>
  <c r="AT34" i="4"/>
  <c r="AT35" i="4"/>
  <c r="AT36" i="4"/>
  <c r="AT37" i="4"/>
  <c r="AT38" i="4"/>
  <c r="AT39" i="4"/>
  <c r="AT40" i="4"/>
  <c r="AT41" i="4"/>
  <c r="AT42" i="4"/>
  <c r="AT43" i="4"/>
  <c r="AT44" i="4"/>
  <c r="AT45" i="4"/>
  <c r="AT46" i="4"/>
  <c r="AT47" i="4"/>
  <c r="AT48" i="4"/>
  <c r="AT49" i="4"/>
  <c r="AT50" i="4"/>
  <c r="AT51" i="4"/>
  <c r="AT52" i="4"/>
  <c r="AT53" i="4"/>
  <c r="AT54" i="4"/>
  <c r="AT55" i="4"/>
  <c r="AT56" i="4"/>
  <c r="AT57" i="4"/>
  <c r="AT58" i="4"/>
  <c r="AT59" i="4"/>
  <c r="AT60" i="4"/>
  <c r="AT61" i="4"/>
  <c r="AT62" i="4"/>
  <c r="AT63" i="4"/>
  <c r="AT64" i="4"/>
  <c r="AN71" i="4"/>
  <c r="BJ71" i="4" s="1"/>
  <c r="AN72" i="4"/>
  <c r="BJ72" i="4" s="1"/>
  <c r="AN73" i="4"/>
  <c r="BJ73" i="4" s="1"/>
  <c r="AN74" i="4"/>
  <c r="BJ74" i="4" s="1"/>
  <c r="AN75" i="4"/>
  <c r="BJ75" i="4" s="1"/>
  <c r="AN76" i="4"/>
  <c r="BJ76" i="4" s="1"/>
  <c r="AN77" i="4"/>
  <c r="BJ77" i="4" s="1"/>
  <c r="AN78" i="4"/>
  <c r="BJ78" i="4" s="1"/>
  <c r="AN66" i="4"/>
  <c r="BJ66" i="4" s="1"/>
  <c r="AN67" i="4"/>
  <c r="BJ67" i="4" s="1"/>
  <c r="AN68" i="4"/>
  <c r="BJ68" i="4" s="1"/>
  <c r="AN69" i="4"/>
  <c r="BJ69" i="4" s="1"/>
  <c r="AN5" i="4"/>
  <c r="AN6" i="4"/>
  <c r="AN7" i="4"/>
  <c r="AN8" i="4"/>
  <c r="AN9" i="4"/>
  <c r="AN10" i="4"/>
  <c r="AN11" i="4"/>
  <c r="AN12" i="4"/>
  <c r="AN13" i="4"/>
  <c r="AN14" i="4"/>
  <c r="AN15" i="4"/>
  <c r="AN16" i="4"/>
  <c r="AN17" i="4"/>
  <c r="AN18" i="4"/>
  <c r="AN19" i="4"/>
  <c r="AN20" i="4"/>
  <c r="AN21" i="4"/>
  <c r="AN22" i="4"/>
  <c r="AN23" i="4"/>
  <c r="AN24" i="4"/>
  <c r="AN25" i="4"/>
  <c r="AN26" i="4"/>
  <c r="AN27" i="4"/>
  <c r="AN28" i="4"/>
  <c r="AN29" i="4"/>
  <c r="AN30" i="4"/>
  <c r="AN31" i="4"/>
  <c r="AN32" i="4"/>
  <c r="AN33" i="4"/>
  <c r="AN34" i="4"/>
  <c r="AN35" i="4"/>
  <c r="AN36" i="4"/>
  <c r="AN37" i="4"/>
  <c r="AN38" i="4"/>
  <c r="AN39" i="4"/>
  <c r="AN40" i="4"/>
  <c r="AN41" i="4"/>
  <c r="AN42" i="4"/>
  <c r="AN43" i="4"/>
  <c r="AN44" i="4"/>
  <c r="AN45" i="4"/>
  <c r="AN46" i="4"/>
  <c r="AN47" i="4"/>
  <c r="AN48" i="4"/>
  <c r="AN49" i="4"/>
  <c r="AN50" i="4"/>
  <c r="AN51" i="4"/>
  <c r="AN52" i="4"/>
  <c r="AN53" i="4"/>
  <c r="AN54" i="4"/>
  <c r="AN55" i="4"/>
  <c r="AN56" i="4"/>
  <c r="AN57" i="4"/>
  <c r="AN58" i="4"/>
  <c r="AN59" i="4"/>
  <c r="AN60" i="4"/>
  <c r="AN61" i="4"/>
  <c r="AN62" i="4"/>
  <c r="AN63" i="4"/>
  <c r="AN64" i="4"/>
  <c r="AL71" i="4"/>
  <c r="AL72" i="4"/>
  <c r="AL73" i="4"/>
  <c r="AL74" i="4"/>
  <c r="AL75" i="4"/>
  <c r="AL76" i="4"/>
  <c r="AL77" i="4"/>
  <c r="AL78" i="4"/>
  <c r="AL66" i="4"/>
  <c r="AL67" i="4"/>
  <c r="AL68" i="4"/>
  <c r="AL69" i="4"/>
  <c r="AL5" i="4"/>
  <c r="AM5" i="4" s="1"/>
  <c r="AL6" i="4"/>
  <c r="AM6" i="4" s="1"/>
  <c r="AL7" i="4"/>
  <c r="AM7" i="4" s="1"/>
  <c r="AL8" i="4"/>
  <c r="AM8" i="4" s="1"/>
  <c r="AL9" i="4"/>
  <c r="AM9" i="4" s="1"/>
  <c r="AL10" i="4"/>
  <c r="AM10" i="4" s="1"/>
  <c r="AL11" i="4"/>
  <c r="AM11" i="4" s="1"/>
  <c r="AL12" i="4"/>
  <c r="AM12" i="4" s="1"/>
  <c r="AL13" i="4"/>
  <c r="AM13" i="4" s="1"/>
  <c r="AL14" i="4"/>
  <c r="AM14" i="4" s="1"/>
  <c r="AL15" i="4"/>
  <c r="AM15" i="4" s="1"/>
  <c r="AL16" i="4"/>
  <c r="AM16" i="4" s="1"/>
  <c r="AL17" i="4"/>
  <c r="AM17" i="4" s="1"/>
  <c r="AL18" i="4"/>
  <c r="AM18" i="4" s="1"/>
  <c r="AL19" i="4"/>
  <c r="AM19" i="4" s="1"/>
  <c r="AL20" i="4"/>
  <c r="AM20" i="4" s="1"/>
  <c r="AL21" i="4"/>
  <c r="AM21" i="4" s="1"/>
  <c r="AL22" i="4"/>
  <c r="AM22" i="4" s="1"/>
  <c r="AL23" i="4"/>
  <c r="AM23" i="4" s="1"/>
  <c r="AL24" i="4"/>
  <c r="AM24" i="4" s="1"/>
  <c r="AL25" i="4"/>
  <c r="AM25" i="4" s="1"/>
  <c r="AL26" i="4"/>
  <c r="AM26" i="4" s="1"/>
  <c r="AL27" i="4"/>
  <c r="AM27" i="4" s="1"/>
  <c r="AL28" i="4"/>
  <c r="AM28" i="4" s="1"/>
  <c r="AL29" i="4"/>
  <c r="AM29" i="4" s="1"/>
  <c r="AL30" i="4"/>
  <c r="AM30" i="4" s="1"/>
  <c r="AL31" i="4"/>
  <c r="AM31" i="4" s="1"/>
  <c r="AL32" i="4"/>
  <c r="AM32" i="4" s="1"/>
  <c r="AL33" i="4"/>
  <c r="AM33" i="4" s="1"/>
  <c r="AL34" i="4"/>
  <c r="AM34" i="4" s="1"/>
  <c r="AL35" i="4"/>
  <c r="AM35" i="4" s="1"/>
  <c r="AL36" i="4"/>
  <c r="AM36" i="4" s="1"/>
  <c r="AL37" i="4"/>
  <c r="AM37" i="4" s="1"/>
  <c r="AL38" i="4"/>
  <c r="AM38" i="4" s="1"/>
  <c r="AL39" i="4"/>
  <c r="AM39" i="4" s="1"/>
  <c r="AL40" i="4"/>
  <c r="AM40" i="4" s="1"/>
  <c r="AL41" i="4"/>
  <c r="AM41" i="4" s="1"/>
  <c r="AL42" i="4"/>
  <c r="AM42" i="4" s="1"/>
  <c r="AL43" i="4"/>
  <c r="AM43" i="4" s="1"/>
  <c r="AL44" i="4"/>
  <c r="AM44" i="4" s="1"/>
  <c r="AL45" i="4"/>
  <c r="AM45" i="4" s="1"/>
  <c r="AL46" i="4"/>
  <c r="AM46" i="4" s="1"/>
  <c r="AL47" i="4"/>
  <c r="AM47" i="4" s="1"/>
  <c r="AL48" i="4"/>
  <c r="AM48" i="4" s="1"/>
  <c r="AL49" i="4"/>
  <c r="AM49" i="4" s="1"/>
  <c r="AL50" i="4"/>
  <c r="AM50" i="4" s="1"/>
  <c r="AL51" i="4"/>
  <c r="AM51" i="4" s="1"/>
  <c r="AL52" i="4"/>
  <c r="AM52" i="4" s="1"/>
  <c r="AL53" i="4"/>
  <c r="AM53" i="4" s="1"/>
  <c r="AL54" i="4"/>
  <c r="AM54" i="4" s="1"/>
  <c r="AL55" i="4"/>
  <c r="AM55" i="4" s="1"/>
  <c r="AL56" i="4"/>
  <c r="AM56" i="4" s="1"/>
  <c r="AL57" i="4"/>
  <c r="AM57" i="4" s="1"/>
  <c r="AL58" i="4"/>
  <c r="AM58" i="4" s="1"/>
  <c r="AL59" i="4"/>
  <c r="AM59" i="4" s="1"/>
  <c r="AL60" i="4"/>
  <c r="AM60" i="4" s="1"/>
  <c r="AL61" i="4"/>
  <c r="AM61" i="4" s="1"/>
  <c r="AL62" i="4"/>
  <c r="AM62" i="4" s="1"/>
  <c r="AL63" i="4"/>
  <c r="AM63" i="4" s="1"/>
  <c r="AL64" i="4"/>
  <c r="AM64" i="4" s="1"/>
  <c r="AH71" i="4"/>
  <c r="AI71" i="4" s="1"/>
  <c r="AH72" i="4"/>
  <c r="AI72" i="4" s="1"/>
  <c r="AH73" i="4"/>
  <c r="AI73" i="4" s="1"/>
  <c r="AH74" i="4"/>
  <c r="AI74" i="4" s="1"/>
  <c r="AH75" i="4"/>
  <c r="AI75" i="4" s="1"/>
  <c r="AH76" i="4"/>
  <c r="AI76" i="4" s="1"/>
  <c r="AH77" i="4"/>
  <c r="AI77" i="4" s="1"/>
  <c r="AH78" i="4"/>
  <c r="AI78" i="4" s="1"/>
  <c r="AH66" i="4"/>
  <c r="AI66" i="4" s="1"/>
  <c r="AH67" i="4"/>
  <c r="AI67" i="4" s="1"/>
  <c r="AH68" i="4"/>
  <c r="AI68" i="4" s="1"/>
  <c r="AH69" i="4"/>
  <c r="AI69" i="4" s="1"/>
  <c r="AH5" i="4"/>
  <c r="AI5" i="4" s="1"/>
  <c r="AH6" i="4"/>
  <c r="AI6" i="4" s="1"/>
  <c r="AH7" i="4"/>
  <c r="AI7" i="4" s="1"/>
  <c r="AH8" i="4"/>
  <c r="AI8" i="4" s="1"/>
  <c r="AH9" i="4"/>
  <c r="AI9" i="4" s="1"/>
  <c r="AH10" i="4"/>
  <c r="AI10" i="4" s="1"/>
  <c r="AH11" i="4"/>
  <c r="AI11" i="4" s="1"/>
  <c r="AH12" i="4"/>
  <c r="AI12" i="4" s="1"/>
  <c r="AH13" i="4"/>
  <c r="AI13" i="4" s="1"/>
  <c r="AH14" i="4"/>
  <c r="AI14" i="4" s="1"/>
  <c r="AH15" i="4"/>
  <c r="AI15" i="4" s="1"/>
  <c r="AH16" i="4"/>
  <c r="AI16" i="4" s="1"/>
  <c r="AH17" i="4"/>
  <c r="AI17" i="4" s="1"/>
  <c r="AH18" i="4"/>
  <c r="AI18" i="4" s="1"/>
  <c r="AH19" i="4"/>
  <c r="AI19" i="4" s="1"/>
  <c r="AH20" i="4"/>
  <c r="AI20" i="4" s="1"/>
  <c r="AH21" i="4"/>
  <c r="AI21" i="4" s="1"/>
  <c r="AH22" i="4"/>
  <c r="AI22" i="4" s="1"/>
  <c r="AH23" i="4"/>
  <c r="AI23" i="4" s="1"/>
  <c r="AH24" i="4"/>
  <c r="AI24" i="4" s="1"/>
  <c r="AH25" i="4"/>
  <c r="AI25" i="4" s="1"/>
  <c r="AH26" i="4"/>
  <c r="AI26" i="4" s="1"/>
  <c r="AH27" i="4"/>
  <c r="AI27" i="4" s="1"/>
  <c r="AH28" i="4"/>
  <c r="AI28" i="4" s="1"/>
  <c r="AH29" i="4"/>
  <c r="AI29" i="4" s="1"/>
  <c r="AH30" i="4"/>
  <c r="AI30" i="4" s="1"/>
  <c r="AH31" i="4"/>
  <c r="AI31" i="4" s="1"/>
  <c r="AH32" i="4"/>
  <c r="AI32" i="4" s="1"/>
  <c r="AH33" i="4"/>
  <c r="AI33" i="4" s="1"/>
  <c r="AH34" i="4"/>
  <c r="AI34" i="4" s="1"/>
  <c r="AH35" i="4"/>
  <c r="AI35" i="4" s="1"/>
  <c r="AH36" i="4"/>
  <c r="AI36" i="4" s="1"/>
  <c r="AH37" i="4"/>
  <c r="AI37" i="4" s="1"/>
  <c r="AH38" i="4"/>
  <c r="AI38" i="4" s="1"/>
  <c r="AH39" i="4"/>
  <c r="AI39" i="4" s="1"/>
  <c r="AH40" i="4"/>
  <c r="AI40" i="4" s="1"/>
  <c r="AH41" i="4"/>
  <c r="AI41" i="4" s="1"/>
  <c r="AH42" i="4"/>
  <c r="AI42" i="4" s="1"/>
  <c r="AH43" i="4"/>
  <c r="AI43" i="4" s="1"/>
  <c r="AH44" i="4"/>
  <c r="AI44" i="4" s="1"/>
  <c r="AH45" i="4"/>
  <c r="AI45" i="4" s="1"/>
  <c r="AH46" i="4"/>
  <c r="AI46" i="4" s="1"/>
  <c r="AH47" i="4"/>
  <c r="AI47" i="4" s="1"/>
  <c r="AH48" i="4"/>
  <c r="AI48" i="4" s="1"/>
  <c r="AH49" i="4"/>
  <c r="AI49" i="4" s="1"/>
  <c r="AH50" i="4"/>
  <c r="AI50" i="4" s="1"/>
  <c r="AH51" i="4"/>
  <c r="AI51" i="4" s="1"/>
  <c r="AH52" i="4"/>
  <c r="AI52" i="4" s="1"/>
  <c r="AH53" i="4"/>
  <c r="AI53" i="4" s="1"/>
  <c r="AH54" i="4"/>
  <c r="AI54" i="4" s="1"/>
  <c r="AH55" i="4"/>
  <c r="AI55" i="4" s="1"/>
  <c r="AH56" i="4"/>
  <c r="AI56" i="4" s="1"/>
  <c r="AH57" i="4"/>
  <c r="AI57" i="4" s="1"/>
  <c r="AH58" i="4"/>
  <c r="AI58" i="4" s="1"/>
  <c r="AH59" i="4"/>
  <c r="AI59" i="4" s="1"/>
  <c r="AH60" i="4"/>
  <c r="AI60" i="4" s="1"/>
  <c r="AH61" i="4"/>
  <c r="AI61" i="4" s="1"/>
  <c r="AH62" i="4"/>
  <c r="AI62" i="4" s="1"/>
  <c r="AH63" i="4"/>
  <c r="AI63" i="4" s="1"/>
  <c r="AH64" i="4"/>
  <c r="AI64" i="4" s="1"/>
  <c r="W71" i="4"/>
  <c r="W72" i="4"/>
  <c r="W73" i="4"/>
  <c r="W74" i="4"/>
  <c r="W75" i="4"/>
  <c r="W76" i="4"/>
  <c r="W77" i="4"/>
  <c r="W78" i="4"/>
  <c r="W66" i="4"/>
  <c r="W67" i="4"/>
  <c r="W68" i="4"/>
  <c r="W69" i="4"/>
  <c r="W5" i="4"/>
  <c r="W6" i="4"/>
  <c r="W7" i="4"/>
  <c r="W8" i="4"/>
  <c r="W9" i="4"/>
  <c r="W10" i="4"/>
  <c r="W11" i="4"/>
  <c r="W12" i="4"/>
  <c r="W13" i="4"/>
  <c r="W14" i="4"/>
  <c r="W15" i="4"/>
  <c r="W16" i="4"/>
  <c r="W17" i="4"/>
  <c r="W18" i="4"/>
  <c r="W19" i="4"/>
  <c r="W20" i="4"/>
  <c r="W21" i="4"/>
  <c r="W22" i="4"/>
  <c r="W23" i="4"/>
  <c r="W24" i="4"/>
  <c r="W25" i="4"/>
  <c r="W26" i="4"/>
  <c r="W27" i="4"/>
  <c r="W28" i="4"/>
  <c r="W29" i="4"/>
  <c r="W30" i="4"/>
  <c r="W31" i="4"/>
  <c r="W32" i="4"/>
  <c r="W33" i="4"/>
  <c r="W34" i="4"/>
  <c r="W35" i="4"/>
  <c r="W36" i="4"/>
  <c r="W37" i="4"/>
  <c r="W38" i="4"/>
  <c r="W39" i="4"/>
  <c r="W40" i="4"/>
  <c r="W41" i="4"/>
  <c r="W42" i="4"/>
  <c r="W43" i="4"/>
  <c r="W44" i="4"/>
  <c r="W45" i="4"/>
  <c r="W46" i="4"/>
  <c r="W47" i="4"/>
  <c r="W48" i="4"/>
  <c r="W49" i="4"/>
  <c r="W50" i="4"/>
  <c r="W51" i="4"/>
  <c r="W52" i="4"/>
  <c r="W53" i="4"/>
  <c r="W54" i="4"/>
  <c r="W55" i="4"/>
  <c r="W56" i="4"/>
  <c r="W57" i="4"/>
  <c r="W58" i="4"/>
  <c r="W59" i="4"/>
  <c r="W60" i="4"/>
  <c r="W61" i="4"/>
  <c r="W62" i="4"/>
  <c r="W63" i="4"/>
  <c r="W64" i="4"/>
  <c r="BN5" i="3"/>
  <c r="BO5" i="3" s="1"/>
  <c r="BN6" i="3"/>
  <c r="BO6" i="3" s="1"/>
  <c r="BN7" i="3"/>
  <c r="BO7" i="3" s="1"/>
  <c r="BN8" i="3"/>
  <c r="BO8" i="3" s="1"/>
  <c r="BN9" i="3"/>
  <c r="BO9" i="3" s="1"/>
  <c r="BN10" i="3"/>
  <c r="BO10" i="3" s="1"/>
  <c r="BN11" i="3"/>
  <c r="BO11" i="3" s="1"/>
  <c r="BN12" i="3"/>
  <c r="BO12" i="3" s="1"/>
  <c r="BN13" i="3"/>
  <c r="BO13" i="3" s="1"/>
  <c r="BN14" i="3"/>
  <c r="BO14" i="3" s="1"/>
  <c r="BN15" i="3"/>
  <c r="BO15" i="3" s="1"/>
  <c r="BN16" i="3"/>
  <c r="BO16" i="3" s="1"/>
  <c r="BN17" i="3"/>
  <c r="BO17" i="3" s="1"/>
  <c r="BN18" i="3"/>
  <c r="BO18" i="3" s="1"/>
  <c r="BN19" i="3"/>
  <c r="BO19" i="3" s="1"/>
  <c r="BN20" i="3"/>
  <c r="BO20" i="3" s="1"/>
  <c r="BN21" i="3"/>
  <c r="BO21" i="3" s="1"/>
  <c r="BN22" i="3"/>
  <c r="BO22" i="3" s="1"/>
  <c r="BN23" i="3"/>
  <c r="BO23" i="3" s="1"/>
  <c r="BN24" i="3"/>
  <c r="BO24" i="3" s="1"/>
  <c r="BN25" i="3"/>
  <c r="BO25" i="3" s="1"/>
  <c r="BN26" i="3"/>
  <c r="BO26" i="3" s="1"/>
  <c r="BN27" i="3"/>
  <c r="BO27" i="3" s="1"/>
  <c r="BN28" i="3"/>
  <c r="BO28" i="3" s="1"/>
  <c r="BN29" i="3"/>
  <c r="BO29" i="3" s="1"/>
  <c r="BN30" i="3"/>
  <c r="BO30" i="3" s="1"/>
  <c r="BN31" i="3"/>
  <c r="BO31" i="3" s="1"/>
  <c r="BN32" i="3"/>
  <c r="BO32" i="3" s="1"/>
  <c r="BN33" i="3"/>
  <c r="BO33" i="3" s="1"/>
  <c r="BN34" i="3"/>
  <c r="BO34" i="3" s="1"/>
  <c r="BL48" i="3"/>
  <c r="BL49" i="3"/>
  <c r="BL50" i="3"/>
  <c r="BL51" i="3"/>
  <c r="BL52" i="3"/>
  <c r="BL53" i="3"/>
  <c r="BL54" i="3"/>
  <c r="BL55" i="3"/>
  <c r="BL56" i="3"/>
  <c r="BL57" i="3"/>
  <c r="BL58" i="3"/>
  <c r="BL59" i="3"/>
  <c r="BL60" i="3"/>
  <c r="BL61" i="3"/>
  <c r="BL62" i="3"/>
  <c r="BL63" i="3"/>
  <c r="BL64" i="3"/>
  <c r="BL65" i="3"/>
  <c r="BL66" i="3"/>
  <c r="BL67" i="3"/>
  <c r="BL36" i="3"/>
  <c r="BL37" i="3"/>
  <c r="BL38" i="3"/>
  <c r="BL39" i="3"/>
  <c r="BL40" i="3"/>
  <c r="BL41" i="3"/>
  <c r="BL42" i="3"/>
  <c r="BL43" i="3"/>
  <c r="BL44" i="3"/>
  <c r="BL45" i="3"/>
  <c r="BL46" i="3"/>
  <c r="BL5" i="3"/>
  <c r="BL6" i="3"/>
  <c r="BM6" i="3" s="1"/>
  <c r="BL7" i="3"/>
  <c r="BM7" i="3" s="1"/>
  <c r="BL8" i="3"/>
  <c r="BM8" i="3" s="1"/>
  <c r="BL9" i="3"/>
  <c r="BM9" i="3" s="1"/>
  <c r="BL10" i="3"/>
  <c r="BM10" i="3" s="1"/>
  <c r="BL11" i="3"/>
  <c r="BM11" i="3" s="1"/>
  <c r="BL12" i="3"/>
  <c r="BL13" i="3"/>
  <c r="BM13" i="3" s="1"/>
  <c r="BL14" i="3"/>
  <c r="BM14" i="3" s="1"/>
  <c r="BL15" i="3"/>
  <c r="BM15" i="3" s="1"/>
  <c r="BL16" i="3"/>
  <c r="BM16" i="3" s="1"/>
  <c r="BL17" i="3"/>
  <c r="BM17" i="3" s="1"/>
  <c r="BL18" i="3"/>
  <c r="BM18" i="3" s="1"/>
  <c r="BL19" i="3"/>
  <c r="BM19" i="3" s="1"/>
  <c r="BL20" i="3"/>
  <c r="BL21" i="3"/>
  <c r="BM21" i="3" s="1"/>
  <c r="BL22" i="3"/>
  <c r="BM22" i="3" s="1"/>
  <c r="BL23" i="3"/>
  <c r="BM23" i="3" s="1"/>
  <c r="BL24" i="3"/>
  <c r="BM24" i="3" s="1"/>
  <c r="BL25" i="3"/>
  <c r="BM25" i="3" s="1"/>
  <c r="BL26" i="3"/>
  <c r="BM26" i="3" s="1"/>
  <c r="BL27" i="3"/>
  <c r="BL28" i="3"/>
  <c r="BM28" i="3" s="1"/>
  <c r="BL29" i="3"/>
  <c r="BM29" i="3" s="1"/>
  <c r="BL30" i="3"/>
  <c r="BM30" i="3" s="1"/>
  <c r="BL31" i="3"/>
  <c r="BM31" i="3" s="1"/>
  <c r="BL32" i="3"/>
  <c r="BM32" i="3" s="1"/>
  <c r="BL33" i="3"/>
  <c r="BM33" i="3" s="1"/>
  <c r="BL34" i="3"/>
  <c r="BM34" i="3" s="1"/>
  <c r="BE48" i="3"/>
  <c r="BE49" i="3"/>
  <c r="BE50" i="3"/>
  <c r="BE51" i="3"/>
  <c r="BE52" i="3"/>
  <c r="BE53" i="3"/>
  <c r="BE54" i="3"/>
  <c r="BE55" i="3"/>
  <c r="BE56" i="3"/>
  <c r="BE57" i="3"/>
  <c r="BE58" i="3"/>
  <c r="BE59" i="3"/>
  <c r="BE60" i="3"/>
  <c r="BE61" i="3"/>
  <c r="BE62" i="3"/>
  <c r="BE63" i="3"/>
  <c r="BE64" i="3"/>
  <c r="BE65" i="3"/>
  <c r="BE66" i="3"/>
  <c r="BE67" i="3"/>
  <c r="BE36" i="3"/>
  <c r="BE37" i="3"/>
  <c r="BE38" i="3"/>
  <c r="BE39" i="3"/>
  <c r="BE40" i="3"/>
  <c r="BE41" i="3"/>
  <c r="BE42" i="3"/>
  <c r="BE43" i="3"/>
  <c r="BE44" i="3"/>
  <c r="BE45" i="3"/>
  <c r="BE46" i="3"/>
  <c r="BE5" i="3"/>
  <c r="BE6" i="3"/>
  <c r="BE7" i="3"/>
  <c r="BE8" i="3"/>
  <c r="BE9" i="3"/>
  <c r="BE10" i="3"/>
  <c r="BE11" i="3"/>
  <c r="BE12" i="3"/>
  <c r="BE13" i="3"/>
  <c r="BE14" i="3"/>
  <c r="BE15" i="3"/>
  <c r="BE16" i="3"/>
  <c r="BE17" i="3"/>
  <c r="BE18" i="3"/>
  <c r="BE19" i="3"/>
  <c r="BE20" i="3"/>
  <c r="BE21" i="3"/>
  <c r="BE22" i="3"/>
  <c r="BE23" i="3"/>
  <c r="BE24" i="3"/>
  <c r="BE25" i="3"/>
  <c r="BE26" i="3"/>
  <c r="BE27" i="3"/>
  <c r="BE28" i="3"/>
  <c r="BE29" i="3"/>
  <c r="BE30" i="3"/>
  <c r="BE31" i="3"/>
  <c r="BE32" i="3"/>
  <c r="BE33" i="3"/>
  <c r="BE34" i="3"/>
  <c r="AN48" i="3"/>
  <c r="AN49" i="3"/>
  <c r="AN50" i="3"/>
  <c r="AN51" i="3"/>
  <c r="AN52" i="3"/>
  <c r="AN53" i="3"/>
  <c r="AN54" i="3"/>
  <c r="AN55" i="3"/>
  <c r="AN56" i="3"/>
  <c r="AN57" i="3"/>
  <c r="AN58" i="3"/>
  <c r="AN59" i="3"/>
  <c r="AN60" i="3"/>
  <c r="AN61" i="3"/>
  <c r="AN62" i="3"/>
  <c r="AN63" i="3"/>
  <c r="AN64" i="3"/>
  <c r="AN65" i="3"/>
  <c r="AN66" i="3"/>
  <c r="AN67" i="3"/>
  <c r="AN36" i="3"/>
  <c r="AN37" i="3"/>
  <c r="AN38" i="3"/>
  <c r="AN39" i="3"/>
  <c r="AN40" i="3"/>
  <c r="AN41" i="3"/>
  <c r="AN42" i="3"/>
  <c r="AN43" i="3"/>
  <c r="AN44" i="3"/>
  <c r="AN45" i="3"/>
  <c r="AN46" i="3"/>
  <c r="AN5" i="3"/>
  <c r="AN6" i="3"/>
  <c r="AN7" i="3"/>
  <c r="AN8" i="3"/>
  <c r="AN9" i="3"/>
  <c r="AN10" i="3"/>
  <c r="AN11" i="3"/>
  <c r="AN12" i="3"/>
  <c r="AN13" i="3"/>
  <c r="AN14" i="3"/>
  <c r="AN15" i="3"/>
  <c r="AN16" i="3"/>
  <c r="AN17" i="3"/>
  <c r="AN18" i="3"/>
  <c r="AN19" i="3"/>
  <c r="AN20" i="3"/>
  <c r="AN21" i="3"/>
  <c r="AN22" i="3"/>
  <c r="AN23" i="3"/>
  <c r="AN24" i="3"/>
  <c r="AN25" i="3"/>
  <c r="AN26" i="3"/>
  <c r="AN27" i="3"/>
  <c r="AN28" i="3"/>
  <c r="AN29" i="3"/>
  <c r="AN30" i="3"/>
  <c r="AN31" i="3"/>
  <c r="AN32" i="3"/>
  <c r="AN33" i="3"/>
  <c r="AN34" i="3"/>
  <c r="W48" i="3"/>
  <c r="W49" i="3"/>
  <c r="W50" i="3"/>
  <c r="W51" i="3"/>
  <c r="W52" i="3"/>
  <c r="W53" i="3"/>
  <c r="W54" i="3"/>
  <c r="W55" i="3"/>
  <c r="W56" i="3"/>
  <c r="W57" i="3"/>
  <c r="W58" i="3"/>
  <c r="W59" i="3"/>
  <c r="W60" i="3"/>
  <c r="W61" i="3"/>
  <c r="W62" i="3"/>
  <c r="W63" i="3"/>
  <c r="W64" i="3"/>
  <c r="W65" i="3"/>
  <c r="W66" i="3"/>
  <c r="W67" i="3"/>
  <c r="W36" i="3"/>
  <c r="W37" i="3"/>
  <c r="W38" i="3"/>
  <c r="W39" i="3"/>
  <c r="W40" i="3"/>
  <c r="W41" i="3"/>
  <c r="W42" i="3"/>
  <c r="W43" i="3"/>
  <c r="W44" i="3"/>
  <c r="W45" i="3"/>
  <c r="W46" i="3"/>
  <c r="W5" i="3"/>
  <c r="W6" i="3"/>
  <c r="W7" i="3"/>
  <c r="W8" i="3"/>
  <c r="W9" i="3"/>
  <c r="W10" i="3"/>
  <c r="W11" i="3"/>
  <c r="W12" i="3"/>
  <c r="W13" i="3"/>
  <c r="W14" i="3"/>
  <c r="W15" i="3"/>
  <c r="W16" i="3"/>
  <c r="W17" i="3"/>
  <c r="W18" i="3"/>
  <c r="W19" i="3"/>
  <c r="W20" i="3"/>
  <c r="W21" i="3"/>
  <c r="W22" i="3"/>
  <c r="W23" i="3"/>
  <c r="W24" i="3"/>
  <c r="W25" i="3"/>
  <c r="W26" i="3"/>
  <c r="W27" i="3"/>
  <c r="W28" i="3"/>
  <c r="W29" i="3"/>
  <c r="W30" i="3"/>
  <c r="W31" i="3"/>
  <c r="W32" i="3"/>
  <c r="W33" i="3"/>
  <c r="W34" i="3"/>
  <c r="J30" i="2"/>
  <c r="J31" i="2"/>
  <c r="J32" i="2"/>
  <c r="J33" i="2"/>
  <c r="J34" i="2"/>
  <c r="J35" i="2"/>
  <c r="J36" i="2"/>
  <c r="J37" i="2"/>
  <c r="J38" i="2"/>
  <c r="J39" i="2"/>
  <c r="J40" i="2"/>
  <c r="J41" i="2"/>
  <c r="J42" i="2"/>
  <c r="J43" i="2"/>
  <c r="J44" i="2"/>
  <c r="J45" i="2"/>
  <c r="J46" i="2"/>
  <c r="J47" i="2"/>
  <c r="J48" i="2"/>
  <c r="J49" i="2"/>
  <c r="J50" i="2"/>
  <c r="J51" i="2"/>
  <c r="J52" i="2"/>
  <c r="J53" i="2"/>
  <c r="J54" i="2"/>
  <c r="J55" i="2"/>
  <c r="J56" i="2"/>
  <c r="J26" i="2"/>
  <c r="J27" i="2"/>
  <c r="J28" i="2"/>
  <c r="J5" i="2"/>
  <c r="J6" i="2"/>
  <c r="J7" i="2"/>
  <c r="J8" i="2"/>
  <c r="J9" i="2"/>
  <c r="J10" i="2"/>
  <c r="J11" i="2"/>
  <c r="J12" i="2"/>
  <c r="J13" i="2"/>
  <c r="J14" i="2"/>
  <c r="J15" i="2"/>
  <c r="J16" i="2"/>
  <c r="J17" i="2"/>
  <c r="J18" i="2"/>
  <c r="J19" i="2"/>
  <c r="J20" i="2"/>
  <c r="J21" i="2"/>
  <c r="J22" i="2"/>
  <c r="J23" i="2"/>
  <c r="J24" i="2"/>
  <c r="AR27" i="5" l="1"/>
  <c r="AS27" i="5" s="1"/>
  <c r="AT27" i="5" s="1"/>
  <c r="AR30" i="5"/>
  <c r="AS30" i="5" s="1"/>
  <c r="AT30" i="5" s="1"/>
  <c r="AR35" i="5"/>
  <c r="AS35" i="5" s="1"/>
  <c r="AT35" i="5" s="1"/>
  <c r="AR38" i="5"/>
  <c r="AS38" i="5" s="1"/>
  <c r="AT38" i="5" s="1"/>
  <c r="AR21" i="5"/>
  <c r="AS21" i="5" s="1"/>
  <c r="AT21" i="5" s="1"/>
  <c r="AR25" i="5"/>
  <c r="AS25" i="5" s="1"/>
  <c r="AT25" i="5" s="1"/>
  <c r="AR32" i="5"/>
  <c r="AS32" i="5" s="1"/>
  <c r="AT32" i="5" s="1"/>
  <c r="AR36" i="5"/>
  <c r="AS36" i="5" s="1"/>
  <c r="AT36" i="5" s="1"/>
  <c r="AR40" i="5"/>
  <c r="AS40" i="5" s="1"/>
  <c r="AT40" i="5" s="1"/>
  <c r="AR23" i="5"/>
  <c r="AS23" i="5" s="1"/>
  <c r="AT23" i="5" s="1"/>
  <c r="AZ47" i="4"/>
  <c r="AZ49" i="4"/>
  <c r="AZ50" i="4"/>
  <c r="AZ52" i="4"/>
  <c r="AZ54" i="4"/>
  <c r="AZ56" i="4"/>
  <c r="AZ58" i="4"/>
  <c r="AZ60" i="4"/>
  <c r="AZ61" i="4"/>
  <c r="AZ63" i="4"/>
  <c r="AZ77" i="4"/>
  <c r="AR26" i="5"/>
  <c r="AS26" i="5" s="1"/>
  <c r="AT26" i="5" s="1"/>
  <c r="AR34" i="5"/>
  <c r="AS34" i="5" s="1"/>
  <c r="AT34" i="5" s="1"/>
  <c r="AR39" i="5"/>
  <c r="AS39" i="5" s="1"/>
  <c r="AT39" i="5" s="1"/>
  <c r="AR22" i="5"/>
  <c r="AS22" i="5" s="1"/>
  <c r="AT22" i="5" s="1"/>
  <c r="I36" i="7"/>
  <c r="I37" i="7"/>
  <c r="I38" i="7"/>
  <c r="I39" i="7"/>
  <c r="I40" i="7"/>
  <c r="I41" i="7"/>
  <c r="I42" i="7"/>
  <c r="I43" i="7"/>
  <c r="I44" i="7"/>
  <c r="I45" i="7"/>
  <c r="I46" i="7"/>
  <c r="I47" i="7"/>
  <c r="I48" i="7"/>
  <c r="I49" i="7"/>
  <c r="I50" i="7"/>
  <c r="I51" i="7"/>
  <c r="I52" i="7"/>
  <c r="I26" i="7"/>
  <c r="I27" i="7"/>
  <c r="I28" i="7"/>
  <c r="I29" i="7"/>
  <c r="I30" i="7"/>
  <c r="I31" i="7"/>
  <c r="I32" i="7"/>
  <c r="I33" i="7"/>
  <c r="I34" i="7"/>
  <c r="AD46" i="6"/>
  <c r="AE46" i="6" s="1"/>
  <c r="AF46" i="6" s="1"/>
  <c r="AD47" i="6"/>
  <c r="AE47" i="6" s="1"/>
  <c r="AF47" i="6" s="1"/>
  <c r="AD48" i="6"/>
  <c r="AE48" i="6" s="1"/>
  <c r="AF48" i="6" s="1"/>
  <c r="AD49" i="6"/>
  <c r="AE49" i="6" s="1"/>
  <c r="AF49" i="6" s="1"/>
  <c r="AD50" i="6"/>
  <c r="AE50" i="6" s="1"/>
  <c r="AF50" i="6" s="1"/>
  <c r="AD51" i="6"/>
  <c r="AE51" i="6" s="1"/>
  <c r="AF51" i="6" s="1"/>
  <c r="AD52" i="6"/>
  <c r="AE52" i="6" s="1"/>
  <c r="AF52" i="6" s="1"/>
  <c r="AD53" i="6"/>
  <c r="AE53" i="6" s="1"/>
  <c r="AF53" i="6" s="1"/>
  <c r="AD54" i="6"/>
  <c r="AE54" i="6" s="1"/>
  <c r="AF54" i="6" s="1"/>
  <c r="AD55" i="6"/>
  <c r="AE55" i="6" s="1"/>
  <c r="AF55" i="6" s="1"/>
  <c r="AD56" i="6"/>
  <c r="AE56" i="6" s="1"/>
  <c r="AF56" i="6" s="1"/>
  <c r="AD57" i="6"/>
  <c r="AE57" i="6" s="1"/>
  <c r="AF57" i="6" s="1"/>
  <c r="AD58" i="6"/>
  <c r="AE58" i="6" s="1"/>
  <c r="AF58" i="6" s="1"/>
  <c r="AD59" i="6"/>
  <c r="AE59" i="6" s="1"/>
  <c r="AF59" i="6" s="1"/>
  <c r="AD60" i="6"/>
  <c r="AE60" i="6" s="1"/>
  <c r="AF60" i="6" s="1"/>
  <c r="AD61" i="6"/>
  <c r="AE61" i="6" s="1"/>
  <c r="AF61" i="6" s="1"/>
  <c r="AD62" i="6"/>
  <c r="AE62" i="6" s="1"/>
  <c r="AF62" i="6" s="1"/>
  <c r="AD63" i="6"/>
  <c r="AE63" i="6" s="1"/>
  <c r="AF63" i="6" s="1"/>
  <c r="AD64" i="6"/>
  <c r="AE64" i="6" s="1"/>
  <c r="AF64" i="6" s="1"/>
  <c r="AD65" i="6"/>
  <c r="AE65" i="6" s="1"/>
  <c r="AF65" i="6" s="1"/>
  <c r="AD66" i="6"/>
  <c r="AE66" i="6" s="1"/>
  <c r="AF66" i="6" s="1"/>
  <c r="AR28" i="5"/>
  <c r="AS28" i="5" s="1"/>
  <c r="AT28" i="5" s="1"/>
  <c r="AR29" i="5"/>
  <c r="AS29" i="5" s="1"/>
  <c r="AT29" i="5" s="1"/>
  <c r="AR31" i="5"/>
  <c r="AS31" i="5" s="1"/>
  <c r="AT31" i="5" s="1"/>
  <c r="AR33" i="5"/>
  <c r="AS33" i="5" s="1"/>
  <c r="AT33" i="5" s="1"/>
  <c r="AR37" i="5"/>
  <c r="AS37" i="5" s="1"/>
  <c r="AT37" i="5" s="1"/>
  <c r="AR41" i="5"/>
  <c r="AS41" i="5" s="1"/>
  <c r="AT41" i="5" s="1"/>
  <c r="AZ48" i="4"/>
  <c r="AZ51" i="4"/>
  <c r="AZ53" i="4"/>
  <c r="AZ55" i="4"/>
  <c r="AZ57" i="4"/>
  <c r="AZ59" i="4"/>
  <c r="AZ62" i="4"/>
  <c r="AZ64" i="4"/>
  <c r="AZ76" i="4"/>
  <c r="AZ78" i="4"/>
  <c r="AM71" i="4"/>
  <c r="BK71" i="4" s="1"/>
  <c r="BL71" i="4" s="1"/>
  <c r="AM72" i="4"/>
  <c r="BK72" i="4" s="1"/>
  <c r="BL72" i="4" s="1"/>
  <c r="AM73" i="4"/>
  <c r="BK73" i="4" s="1"/>
  <c r="BL73" i="4" s="1"/>
  <c r="AM74" i="4"/>
  <c r="AM75" i="4"/>
  <c r="AM76" i="4"/>
  <c r="BK76" i="4" s="1"/>
  <c r="BL76" i="4" s="1"/>
  <c r="AM77" i="4"/>
  <c r="BK77" i="4" s="1"/>
  <c r="BL77" i="4" s="1"/>
  <c r="AM78" i="4"/>
  <c r="BK78" i="4" s="1"/>
  <c r="BL78" i="4" s="1"/>
  <c r="AM66" i="4"/>
  <c r="AM67" i="4"/>
  <c r="BK67" i="4" s="1"/>
  <c r="BL67" i="4" s="1"/>
  <c r="AM68" i="4"/>
  <c r="BK68" i="4" s="1"/>
  <c r="BL68" i="4" s="1"/>
  <c r="AM69" i="4"/>
  <c r="BK69" i="4" s="1"/>
  <c r="BL69" i="4" s="1"/>
  <c r="BM48" i="3"/>
  <c r="BN48" i="3" s="1"/>
  <c r="BO48" i="3" s="1"/>
  <c r="BM49" i="3"/>
  <c r="BN49" i="3" s="1"/>
  <c r="BO49" i="3" s="1"/>
  <c r="BM50" i="3"/>
  <c r="BN50" i="3" s="1"/>
  <c r="BO50" i="3" s="1"/>
  <c r="BM51" i="3"/>
  <c r="BN51" i="3" s="1"/>
  <c r="BO51" i="3" s="1"/>
  <c r="BM52" i="3"/>
  <c r="BN52" i="3" s="1"/>
  <c r="BO52" i="3" s="1"/>
  <c r="BM53" i="3"/>
  <c r="BN53" i="3" s="1"/>
  <c r="BO53" i="3" s="1"/>
  <c r="BM54" i="3"/>
  <c r="BN54" i="3" s="1"/>
  <c r="BO54" i="3" s="1"/>
  <c r="BM55" i="3"/>
  <c r="BN55" i="3" s="1"/>
  <c r="BO55" i="3" s="1"/>
  <c r="BM56" i="3"/>
  <c r="BN56" i="3" s="1"/>
  <c r="BO56" i="3" s="1"/>
  <c r="BM57" i="3"/>
  <c r="BN57" i="3" s="1"/>
  <c r="BO57" i="3" s="1"/>
  <c r="BM58" i="3"/>
  <c r="BN58" i="3" s="1"/>
  <c r="BO58" i="3" s="1"/>
  <c r="BM59" i="3"/>
  <c r="BN59" i="3" s="1"/>
  <c r="BO59" i="3" s="1"/>
  <c r="BM60" i="3"/>
  <c r="BN60" i="3" s="1"/>
  <c r="BO60" i="3" s="1"/>
  <c r="BM61" i="3"/>
  <c r="BN61" i="3" s="1"/>
  <c r="BO61" i="3" s="1"/>
  <c r="BM62" i="3"/>
  <c r="BN62" i="3" s="1"/>
  <c r="BO62" i="3" s="1"/>
  <c r="BM63" i="3"/>
  <c r="BN63" i="3" s="1"/>
  <c r="BO63" i="3" s="1"/>
  <c r="BM64" i="3"/>
  <c r="BN64" i="3" s="1"/>
  <c r="BO64" i="3" s="1"/>
  <c r="BM65" i="3"/>
  <c r="BN65" i="3" s="1"/>
  <c r="BO65" i="3" s="1"/>
  <c r="BM66" i="3"/>
  <c r="BN66" i="3" s="1"/>
  <c r="BO66" i="3" s="1"/>
  <c r="BM67" i="3"/>
  <c r="BN67" i="3" s="1"/>
  <c r="BO67" i="3" s="1"/>
  <c r="BM36" i="3"/>
  <c r="BN36" i="3" s="1"/>
  <c r="BO36" i="3" s="1"/>
  <c r="BM37" i="3"/>
  <c r="BN37" i="3" s="1"/>
  <c r="BO37" i="3" s="1"/>
  <c r="BM38" i="3"/>
  <c r="BN38" i="3" s="1"/>
  <c r="BO38" i="3" s="1"/>
  <c r="BM39" i="3"/>
  <c r="BN39" i="3" s="1"/>
  <c r="BO39" i="3" s="1"/>
  <c r="BM40" i="3"/>
  <c r="BN40" i="3" s="1"/>
  <c r="BO40" i="3" s="1"/>
  <c r="BM41" i="3"/>
  <c r="BN41" i="3" s="1"/>
  <c r="BO41" i="3" s="1"/>
  <c r="BM42" i="3"/>
  <c r="BN42" i="3" s="1"/>
  <c r="BO42" i="3" s="1"/>
  <c r="BM43" i="3"/>
  <c r="BN43" i="3" s="1"/>
  <c r="BO43" i="3" s="1"/>
  <c r="BM44" i="3"/>
  <c r="BN44" i="3" s="1"/>
  <c r="BO44" i="3" s="1"/>
  <c r="BM45" i="3"/>
  <c r="BN45" i="3" s="1"/>
  <c r="BO45" i="3" s="1"/>
  <c r="BM46" i="3"/>
  <c r="BN46" i="3" s="1"/>
  <c r="BO46" i="3" s="1"/>
  <c r="Z89" i="11"/>
  <c r="Y89" i="11"/>
  <c r="X89" i="11"/>
  <c r="S80" i="11"/>
  <c r="Z80" i="11"/>
  <c r="Y80" i="11"/>
  <c r="X80" i="11"/>
  <c r="V80" i="11"/>
  <c r="Y81" i="11"/>
  <c r="S81" i="11"/>
  <c r="X81" i="11"/>
  <c r="V81" i="11"/>
  <c r="Z81" i="11"/>
  <c r="Y82" i="11"/>
  <c r="V82" i="11"/>
  <c r="X82" i="11"/>
  <c r="Z82" i="11"/>
  <c r="S82" i="11"/>
  <c r="AA83" i="11"/>
  <c r="Z83" i="11"/>
  <c r="X83" i="11"/>
  <c r="Y83" i="11"/>
  <c r="V83" i="11"/>
  <c r="S83" i="11"/>
  <c r="Z84" i="11"/>
  <c r="AA84" i="11"/>
  <c r="X84" i="11"/>
  <c r="V84" i="11"/>
  <c r="Y84" i="11"/>
  <c r="S84" i="11"/>
  <c r="Y85" i="11"/>
  <c r="Z85" i="11"/>
  <c r="AA85" i="11"/>
  <c r="X85" i="11"/>
  <c r="V85" i="11"/>
  <c r="S85" i="11"/>
  <c r="Y86" i="11"/>
  <c r="Z86" i="11"/>
  <c r="AA86" i="11"/>
  <c r="V86" i="11"/>
  <c r="X86" i="11"/>
  <c r="S86" i="11"/>
  <c r="AA87" i="11"/>
  <c r="Z87" i="11"/>
  <c r="V87" i="11"/>
  <c r="Y87" i="11"/>
  <c r="X87" i="11"/>
  <c r="S87" i="11"/>
  <c r="AM5" i="8"/>
  <c r="AL5" i="8"/>
  <c r="AM6" i="8"/>
  <c r="AL6" i="8"/>
  <c r="AM7" i="8"/>
  <c r="AL7" i="8"/>
  <c r="AM8" i="8"/>
  <c r="AL8" i="8"/>
  <c r="AM9" i="8"/>
  <c r="AL9" i="8"/>
  <c r="AL10" i="8"/>
  <c r="AM10" i="8"/>
  <c r="AL11" i="8"/>
  <c r="AM11" i="8"/>
  <c r="AL12" i="8"/>
  <c r="AM12" i="8"/>
  <c r="AL13" i="8"/>
  <c r="AM13" i="8"/>
  <c r="AM14" i="8"/>
  <c r="AL14" i="8"/>
  <c r="AM15" i="8"/>
  <c r="AL15" i="8"/>
  <c r="AM16" i="8"/>
  <c r="AL16" i="8"/>
  <c r="AM17" i="8"/>
  <c r="AL17" i="8"/>
  <c r="AM18" i="8"/>
  <c r="AL18" i="8"/>
  <c r="AM19" i="8"/>
  <c r="AL19" i="8"/>
  <c r="AM20" i="8"/>
  <c r="AL20" i="8"/>
  <c r="AM21" i="8"/>
  <c r="AL21" i="8"/>
  <c r="AM22" i="8"/>
  <c r="AL22" i="8"/>
  <c r="AM23" i="8"/>
  <c r="AL23" i="8"/>
  <c r="AL24" i="8"/>
  <c r="AM24" i="8"/>
  <c r="AL25" i="8"/>
  <c r="AM25" i="8"/>
  <c r="AL26" i="8"/>
  <c r="AM26" i="8"/>
  <c r="AM27" i="8"/>
  <c r="AL27" i="8"/>
  <c r="AM28" i="8"/>
  <c r="AL28" i="8"/>
  <c r="AM29" i="8"/>
  <c r="AL29" i="8"/>
  <c r="AM30" i="8"/>
  <c r="AL30" i="8"/>
  <c r="AM31" i="8"/>
  <c r="AL31" i="8"/>
  <c r="AM32" i="8"/>
  <c r="AL32" i="8"/>
  <c r="AM33" i="8"/>
  <c r="AL33" i="8"/>
  <c r="AM34" i="8"/>
  <c r="AL34" i="8"/>
  <c r="AL35" i="8"/>
  <c r="AM35" i="8"/>
  <c r="AL36" i="8"/>
  <c r="AM36" i="8"/>
  <c r="AM37" i="8"/>
  <c r="AL37" i="8"/>
  <c r="AL38" i="8"/>
  <c r="AM38" i="8"/>
  <c r="AM39" i="8"/>
  <c r="AL39" i="8"/>
  <c r="AM40" i="8"/>
  <c r="AL40" i="8"/>
  <c r="AM41" i="8"/>
  <c r="AL41" i="8"/>
  <c r="AL42" i="8"/>
  <c r="AM42" i="8"/>
  <c r="AL43" i="8"/>
  <c r="AM43" i="8"/>
  <c r="AM44" i="8"/>
  <c r="AL44" i="8"/>
  <c r="U194" i="20"/>
  <c r="O194" i="20"/>
  <c r="Y194" i="20" s="1"/>
  <c r="K194" i="20"/>
  <c r="T194" i="20"/>
  <c r="M194" i="20"/>
  <c r="W194" i="20" s="1"/>
  <c r="A194" i="20"/>
  <c r="J194" i="20"/>
  <c r="S194" i="20"/>
  <c r="I194" i="20"/>
  <c r="P194" i="20"/>
  <c r="Z194" i="20" s="1"/>
  <c r="L194" i="20"/>
  <c r="K195" i="20"/>
  <c r="T195" i="20"/>
  <c r="U195" i="20"/>
  <c r="O195" i="20"/>
  <c r="Y195" i="20" s="1"/>
  <c r="J195" i="20"/>
  <c r="S195" i="20"/>
  <c r="P195" i="20"/>
  <c r="Z195" i="20" s="1"/>
  <c r="L195" i="20"/>
  <c r="M195" i="20"/>
  <c r="W195" i="20" s="1"/>
  <c r="I195" i="20"/>
  <c r="A195" i="20"/>
  <c r="S196" i="20"/>
  <c r="T196" i="20"/>
  <c r="L196" i="20"/>
  <c r="M196" i="20"/>
  <c r="W196" i="20" s="1"/>
  <c r="O196" i="20"/>
  <c r="Y196" i="20" s="1"/>
  <c r="P196" i="20"/>
  <c r="Z196" i="20" s="1"/>
  <c r="I196" i="20"/>
  <c r="K196" i="20"/>
  <c r="U196" i="20"/>
  <c r="J196" i="20"/>
  <c r="A196" i="20"/>
  <c r="K197" i="20"/>
  <c r="S197" i="20"/>
  <c r="A197" i="20"/>
  <c r="L197" i="20"/>
  <c r="M197" i="20"/>
  <c r="W197" i="20" s="1"/>
  <c r="P197" i="20"/>
  <c r="Z197" i="20" s="1"/>
  <c r="U197" i="20"/>
  <c r="I197" i="20"/>
  <c r="O197" i="20"/>
  <c r="Y197" i="20" s="1"/>
  <c r="J197" i="20"/>
  <c r="T197" i="20"/>
  <c r="T198" i="20"/>
  <c r="P198" i="20"/>
  <c r="Z198" i="20" s="1"/>
  <c r="S198" i="20"/>
  <c r="U198" i="20"/>
  <c r="K198" i="20"/>
  <c r="J198" i="20"/>
  <c r="A198" i="20"/>
  <c r="L198" i="20"/>
  <c r="I198" i="20"/>
  <c r="M198" i="20"/>
  <c r="W198" i="20" s="1"/>
  <c r="O198" i="20"/>
  <c r="Y198" i="20" s="1"/>
  <c r="K199" i="20"/>
  <c r="M199" i="20"/>
  <c r="W199" i="20" s="1"/>
  <c r="U199" i="20"/>
  <c r="S199" i="20"/>
  <c r="A199" i="20"/>
  <c r="P199" i="20"/>
  <c r="Z199" i="20" s="1"/>
  <c r="T199" i="20"/>
  <c r="O199" i="20"/>
  <c r="Y199" i="20" s="1"/>
  <c r="L199" i="20"/>
  <c r="J199" i="20"/>
  <c r="L200" i="20"/>
  <c r="A200" i="20"/>
  <c r="M200" i="20"/>
  <c r="W200" i="20" s="1"/>
  <c r="P200" i="20"/>
  <c r="Z200" i="20" s="1"/>
  <c r="S200" i="20"/>
  <c r="J200" i="20"/>
  <c r="O200" i="20"/>
  <c r="Y200" i="20" s="1"/>
  <c r="U200" i="20"/>
  <c r="T200" i="20"/>
  <c r="K200" i="20"/>
  <c r="O201" i="20"/>
  <c r="Y201" i="20" s="1"/>
  <c r="A201" i="20"/>
  <c r="J201" i="20"/>
  <c r="S201" i="20"/>
  <c r="M201" i="20"/>
  <c r="W201" i="20" s="1"/>
  <c r="P201" i="20"/>
  <c r="Z201" i="20" s="1"/>
  <c r="U201" i="20"/>
  <c r="T201" i="20"/>
  <c r="L201" i="20"/>
  <c r="N201" i="20"/>
  <c r="X201" i="20" s="1"/>
  <c r="K201" i="20"/>
  <c r="P202" i="20"/>
  <c r="Z202" i="20" s="1"/>
  <c r="U202" i="20"/>
  <c r="K202" i="20"/>
  <c r="L202" i="20"/>
  <c r="M202" i="20"/>
  <c r="W202" i="20" s="1"/>
  <c r="S202" i="20"/>
  <c r="A202" i="20"/>
  <c r="T202" i="20"/>
  <c r="J202" i="20"/>
  <c r="N202" i="20"/>
  <c r="X202" i="20" s="1"/>
  <c r="O202" i="20"/>
  <c r="Y202" i="20" s="1"/>
  <c r="N203" i="20"/>
  <c r="X203" i="20" s="1"/>
  <c r="P203" i="20"/>
  <c r="Z203" i="20" s="1"/>
  <c r="L203" i="20"/>
  <c r="A203" i="20"/>
  <c r="T203" i="20"/>
  <c r="K203" i="20"/>
  <c r="J203" i="20"/>
  <c r="U203" i="20"/>
  <c r="M203" i="20"/>
  <c r="W203" i="20" s="1"/>
  <c r="S203" i="20"/>
  <c r="O203" i="20"/>
  <c r="Y203" i="20" s="1"/>
  <c r="O204" i="20"/>
  <c r="Y204" i="20" s="1"/>
  <c r="M204" i="20"/>
  <c r="W204" i="20" s="1"/>
  <c r="S204" i="20"/>
  <c r="P204" i="20"/>
  <c r="Z204" i="20" s="1"/>
  <c r="K204" i="20"/>
  <c r="L204" i="20"/>
  <c r="A204" i="20"/>
  <c r="N204" i="20"/>
  <c r="X204" i="20" s="1"/>
  <c r="T204" i="20"/>
  <c r="U204" i="20"/>
  <c r="J204" i="20"/>
  <c r="L205" i="20"/>
  <c r="K205" i="20"/>
  <c r="S205" i="20"/>
  <c r="O205" i="20"/>
  <c r="Y205" i="20" s="1"/>
  <c r="N205" i="20"/>
  <c r="X205" i="20" s="1"/>
  <c r="U205" i="20"/>
  <c r="M205" i="20"/>
  <c r="W205" i="20" s="1"/>
  <c r="P205" i="20"/>
  <c r="Z205" i="20" s="1"/>
  <c r="J205" i="20"/>
  <c r="T205" i="20"/>
  <c r="A205" i="20"/>
  <c r="S206" i="20"/>
  <c r="L206" i="20"/>
  <c r="O206" i="20"/>
  <c r="Y206" i="20" s="1"/>
  <c r="M206" i="20"/>
  <c r="W206" i="20" s="1"/>
  <c r="T206" i="20"/>
  <c r="J206" i="20"/>
  <c r="P206" i="20"/>
  <c r="Z206" i="20" s="1"/>
  <c r="U206" i="20"/>
  <c r="N206" i="20"/>
  <c r="X206" i="20" s="1"/>
  <c r="K206" i="20"/>
  <c r="S207" i="20"/>
  <c r="P207" i="20"/>
  <c r="Z207" i="20" s="1"/>
  <c r="M207" i="20"/>
  <c r="W207" i="20" s="1"/>
  <c r="T207" i="20"/>
  <c r="L207" i="20"/>
  <c r="N207" i="20"/>
  <c r="X207" i="20" s="1"/>
  <c r="J207" i="20"/>
  <c r="U207" i="20"/>
  <c r="O207" i="20"/>
  <c r="Y207" i="20" s="1"/>
  <c r="K207" i="20"/>
  <c r="T208" i="20"/>
  <c r="N208" i="20"/>
  <c r="X208" i="20" s="1"/>
  <c r="O208" i="20"/>
  <c r="Y208" i="20" s="1"/>
  <c r="J208" i="20"/>
  <c r="L208" i="20"/>
  <c r="K208" i="20"/>
  <c r="P208" i="20"/>
  <c r="Z208" i="20" s="1"/>
  <c r="S208" i="20"/>
  <c r="U208" i="20"/>
  <c r="M208" i="20"/>
  <c r="W208" i="20" s="1"/>
  <c r="T209" i="20"/>
  <c r="O209" i="20"/>
  <c r="Y209" i="20" s="1"/>
  <c r="J209" i="20"/>
  <c r="P209" i="20"/>
  <c r="Z209" i="20" s="1"/>
  <c r="K209" i="20"/>
  <c r="M209" i="20"/>
  <c r="W209" i="20" s="1"/>
  <c r="N209" i="20"/>
  <c r="X209" i="20" s="1"/>
  <c r="S209" i="20"/>
  <c r="L209" i="20"/>
  <c r="U209" i="20"/>
  <c r="S210" i="20"/>
  <c r="K210" i="20"/>
  <c r="O210" i="20"/>
  <c r="Y210" i="20" s="1"/>
  <c r="J210" i="20"/>
  <c r="L210" i="20"/>
  <c r="N210" i="20"/>
  <c r="X210" i="20" s="1"/>
  <c r="T210" i="20"/>
  <c r="P210" i="20"/>
  <c r="Z210" i="20" s="1"/>
  <c r="M210" i="20"/>
  <c r="W210" i="20" s="1"/>
  <c r="U210" i="20"/>
  <c r="O211" i="20"/>
  <c r="Y211" i="20" s="1"/>
  <c r="U211" i="20"/>
  <c r="S211" i="20"/>
  <c r="P211" i="20"/>
  <c r="Z211" i="20" s="1"/>
  <c r="K211" i="20"/>
  <c r="L211" i="20"/>
  <c r="T211" i="20"/>
  <c r="N211" i="20"/>
  <c r="X211" i="20" s="1"/>
  <c r="M211" i="20"/>
  <c r="W211" i="20" s="1"/>
  <c r="J211" i="20"/>
  <c r="N212" i="20"/>
  <c r="X212" i="20" s="1"/>
  <c r="S212" i="20"/>
  <c r="K212" i="20"/>
  <c r="O212" i="20"/>
  <c r="Y212" i="20" s="1"/>
  <c r="U212" i="20"/>
  <c r="P212" i="20"/>
  <c r="Z212" i="20" s="1"/>
  <c r="L212" i="20"/>
  <c r="M212" i="20"/>
  <c r="W212" i="20" s="1"/>
  <c r="T212" i="20"/>
  <c r="J212" i="20"/>
  <c r="L213" i="20"/>
  <c r="S213" i="20"/>
  <c r="N213" i="20"/>
  <c r="X213" i="20" s="1"/>
  <c r="U213" i="20"/>
  <c r="O213" i="20"/>
  <c r="Y213" i="20" s="1"/>
  <c r="K213" i="20"/>
  <c r="P213" i="20"/>
  <c r="Z213" i="20" s="1"/>
  <c r="T213" i="20"/>
  <c r="M213" i="20"/>
  <c r="W213" i="20" s="1"/>
  <c r="J213" i="20"/>
  <c r="M214" i="20"/>
  <c r="W214" i="20" s="1"/>
  <c r="N214" i="20"/>
  <c r="X214" i="20" s="1"/>
  <c r="U214" i="20"/>
  <c r="T214" i="20"/>
  <c r="K214" i="20"/>
  <c r="P214" i="20"/>
  <c r="Z214" i="20" s="1"/>
  <c r="S214" i="20"/>
  <c r="L214" i="20"/>
  <c r="O214" i="20"/>
  <c r="Y214" i="20" s="1"/>
  <c r="J214" i="20"/>
  <c r="T215" i="20"/>
  <c r="K215" i="20"/>
  <c r="M215" i="20"/>
  <c r="W215" i="20" s="1"/>
  <c r="U215" i="20"/>
  <c r="N215" i="20"/>
  <c r="X215" i="20" s="1"/>
  <c r="P215" i="20"/>
  <c r="Z215" i="20" s="1"/>
  <c r="O215" i="20"/>
  <c r="Y215" i="20" s="1"/>
  <c r="S215" i="20"/>
  <c r="L215" i="20"/>
  <c r="J215" i="20"/>
  <c r="M216" i="20"/>
  <c r="W216" i="20" s="1"/>
  <c r="L216" i="20"/>
  <c r="S216" i="20"/>
  <c r="N216" i="20"/>
  <c r="X216" i="20" s="1"/>
  <c r="P216" i="20"/>
  <c r="Z216" i="20" s="1"/>
  <c r="K216" i="20"/>
  <c r="T216" i="20"/>
  <c r="O216" i="20"/>
  <c r="Y216" i="20" s="1"/>
  <c r="U216" i="20"/>
  <c r="J216" i="20"/>
  <c r="P217" i="20"/>
  <c r="Z217" i="20" s="1"/>
  <c r="K217" i="20"/>
  <c r="N217" i="20"/>
  <c r="X217" i="20" s="1"/>
  <c r="L217" i="20"/>
  <c r="S217" i="20"/>
  <c r="M217" i="20"/>
  <c r="W217" i="20" s="1"/>
  <c r="U217" i="20"/>
  <c r="T217" i="20"/>
  <c r="O217" i="20"/>
  <c r="Y217" i="20" s="1"/>
  <c r="J217" i="20"/>
  <c r="K218" i="20"/>
  <c r="O218" i="20"/>
  <c r="Y218" i="20" s="1"/>
  <c r="N218" i="20"/>
  <c r="X218" i="20" s="1"/>
  <c r="P218" i="20"/>
  <c r="Z218" i="20" s="1"/>
  <c r="M218" i="20"/>
  <c r="W218" i="20" s="1"/>
  <c r="L218" i="20"/>
  <c r="T218" i="20"/>
  <c r="U218" i="20"/>
  <c r="S218" i="20"/>
  <c r="J218" i="20"/>
  <c r="K219" i="20"/>
  <c r="O219" i="20"/>
  <c r="Y219" i="20" s="1"/>
  <c r="P219" i="20"/>
  <c r="Z219" i="20" s="1"/>
  <c r="M219" i="20"/>
  <c r="W219" i="20" s="1"/>
  <c r="S219" i="20"/>
  <c r="L219" i="20"/>
  <c r="T219" i="20"/>
  <c r="U219" i="20"/>
  <c r="J219" i="20"/>
  <c r="N219" i="20"/>
  <c r="X219" i="20" s="1"/>
  <c r="T220" i="20"/>
  <c r="O220" i="20"/>
  <c r="Y220" i="20" s="1"/>
  <c r="M220" i="20"/>
  <c r="W220" i="20" s="1"/>
  <c r="U220" i="20"/>
  <c r="S220" i="20"/>
  <c r="K220" i="20"/>
  <c r="L220" i="20"/>
  <c r="J220" i="20"/>
  <c r="P220" i="20"/>
  <c r="Z220" i="20" s="1"/>
  <c r="N220" i="20"/>
  <c r="X220" i="20" s="1"/>
  <c r="L221" i="20"/>
  <c r="N221" i="20"/>
  <c r="X221" i="20" s="1"/>
  <c r="S221" i="20"/>
  <c r="T221" i="20"/>
  <c r="J221" i="20"/>
  <c r="K221" i="20"/>
  <c r="M221" i="20"/>
  <c r="W221" i="20" s="1"/>
  <c r="U221" i="20"/>
  <c r="O221" i="20"/>
  <c r="Y221" i="20" s="1"/>
  <c r="P221" i="20"/>
  <c r="Z221" i="20" s="1"/>
  <c r="L222" i="20"/>
  <c r="J222" i="20"/>
  <c r="T222" i="20"/>
  <c r="S222" i="20"/>
  <c r="M222" i="20"/>
  <c r="W222" i="20" s="1"/>
  <c r="K222" i="20"/>
  <c r="P222" i="20"/>
  <c r="Z222" i="20" s="1"/>
  <c r="N222" i="20"/>
  <c r="X222" i="20" s="1"/>
  <c r="O222" i="20"/>
  <c r="Y222" i="20" s="1"/>
  <c r="U222" i="20"/>
  <c r="T223" i="20"/>
  <c r="L223" i="20"/>
  <c r="K223" i="20"/>
  <c r="S223" i="20"/>
  <c r="P223" i="20"/>
  <c r="Z223" i="20" s="1"/>
  <c r="O223" i="20"/>
  <c r="Y223" i="20" s="1"/>
  <c r="U223" i="20"/>
  <c r="N223" i="20"/>
  <c r="X223" i="20" s="1"/>
  <c r="M223" i="20"/>
  <c r="W223" i="20" s="1"/>
  <c r="J223" i="20"/>
  <c r="S224" i="20"/>
  <c r="P224" i="20"/>
  <c r="Z224" i="20" s="1"/>
  <c r="N224" i="20"/>
  <c r="X224" i="20" s="1"/>
  <c r="L224" i="20"/>
  <c r="O224" i="20"/>
  <c r="Y224" i="20" s="1"/>
  <c r="M224" i="20"/>
  <c r="W224" i="20" s="1"/>
  <c r="U224" i="20"/>
  <c r="T224" i="20"/>
  <c r="J224" i="20"/>
  <c r="K224" i="20"/>
  <c r="L225" i="20"/>
  <c r="P225" i="20"/>
  <c r="Z225" i="20" s="1"/>
  <c r="N225" i="20"/>
  <c r="X225" i="20" s="1"/>
  <c r="K225" i="20"/>
  <c r="M225" i="20"/>
  <c r="W225" i="20" s="1"/>
  <c r="O225" i="20"/>
  <c r="Y225" i="20" s="1"/>
  <c r="J225" i="20"/>
  <c r="U225" i="20"/>
  <c r="T225" i="20"/>
  <c r="S225" i="20"/>
  <c r="N226" i="20"/>
  <c r="X226" i="20" s="1"/>
  <c r="U226" i="20"/>
  <c r="P226" i="20"/>
  <c r="Z226" i="20" s="1"/>
  <c r="O226" i="20"/>
  <c r="Y226" i="20" s="1"/>
  <c r="T226" i="20"/>
  <c r="J226" i="20"/>
  <c r="M226" i="20"/>
  <c r="W226" i="20" s="1"/>
  <c r="S226" i="20"/>
  <c r="L226" i="20"/>
  <c r="K226" i="20"/>
  <c r="L227" i="20"/>
  <c r="J227" i="20"/>
  <c r="S227" i="20"/>
  <c r="K227" i="20"/>
  <c r="O227" i="20"/>
  <c r="Y227" i="20" s="1"/>
  <c r="U227" i="20"/>
  <c r="N227" i="20"/>
  <c r="X227" i="20" s="1"/>
  <c r="M227" i="20"/>
  <c r="W227" i="20" s="1"/>
  <c r="T227" i="20"/>
  <c r="P227" i="20"/>
  <c r="Z227" i="20" s="1"/>
  <c r="L228" i="20"/>
  <c r="M228" i="20"/>
  <c r="W228" i="20" s="1"/>
  <c r="J228" i="20"/>
  <c r="S228" i="20"/>
  <c r="T228" i="20"/>
  <c r="K228" i="20"/>
  <c r="O228" i="20"/>
  <c r="Y228" i="20" s="1"/>
  <c r="U228" i="20"/>
  <c r="N228" i="20"/>
  <c r="X228" i="20" s="1"/>
  <c r="P228" i="20"/>
  <c r="Z228" i="20" s="1"/>
  <c r="L229" i="20"/>
  <c r="P229" i="20"/>
  <c r="Z229" i="20" s="1"/>
  <c r="T229" i="20"/>
  <c r="S229" i="20"/>
  <c r="K229" i="20"/>
  <c r="J229" i="20"/>
  <c r="U229" i="20"/>
  <c r="N229" i="20"/>
  <c r="X229" i="20" s="1"/>
  <c r="O229" i="20"/>
  <c r="Y229" i="20" s="1"/>
  <c r="M229" i="20"/>
  <c r="W229" i="20" s="1"/>
  <c r="U230" i="20"/>
  <c r="N230" i="20"/>
  <c r="X230" i="20" s="1"/>
  <c r="T230" i="20"/>
  <c r="K230" i="20"/>
  <c r="S230" i="20"/>
  <c r="J230" i="20"/>
  <c r="M230" i="20"/>
  <c r="W230" i="20" s="1"/>
  <c r="O230" i="20"/>
  <c r="Y230" i="20" s="1"/>
  <c r="P230" i="20"/>
  <c r="Z230" i="20" s="1"/>
  <c r="L230" i="20"/>
  <c r="L231" i="20"/>
  <c r="O231" i="20"/>
  <c r="Y231" i="20" s="1"/>
  <c r="N231" i="20"/>
  <c r="X231" i="20" s="1"/>
  <c r="P231" i="20"/>
  <c r="Z231" i="20" s="1"/>
  <c r="M231" i="20"/>
  <c r="W231" i="20" s="1"/>
  <c r="T231" i="20"/>
  <c r="K231" i="20"/>
  <c r="J231" i="20"/>
  <c r="S231" i="20"/>
  <c r="U231" i="20"/>
  <c r="L232" i="20"/>
  <c r="T232" i="20"/>
  <c r="O232" i="20"/>
  <c r="Y232" i="20" s="1"/>
  <c r="P232" i="20"/>
  <c r="Z232" i="20" s="1"/>
  <c r="K232" i="20"/>
  <c r="M232" i="20"/>
  <c r="W232" i="20" s="1"/>
  <c r="U232" i="20"/>
  <c r="N232" i="20"/>
  <c r="X232" i="20" s="1"/>
  <c r="J232" i="20"/>
  <c r="S232" i="20"/>
  <c r="L233" i="20"/>
  <c r="S233" i="20"/>
  <c r="O233" i="20"/>
  <c r="Y233" i="20" s="1"/>
  <c r="M233" i="20"/>
  <c r="W233" i="20" s="1"/>
  <c r="T233" i="20"/>
  <c r="J233" i="20"/>
  <c r="N233" i="20"/>
  <c r="X233" i="20" s="1"/>
  <c r="P233" i="20"/>
  <c r="Z233" i="20" s="1"/>
  <c r="K233" i="20"/>
  <c r="U233" i="20"/>
  <c r="U234" i="20"/>
  <c r="O234" i="20"/>
  <c r="Y234" i="20" s="1"/>
  <c r="M234" i="20"/>
  <c r="W234" i="20" s="1"/>
  <c r="S234" i="20"/>
  <c r="P234" i="20"/>
  <c r="Z234" i="20" s="1"/>
  <c r="N234" i="20"/>
  <c r="X234" i="20" s="1"/>
  <c r="J234" i="20"/>
  <c r="K234" i="20"/>
  <c r="L234" i="20"/>
  <c r="T234" i="20"/>
  <c r="U235" i="20"/>
  <c r="T235" i="20"/>
  <c r="P235" i="20"/>
  <c r="Z235" i="20" s="1"/>
  <c r="S235" i="20"/>
  <c r="K235" i="20"/>
  <c r="N235" i="20"/>
  <c r="X235" i="20" s="1"/>
  <c r="M235" i="20"/>
  <c r="W235" i="20" s="1"/>
  <c r="J235" i="20"/>
  <c r="O235" i="20"/>
  <c r="Y235" i="20" s="1"/>
  <c r="L235" i="20"/>
  <c r="U236" i="20"/>
  <c r="M236" i="20"/>
  <c r="W236" i="20" s="1"/>
  <c r="S236" i="20"/>
  <c r="P236" i="20"/>
  <c r="Z236" i="20" s="1"/>
  <c r="N236" i="20"/>
  <c r="X236" i="20" s="1"/>
  <c r="O236" i="20"/>
  <c r="Y236" i="20" s="1"/>
  <c r="J236" i="20"/>
  <c r="L236" i="20"/>
  <c r="T236" i="20"/>
  <c r="K236" i="20"/>
  <c r="M237" i="20"/>
  <c r="W237" i="20" s="1"/>
  <c r="S237" i="20"/>
  <c r="L237" i="20"/>
  <c r="P237" i="20"/>
  <c r="Z237" i="20" s="1"/>
  <c r="J237" i="20"/>
  <c r="O237" i="20"/>
  <c r="Y237" i="20" s="1"/>
  <c r="K237" i="20"/>
  <c r="N237" i="20"/>
  <c r="X237" i="20" s="1"/>
  <c r="U237" i="20"/>
  <c r="T237" i="20"/>
  <c r="U238" i="20"/>
  <c r="O238" i="20"/>
  <c r="Y238" i="20" s="1"/>
  <c r="J238" i="20"/>
  <c r="M238" i="20"/>
  <c r="W238" i="20" s="1"/>
  <c r="L238" i="20"/>
  <c r="T238" i="20"/>
  <c r="K238" i="20"/>
  <c r="P238" i="20"/>
  <c r="Z238" i="20" s="1"/>
  <c r="S238" i="20"/>
  <c r="N238" i="20"/>
  <c r="X238" i="20" s="1"/>
  <c r="U239" i="20"/>
  <c r="O239" i="20"/>
  <c r="Y239" i="20" s="1"/>
  <c r="S239" i="20"/>
  <c r="M239" i="20"/>
  <c r="W239" i="20" s="1"/>
  <c r="J239" i="20"/>
  <c r="L239" i="20"/>
  <c r="K239" i="20"/>
  <c r="P239" i="20"/>
  <c r="Z239" i="20" s="1"/>
  <c r="T239" i="20"/>
  <c r="N239" i="20"/>
  <c r="X239" i="20" s="1"/>
  <c r="U240" i="20"/>
  <c r="S240" i="20"/>
  <c r="O240" i="20"/>
  <c r="Y240" i="20" s="1"/>
  <c r="M240" i="20"/>
  <c r="W240" i="20" s="1"/>
  <c r="J240" i="20"/>
  <c r="L240" i="20"/>
  <c r="K240" i="20"/>
  <c r="P240" i="20"/>
  <c r="Z240" i="20" s="1"/>
  <c r="N240" i="20"/>
  <c r="X240" i="20" s="1"/>
  <c r="T240" i="20"/>
  <c r="K241" i="20"/>
  <c r="J241" i="20"/>
  <c r="U241" i="20"/>
  <c r="S241" i="20"/>
  <c r="P241" i="20"/>
  <c r="Z241" i="20" s="1"/>
  <c r="O241" i="20"/>
  <c r="Y241" i="20" s="1"/>
  <c r="N241" i="20"/>
  <c r="X241" i="20" s="1"/>
  <c r="M241" i="20"/>
  <c r="W241" i="20" s="1"/>
  <c r="T241" i="20"/>
  <c r="L241" i="20"/>
  <c r="T242" i="20"/>
  <c r="O242" i="20"/>
  <c r="Y242" i="20" s="1"/>
  <c r="J242" i="20"/>
  <c r="M242" i="20"/>
  <c r="W242" i="20" s="1"/>
  <c r="L242" i="20"/>
  <c r="N242" i="20"/>
  <c r="X242" i="20" s="1"/>
  <c r="S242" i="20"/>
  <c r="U242" i="20"/>
  <c r="K242" i="20"/>
  <c r="P242" i="20"/>
  <c r="Z242" i="20" s="1"/>
  <c r="S243" i="20"/>
  <c r="U243" i="20"/>
  <c r="O243" i="20"/>
  <c r="Y243" i="20" s="1"/>
  <c r="P243" i="20"/>
  <c r="Z243" i="20" s="1"/>
  <c r="N243" i="20"/>
  <c r="X243" i="20" s="1"/>
  <c r="M243" i="20"/>
  <c r="W243" i="20" s="1"/>
  <c r="T243" i="20"/>
  <c r="K243" i="20"/>
  <c r="J243" i="20"/>
  <c r="L243" i="20"/>
  <c r="S244" i="20"/>
  <c r="O244" i="20"/>
  <c r="Y244" i="20" s="1"/>
  <c r="M244" i="20"/>
  <c r="W244" i="20" s="1"/>
  <c r="L244" i="20"/>
  <c r="T244" i="20"/>
  <c r="J244" i="20"/>
  <c r="U244" i="20"/>
  <c r="K244" i="20"/>
  <c r="N244" i="20"/>
  <c r="X244" i="20" s="1"/>
  <c r="P244" i="20"/>
  <c r="Z244" i="20" s="1"/>
  <c r="O245" i="20"/>
  <c r="Y245" i="20" s="1"/>
  <c r="J245" i="20"/>
  <c r="S245" i="20"/>
  <c r="M245" i="20"/>
  <c r="W245" i="20" s="1"/>
  <c r="N245" i="20"/>
  <c r="X245" i="20" s="1"/>
  <c r="T245" i="20"/>
  <c r="L245" i="20"/>
  <c r="K245" i="20"/>
  <c r="P245" i="20"/>
  <c r="Z245" i="20" s="1"/>
  <c r="U245" i="20"/>
  <c r="J246" i="20"/>
  <c r="O246" i="20"/>
  <c r="Y246" i="20" s="1"/>
  <c r="U246" i="20"/>
  <c r="P246" i="20"/>
  <c r="Z246" i="20" s="1"/>
  <c r="K246" i="20"/>
  <c r="N246" i="20"/>
  <c r="X246" i="20" s="1"/>
  <c r="S246" i="20"/>
  <c r="M246" i="20"/>
  <c r="W246" i="20" s="1"/>
  <c r="T246" i="20"/>
  <c r="L246" i="20"/>
  <c r="P247" i="20"/>
  <c r="Z247" i="20" s="1"/>
  <c r="O247" i="20"/>
  <c r="Y247" i="20" s="1"/>
  <c r="U247" i="20"/>
  <c r="J247" i="20"/>
  <c r="M247" i="20"/>
  <c r="W247" i="20" s="1"/>
  <c r="T247" i="20"/>
  <c r="L247" i="20"/>
  <c r="K247" i="20"/>
  <c r="S247" i="20"/>
  <c r="N247" i="20"/>
  <c r="X247" i="20" s="1"/>
  <c r="U248" i="20"/>
  <c r="O248" i="20"/>
  <c r="Y248" i="20" s="1"/>
  <c r="N248" i="20"/>
  <c r="X248" i="20" s="1"/>
  <c r="S248" i="20"/>
  <c r="J248" i="20"/>
  <c r="L248" i="20"/>
  <c r="K248" i="20"/>
  <c r="P248" i="20"/>
  <c r="Z248" i="20" s="1"/>
  <c r="M248" i="20"/>
  <c r="W248" i="20" s="1"/>
  <c r="T248" i="20"/>
  <c r="O249" i="20"/>
  <c r="Y249" i="20" s="1"/>
  <c r="L249" i="20"/>
  <c r="P249" i="20"/>
  <c r="Z249" i="20" s="1"/>
  <c r="M249" i="20"/>
  <c r="W249" i="20" s="1"/>
  <c r="S249" i="20"/>
  <c r="T249" i="20"/>
  <c r="U249" i="20"/>
  <c r="N249" i="20"/>
  <c r="X249" i="20" s="1"/>
  <c r="K249" i="20"/>
  <c r="J249" i="20"/>
  <c r="U250" i="20"/>
  <c r="N250" i="20"/>
  <c r="X250" i="20" s="1"/>
  <c r="O250" i="20"/>
  <c r="Y250" i="20" s="1"/>
  <c r="M250" i="20"/>
  <c r="W250" i="20" s="1"/>
  <c r="K250" i="20"/>
  <c r="S250" i="20"/>
  <c r="L250" i="20"/>
  <c r="P250" i="20"/>
  <c r="Z250" i="20" s="1"/>
  <c r="T250" i="20"/>
  <c r="J250" i="20"/>
  <c r="O251" i="20"/>
  <c r="Y251" i="20" s="1"/>
  <c r="L251" i="20"/>
  <c r="S251" i="20"/>
  <c r="P251" i="20"/>
  <c r="Z251" i="20" s="1"/>
  <c r="U251" i="20"/>
  <c r="T251" i="20"/>
  <c r="M251" i="20"/>
  <c r="W251" i="20" s="1"/>
  <c r="N251" i="20"/>
  <c r="X251" i="20" s="1"/>
  <c r="K251" i="20"/>
  <c r="J251" i="20"/>
  <c r="S252" i="20"/>
  <c r="L252" i="20"/>
  <c r="O252" i="20"/>
  <c r="Y252" i="20" s="1"/>
  <c r="U252" i="20"/>
  <c r="M252" i="20"/>
  <c r="W252" i="20" s="1"/>
  <c r="P252" i="20"/>
  <c r="Z252" i="20" s="1"/>
  <c r="K252" i="20"/>
  <c r="N252" i="20"/>
  <c r="X252" i="20" s="1"/>
  <c r="T252" i="20"/>
  <c r="J252" i="20"/>
  <c r="T253" i="20"/>
  <c r="L253" i="20"/>
  <c r="M253" i="20"/>
  <c r="W253" i="20" s="1"/>
  <c r="U253" i="20"/>
  <c r="O253" i="20"/>
  <c r="Y253" i="20" s="1"/>
  <c r="K253" i="20"/>
  <c r="P253" i="20"/>
  <c r="Z253" i="20" s="1"/>
  <c r="N253" i="20"/>
  <c r="X253" i="20" s="1"/>
  <c r="S253" i="20"/>
  <c r="J253" i="20"/>
  <c r="T254" i="20"/>
  <c r="L254" i="20"/>
  <c r="U254" i="20"/>
  <c r="O254" i="20"/>
  <c r="Y254" i="20" s="1"/>
  <c r="S254" i="20"/>
  <c r="K254" i="20"/>
  <c r="M254" i="20"/>
  <c r="W254" i="20" s="1"/>
  <c r="N254" i="20"/>
  <c r="X254" i="20" s="1"/>
  <c r="P254" i="20"/>
  <c r="Z254" i="20" s="1"/>
  <c r="J254" i="20"/>
  <c r="S255" i="20"/>
  <c r="U255" i="20"/>
  <c r="T255" i="20"/>
  <c r="J255" i="20"/>
  <c r="U256" i="20"/>
  <c r="T256" i="20"/>
  <c r="J256" i="20"/>
  <c r="S256" i="20"/>
  <c r="U257" i="20"/>
  <c r="J257" i="20"/>
  <c r="S257" i="20"/>
  <c r="T257" i="20"/>
  <c r="T258" i="20"/>
  <c r="S258" i="20"/>
  <c r="U258" i="20"/>
  <c r="J258" i="20"/>
  <c r="U259" i="20"/>
  <c r="N259" i="20"/>
  <c r="X259" i="20" s="1"/>
  <c r="L259" i="20"/>
  <c r="K259" i="20"/>
  <c r="T259" i="20"/>
  <c r="J259" i="20"/>
  <c r="P259" i="20"/>
  <c r="Z259" i="20" s="1"/>
  <c r="S259" i="20"/>
  <c r="M259" i="20"/>
  <c r="W259" i="20" s="1"/>
  <c r="O259" i="20"/>
  <c r="Y259" i="20" s="1"/>
  <c r="T260" i="20"/>
  <c r="U260" i="20"/>
  <c r="J260" i="20"/>
  <c r="S260" i="20"/>
  <c r="T261" i="20"/>
  <c r="U261" i="20"/>
  <c r="J261" i="20"/>
  <c r="S261" i="20"/>
  <c r="T262" i="20"/>
  <c r="U262" i="20"/>
  <c r="J262" i="20"/>
  <c r="S262" i="20"/>
  <c r="U263" i="20"/>
  <c r="T263" i="20"/>
  <c r="S263" i="20"/>
  <c r="J263" i="20"/>
  <c r="U264" i="20"/>
  <c r="T264" i="20"/>
  <c r="J264" i="20"/>
  <c r="S264" i="20"/>
  <c r="U265" i="20"/>
  <c r="O265" i="20"/>
  <c r="Y265" i="20" s="1"/>
  <c r="M265" i="20"/>
  <c r="W265" i="20" s="1"/>
  <c r="S265" i="20"/>
  <c r="J265" i="20"/>
  <c r="T265" i="20"/>
  <c r="P265" i="20"/>
  <c r="Z265" i="20" s="1"/>
  <c r="K265" i="20"/>
  <c r="L265" i="20"/>
  <c r="N265" i="20"/>
  <c r="X265" i="20" s="1"/>
  <c r="L266" i="20"/>
  <c r="S266" i="20"/>
  <c r="K266" i="20"/>
  <c r="U266" i="20"/>
  <c r="J266" i="20"/>
  <c r="T266" i="20"/>
  <c r="O266" i="20"/>
  <c r="Y266" i="20" s="1"/>
  <c r="N266" i="20"/>
  <c r="X266" i="20" s="1"/>
  <c r="M266" i="20"/>
  <c r="W266" i="20" s="1"/>
  <c r="P266" i="20"/>
  <c r="Z266" i="20" s="1"/>
  <c r="T267" i="20"/>
  <c r="J267" i="20"/>
  <c r="S267" i="20"/>
  <c r="M267" i="20"/>
  <c r="W267" i="20" s="1"/>
  <c r="L267" i="20"/>
  <c r="P267" i="20"/>
  <c r="Z267" i="20" s="1"/>
  <c r="N267" i="20"/>
  <c r="X267" i="20" s="1"/>
  <c r="O267" i="20"/>
  <c r="Y267" i="20" s="1"/>
  <c r="U267" i="20"/>
  <c r="K267" i="20"/>
  <c r="M5" i="20"/>
  <c r="W5" i="20" s="1"/>
  <c r="L5" i="20"/>
  <c r="K5" i="20"/>
  <c r="J5" i="20"/>
  <c r="M6" i="20"/>
  <c r="W6" i="20" s="1"/>
  <c r="K6" i="20"/>
  <c r="L6" i="20"/>
  <c r="J6" i="20"/>
  <c r="J7" i="20"/>
  <c r="L7" i="20"/>
  <c r="M7" i="20"/>
  <c r="W7" i="20" s="1"/>
  <c r="K7" i="20"/>
  <c r="L8" i="20"/>
  <c r="J8" i="20"/>
  <c r="M8" i="20"/>
  <c r="W8" i="20" s="1"/>
  <c r="K8" i="20"/>
  <c r="L9" i="20"/>
  <c r="M9" i="20"/>
  <c r="W9" i="20" s="1"/>
  <c r="J9" i="20"/>
  <c r="K9" i="20"/>
  <c r="K10" i="20"/>
  <c r="L10" i="20"/>
  <c r="M10" i="20"/>
  <c r="W10" i="20" s="1"/>
  <c r="J10" i="20"/>
  <c r="K11" i="20"/>
  <c r="M11" i="20"/>
  <c r="W11" i="20" s="1"/>
  <c r="L11" i="20"/>
  <c r="J11" i="20"/>
  <c r="L12" i="20"/>
  <c r="K12" i="20"/>
  <c r="M12" i="20"/>
  <c r="W12" i="20" s="1"/>
  <c r="J12" i="20"/>
  <c r="M13" i="20"/>
  <c r="W13" i="20" s="1"/>
  <c r="N13" i="20"/>
  <c r="X13" i="20" s="1"/>
  <c r="K13" i="20"/>
  <c r="J13" i="20"/>
  <c r="L13" i="20"/>
  <c r="K14" i="20"/>
  <c r="N14" i="20"/>
  <c r="X14" i="20" s="1"/>
  <c r="J14" i="20"/>
  <c r="L14" i="20"/>
  <c r="M14" i="20"/>
  <c r="W14" i="20" s="1"/>
  <c r="J15" i="20"/>
  <c r="N15" i="20"/>
  <c r="X15" i="20" s="1"/>
  <c r="K15" i="20"/>
  <c r="L15" i="20"/>
  <c r="M15" i="20"/>
  <c r="W15" i="20" s="1"/>
  <c r="J16" i="20"/>
  <c r="N16" i="20"/>
  <c r="X16" i="20" s="1"/>
  <c r="A16" i="20"/>
  <c r="L16" i="20"/>
  <c r="M16" i="20"/>
  <c r="W16" i="20" s="1"/>
  <c r="K16" i="20"/>
  <c r="N17" i="20"/>
  <c r="X17" i="20" s="1"/>
  <c r="L17" i="20"/>
  <c r="M17" i="20"/>
  <c r="W17" i="20" s="1"/>
  <c r="A17" i="20"/>
  <c r="J17" i="20"/>
  <c r="K17" i="20"/>
  <c r="M18" i="20"/>
  <c r="W18" i="20" s="1"/>
  <c r="J18" i="20"/>
  <c r="K18" i="20"/>
  <c r="N18" i="20"/>
  <c r="X18" i="20" s="1"/>
  <c r="A18" i="20"/>
  <c r="L18" i="20"/>
  <c r="J19" i="20"/>
  <c r="M19" i="20"/>
  <c r="W19" i="20" s="1"/>
  <c r="N19" i="20"/>
  <c r="X19" i="20" s="1"/>
  <c r="K19" i="20"/>
  <c r="A19" i="20"/>
  <c r="L19" i="20"/>
  <c r="M20" i="20"/>
  <c r="W20" i="20" s="1"/>
  <c r="J20" i="20"/>
  <c r="A20" i="20"/>
  <c r="K20" i="20"/>
  <c r="N20" i="20"/>
  <c r="X20" i="20" s="1"/>
  <c r="L20" i="20"/>
  <c r="A21" i="20"/>
  <c r="K21" i="20"/>
  <c r="M21" i="20"/>
  <c r="W21" i="20" s="1"/>
  <c r="J21" i="20"/>
  <c r="L21" i="20"/>
  <c r="N21" i="20"/>
  <c r="X21" i="20" s="1"/>
  <c r="K22" i="20"/>
  <c r="A22" i="20"/>
  <c r="L22" i="20"/>
  <c r="M22" i="20"/>
  <c r="W22" i="20" s="1"/>
  <c r="N22" i="20"/>
  <c r="X22" i="20" s="1"/>
  <c r="J22" i="20"/>
  <c r="K23" i="20"/>
  <c r="L23" i="20"/>
  <c r="M23" i="20"/>
  <c r="W23" i="20" s="1"/>
  <c r="A23" i="20"/>
  <c r="N23" i="20"/>
  <c r="X23" i="20" s="1"/>
  <c r="J23" i="20"/>
  <c r="L24" i="20"/>
  <c r="K24" i="20"/>
  <c r="M24" i="20"/>
  <c r="W24" i="20" s="1"/>
  <c r="A24" i="20"/>
  <c r="N24" i="20"/>
  <c r="X24" i="20" s="1"/>
  <c r="J24" i="20"/>
  <c r="M25" i="20"/>
  <c r="W25" i="20" s="1"/>
  <c r="K25" i="20"/>
  <c r="L25" i="20"/>
  <c r="N25" i="20"/>
  <c r="X25" i="20" s="1"/>
  <c r="A25" i="20"/>
  <c r="J25" i="20"/>
  <c r="N26" i="20"/>
  <c r="X26" i="20" s="1"/>
  <c r="M26" i="20"/>
  <c r="W26" i="20" s="1"/>
  <c r="A26" i="20"/>
  <c r="K26" i="20"/>
  <c r="L26" i="20"/>
  <c r="J26" i="20"/>
  <c r="M27" i="20"/>
  <c r="W27" i="20" s="1"/>
  <c r="L27" i="20"/>
  <c r="N27" i="20"/>
  <c r="X27" i="20" s="1"/>
  <c r="K27" i="20"/>
  <c r="A27" i="20"/>
  <c r="J27" i="20"/>
  <c r="K28" i="20"/>
  <c r="N28" i="20"/>
  <c r="X28" i="20" s="1"/>
  <c r="L28" i="20"/>
  <c r="M28" i="20"/>
  <c r="W28" i="20" s="1"/>
  <c r="A28" i="20"/>
  <c r="J28" i="20"/>
  <c r="A29" i="20"/>
  <c r="N29" i="20"/>
  <c r="X29" i="20" s="1"/>
  <c r="M29" i="20"/>
  <c r="W29" i="20" s="1"/>
  <c r="K29" i="20"/>
  <c r="L29" i="20"/>
  <c r="J29" i="20"/>
  <c r="J30" i="20"/>
  <c r="K30" i="20"/>
  <c r="N30" i="20"/>
  <c r="X30" i="20" s="1"/>
  <c r="A30" i="20"/>
  <c r="L30" i="20"/>
  <c r="M30" i="20"/>
  <c r="W30" i="20" s="1"/>
  <c r="N31" i="20"/>
  <c r="X31" i="20" s="1"/>
  <c r="J31" i="20"/>
  <c r="K31" i="20"/>
  <c r="M31" i="20"/>
  <c r="W31" i="20" s="1"/>
  <c r="A31" i="20"/>
  <c r="L31" i="20"/>
  <c r="J32" i="20"/>
  <c r="N32" i="20"/>
  <c r="X32" i="20" s="1"/>
  <c r="K32" i="20"/>
  <c r="A32" i="20"/>
  <c r="L32" i="20"/>
  <c r="M32" i="20"/>
  <c r="W32" i="20" s="1"/>
  <c r="L33" i="20"/>
  <c r="N33" i="20"/>
  <c r="X33" i="20" s="1"/>
  <c r="K33" i="20"/>
  <c r="M33" i="20"/>
  <c r="W33" i="20" s="1"/>
  <c r="A33" i="20"/>
  <c r="J33" i="20"/>
  <c r="L34" i="20"/>
  <c r="J34" i="20"/>
  <c r="K34" i="20"/>
  <c r="A34" i="20"/>
  <c r="N34" i="20"/>
  <c r="X34" i="20" s="1"/>
  <c r="M34" i="20"/>
  <c r="W34" i="20" s="1"/>
  <c r="K35" i="20"/>
  <c r="N35" i="20"/>
  <c r="X35" i="20" s="1"/>
  <c r="J35" i="20"/>
  <c r="A35" i="20"/>
  <c r="M35" i="20"/>
  <c r="W35" i="20" s="1"/>
  <c r="L35" i="20"/>
  <c r="N41" i="20"/>
  <c r="X41" i="20" s="1"/>
  <c r="M41" i="20"/>
  <c r="W41" i="20" s="1"/>
  <c r="A41" i="20"/>
  <c r="L41" i="20"/>
  <c r="K41" i="20"/>
  <c r="A47" i="20"/>
  <c r="K47" i="20"/>
  <c r="M47" i="20"/>
  <c r="W47" i="20" s="1"/>
  <c r="L47" i="20"/>
  <c r="N47" i="20"/>
  <c r="X47" i="20" s="1"/>
  <c r="K65" i="20"/>
  <c r="N65" i="20"/>
  <c r="X65" i="20" s="1"/>
  <c r="L65" i="20"/>
  <c r="A65" i="20"/>
  <c r="M65" i="20"/>
  <c r="W65" i="20" s="1"/>
  <c r="L67" i="20"/>
  <c r="M67" i="20"/>
  <c r="W67" i="20" s="1"/>
  <c r="N67" i="20"/>
  <c r="X67" i="20" s="1"/>
  <c r="K67" i="20"/>
  <c r="A67" i="20"/>
  <c r="L163" i="11"/>
  <c r="L164" i="11"/>
  <c r="M164" i="11"/>
  <c r="M163" i="11"/>
  <c r="J30" i="7"/>
  <c r="J32" i="7"/>
  <c r="J33" i="7"/>
  <c r="J34" i="7"/>
  <c r="J31" i="7"/>
  <c r="X37" i="12"/>
  <c r="Z37" i="12" s="1"/>
  <c r="X28" i="12"/>
  <c r="Y28" i="12" s="1"/>
  <c r="Z28" i="12"/>
  <c r="X29" i="12"/>
  <c r="Y29" i="12" s="1"/>
  <c r="Z29" i="12"/>
  <c r="X30" i="12"/>
  <c r="Y30" i="12" s="1"/>
  <c r="Z30" i="12"/>
  <c r="X31" i="12"/>
  <c r="X32" i="12"/>
  <c r="Y32" i="12" s="1"/>
  <c r="Z32" i="12"/>
  <c r="X33" i="12"/>
  <c r="Y33" i="12" s="1"/>
  <c r="Z33" i="12"/>
  <c r="X34" i="12"/>
  <c r="X35" i="12"/>
  <c r="Y35" i="12" s="1"/>
  <c r="Z35" i="12"/>
  <c r="AD184" i="11"/>
  <c r="AF184" i="11" s="1"/>
  <c r="AD185" i="11"/>
  <c r="AF185" i="11" s="1"/>
  <c r="AD186" i="11"/>
  <c r="AF186" i="11"/>
  <c r="AD187" i="11"/>
  <c r="AF187" i="11"/>
  <c r="AD188" i="11"/>
  <c r="AF188" i="11" s="1"/>
  <c r="AD180" i="11"/>
  <c r="AF180" i="11"/>
  <c r="AD181" i="11"/>
  <c r="AF181" i="11"/>
  <c r="AD182" i="11"/>
  <c r="AF182" i="11" s="1"/>
  <c r="AD171" i="11"/>
  <c r="AD172" i="11"/>
  <c r="AD173" i="11"/>
  <c r="AE173" i="11" s="1"/>
  <c r="AF173" i="11"/>
  <c r="AD174" i="11"/>
  <c r="AE174" i="11" s="1"/>
  <c r="AF174" i="11"/>
  <c r="AD175" i="11"/>
  <c r="AE175" i="11" s="1"/>
  <c r="AF175" i="11"/>
  <c r="AD176" i="11"/>
  <c r="AD177" i="11"/>
  <c r="AE177" i="11" s="1"/>
  <c r="AF177" i="11"/>
  <c r="AD178" i="11"/>
  <c r="AE178" i="11" s="1"/>
  <c r="AF178" i="11"/>
  <c r="Y163" i="11"/>
  <c r="AA163" i="11"/>
  <c r="Y164" i="11"/>
  <c r="AA164" i="11" s="1"/>
  <c r="Y154" i="11"/>
  <c r="Z154" i="11" s="1"/>
  <c r="AA154" i="11"/>
  <c r="Y155" i="11"/>
  <c r="Z155" i="11" s="1"/>
  <c r="AA155" i="11"/>
  <c r="Y156" i="11"/>
  <c r="Y157" i="11"/>
  <c r="Y158" i="11"/>
  <c r="Z158" i="11" s="1"/>
  <c r="AA158" i="11"/>
  <c r="Y159" i="11"/>
  <c r="Y160" i="11"/>
  <c r="Y161" i="11"/>
  <c r="AB136" i="11"/>
  <c r="Y136" i="11"/>
  <c r="Z136" i="11"/>
  <c r="AD136" i="11" s="1"/>
  <c r="AI136" i="11"/>
  <c r="AA136" i="11"/>
  <c r="AJ136" i="11"/>
  <c r="Y137" i="11"/>
  <c r="Z137" i="11"/>
  <c r="AD137" i="11" s="1"/>
  <c r="AB137" i="11"/>
  <c r="AA137" i="11"/>
  <c r="AJ137" i="11"/>
  <c r="AI137" i="11"/>
  <c r="AI138" i="11"/>
  <c r="Z138" i="11"/>
  <c r="AD138" i="11" s="1"/>
  <c r="Y138" i="11"/>
  <c r="AB138" i="11"/>
  <c r="AA138" i="11"/>
  <c r="AJ138" i="11"/>
  <c r="AB139" i="11"/>
  <c r="Y139" i="11"/>
  <c r="AI139" i="11"/>
  <c r="Z139" i="11"/>
  <c r="AD139" i="11" s="1"/>
  <c r="AJ139" i="11"/>
  <c r="AA139" i="11"/>
  <c r="Y140" i="11"/>
  <c r="AI140" i="11"/>
  <c r="Z140" i="11"/>
  <c r="AD140" i="11" s="1"/>
  <c r="AA140" i="11"/>
  <c r="AJ140" i="11"/>
  <c r="AB140" i="11"/>
  <c r="AB141" i="11"/>
  <c r="Z141" i="11"/>
  <c r="AD141" i="11" s="1"/>
  <c r="AJ141" i="11"/>
  <c r="AI141" i="11"/>
  <c r="AA141" i="11"/>
  <c r="Y142" i="11"/>
  <c r="Z142" i="11"/>
  <c r="AD142" i="11" s="1"/>
  <c r="AI142" i="11"/>
  <c r="AA142" i="11"/>
  <c r="AB142" i="11"/>
  <c r="AJ142" i="11"/>
  <c r="Y143" i="11"/>
  <c r="AB143" i="11"/>
  <c r="Z143" i="11"/>
  <c r="AD143" i="11" s="1"/>
  <c r="AI143" i="11"/>
  <c r="AA143" i="11"/>
  <c r="AJ143" i="11"/>
  <c r="AC147" i="11"/>
  <c r="M147" i="11" s="1"/>
  <c r="AC145" i="11"/>
  <c r="M145" i="11" s="1"/>
  <c r="AC136" i="11"/>
  <c r="AC137" i="11"/>
  <c r="AC138" i="11"/>
  <c r="AC139" i="11"/>
  <c r="AC140" i="11"/>
  <c r="AC141" i="11"/>
  <c r="AC142" i="11"/>
  <c r="AF136" i="11"/>
  <c r="AF137" i="11"/>
  <c r="AF138" i="11"/>
  <c r="AG138" i="11" s="1"/>
  <c r="AH138" i="11"/>
  <c r="AF139" i="11"/>
  <c r="AF140" i="11"/>
  <c r="AG140" i="11" s="1"/>
  <c r="T140" i="11"/>
  <c r="S140" i="11"/>
  <c r="AH140" i="11"/>
  <c r="AF141" i="11"/>
  <c r="AG141" i="11" s="1"/>
  <c r="AH141" i="11"/>
  <c r="AF142" i="11"/>
  <c r="AF143" i="11"/>
  <c r="AG129" i="11"/>
  <c r="AI129" i="11" s="1"/>
  <c r="AG124" i="11"/>
  <c r="AI124" i="11" s="1"/>
  <c r="AG125" i="11"/>
  <c r="AI125" i="11" s="1"/>
  <c r="AG126" i="11"/>
  <c r="AI126" i="11" s="1"/>
  <c r="AG127" i="11"/>
  <c r="AI127" i="11" s="1"/>
  <c r="AG115" i="11"/>
  <c r="AG116" i="11"/>
  <c r="AG117" i="11"/>
  <c r="AG118" i="11"/>
  <c r="AG119" i="11"/>
  <c r="AG120" i="11"/>
  <c r="AG121" i="11"/>
  <c r="AH121" i="11" s="1"/>
  <c r="AI121" i="11"/>
  <c r="AG122" i="11"/>
  <c r="AB108" i="11"/>
  <c r="AD108" i="11" s="1"/>
  <c r="AB105" i="11"/>
  <c r="AD105" i="11" s="1"/>
  <c r="AB106" i="11"/>
  <c r="AD106" i="11" s="1"/>
  <c r="AB96" i="11"/>
  <c r="AB97" i="11"/>
  <c r="AB98" i="11"/>
  <c r="AB99" i="11"/>
  <c r="AB100" i="11"/>
  <c r="AB101" i="11"/>
  <c r="AB102" i="11"/>
  <c r="AB103" i="11"/>
  <c r="AE89" i="11"/>
  <c r="AG89" i="11" s="1"/>
  <c r="AE80" i="11"/>
  <c r="AG80" i="11" s="1"/>
  <c r="AE81" i="11"/>
  <c r="AG81" i="11" s="1"/>
  <c r="AE82" i="11"/>
  <c r="AG82" i="11" s="1"/>
  <c r="AE83" i="11"/>
  <c r="AG83" i="11" s="1"/>
  <c r="AE84" i="11"/>
  <c r="AG84" i="11" s="1"/>
  <c r="AE85" i="11"/>
  <c r="AG85" i="11" s="1"/>
  <c r="AE86" i="11"/>
  <c r="AG86" i="11" s="1"/>
  <c r="AE87" i="11"/>
  <c r="AG87" i="11" s="1"/>
  <c r="AG73" i="11"/>
  <c r="AI73" i="11" s="1"/>
  <c r="AG68" i="11"/>
  <c r="AI68" i="11" s="1"/>
  <c r="AG69" i="11"/>
  <c r="AI69" i="11" s="1"/>
  <c r="AG70" i="11"/>
  <c r="AI70" i="11" s="1"/>
  <c r="AG71" i="11"/>
  <c r="AI71" i="11" s="1"/>
  <c r="AG59" i="11"/>
  <c r="AI59" i="11" s="1"/>
  <c r="AG60" i="11"/>
  <c r="AI60" i="11" s="1"/>
  <c r="AG61" i="11"/>
  <c r="AI61" i="11" s="1"/>
  <c r="AG62" i="11"/>
  <c r="AI62" i="11" s="1"/>
  <c r="AG63" i="11"/>
  <c r="AI63" i="11" s="1"/>
  <c r="AG64" i="11"/>
  <c r="AI64" i="11" s="1"/>
  <c r="AG65" i="11"/>
  <c r="AI65" i="11" s="1"/>
  <c r="AG66" i="11"/>
  <c r="AI66" i="11" s="1"/>
  <c r="AA52" i="11"/>
  <c r="AC52" i="11" s="1"/>
  <c r="Q52" i="11" s="1"/>
  <c r="G102" i="19" s="1"/>
  <c r="H102" i="19" s="1"/>
  <c r="AA43" i="11"/>
  <c r="AC43" i="11" s="1"/>
  <c r="Q43" i="11" s="1"/>
  <c r="AA44" i="11"/>
  <c r="AC44" i="11" s="1"/>
  <c r="Q44" i="11" s="1"/>
  <c r="AA45" i="11"/>
  <c r="AC45" i="11" s="1"/>
  <c r="Q45" i="11" s="1"/>
  <c r="AA46" i="11"/>
  <c r="AC46" i="11" s="1"/>
  <c r="Q46" i="11" s="1"/>
  <c r="AA47" i="11"/>
  <c r="AC47" i="11" s="1"/>
  <c r="Q47" i="11" s="1"/>
  <c r="AA48" i="11"/>
  <c r="AC48" i="11" s="1"/>
  <c r="Q48" i="11" s="1"/>
  <c r="AA49" i="11"/>
  <c r="AC49" i="11" s="1"/>
  <c r="Q49" i="11" s="1"/>
  <c r="AA50" i="11"/>
  <c r="AC50" i="11" s="1"/>
  <c r="Q50" i="11" s="1"/>
  <c r="AB36" i="11"/>
  <c r="AD36" i="11" s="1"/>
  <c r="AB27" i="11"/>
  <c r="AD27" i="11" s="1"/>
  <c r="AB28" i="11"/>
  <c r="AD28" i="11" s="1"/>
  <c r="AB29" i="11"/>
  <c r="AD29" i="11" s="1"/>
  <c r="AB30" i="11"/>
  <c r="AD30" i="11" s="1"/>
  <c r="AB31" i="11"/>
  <c r="AD31" i="11" s="1"/>
  <c r="AB32" i="11"/>
  <c r="AD32" i="11" s="1"/>
  <c r="AB33" i="11"/>
  <c r="AD33" i="11" s="1"/>
  <c r="AB34" i="11"/>
  <c r="AD34" i="11" s="1"/>
  <c r="G120" i="19"/>
  <c r="H120" i="19" s="1"/>
  <c r="AD17" i="11"/>
  <c r="AF17" i="11" s="1"/>
  <c r="AD18" i="11"/>
  <c r="AF18" i="11" s="1"/>
  <c r="AD19" i="11"/>
  <c r="AF19" i="11" s="1"/>
  <c r="AD20" i="11"/>
  <c r="AF20" i="11" s="1"/>
  <c r="AD8" i="11"/>
  <c r="AF8" i="11" s="1"/>
  <c r="AD9" i="11"/>
  <c r="AF9" i="11" s="1"/>
  <c r="AD10" i="11"/>
  <c r="AF10" i="11"/>
  <c r="AD11" i="11"/>
  <c r="AF11" i="11" s="1"/>
  <c r="AD12" i="11"/>
  <c r="AF12" i="11" s="1"/>
  <c r="AD13" i="11"/>
  <c r="AF13" i="11" s="1"/>
  <c r="AD14" i="11"/>
  <c r="AF14" i="11" s="1"/>
  <c r="AD15" i="11"/>
  <c r="AF15" i="11"/>
  <c r="AS78" i="8"/>
  <c r="AU78" i="8"/>
  <c r="AS79" i="8"/>
  <c r="AU79" i="8"/>
  <c r="AU80" i="8"/>
  <c r="AS80" i="8"/>
  <c r="AU81" i="8"/>
  <c r="AS81" i="8"/>
  <c r="AU82" i="8"/>
  <c r="AS82" i="8"/>
  <c r="AU83" i="8"/>
  <c r="AS83" i="8"/>
  <c r="AU84" i="8"/>
  <c r="AS84" i="8"/>
  <c r="AU85" i="8"/>
  <c r="AS85" i="8"/>
  <c r="AS86" i="8"/>
  <c r="AU86" i="8"/>
  <c r="AU87" i="8"/>
  <c r="AS87" i="8"/>
  <c r="AU88" i="8"/>
  <c r="AS88" i="8"/>
  <c r="AU89" i="8"/>
  <c r="AS89" i="8"/>
  <c r="AU90" i="8"/>
  <c r="AS90" i="8"/>
  <c r="AS91" i="8"/>
  <c r="AU91" i="8"/>
  <c r="AU92" i="8"/>
  <c r="AS92" i="8"/>
  <c r="AU93" i="8"/>
  <c r="AS93" i="8"/>
  <c r="AU94" i="8"/>
  <c r="AS94" i="8"/>
  <c r="AU95" i="8"/>
  <c r="AS95" i="8"/>
  <c r="AS96" i="8"/>
  <c r="AU96" i="8"/>
  <c r="AS46" i="8"/>
  <c r="AU46" i="8"/>
  <c r="AU47" i="8"/>
  <c r="AS47" i="8"/>
  <c r="AU48" i="8"/>
  <c r="AS48" i="8"/>
  <c r="AS49" i="8"/>
  <c r="AU49" i="8"/>
  <c r="AS50" i="8"/>
  <c r="AU50" i="8"/>
  <c r="AU51" i="8"/>
  <c r="AS51" i="8"/>
  <c r="AS52" i="8"/>
  <c r="AU52" i="8"/>
  <c r="AU53" i="8"/>
  <c r="AS53" i="8"/>
  <c r="AS54" i="8"/>
  <c r="AU54" i="8"/>
  <c r="AS55" i="8"/>
  <c r="AU55" i="8"/>
  <c r="AS56" i="8"/>
  <c r="AU56" i="8"/>
  <c r="AS57" i="8"/>
  <c r="AU57" i="8"/>
  <c r="AU58" i="8"/>
  <c r="AS58" i="8"/>
  <c r="AS59" i="8"/>
  <c r="AU59" i="8"/>
  <c r="AS60" i="8"/>
  <c r="AU60" i="8"/>
  <c r="AU61" i="8"/>
  <c r="AS61" i="8"/>
  <c r="AS62" i="8"/>
  <c r="AU62" i="8"/>
  <c r="AS63" i="8"/>
  <c r="AU63" i="8"/>
  <c r="AS64" i="8"/>
  <c r="AU64" i="8"/>
  <c r="AS65" i="8"/>
  <c r="AU65" i="8"/>
  <c r="AS66" i="8"/>
  <c r="AU66" i="8"/>
  <c r="AS67" i="8"/>
  <c r="AU67" i="8"/>
  <c r="AU68" i="8"/>
  <c r="AS68" i="8"/>
  <c r="AU69" i="8"/>
  <c r="AS69" i="8"/>
  <c r="AS70" i="8"/>
  <c r="AU70" i="8"/>
  <c r="AS71" i="8"/>
  <c r="AU71" i="8"/>
  <c r="AU72" i="8"/>
  <c r="AS72" i="8"/>
  <c r="AU73" i="8"/>
  <c r="AS73" i="8"/>
  <c r="AS74" i="8"/>
  <c r="AU74" i="8"/>
  <c r="AU75" i="8"/>
  <c r="AS75" i="8"/>
  <c r="AU76" i="8"/>
  <c r="AS76" i="8"/>
  <c r="AT76" i="8" s="1"/>
  <c r="BV5" i="8"/>
  <c r="BW5" i="8" s="1"/>
  <c r="AV5" i="8"/>
  <c r="BX5" i="8"/>
  <c r="BV6" i="8"/>
  <c r="BW6" i="8" s="1"/>
  <c r="AV6" i="8"/>
  <c r="BX6" i="8"/>
  <c r="BV7" i="8"/>
  <c r="BW7" i="8" s="1"/>
  <c r="AV7" i="8"/>
  <c r="BX7" i="8"/>
  <c r="AV8" i="8"/>
  <c r="BV8" i="8"/>
  <c r="BW8" i="8" s="1"/>
  <c r="BX8" i="8"/>
  <c r="AV9" i="8"/>
  <c r="BX9" i="8"/>
  <c r="BV9" i="8"/>
  <c r="BW9" i="8" s="1"/>
  <c r="AV10" i="8"/>
  <c r="BX10" i="8"/>
  <c r="BV10" i="8"/>
  <c r="BW10" i="8" s="1"/>
  <c r="BV11" i="8"/>
  <c r="BW11" i="8" s="1"/>
  <c r="AV11" i="8"/>
  <c r="BX11" i="8"/>
  <c r="BV12" i="8"/>
  <c r="BW12" i="8" s="1"/>
  <c r="AV12" i="8"/>
  <c r="BX12" i="8"/>
  <c r="BX13" i="8"/>
  <c r="AV13" i="8"/>
  <c r="BV13" i="8"/>
  <c r="BW13" i="8" s="1"/>
  <c r="BX14" i="8"/>
  <c r="BV14" i="8"/>
  <c r="BW14" i="8" s="1"/>
  <c r="AV14" i="8"/>
  <c r="BX15" i="8"/>
  <c r="BV15" i="8"/>
  <c r="BW15" i="8" s="1"/>
  <c r="AV15" i="8"/>
  <c r="BX16" i="8"/>
  <c r="BV16" i="8"/>
  <c r="BW16" i="8" s="1"/>
  <c r="AV16" i="8"/>
  <c r="BV17" i="8"/>
  <c r="BW17" i="8" s="1"/>
  <c r="BX17" i="8"/>
  <c r="AV17" i="8"/>
  <c r="BV18" i="8"/>
  <c r="BW18" i="8" s="1"/>
  <c r="BX18" i="8"/>
  <c r="AV18" i="8"/>
  <c r="BV19" i="8"/>
  <c r="BW19" i="8" s="1"/>
  <c r="BX19" i="8"/>
  <c r="AV19" i="8"/>
  <c r="BV20" i="8"/>
  <c r="BW20" i="8" s="1"/>
  <c r="BX20" i="8"/>
  <c r="AV20" i="8"/>
  <c r="BU20" i="8" s="1"/>
  <c r="BV21" i="8"/>
  <c r="BW21" i="8" s="1"/>
  <c r="BX21" i="8"/>
  <c r="AV21" i="8"/>
  <c r="BU21" i="8" s="1"/>
  <c r="BX22" i="8"/>
  <c r="BV22" i="8"/>
  <c r="BW22" i="8" s="1"/>
  <c r="AV22" i="8"/>
  <c r="BU22" i="8" s="1"/>
  <c r="BV23" i="8"/>
  <c r="BW23" i="8" s="1"/>
  <c r="AV23" i="8"/>
  <c r="BU23" i="8" s="1"/>
  <c r="BX23" i="8"/>
  <c r="BV24" i="8"/>
  <c r="BW24" i="8" s="1"/>
  <c r="AV24" i="8"/>
  <c r="BU24" i="8" s="1"/>
  <c r="BX24" i="8"/>
  <c r="AV25" i="8"/>
  <c r="BU25" i="8" s="1"/>
  <c r="BV25" i="8"/>
  <c r="BW25" i="8" s="1"/>
  <c r="BX25" i="8"/>
  <c r="BV26" i="8"/>
  <c r="BW26" i="8" s="1"/>
  <c r="AV26" i="8"/>
  <c r="BU26" i="8" s="1"/>
  <c r="BX26" i="8"/>
  <c r="BV27" i="8"/>
  <c r="BW27" i="8" s="1"/>
  <c r="AV27" i="8"/>
  <c r="BU27" i="8" s="1"/>
  <c r="BX27" i="8"/>
  <c r="AV28" i="8"/>
  <c r="BU28" i="8" s="1"/>
  <c r="BV28" i="8"/>
  <c r="BW28" i="8" s="1"/>
  <c r="BX28" i="8"/>
  <c r="AV29" i="8"/>
  <c r="BU29" i="8" s="1"/>
  <c r="BV29" i="8"/>
  <c r="BW29" i="8" s="1"/>
  <c r="BX29" i="8"/>
  <c r="AV30" i="8"/>
  <c r="BU30" i="8" s="1"/>
  <c r="BV30" i="8"/>
  <c r="BW30" i="8" s="1"/>
  <c r="BX30" i="8"/>
  <c r="AV31" i="8"/>
  <c r="BU31" i="8" s="1"/>
  <c r="BX31" i="8"/>
  <c r="BV31" i="8"/>
  <c r="BW31" i="8" s="1"/>
  <c r="AV32" i="8"/>
  <c r="BX32" i="8"/>
  <c r="BV32" i="8"/>
  <c r="BW32" i="8" s="1"/>
  <c r="BJ32" i="8"/>
  <c r="AV33" i="8"/>
  <c r="BX33" i="8"/>
  <c r="BJ33" i="8"/>
  <c r="BV33" i="8"/>
  <c r="BW33" i="8" s="1"/>
  <c r="AV34" i="8"/>
  <c r="BX34" i="8"/>
  <c r="BV34" i="8"/>
  <c r="BW34" i="8" s="1"/>
  <c r="BJ34" i="8"/>
  <c r="AV35" i="8"/>
  <c r="BX35" i="8"/>
  <c r="BV35" i="8"/>
  <c r="BW35" i="8" s="1"/>
  <c r="BJ35" i="8"/>
  <c r="BV36" i="8"/>
  <c r="BW36" i="8" s="1"/>
  <c r="BJ36" i="8"/>
  <c r="AV36" i="8"/>
  <c r="BX36" i="8"/>
  <c r="AV37" i="8"/>
  <c r="BX37" i="8"/>
  <c r="BV37" i="8"/>
  <c r="BW37" i="8" s="1"/>
  <c r="BJ37" i="8"/>
  <c r="BJ38" i="8"/>
  <c r="BX38" i="8"/>
  <c r="BV38" i="8"/>
  <c r="BW38" i="8" s="1"/>
  <c r="AV38" i="8"/>
  <c r="BJ39" i="8"/>
  <c r="BV39" i="8"/>
  <c r="BW39" i="8" s="1"/>
  <c r="AV39" i="8"/>
  <c r="BX39" i="8"/>
  <c r="BX40" i="8"/>
  <c r="BJ40" i="8"/>
  <c r="AV40" i="8"/>
  <c r="BV40" i="8"/>
  <c r="BW40" i="8" s="1"/>
  <c r="AV41" i="8"/>
  <c r="BV41" i="8"/>
  <c r="BW41" i="8" s="1"/>
  <c r="BJ41" i="8"/>
  <c r="BX41" i="8"/>
  <c r="BJ42" i="8"/>
  <c r="AV42" i="8"/>
  <c r="BV42" i="8"/>
  <c r="BW42" i="8" s="1"/>
  <c r="BX42" i="8"/>
  <c r="BJ43" i="8"/>
  <c r="BV43" i="8"/>
  <c r="BW43" i="8" s="1"/>
  <c r="AV43" i="8"/>
  <c r="BX43" i="8"/>
  <c r="BJ44" i="8"/>
  <c r="BV44" i="8"/>
  <c r="BW44" i="8" s="1"/>
  <c r="AV44" i="8"/>
  <c r="BX44" i="8"/>
  <c r="BK5" i="8"/>
  <c r="BL5" i="8"/>
  <c r="BM5" i="8"/>
  <c r="BN5" i="8"/>
  <c r="BO5" i="8"/>
  <c r="BP5" i="8"/>
  <c r="BQ5" i="8"/>
  <c r="BR5" i="8"/>
  <c r="BS5" i="8"/>
  <c r="BT5" i="8"/>
  <c r="BU5" i="8"/>
  <c r="AH5" i="8"/>
  <c r="AI5" i="8"/>
  <c r="BK6" i="8"/>
  <c r="BL6" i="8"/>
  <c r="BM6" i="8"/>
  <c r="BN6" i="8"/>
  <c r="BO6" i="8"/>
  <c r="BP6" i="8"/>
  <c r="BQ6" i="8"/>
  <c r="BR6" i="8"/>
  <c r="BS6" i="8"/>
  <c r="BT6" i="8"/>
  <c r="BU6" i="8"/>
  <c r="AH6" i="8"/>
  <c r="AI6" i="8"/>
  <c r="BK7" i="8"/>
  <c r="BL7" i="8"/>
  <c r="BM7" i="8"/>
  <c r="BN7" i="8"/>
  <c r="BO7" i="8"/>
  <c r="BP7" i="8"/>
  <c r="BQ7" i="8"/>
  <c r="BR7" i="8"/>
  <c r="BS7" i="8"/>
  <c r="BT7" i="8"/>
  <c r="BU7" i="8"/>
  <c r="AH7" i="8"/>
  <c r="AI7" i="8"/>
  <c r="BK8" i="8"/>
  <c r="BL8" i="8"/>
  <c r="BM8" i="8"/>
  <c r="BN8" i="8"/>
  <c r="BO8" i="8"/>
  <c r="BP8" i="8"/>
  <c r="BQ8" i="8"/>
  <c r="BR8" i="8"/>
  <c r="BS8" i="8"/>
  <c r="BT8" i="8"/>
  <c r="BU8" i="8"/>
  <c r="AH8" i="8"/>
  <c r="AI8" i="8"/>
  <c r="BK9" i="8"/>
  <c r="BL9" i="8"/>
  <c r="BM9" i="8"/>
  <c r="BN9" i="8"/>
  <c r="BO9" i="8"/>
  <c r="BP9" i="8"/>
  <c r="BQ9" i="8"/>
  <c r="BR9" i="8"/>
  <c r="BS9" i="8"/>
  <c r="BT9" i="8"/>
  <c r="BU9" i="8"/>
  <c r="AH9" i="8"/>
  <c r="AI9" i="8"/>
  <c r="BK10" i="8"/>
  <c r="BL10" i="8"/>
  <c r="BM10" i="8"/>
  <c r="BN10" i="8"/>
  <c r="BO10" i="8"/>
  <c r="BP10" i="8"/>
  <c r="BQ10" i="8"/>
  <c r="BR10" i="8"/>
  <c r="BS10" i="8"/>
  <c r="BT10" i="8"/>
  <c r="BU10" i="8"/>
  <c r="AH10" i="8"/>
  <c r="AI10" i="8"/>
  <c r="BK11" i="8"/>
  <c r="BL11" i="8"/>
  <c r="BM11" i="8"/>
  <c r="BN11" i="8"/>
  <c r="BO11" i="8"/>
  <c r="BP11" i="8"/>
  <c r="BQ11" i="8"/>
  <c r="BR11" i="8"/>
  <c r="BS11" i="8"/>
  <c r="BT11" i="8"/>
  <c r="BU11" i="8"/>
  <c r="AH11" i="8"/>
  <c r="AI11" i="8"/>
  <c r="BK12" i="8"/>
  <c r="BL12" i="8"/>
  <c r="BM12" i="8"/>
  <c r="BN12" i="8"/>
  <c r="BO12" i="8"/>
  <c r="BP12" i="8"/>
  <c r="BQ12" i="8"/>
  <c r="BR12" i="8"/>
  <c r="BS12" i="8"/>
  <c r="BT12" i="8"/>
  <c r="BU12" i="8"/>
  <c r="AH12" i="8"/>
  <c r="AI12" i="8"/>
  <c r="BK13" i="8"/>
  <c r="BL13" i="8"/>
  <c r="BM13" i="8"/>
  <c r="BN13" i="8"/>
  <c r="BO13" i="8"/>
  <c r="BP13" i="8"/>
  <c r="BQ13" i="8"/>
  <c r="BR13" i="8"/>
  <c r="BS13" i="8"/>
  <c r="BT13" i="8"/>
  <c r="BU13" i="8"/>
  <c r="AH13" i="8"/>
  <c r="AI13" i="8"/>
  <c r="BK14" i="8"/>
  <c r="BL14" i="8"/>
  <c r="BM14" i="8"/>
  <c r="BN14" i="8"/>
  <c r="BO14" i="8"/>
  <c r="BP14" i="8"/>
  <c r="BQ14" i="8"/>
  <c r="BR14" i="8"/>
  <c r="BS14" i="8"/>
  <c r="BT14" i="8"/>
  <c r="BU14" i="8"/>
  <c r="AH14" i="8"/>
  <c r="AI14" i="8"/>
  <c r="BK15" i="8"/>
  <c r="BL15" i="8"/>
  <c r="BM15" i="8"/>
  <c r="BN15" i="8"/>
  <c r="BO15" i="8"/>
  <c r="BP15" i="8"/>
  <c r="BQ15" i="8"/>
  <c r="BR15" i="8"/>
  <c r="BS15" i="8"/>
  <c r="BT15" i="8"/>
  <c r="BU15" i="8"/>
  <c r="AH15" i="8"/>
  <c r="AI15" i="8"/>
  <c r="BK16" i="8"/>
  <c r="BL16" i="8"/>
  <c r="BM16" i="8"/>
  <c r="BN16" i="8"/>
  <c r="BO16" i="8"/>
  <c r="BP16" i="8"/>
  <c r="BQ16" i="8"/>
  <c r="BR16" i="8"/>
  <c r="BS16" i="8"/>
  <c r="BT16" i="8"/>
  <c r="BU16" i="8"/>
  <c r="AH16" i="8"/>
  <c r="AI16" i="8"/>
  <c r="BK17" i="8"/>
  <c r="BL17" i="8"/>
  <c r="BM17" i="8"/>
  <c r="BN17" i="8"/>
  <c r="BO17" i="8"/>
  <c r="BP17" i="8"/>
  <c r="BQ17" i="8"/>
  <c r="BR17" i="8"/>
  <c r="BS17" i="8"/>
  <c r="BT17" i="8"/>
  <c r="BU17" i="8"/>
  <c r="AH17" i="8"/>
  <c r="AI17" i="8"/>
  <c r="BK18" i="8"/>
  <c r="BL18" i="8"/>
  <c r="BM18" i="8"/>
  <c r="BN18" i="8"/>
  <c r="BO18" i="8"/>
  <c r="BP18" i="8"/>
  <c r="BQ18" i="8"/>
  <c r="BR18" i="8"/>
  <c r="BS18" i="8"/>
  <c r="BT18" i="8"/>
  <c r="BU18" i="8"/>
  <c r="AH18" i="8"/>
  <c r="AI18" i="8"/>
  <c r="BK19" i="8"/>
  <c r="BL19" i="8"/>
  <c r="BM19" i="8"/>
  <c r="BN19" i="8"/>
  <c r="BO19" i="8"/>
  <c r="BP19" i="8"/>
  <c r="BQ19" i="8"/>
  <c r="BR19" i="8"/>
  <c r="BS19" i="8"/>
  <c r="BT19" i="8"/>
  <c r="BU19" i="8"/>
  <c r="AH19" i="8"/>
  <c r="AI19" i="8"/>
  <c r="BK20" i="8"/>
  <c r="BL20" i="8"/>
  <c r="BM20" i="8"/>
  <c r="BN20" i="8"/>
  <c r="BO20" i="8"/>
  <c r="BP20" i="8"/>
  <c r="BQ20" i="8"/>
  <c r="BR20" i="8"/>
  <c r="BS20" i="8"/>
  <c r="BT20" i="8"/>
  <c r="AH20" i="8"/>
  <c r="AI20" i="8"/>
  <c r="BK21" i="8"/>
  <c r="BL21" i="8"/>
  <c r="BM21" i="8"/>
  <c r="BN21" i="8"/>
  <c r="BO21" i="8"/>
  <c r="BP21" i="8"/>
  <c r="BQ21" i="8"/>
  <c r="BR21" i="8"/>
  <c r="BS21" i="8"/>
  <c r="BT21" i="8"/>
  <c r="AH21" i="8"/>
  <c r="AI21" i="8"/>
  <c r="BK22" i="8"/>
  <c r="BL22" i="8"/>
  <c r="BM22" i="8"/>
  <c r="BN22" i="8"/>
  <c r="BO22" i="8"/>
  <c r="BP22" i="8"/>
  <c r="BQ22" i="8"/>
  <c r="BR22" i="8"/>
  <c r="BS22" i="8"/>
  <c r="BT22" i="8"/>
  <c r="AH22" i="8"/>
  <c r="AI22" i="8"/>
  <c r="BK23" i="8"/>
  <c r="BL23" i="8"/>
  <c r="BM23" i="8"/>
  <c r="BN23" i="8"/>
  <c r="BO23" i="8"/>
  <c r="BP23" i="8"/>
  <c r="BQ23" i="8"/>
  <c r="BR23" i="8"/>
  <c r="BS23" i="8"/>
  <c r="BT23" i="8"/>
  <c r="AH23" i="8"/>
  <c r="AI23" i="8"/>
  <c r="BK24" i="8"/>
  <c r="BL24" i="8"/>
  <c r="BM24" i="8"/>
  <c r="BN24" i="8"/>
  <c r="BO24" i="8"/>
  <c r="BP24" i="8"/>
  <c r="BQ24" i="8"/>
  <c r="BR24" i="8"/>
  <c r="BS24" i="8"/>
  <c r="BT24" i="8"/>
  <c r="AH24" i="8"/>
  <c r="AI24" i="8"/>
  <c r="BK25" i="8"/>
  <c r="BL25" i="8"/>
  <c r="BM25" i="8"/>
  <c r="BN25" i="8"/>
  <c r="BO25" i="8"/>
  <c r="BP25" i="8"/>
  <c r="BQ25" i="8"/>
  <c r="BR25" i="8"/>
  <c r="BS25" i="8"/>
  <c r="BT25" i="8"/>
  <c r="AH25" i="8"/>
  <c r="AI25" i="8"/>
  <c r="BK26" i="8"/>
  <c r="BL26" i="8"/>
  <c r="BM26" i="8"/>
  <c r="BN26" i="8"/>
  <c r="BO26" i="8"/>
  <c r="BP26" i="8"/>
  <c r="BQ26" i="8"/>
  <c r="BR26" i="8"/>
  <c r="BS26" i="8"/>
  <c r="BT26" i="8"/>
  <c r="AH26" i="8"/>
  <c r="AI26" i="8"/>
  <c r="BK27" i="8"/>
  <c r="BL27" i="8"/>
  <c r="BM27" i="8"/>
  <c r="BN27" i="8"/>
  <c r="BO27" i="8"/>
  <c r="BP27" i="8"/>
  <c r="BQ27" i="8"/>
  <c r="BR27" i="8"/>
  <c r="BS27" i="8"/>
  <c r="BT27" i="8"/>
  <c r="AH27" i="8"/>
  <c r="AI27" i="8"/>
  <c r="BK28" i="8"/>
  <c r="BL28" i="8"/>
  <c r="BM28" i="8"/>
  <c r="BN28" i="8"/>
  <c r="BO28" i="8"/>
  <c r="BP28" i="8"/>
  <c r="BQ28" i="8"/>
  <c r="BR28" i="8"/>
  <c r="BS28" i="8"/>
  <c r="BT28" i="8"/>
  <c r="AH28" i="8"/>
  <c r="AI28" i="8"/>
  <c r="BK29" i="8"/>
  <c r="BL29" i="8"/>
  <c r="BM29" i="8"/>
  <c r="BN29" i="8"/>
  <c r="BO29" i="8"/>
  <c r="BP29" i="8"/>
  <c r="BQ29" i="8"/>
  <c r="BR29" i="8"/>
  <c r="BS29" i="8"/>
  <c r="BT29" i="8"/>
  <c r="AH29" i="8"/>
  <c r="AI29" i="8"/>
  <c r="BK30" i="8"/>
  <c r="BL30" i="8"/>
  <c r="BM30" i="8"/>
  <c r="BN30" i="8"/>
  <c r="BO30" i="8"/>
  <c r="BP30" i="8"/>
  <c r="BQ30" i="8"/>
  <c r="BR30" i="8"/>
  <c r="BS30" i="8"/>
  <c r="BT30" i="8"/>
  <c r="AH30" i="8"/>
  <c r="AI30" i="8"/>
  <c r="BK31" i="8"/>
  <c r="BL31" i="8"/>
  <c r="BM31" i="8"/>
  <c r="BN31" i="8"/>
  <c r="BO31" i="8"/>
  <c r="BP31" i="8"/>
  <c r="BQ31" i="8"/>
  <c r="BR31" i="8"/>
  <c r="BS31" i="8"/>
  <c r="BT31" i="8"/>
  <c r="AH31" i="8"/>
  <c r="AI31" i="8"/>
  <c r="Q5" i="20"/>
  <c r="R5" i="20"/>
  <c r="V5" i="20"/>
  <c r="Q6" i="20"/>
  <c r="R6" i="20"/>
  <c r="V6" i="20"/>
  <c r="R7" i="20"/>
  <c r="Q7" i="20"/>
  <c r="V7" i="20"/>
  <c r="Q8" i="20"/>
  <c r="V8" i="20"/>
  <c r="R8" i="20"/>
  <c r="Q9" i="20"/>
  <c r="V9" i="20"/>
  <c r="R9" i="20"/>
  <c r="Q10" i="20"/>
  <c r="V10" i="20"/>
  <c r="R10" i="20"/>
  <c r="R11" i="20"/>
  <c r="Q11" i="20"/>
  <c r="V11" i="20"/>
  <c r="V12" i="20"/>
  <c r="Q12" i="20"/>
  <c r="R12" i="20"/>
  <c r="R13" i="20"/>
  <c r="V13" i="20"/>
  <c r="Q13" i="20"/>
  <c r="R14" i="20"/>
  <c r="V14" i="20"/>
  <c r="Q14" i="20"/>
  <c r="R15" i="20"/>
  <c r="V15" i="20"/>
  <c r="Q15" i="20"/>
  <c r="R16" i="20"/>
  <c r="V16" i="20"/>
  <c r="Q16" i="20"/>
  <c r="R17" i="20"/>
  <c r="Q17" i="20"/>
  <c r="V17" i="20"/>
  <c r="R18" i="20"/>
  <c r="Q18" i="20"/>
  <c r="V18" i="20"/>
  <c r="R19" i="20"/>
  <c r="Q19" i="20"/>
  <c r="V19" i="20"/>
  <c r="R20" i="20"/>
  <c r="Q20" i="20"/>
  <c r="V20" i="20"/>
  <c r="Q21" i="20"/>
  <c r="V21" i="20"/>
  <c r="R21" i="20"/>
  <c r="Q22" i="20"/>
  <c r="V22" i="20"/>
  <c r="R22" i="20"/>
  <c r="Q23" i="20"/>
  <c r="V23" i="20"/>
  <c r="R23" i="20"/>
  <c r="Q24" i="20"/>
  <c r="V24" i="20"/>
  <c r="R24" i="20"/>
  <c r="Q25" i="20"/>
  <c r="V25" i="20"/>
  <c r="R25" i="20"/>
  <c r="V26" i="20"/>
  <c r="Q26" i="20"/>
  <c r="R26" i="20"/>
  <c r="V27" i="20"/>
  <c r="R27" i="20"/>
  <c r="Q27" i="20"/>
  <c r="R28" i="20"/>
  <c r="V28" i="20"/>
  <c r="Q28" i="20"/>
  <c r="Q29" i="20"/>
  <c r="V29" i="20"/>
  <c r="R29" i="20"/>
  <c r="Q30" i="20"/>
  <c r="V30" i="20"/>
  <c r="R30" i="20"/>
  <c r="Q31" i="20"/>
  <c r="V31" i="20"/>
  <c r="R31" i="20"/>
  <c r="Q32" i="20"/>
  <c r="V32" i="20"/>
  <c r="R32" i="20"/>
  <c r="Q33" i="20"/>
  <c r="V33" i="20"/>
  <c r="R33" i="20"/>
  <c r="R34" i="20"/>
  <c r="V34" i="20"/>
  <c r="Q34" i="20"/>
  <c r="R35" i="20"/>
  <c r="Q35" i="20"/>
  <c r="V35" i="20"/>
  <c r="V41" i="20"/>
  <c r="R41" i="20"/>
  <c r="V47" i="20"/>
  <c r="R47" i="20"/>
  <c r="R65" i="20"/>
  <c r="V65" i="20"/>
  <c r="R67" i="20"/>
  <c r="V67" i="20"/>
  <c r="R68" i="20"/>
  <c r="V68" i="20"/>
  <c r="R69" i="20"/>
  <c r="V69" i="20"/>
  <c r="R70" i="20"/>
  <c r="V70" i="20"/>
  <c r="V71" i="20"/>
  <c r="R71" i="20"/>
  <c r="V72" i="20"/>
  <c r="R72" i="20"/>
  <c r="V73" i="20"/>
  <c r="R73" i="20"/>
  <c r="V74" i="20"/>
  <c r="R74" i="20"/>
  <c r="R75" i="20"/>
  <c r="V75" i="20"/>
  <c r="V76" i="20"/>
  <c r="R76" i="20"/>
  <c r="V77" i="20"/>
  <c r="R77" i="20"/>
  <c r="V78" i="20"/>
  <c r="R78" i="20"/>
  <c r="R79" i="20"/>
  <c r="V79" i="20"/>
  <c r="R80" i="20"/>
  <c r="V80" i="20"/>
  <c r="R81" i="20"/>
  <c r="V81" i="20"/>
  <c r="R82" i="20"/>
  <c r="V82" i="20"/>
  <c r="R83" i="20"/>
  <c r="V83" i="20"/>
  <c r="R84" i="20"/>
  <c r="V84" i="20"/>
  <c r="R85" i="20"/>
  <c r="V85" i="20"/>
  <c r="R86" i="20"/>
  <c r="V86" i="20"/>
  <c r="R87" i="20"/>
  <c r="V87" i="20"/>
  <c r="R88" i="20"/>
  <c r="V88" i="20"/>
  <c r="R89" i="20"/>
  <c r="V89" i="20"/>
  <c r="R90" i="20"/>
  <c r="V90" i="20"/>
  <c r="R91" i="20"/>
  <c r="V91" i="20"/>
  <c r="R92" i="20"/>
  <c r="V92" i="20"/>
  <c r="R93" i="20"/>
  <c r="V93" i="20"/>
  <c r="R94" i="20"/>
  <c r="V94" i="20"/>
  <c r="R95" i="20"/>
  <c r="V95" i="20"/>
  <c r="R96" i="20"/>
  <c r="V96" i="20"/>
  <c r="R97" i="20"/>
  <c r="V97" i="20"/>
  <c r="R98" i="20"/>
  <c r="V98" i="20"/>
  <c r="R101" i="20"/>
  <c r="V101" i="20"/>
  <c r="R104" i="20"/>
  <c r="V104" i="20"/>
  <c r="V109" i="20"/>
  <c r="R109" i="20"/>
  <c r="V110" i="20"/>
  <c r="R110" i="20"/>
  <c r="V111" i="20"/>
  <c r="R111" i="20"/>
  <c r="V112" i="20"/>
  <c r="R112" i="20"/>
  <c r="V113" i="20"/>
  <c r="R113" i="20"/>
  <c r="V114" i="20"/>
  <c r="R114" i="20"/>
  <c r="V115" i="20"/>
  <c r="R115" i="20"/>
  <c r="V116" i="20"/>
  <c r="R116" i="20"/>
  <c r="V117" i="20"/>
  <c r="R117" i="20"/>
  <c r="R119" i="20"/>
  <c r="V119" i="20"/>
  <c r="R120" i="20"/>
  <c r="V120" i="20"/>
  <c r="R121" i="20"/>
  <c r="V121" i="20"/>
  <c r="R122" i="20"/>
  <c r="V122" i="20"/>
  <c r="R123" i="20"/>
  <c r="V123" i="20"/>
  <c r="R124" i="20"/>
  <c r="V124" i="20"/>
  <c r="R125" i="20"/>
  <c r="V125" i="20"/>
  <c r="V131" i="20"/>
  <c r="R131" i="20"/>
  <c r="V132" i="20"/>
  <c r="R132" i="20"/>
  <c r="V133" i="20"/>
  <c r="R133" i="20"/>
  <c r="V134" i="20"/>
  <c r="R134" i="20"/>
  <c r="V135" i="20"/>
  <c r="R135" i="20"/>
  <c r="V136" i="20"/>
  <c r="R136" i="20"/>
  <c r="V137" i="20"/>
  <c r="R137" i="20"/>
  <c r="R138" i="20"/>
  <c r="V138" i="20"/>
  <c r="R139" i="20"/>
  <c r="V139" i="20"/>
  <c r="R140" i="20"/>
  <c r="V140" i="20"/>
  <c r="R141" i="20"/>
  <c r="V141" i="20"/>
  <c r="R142" i="20"/>
  <c r="V142" i="20"/>
  <c r="R143" i="20"/>
  <c r="V143" i="20"/>
  <c r="R144" i="20"/>
  <c r="V144" i="20"/>
  <c r="R145" i="20"/>
  <c r="V145" i="20"/>
  <c r="R146" i="20"/>
  <c r="V146" i="20"/>
  <c r="R147" i="20"/>
  <c r="V147" i="20"/>
  <c r="R148" i="20"/>
  <c r="V148" i="20"/>
  <c r="R149" i="20"/>
  <c r="V149" i="20"/>
  <c r="R150" i="20"/>
  <c r="V150" i="20"/>
  <c r="R151" i="20"/>
  <c r="V151" i="20"/>
  <c r="V152" i="20"/>
  <c r="R152" i="20"/>
  <c r="R153" i="20"/>
  <c r="V153" i="20"/>
  <c r="R154" i="20"/>
  <c r="V154" i="20"/>
  <c r="R155" i="20"/>
  <c r="V155" i="20"/>
  <c r="R156" i="20"/>
  <c r="V156" i="20"/>
  <c r="R157" i="20"/>
  <c r="V157" i="20"/>
  <c r="R158" i="20"/>
  <c r="V158" i="20"/>
  <c r="R159" i="20"/>
  <c r="V159" i="20"/>
  <c r="V160" i="20"/>
  <c r="R160" i="20"/>
  <c r="R161" i="20"/>
  <c r="V161" i="20"/>
  <c r="V162" i="20"/>
  <c r="R162" i="20"/>
  <c r="V163" i="20"/>
  <c r="R163" i="20"/>
  <c r="V164" i="20"/>
  <c r="R164" i="20"/>
  <c r="R165" i="20"/>
  <c r="V165" i="20"/>
  <c r="V166" i="20"/>
  <c r="R166" i="20"/>
  <c r="V167" i="20"/>
  <c r="R167" i="20"/>
  <c r="V168" i="20"/>
  <c r="R168" i="20"/>
  <c r="R169" i="20"/>
  <c r="V169" i="20"/>
  <c r="R170" i="20"/>
  <c r="V170" i="20"/>
  <c r="V171" i="20"/>
  <c r="R171" i="20"/>
  <c r="V172" i="20"/>
  <c r="R172" i="20"/>
  <c r="V173" i="20"/>
  <c r="R173" i="20"/>
  <c r="V174" i="20"/>
  <c r="R174" i="20"/>
  <c r="V175" i="20"/>
  <c r="R175" i="20"/>
  <c r="R176" i="20"/>
  <c r="V176" i="20"/>
  <c r="V177" i="20"/>
  <c r="R177" i="20"/>
  <c r="V178" i="20"/>
  <c r="R178" i="20"/>
  <c r="V179" i="20"/>
  <c r="R179" i="20"/>
  <c r="R180" i="20"/>
  <c r="V180" i="20"/>
  <c r="R182" i="20"/>
  <c r="V182" i="20"/>
  <c r="R183" i="20"/>
  <c r="V183" i="20"/>
  <c r="V184" i="20"/>
  <c r="R184" i="20"/>
  <c r="R185" i="20"/>
  <c r="V185" i="20"/>
  <c r="R186" i="20"/>
  <c r="V186" i="20"/>
  <c r="V187" i="20"/>
  <c r="R187" i="20"/>
  <c r="R188" i="20"/>
  <c r="V188" i="20"/>
  <c r="R189" i="20"/>
  <c r="V189" i="20"/>
  <c r="V190" i="20"/>
  <c r="R190" i="20"/>
  <c r="V191" i="20"/>
  <c r="R191" i="20"/>
  <c r="R192" i="20"/>
  <c r="V192" i="20"/>
  <c r="R193" i="20"/>
  <c r="V193" i="20"/>
  <c r="M342" i="20"/>
  <c r="W342" i="20" s="1"/>
  <c r="S342" i="20"/>
  <c r="N342" i="20"/>
  <c r="X342" i="20" s="1"/>
  <c r="K342" i="20"/>
  <c r="P342" i="20"/>
  <c r="Z342" i="20" s="1"/>
  <c r="C342" i="20"/>
  <c r="I342" i="20"/>
  <c r="U342" i="20"/>
  <c r="G342" i="20"/>
  <c r="T342" i="20"/>
  <c r="E342" i="20"/>
  <c r="A342" i="20"/>
  <c r="D342" i="20"/>
  <c r="O342" i="20"/>
  <c r="Y342" i="20" s="1"/>
  <c r="L342" i="20"/>
  <c r="H342" i="20"/>
  <c r="J342" i="20"/>
  <c r="M343" i="20"/>
  <c r="W343" i="20" s="1"/>
  <c r="A343" i="20"/>
  <c r="P343" i="20"/>
  <c r="Z343" i="20" s="1"/>
  <c r="G343" i="20"/>
  <c r="S343" i="20"/>
  <c r="O343" i="20"/>
  <c r="Y343" i="20" s="1"/>
  <c r="L343" i="20"/>
  <c r="C343" i="20"/>
  <c r="I343" i="20"/>
  <c r="D343" i="20"/>
  <c r="U343" i="20"/>
  <c r="N343" i="20"/>
  <c r="X343" i="20" s="1"/>
  <c r="T343" i="20"/>
  <c r="H343" i="20"/>
  <c r="K343" i="20"/>
  <c r="E343" i="20"/>
  <c r="J343" i="20"/>
  <c r="N344" i="20"/>
  <c r="X344" i="20" s="1"/>
  <c r="O344" i="20"/>
  <c r="Y344" i="20" s="1"/>
  <c r="L344" i="20"/>
  <c r="P344" i="20"/>
  <c r="Z344" i="20" s="1"/>
  <c r="G344" i="20"/>
  <c r="A344" i="20"/>
  <c r="D344" i="20"/>
  <c r="M344" i="20"/>
  <c r="W344" i="20" s="1"/>
  <c r="E344" i="20"/>
  <c r="C344" i="20"/>
  <c r="S344" i="20"/>
  <c r="H344" i="20"/>
  <c r="U344" i="20"/>
  <c r="I344" i="20"/>
  <c r="K344" i="20"/>
  <c r="T344" i="20"/>
  <c r="J344" i="20"/>
  <c r="U345" i="20"/>
  <c r="C345" i="20"/>
  <c r="O345" i="20"/>
  <c r="Y345" i="20" s="1"/>
  <c r="E345" i="20"/>
  <c r="S345" i="20"/>
  <c r="M345" i="20"/>
  <c r="W345" i="20" s="1"/>
  <c r="P345" i="20"/>
  <c r="Z345" i="20" s="1"/>
  <c r="T345" i="20"/>
  <c r="A345" i="20"/>
  <c r="H345" i="20"/>
  <c r="D345" i="20"/>
  <c r="G345" i="20"/>
  <c r="K345" i="20"/>
  <c r="N345" i="20"/>
  <c r="X345" i="20" s="1"/>
  <c r="L345" i="20"/>
  <c r="I345" i="20"/>
  <c r="J345" i="20"/>
  <c r="N346" i="20"/>
  <c r="X346" i="20" s="1"/>
  <c r="G346" i="20"/>
  <c r="P346" i="20"/>
  <c r="Z346" i="20" s="1"/>
  <c r="A346" i="20"/>
  <c r="T346" i="20"/>
  <c r="E346" i="20"/>
  <c r="O346" i="20"/>
  <c r="Y346" i="20" s="1"/>
  <c r="H346" i="20"/>
  <c r="I346" i="20"/>
  <c r="L346" i="20"/>
  <c r="J346" i="20"/>
  <c r="K346" i="20"/>
  <c r="D346" i="20"/>
  <c r="C346" i="20"/>
  <c r="M346" i="20"/>
  <c r="W346" i="20" s="1"/>
  <c r="U346" i="20"/>
  <c r="S346" i="20"/>
  <c r="A347" i="20"/>
  <c r="D347" i="20"/>
  <c r="M347" i="20"/>
  <c r="W347" i="20" s="1"/>
  <c r="O347" i="20"/>
  <c r="Y347" i="20" s="1"/>
  <c r="I347" i="20"/>
  <c r="C347" i="20"/>
  <c r="T347" i="20"/>
  <c r="N347" i="20"/>
  <c r="X347" i="20" s="1"/>
  <c r="S347" i="20"/>
  <c r="H347" i="20"/>
  <c r="U347" i="20"/>
  <c r="G347" i="20"/>
  <c r="L347" i="20"/>
  <c r="P347" i="20"/>
  <c r="Z347" i="20" s="1"/>
  <c r="E347" i="20"/>
  <c r="K347" i="20"/>
  <c r="J347" i="20"/>
  <c r="A348" i="20"/>
  <c r="K348" i="20"/>
  <c r="I348" i="20"/>
  <c r="N348" i="20"/>
  <c r="X348" i="20" s="1"/>
  <c r="U348" i="20"/>
  <c r="E348" i="20"/>
  <c r="T348" i="20"/>
  <c r="C348" i="20"/>
  <c r="M348" i="20"/>
  <c r="W348" i="20" s="1"/>
  <c r="P348" i="20"/>
  <c r="Z348" i="20" s="1"/>
  <c r="H348" i="20"/>
  <c r="G348" i="20"/>
  <c r="S348" i="20"/>
  <c r="L348" i="20"/>
  <c r="D348" i="20"/>
  <c r="O348" i="20"/>
  <c r="Y348" i="20" s="1"/>
  <c r="J348" i="20"/>
  <c r="H349" i="20"/>
  <c r="C349" i="20"/>
  <c r="K349" i="20"/>
  <c r="N349" i="20"/>
  <c r="X349" i="20" s="1"/>
  <c r="E349" i="20"/>
  <c r="P349" i="20"/>
  <c r="Z349" i="20" s="1"/>
  <c r="M349" i="20"/>
  <c r="W349" i="20" s="1"/>
  <c r="I349" i="20"/>
  <c r="G349" i="20"/>
  <c r="U349" i="20"/>
  <c r="S349" i="20"/>
  <c r="A349" i="20"/>
  <c r="L349" i="20"/>
  <c r="D349" i="20"/>
  <c r="O349" i="20"/>
  <c r="Y349" i="20" s="1"/>
  <c r="T349" i="20"/>
  <c r="J349" i="20"/>
  <c r="U350" i="20"/>
  <c r="C350" i="20"/>
  <c r="H350" i="20"/>
  <c r="N350" i="20"/>
  <c r="X350" i="20" s="1"/>
  <c r="I350" i="20"/>
  <c r="O350" i="20"/>
  <c r="Y350" i="20" s="1"/>
  <c r="D350" i="20"/>
  <c r="P350" i="20"/>
  <c r="Z350" i="20" s="1"/>
  <c r="S350" i="20"/>
  <c r="M350" i="20"/>
  <c r="W350" i="20" s="1"/>
  <c r="E350" i="20"/>
  <c r="K350" i="20"/>
  <c r="T350" i="20"/>
  <c r="A350" i="20"/>
  <c r="G350" i="20"/>
  <c r="L350" i="20"/>
  <c r="J350" i="20"/>
  <c r="I351" i="20"/>
  <c r="M351" i="20"/>
  <c r="W351" i="20" s="1"/>
  <c r="N351" i="20"/>
  <c r="X351" i="20" s="1"/>
  <c r="G351" i="20"/>
  <c r="H351" i="20"/>
  <c r="E351" i="20"/>
  <c r="L351" i="20"/>
  <c r="K351" i="20"/>
  <c r="S351" i="20"/>
  <c r="O351" i="20"/>
  <c r="Y351" i="20" s="1"/>
  <c r="C351" i="20"/>
  <c r="A351" i="20"/>
  <c r="T351" i="20"/>
  <c r="P351" i="20"/>
  <c r="Z351" i="20" s="1"/>
  <c r="D351" i="20"/>
  <c r="J351" i="20"/>
  <c r="U351" i="20"/>
  <c r="T352" i="20"/>
  <c r="L352" i="20"/>
  <c r="S352" i="20"/>
  <c r="M352" i="20"/>
  <c r="W352" i="20" s="1"/>
  <c r="N352" i="20"/>
  <c r="X352" i="20" s="1"/>
  <c r="O352" i="20"/>
  <c r="Y352" i="20" s="1"/>
  <c r="H352" i="20"/>
  <c r="G352" i="20"/>
  <c r="P352" i="20"/>
  <c r="Z352" i="20" s="1"/>
  <c r="D352" i="20"/>
  <c r="U352" i="20"/>
  <c r="K352" i="20"/>
  <c r="I352" i="20"/>
  <c r="E352" i="20"/>
  <c r="C352" i="20"/>
  <c r="J352" i="20"/>
  <c r="A352" i="20"/>
  <c r="T353" i="20"/>
  <c r="K353" i="20"/>
  <c r="O353" i="20"/>
  <c r="Y353" i="20" s="1"/>
  <c r="S353" i="20"/>
  <c r="J353" i="20"/>
  <c r="U353" i="20"/>
  <c r="C353" i="20"/>
  <c r="D353" i="20"/>
  <c r="P353" i="20"/>
  <c r="Z353" i="20" s="1"/>
  <c r="G353" i="20"/>
  <c r="E353" i="20"/>
  <c r="H353" i="20"/>
  <c r="I353" i="20"/>
  <c r="A353" i="20"/>
  <c r="M353" i="20"/>
  <c r="W353" i="20" s="1"/>
  <c r="L353" i="20"/>
  <c r="N353" i="20"/>
  <c r="X353" i="20" s="1"/>
  <c r="C354" i="20"/>
  <c r="S354" i="20"/>
  <c r="K354" i="20"/>
  <c r="E354" i="20"/>
  <c r="M354" i="20"/>
  <c r="W354" i="20" s="1"/>
  <c r="L354" i="20"/>
  <c r="I354" i="20"/>
  <c r="O354" i="20"/>
  <c r="Y354" i="20" s="1"/>
  <c r="U354" i="20"/>
  <c r="D354" i="20"/>
  <c r="G354" i="20"/>
  <c r="P354" i="20"/>
  <c r="Z354" i="20" s="1"/>
  <c r="N354" i="20"/>
  <c r="X354" i="20" s="1"/>
  <c r="A354" i="20"/>
  <c r="T354" i="20"/>
  <c r="J354" i="20"/>
  <c r="H354" i="20"/>
  <c r="G355" i="20"/>
  <c r="I355" i="20"/>
  <c r="T355" i="20"/>
  <c r="E355" i="20"/>
  <c r="C355" i="20"/>
  <c r="K355" i="20"/>
  <c r="N355" i="20"/>
  <c r="X355" i="20" s="1"/>
  <c r="O355" i="20"/>
  <c r="Y355" i="20" s="1"/>
  <c r="L355" i="20"/>
  <c r="D355" i="20"/>
  <c r="J355" i="20"/>
  <c r="S355" i="20"/>
  <c r="A355" i="20"/>
  <c r="M355" i="20"/>
  <c r="W355" i="20" s="1"/>
  <c r="P355" i="20"/>
  <c r="Z355" i="20" s="1"/>
  <c r="H355" i="20"/>
  <c r="U355" i="20"/>
  <c r="N356" i="20"/>
  <c r="X356" i="20" s="1"/>
  <c r="S356" i="20"/>
  <c r="H356" i="20"/>
  <c r="E356" i="20"/>
  <c r="C356" i="20"/>
  <c r="K356" i="20"/>
  <c r="J356" i="20"/>
  <c r="P356" i="20"/>
  <c r="Z356" i="20" s="1"/>
  <c r="I356" i="20"/>
  <c r="M356" i="20"/>
  <c r="W356" i="20" s="1"/>
  <c r="T356" i="20"/>
  <c r="D356" i="20"/>
  <c r="A356" i="20"/>
  <c r="L356" i="20"/>
  <c r="O356" i="20"/>
  <c r="Y356" i="20" s="1"/>
  <c r="G356" i="20"/>
  <c r="U356" i="20"/>
  <c r="C357" i="20"/>
  <c r="A357" i="20"/>
  <c r="N357" i="20"/>
  <c r="X357" i="20" s="1"/>
  <c r="S357" i="20"/>
  <c r="E357" i="20"/>
  <c r="D357" i="20"/>
  <c r="M357" i="20"/>
  <c r="W357" i="20" s="1"/>
  <c r="G357" i="20"/>
  <c r="T357" i="20"/>
  <c r="I357" i="20"/>
  <c r="J357" i="20"/>
  <c r="L357" i="20"/>
  <c r="U357" i="20"/>
  <c r="O357" i="20"/>
  <c r="Y357" i="20" s="1"/>
  <c r="P357" i="20"/>
  <c r="Z357" i="20" s="1"/>
  <c r="H357" i="20"/>
  <c r="K357" i="20"/>
  <c r="U358" i="20"/>
  <c r="M358" i="20"/>
  <c r="W358" i="20" s="1"/>
  <c r="I358" i="20"/>
  <c r="L358" i="20"/>
  <c r="A358" i="20"/>
  <c r="G358" i="20"/>
  <c r="T358" i="20"/>
  <c r="D358" i="20"/>
  <c r="J358" i="20"/>
  <c r="N358" i="20"/>
  <c r="X358" i="20" s="1"/>
  <c r="O358" i="20"/>
  <c r="Y358" i="20" s="1"/>
  <c r="S358" i="20"/>
  <c r="C358" i="20"/>
  <c r="H358" i="20"/>
  <c r="K358" i="20"/>
  <c r="P358" i="20"/>
  <c r="Z358" i="20" s="1"/>
  <c r="E358" i="20"/>
  <c r="E359" i="20"/>
  <c r="J359" i="20"/>
  <c r="N359" i="20"/>
  <c r="X359" i="20" s="1"/>
  <c r="M359" i="20"/>
  <c r="W359" i="20" s="1"/>
  <c r="C359" i="20"/>
  <c r="P359" i="20"/>
  <c r="Z359" i="20" s="1"/>
  <c r="T359" i="20"/>
  <c r="U359" i="20"/>
  <c r="O359" i="20"/>
  <c r="Y359" i="20" s="1"/>
  <c r="I359" i="20"/>
  <c r="S359" i="20"/>
  <c r="A359" i="20"/>
  <c r="K359" i="20"/>
  <c r="L359" i="20"/>
  <c r="D359" i="20"/>
  <c r="G359" i="20"/>
  <c r="H359" i="20"/>
  <c r="G360" i="20"/>
  <c r="E360" i="20"/>
  <c r="C360" i="20"/>
  <c r="U360" i="20"/>
  <c r="I360" i="20"/>
  <c r="K360" i="20"/>
  <c r="O360" i="20"/>
  <c r="Y360" i="20" s="1"/>
  <c r="A360" i="20"/>
  <c r="H360" i="20"/>
  <c r="N360" i="20"/>
  <c r="X360" i="20" s="1"/>
  <c r="D360" i="20"/>
  <c r="M360" i="20"/>
  <c r="W360" i="20" s="1"/>
  <c r="J360" i="20"/>
  <c r="S360" i="20"/>
  <c r="T360" i="20"/>
  <c r="L360" i="20"/>
  <c r="P360" i="20"/>
  <c r="Z360" i="20" s="1"/>
  <c r="D361" i="20"/>
  <c r="K361" i="20"/>
  <c r="E361" i="20"/>
  <c r="O361" i="20"/>
  <c r="Y361" i="20" s="1"/>
  <c r="G361" i="20"/>
  <c r="N361" i="20"/>
  <c r="X361" i="20" s="1"/>
  <c r="I361" i="20"/>
  <c r="J361" i="20"/>
  <c r="M361" i="20"/>
  <c r="W361" i="20" s="1"/>
  <c r="L361" i="20"/>
  <c r="A361" i="20"/>
  <c r="H361" i="20"/>
  <c r="T361" i="20"/>
  <c r="C361" i="20"/>
  <c r="S361" i="20"/>
  <c r="U361" i="20"/>
  <c r="P361" i="20"/>
  <c r="Z361" i="20" s="1"/>
  <c r="A362" i="20"/>
  <c r="H362" i="20"/>
  <c r="K362" i="20"/>
  <c r="C362" i="20"/>
  <c r="D362" i="20"/>
  <c r="L362" i="20"/>
  <c r="E362" i="20"/>
  <c r="U362" i="20"/>
  <c r="M362" i="20"/>
  <c r="W362" i="20" s="1"/>
  <c r="T362" i="20"/>
  <c r="G362" i="20"/>
  <c r="J362" i="20"/>
  <c r="N362" i="20"/>
  <c r="X362" i="20" s="1"/>
  <c r="S362" i="20"/>
  <c r="O362" i="20"/>
  <c r="Y362" i="20" s="1"/>
  <c r="I362" i="20"/>
  <c r="P362" i="20"/>
  <c r="Z362" i="20" s="1"/>
  <c r="D363" i="20"/>
  <c r="A363" i="20"/>
  <c r="J363" i="20"/>
  <c r="N363" i="20"/>
  <c r="X363" i="20" s="1"/>
  <c r="M363" i="20"/>
  <c r="W363" i="20" s="1"/>
  <c r="I363" i="20"/>
  <c r="T363" i="20"/>
  <c r="L363" i="20"/>
  <c r="H363" i="20"/>
  <c r="E363" i="20"/>
  <c r="K363" i="20"/>
  <c r="C363" i="20"/>
  <c r="S363" i="20"/>
  <c r="U363" i="20"/>
  <c r="O363" i="20"/>
  <c r="Y363" i="20" s="1"/>
  <c r="G363" i="20"/>
  <c r="P363" i="20"/>
  <c r="Z363" i="20" s="1"/>
  <c r="K364" i="20"/>
  <c r="T364" i="20"/>
  <c r="L364" i="20"/>
  <c r="E364" i="20"/>
  <c r="I364" i="20"/>
  <c r="M364" i="20"/>
  <c r="W364" i="20" s="1"/>
  <c r="U364" i="20"/>
  <c r="G364" i="20"/>
  <c r="O364" i="20"/>
  <c r="Y364" i="20" s="1"/>
  <c r="H364" i="20"/>
  <c r="S364" i="20"/>
  <c r="N364" i="20"/>
  <c r="X364" i="20" s="1"/>
  <c r="J364" i="20"/>
  <c r="A364" i="20"/>
  <c r="C364" i="20"/>
  <c r="P364" i="20"/>
  <c r="Z364" i="20" s="1"/>
  <c r="D364" i="20"/>
  <c r="I365" i="20"/>
  <c r="E365" i="20"/>
  <c r="A365" i="20"/>
  <c r="D365" i="20"/>
  <c r="G365" i="20"/>
  <c r="P365" i="20"/>
  <c r="Z365" i="20" s="1"/>
  <c r="J365" i="20"/>
  <c r="C365" i="20"/>
  <c r="U365" i="20"/>
  <c r="M365" i="20"/>
  <c r="W365" i="20" s="1"/>
  <c r="S365" i="20"/>
  <c r="H365" i="20"/>
  <c r="N365" i="20"/>
  <c r="X365" i="20" s="1"/>
  <c r="O365" i="20"/>
  <c r="Y365" i="20" s="1"/>
  <c r="K365" i="20"/>
  <c r="T365" i="20"/>
  <c r="L365" i="20"/>
  <c r="P366" i="20"/>
  <c r="Z366" i="20" s="1"/>
  <c r="T366" i="20"/>
  <c r="U366" i="20"/>
  <c r="N366" i="20"/>
  <c r="X366" i="20" s="1"/>
  <c r="M366" i="20"/>
  <c r="W366" i="20" s="1"/>
  <c r="C366" i="20"/>
  <c r="L366" i="20"/>
  <c r="O366" i="20"/>
  <c r="Y366" i="20" s="1"/>
  <c r="A366" i="20"/>
  <c r="J366" i="20"/>
  <c r="E366" i="20"/>
  <c r="I366" i="20"/>
  <c r="K366" i="20"/>
  <c r="D366" i="20"/>
  <c r="S366" i="20"/>
  <c r="G366" i="20"/>
  <c r="H366" i="20"/>
  <c r="D367" i="20"/>
  <c r="N367" i="20"/>
  <c r="X367" i="20" s="1"/>
  <c r="I367" i="20"/>
  <c r="L367" i="20"/>
  <c r="U367" i="20"/>
  <c r="J367" i="20"/>
  <c r="C367" i="20"/>
  <c r="E367" i="20"/>
  <c r="T367" i="20"/>
  <c r="S367" i="20"/>
  <c r="O367" i="20"/>
  <c r="Y367" i="20" s="1"/>
  <c r="H367" i="20"/>
  <c r="P367" i="20"/>
  <c r="Z367" i="20" s="1"/>
  <c r="G367" i="20"/>
  <c r="A367" i="20"/>
  <c r="K367" i="20"/>
  <c r="M367" i="20"/>
  <c r="W367" i="20" s="1"/>
  <c r="L368" i="20"/>
  <c r="J368" i="20"/>
  <c r="I368" i="20"/>
  <c r="G368" i="20"/>
  <c r="M368" i="20"/>
  <c r="W368" i="20" s="1"/>
  <c r="E368" i="20"/>
  <c r="N368" i="20"/>
  <c r="X368" i="20" s="1"/>
  <c r="K368" i="20"/>
  <c r="D368" i="20"/>
  <c r="O368" i="20"/>
  <c r="Y368" i="20" s="1"/>
  <c r="C368" i="20"/>
  <c r="P368" i="20"/>
  <c r="Z368" i="20" s="1"/>
  <c r="S368" i="20"/>
  <c r="T368" i="20"/>
  <c r="H368" i="20"/>
  <c r="U368" i="20"/>
  <c r="A368" i="20"/>
  <c r="J369" i="20"/>
  <c r="I369" i="20"/>
  <c r="M369" i="20"/>
  <c r="W369" i="20" s="1"/>
  <c r="E369" i="20"/>
  <c r="K369" i="20"/>
  <c r="H369" i="20"/>
  <c r="P369" i="20"/>
  <c r="Z369" i="20" s="1"/>
  <c r="T369" i="20"/>
  <c r="A369" i="20"/>
  <c r="L369" i="20"/>
  <c r="S369" i="20"/>
  <c r="C369" i="20"/>
  <c r="O369" i="20"/>
  <c r="Y369" i="20" s="1"/>
  <c r="G369" i="20"/>
  <c r="D369" i="20"/>
  <c r="U369" i="20"/>
  <c r="N369" i="20"/>
  <c r="X369" i="20" s="1"/>
  <c r="I370" i="20"/>
  <c r="K370" i="20"/>
  <c r="U370" i="20"/>
  <c r="D370" i="20"/>
  <c r="T370" i="20"/>
  <c r="O370" i="20"/>
  <c r="Y370" i="20" s="1"/>
  <c r="S370" i="20"/>
  <c r="J370" i="20"/>
  <c r="E370" i="20"/>
  <c r="M370" i="20"/>
  <c r="W370" i="20" s="1"/>
  <c r="P370" i="20"/>
  <c r="Z370" i="20" s="1"/>
  <c r="L370" i="20"/>
  <c r="H370" i="20"/>
  <c r="G370" i="20"/>
  <c r="A370" i="20"/>
  <c r="C370" i="20"/>
  <c r="N370" i="20"/>
  <c r="X370" i="20" s="1"/>
  <c r="L371" i="20"/>
  <c r="P371" i="20"/>
  <c r="Z371" i="20" s="1"/>
  <c r="M371" i="20"/>
  <c r="W371" i="20" s="1"/>
  <c r="A371" i="20"/>
  <c r="K371" i="20"/>
  <c r="U371" i="20"/>
  <c r="I371" i="20"/>
  <c r="C371" i="20"/>
  <c r="N371" i="20"/>
  <c r="X371" i="20" s="1"/>
  <c r="T371" i="20"/>
  <c r="O371" i="20"/>
  <c r="Y371" i="20" s="1"/>
  <c r="H371" i="20"/>
  <c r="E371" i="20"/>
  <c r="G371" i="20"/>
  <c r="D371" i="20"/>
  <c r="S371" i="20"/>
  <c r="J371" i="20"/>
  <c r="I372" i="20"/>
  <c r="M372" i="20"/>
  <c r="W372" i="20" s="1"/>
  <c r="S372" i="20"/>
  <c r="K372" i="20"/>
  <c r="H372" i="20"/>
  <c r="D372" i="20"/>
  <c r="T372" i="20"/>
  <c r="U372" i="20"/>
  <c r="O372" i="20"/>
  <c r="Y372" i="20" s="1"/>
  <c r="N372" i="20"/>
  <c r="X372" i="20" s="1"/>
  <c r="G372" i="20"/>
  <c r="A372" i="20"/>
  <c r="L372" i="20"/>
  <c r="J372" i="20"/>
  <c r="E372" i="20"/>
  <c r="P372" i="20"/>
  <c r="Z372" i="20" s="1"/>
  <c r="C372" i="20"/>
  <c r="I373" i="20"/>
  <c r="K373" i="20"/>
  <c r="H373" i="20"/>
  <c r="N373" i="20"/>
  <c r="X373" i="20" s="1"/>
  <c r="D373" i="20"/>
  <c r="S373" i="20"/>
  <c r="P373" i="20"/>
  <c r="Z373" i="20" s="1"/>
  <c r="J373" i="20"/>
  <c r="U373" i="20"/>
  <c r="E373" i="20"/>
  <c r="T373" i="20"/>
  <c r="L373" i="20"/>
  <c r="M373" i="20"/>
  <c r="W373" i="20" s="1"/>
  <c r="A373" i="20"/>
  <c r="C373" i="20"/>
  <c r="O373" i="20"/>
  <c r="Y373" i="20" s="1"/>
  <c r="G373" i="20"/>
  <c r="I374" i="20"/>
  <c r="J374" i="20"/>
  <c r="N374" i="20"/>
  <c r="X374" i="20" s="1"/>
  <c r="D374" i="20"/>
  <c r="E374" i="20"/>
  <c r="T374" i="20"/>
  <c r="O374" i="20"/>
  <c r="Y374" i="20" s="1"/>
  <c r="U374" i="20"/>
  <c r="M374" i="20"/>
  <c r="W374" i="20" s="1"/>
  <c r="S374" i="20"/>
  <c r="G374" i="20"/>
  <c r="P374" i="20"/>
  <c r="Z374" i="20" s="1"/>
  <c r="K374" i="20"/>
  <c r="H374" i="20"/>
  <c r="L374" i="20"/>
  <c r="A374" i="20"/>
  <c r="C374" i="20"/>
  <c r="I375" i="20"/>
  <c r="S375" i="20"/>
  <c r="M375" i="20"/>
  <c r="W375" i="20" s="1"/>
  <c r="D375" i="20"/>
  <c r="J375" i="20"/>
  <c r="C375" i="20"/>
  <c r="N375" i="20"/>
  <c r="X375" i="20" s="1"/>
  <c r="L375" i="20"/>
  <c r="G375" i="20"/>
  <c r="U375" i="20"/>
  <c r="K375" i="20"/>
  <c r="O375" i="20"/>
  <c r="Y375" i="20" s="1"/>
  <c r="H375" i="20"/>
  <c r="A375" i="20"/>
  <c r="E375" i="20"/>
  <c r="T375" i="20"/>
  <c r="P375" i="20"/>
  <c r="Z375" i="20" s="1"/>
  <c r="I376" i="20"/>
  <c r="M376" i="20"/>
  <c r="W376" i="20" s="1"/>
  <c r="J376" i="20"/>
  <c r="L376" i="20"/>
  <c r="T376" i="20"/>
  <c r="K376" i="20"/>
  <c r="C376" i="20"/>
  <c r="N376" i="20"/>
  <c r="X376" i="20" s="1"/>
  <c r="A376" i="20"/>
  <c r="P376" i="20"/>
  <c r="Z376" i="20" s="1"/>
  <c r="H376" i="20"/>
  <c r="O376" i="20"/>
  <c r="Y376" i="20" s="1"/>
  <c r="U376" i="20"/>
  <c r="S376" i="20"/>
  <c r="E376" i="20"/>
  <c r="G376" i="20"/>
  <c r="D376" i="20"/>
  <c r="I377" i="20"/>
  <c r="J377" i="20"/>
  <c r="K377" i="20"/>
  <c r="H377" i="20"/>
  <c r="D377" i="20"/>
  <c r="O377" i="20"/>
  <c r="Y377" i="20" s="1"/>
  <c r="N377" i="20"/>
  <c r="X377" i="20" s="1"/>
  <c r="M377" i="20"/>
  <c r="W377" i="20" s="1"/>
  <c r="S377" i="20"/>
  <c r="T377" i="20"/>
  <c r="E377" i="20"/>
  <c r="G377" i="20"/>
  <c r="U377" i="20"/>
  <c r="P377" i="20"/>
  <c r="Z377" i="20" s="1"/>
  <c r="C377" i="20"/>
  <c r="A377" i="20"/>
  <c r="L377" i="20"/>
  <c r="I378" i="20"/>
  <c r="E378" i="20"/>
  <c r="M378" i="20"/>
  <c r="W378" i="20" s="1"/>
  <c r="K378" i="20"/>
  <c r="N378" i="20"/>
  <c r="X378" i="20" s="1"/>
  <c r="O378" i="20"/>
  <c r="Y378" i="20" s="1"/>
  <c r="H378" i="20"/>
  <c r="G378" i="20"/>
  <c r="J378" i="20"/>
  <c r="S378" i="20"/>
  <c r="T378" i="20"/>
  <c r="A378" i="20"/>
  <c r="C378" i="20"/>
  <c r="D378" i="20"/>
  <c r="L378" i="20"/>
  <c r="U378" i="20"/>
  <c r="P378" i="20"/>
  <c r="Z378" i="20" s="1"/>
  <c r="T379" i="20"/>
  <c r="P379" i="20"/>
  <c r="Z379" i="20" s="1"/>
  <c r="A379" i="20"/>
  <c r="M379" i="20"/>
  <c r="W379" i="20" s="1"/>
  <c r="G379" i="20"/>
  <c r="L379" i="20"/>
  <c r="S379" i="20"/>
  <c r="E379" i="20"/>
  <c r="H379" i="20"/>
  <c r="U379" i="20"/>
  <c r="K379" i="20"/>
  <c r="J379" i="20"/>
  <c r="N379" i="20"/>
  <c r="X379" i="20" s="1"/>
  <c r="I379" i="20"/>
  <c r="C379" i="20"/>
  <c r="O379" i="20"/>
  <c r="Y379" i="20" s="1"/>
  <c r="D379" i="20"/>
  <c r="P380" i="20"/>
  <c r="Z380" i="20" s="1"/>
  <c r="A380" i="20"/>
  <c r="G380" i="20"/>
  <c r="T380" i="20"/>
  <c r="E380" i="20"/>
  <c r="S380" i="20"/>
  <c r="D380" i="20"/>
  <c r="H380" i="20"/>
  <c r="U380" i="20"/>
  <c r="L380" i="20"/>
  <c r="M380" i="20"/>
  <c r="W380" i="20" s="1"/>
  <c r="O380" i="20"/>
  <c r="Y380" i="20" s="1"/>
  <c r="J380" i="20"/>
  <c r="C380" i="20"/>
  <c r="K380" i="20"/>
  <c r="I380" i="20"/>
  <c r="N380" i="20"/>
  <c r="X380" i="20" s="1"/>
  <c r="D381" i="20"/>
  <c r="O381" i="20"/>
  <c r="Y381" i="20" s="1"/>
  <c r="C381" i="20"/>
  <c r="G381" i="20"/>
  <c r="U381" i="20"/>
  <c r="J381" i="20"/>
  <c r="T381" i="20"/>
  <c r="L381" i="20"/>
  <c r="A381" i="20"/>
  <c r="S381" i="20"/>
  <c r="M381" i="20"/>
  <c r="W381" i="20" s="1"/>
  <c r="K381" i="20"/>
  <c r="I381" i="20"/>
  <c r="E381" i="20"/>
  <c r="H381" i="20"/>
  <c r="P381" i="20"/>
  <c r="Z381" i="20" s="1"/>
  <c r="N381" i="20"/>
  <c r="X381" i="20" s="1"/>
  <c r="O382" i="20"/>
  <c r="Y382" i="20" s="1"/>
  <c r="N382" i="20"/>
  <c r="X382" i="20" s="1"/>
  <c r="D382" i="20"/>
  <c r="I382" i="20"/>
  <c r="L382" i="20"/>
  <c r="K382" i="20"/>
  <c r="J382" i="20"/>
  <c r="M382" i="20"/>
  <c r="W382" i="20" s="1"/>
  <c r="E382" i="20"/>
  <c r="H382" i="20"/>
  <c r="A382" i="20"/>
  <c r="U382" i="20"/>
  <c r="T382" i="20"/>
  <c r="S382" i="20"/>
  <c r="P382" i="20"/>
  <c r="Z382" i="20" s="1"/>
  <c r="C382" i="20"/>
  <c r="G382" i="20"/>
  <c r="U383" i="20"/>
  <c r="I383" i="20"/>
  <c r="E383" i="20"/>
  <c r="G383" i="20"/>
  <c r="S383" i="20"/>
  <c r="D383" i="20"/>
  <c r="F383" i="20" s="1"/>
  <c r="H383" i="20"/>
  <c r="T383" i="20"/>
  <c r="J383" i="20"/>
  <c r="C383" i="20"/>
  <c r="A383" i="20"/>
  <c r="I384" i="20"/>
  <c r="G384" i="20"/>
  <c r="C384" i="20"/>
  <c r="D384" i="20"/>
  <c r="S384" i="20"/>
  <c r="T384" i="20"/>
  <c r="U384" i="20"/>
  <c r="E384" i="20"/>
  <c r="J384" i="20"/>
  <c r="H384" i="20"/>
  <c r="I385" i="20"/>
  <c r="T385" i="20"/>
  <c r="H385" i="20"/>
  <c r="U385" i="20"/>
  <c r="D385" i="20"/>
  <c r="G385" i="20"/>
  <c r="J385" i="20"/>
  <c r="E385" i="20"/>
  <c r="C385" i="20"/>
  <c r="S385" i="20"/>
  <c r="I386" i="20"/>
  <c r="C386" i="20"/>
  <c r="E386" i="20"/>
  <c r="G386" i="20"/>
  <c r="J386" i="20"/>
  <c r="S386" i="20"/>
  <c r="H386" i="20"/>
  <c r="D386" i="20"/>
  <c r="F386" i="20" s="1"/>
  <c r="A386" i="20" s="1"/>
  <c r="T386" i="20"/>
  <c r="U386" i="20"/>
  <c r="C387" i="20"/>
  <c r="H387" i="20"/>
  <c r="S387" i="20"/>
  <c r="J387" i="20"/>
  <c r="U387" i="20"/>
  <c r="D387" i="20"/>
  <c r="E387" i="20"/>
  <c r="T387" i="20"/>
  <c r="I387" i="20"/>
  <c r="G387" i="20"/>
  <c r="G388" i="20"/>
  <c r="C388" i="20"/>
  <c r="I388" i="20"/>
  <c r="J388" i="20"/>
  <c r="S388" i="20"/>
  <c r="U388" i="20"/>
  <c r="H388" i="20"/>
  <c r="E388" i="20"/>
  <c r="T388" i="20"/>
  <c r="D388" i="20"/>
  <c r="F388" i="20" s="1"/>
  <c r="A388" i="20" s="1"/>
  <c r="C389" i="20"/>
  <c r="T389" i="20"/>
  <c r="I389" i="20"/>
  <c r="J389" i="20"/>
  <c r="S389" i="20"/>
  <c r="D389" i="20"/>
  <c r="H389" i="20"/>
  <c r="G389" i="20"/>
  <c r="E389" i="20"/>
  <c r="U389" i="20"/>
  <c r="I390" i="20"/>
  <c r="C390" i="20"/>
  <c r="E390" i="20"/>
  <c r="U390" i="20"/>
  <c r="J390" i="20"/>
  <c r="S390" i="20"/>
  <c r="H390" i="20"/>
  <c r="D390" i="20"/>
  <c r="F390" i="20" s="1"/>
  <c r="A390" i="20"/>
  <c r="G390" i="20"/>
  <c r="T390" i="20"/>
  <c r="E391" i="20"/>
  <c r="I391" i="20"/>
  <c r="G391" i="20"/>
  <c r="U391" i="20"/>
  <c r="H391" i="20"/>
  <c r="C391" i="20"/>
  <c r="S391" i="20"/>
  <c r="D391" i="20"/>
  <c r="F391" i="20" s="1"/>
  <c r="A391" i="20" s="1"/>
  <c r="T391" i="20"/>
  <c r="J391" i="20"/>
  <c r="D392" i="20"/>
  <c r="I392" i="20"/>
  <c r="C392" i="20"/>
  <c r="E392" i="20"/>
  <c r="J392" i="20"/>
  <c r="S392" i="20"/>
  <c r="H392" i="20"/>
  <c r="U392" i="20"/>
  <c r="T392" i="20"/>
  <c r="G392" i="20"/>
  <c r="D393" i="20"/>
  <c r="S393" i="20"/>
  <c r="I393" i="20"/>
  <c r="H393" i="20"/>
  <c r="J393" i="20"/>
  <c r="T393" i="20"/>
  <c r="C393" i="20"/>
  <c r="U393" i="20"/>
  <c r="G393" i="20"/>
  <c r="E393" i="20"/>
  <c r="U394" i="20"/>
  <c r="S394" i="20"/>
  <c r="I394" i="20"/>
  <c r="D394" i="20"/>
  <c r="C394" i="20"/>
  <c r="G394" i="20"/>
  <c r="T394" i="20"/>
  <c r="E394" i="20"/>
  <c r="H394" i="20"/>
  <c r="J394" i="20"/>
  <c r="J395" i="20"/>
  <c r="I395" i="20"/>
  <c r="H395" i="20"/>
  <c r="G395" i="20"/>
  <c r="E395" i="20"/>
  <c r="D395" i="20"/>
  <c r="F395" i="20" s="1"/>
  <c r="C395" i="20"/>
  <c r="S395" i="20"/>
  <c r="A395" i="20"/>
  <c r="T395" i="20"/>
  <c r="U395" i="20"/>
  <c r="G396" i="20"/>
  <c r="J396" i="20"/>
  <c r="U396" i="20"/>
  <c r="C396" i="20"/>
  <c r="E396" i="20"/>
  <c r="H396" i="20"/>
  <c r="T396" i="20"/>
  <c r="I396" i="20"/>
  <c r="D396" i="20"/>
  <c r="F396" i="20" s="1"/>
  <c r="S396" i="20"/>
  <c r="A396" i="20"/>
  <c r="U397" i="20"/>
  <c r="T397" i="20"/>
  <c r="C397" i="20"/>
  <c r="E397" i="20"/>
  <c r="S397" i="20"/>
  <c r="G397" i="20"/>
  <c r="H397" i="20"/>
  <c r="D397" i="20"/>
  <c r="F397" i="20" s="1"/>
  <c r="A397" i="20" s="1"/>
  <c r="J397" i="20"/>
  <c r="I397" i="20"/>
  <c r="H398" i="20"/>
  <c r="E398" i="20"/>
  <c r="C398" i="20"/>
  <c r="T398" i="20"/>
  <c r="I398" i="20"/>
  <c r="J398" i="20"/>
  <c r="G398" i="20"/>
  <c r="S398" i="20"/>
  <c r="D398" i="20"/>
  <c r="F398" i="20" s="1"/>
  <c r="A398" i="20" s="1"/>
  <c r="U398" i="20"/>
  <c r="E399" i="20"/>
  <c r="I399" i="20"/>
  <c r="G399" i="20"/>
  <c r="J399" i="20"/>
  <c r="D399" i="20"/>
  <c r="F399" i="20" s="1"/>
  <c r="U399" i="20"/>
  <c r="C399" i="20"/>
  <c r="S399" i="20"/>
  <c r="H399" i="20"/>
  <c r="T399" i="20"/>
  <c r="A399" i="20"/>
  <c r="G400" i="20"/>
  <c r="H400" i="20"/>
  <c r="E400" i="20"/>
  <c r="J400" i="20"/>
  <c r="U400" i="20"/>
  <c r="T400" i="20"/>
  <c r="S400" i="20"/>
  <c r="C400" i="20"/>
  <c r="I400" i="20"/>
  <c r="D400" i="20"/>
  <c r="F400" i="20" s="1"/>
  <c r="A400" i="20" s="1"/>
  <c r="C401" i="20"/>
  <c r="I401" i="20"/>
  <c r="S401" i="20"/>
  <c r="H401" i="20"/>
  <c r="G401" i="20"/>
  <c r="E401" i="20"/>
  <c r="J401" i="20"/>
  <c r="U401" i="20"/>
  <c r="D401" i="20"/>
  <c r="F401" i="20" s="1"/>
  <c r="A401" i="20" s="1"/>
  <c r="T401" i="20"/>
  <c r="J402" i="20"/>
  <c r="I402" i="20"/>
  <c r="U402" i="20"/>
  <c r="H402" i="20"/>
  <c r="G402" i="20"/>
  <c r="E402" i="20"/>
  <c r="D402" i="20"/>
  <c r="F402" i="20" s="1"/>
  <c r="A402" i="20" s="1"/>
  <c r="S402" i="20"/>
  <c r="C402" i="20"/>
  <c r="T402" i="20"/>
  <c r="H403" i="20"/>
  <c r="G403" i="20"/>
  <c r="E403" i="20"/>
  <c r="D403" i="20"/>
  <c r="F403" i="20" s="1"/>
  <c r="C403" i="20"/>
  <c r="S403" i="20"/>
  <c r="U403" i="20"/>
  <c r="A403" i="20"/>
  <c r="J403" i="20"/>
  <c r="T403" i="20"/>
  <c r="I403" i="20"/>
  <c r="I305" i="20"/>
  <c r="C305" i="20"/>
  <c r="D305" i="20"/>
  <c r="O305" i="20"/>
  <c r="Y305" i="20" s="1"/>
  <c r="T305" i="20"/>
  <c r="M305" i="20"/>
  <c r="W305" i="20" s="1"/>
  <c r="U305" i="20"/>
  <c r="J305" i="20"/>
  <c r="N305" i="20"/>
  <c r="X305" i="20" s="1"/>
  <c r="P305" i="20"/>
  <c r="Z305" i="20" s="1"/>
  <c r="S305" i="20"/>
  <c r="A305" i="20"/>
  <c r="G305" i="20"/>
  <c r="H305" i="20"/>
  <c r="K305" i="20"/>
  <c r="E305" i="20"/>
  <c r="L305" i="20"/>
  <c r="U306" i="20"/>
  <c r="D306" i="20"/>
  <c r="E306" i="20"/>
  <c r="C306" i="20"/>
  <c r="J306" i="20"/>
  <c r="L306" i="20"/>
  <c r="T306" i="20"/>
  <c r="G306" i="20"/>
  <c r="N306" i="20"/>
  <c r="X306" i="20" s="1"/>
  <c r="I306" i="20"/>
  <c r="A306" i="20"/>
  <c r="M306" i="20"/>
  <c r="W306" i="20" s="1"/>
  <c r="H306" i="20"/>
  <c r="S306" i="20"/>
  <c r="K306" i="20"/>
  <c r="P306" i="20"/>
  <c r="Z306" i="20" s="1"/>
  <c r="O306" i="20"/>
  <c r="Y306" i="20" s="1"/>
  <c r="N307" i="20"/>
  <c r="X307" i="20" s="1"/>
  <c r="M307" i="20"/>
  <c r="W307" i="20" s="1"/>
  <c r="I307" i="20"/>
  <c r="C307" i="20"/>
  <c r="T307" i="20"/>
  <c r="K307" i="20"/>
  <c r="P307" i="20"/>
  <c r="Z307" i="20" s="1"/>
  <c r="H307" i="20"/>
  <c r="U307" i="20"/>
  <c r="A307" i="20"/>
  <c r="L307" i="20"/>
  <c r="G307" i="20"/>
  <c r="J307" i="20"/>
  <c r="E307" i="20"/>
  <c r="D307" i="20"/>
  <c r="S307" i="20"/>
  <c r="O307" i="20"/>
  <c r="Y307" i="20" s="1"/>
  <c r="N308" i="20"/>
  <c r="X308" i="20" s="1"/>
  <c r="L308" i="20"/>
  <c r="J308" i="20"/>
  <c r="A308" i="20"/>
  <c r="H308" i="20"/>
  <c r="I308" i="20"/>
  <c r="K308" i="20"/>
  <c r="S308" i="20"/>
  <c r="T308" i="20"/>
  <c r="M308" i="20"/>
  <c r="W308" i="20" s="1"/>
  <c r="P308" i="20"/>
  <c r="Z308" i="20" s="1"/>
  <c r="E308" i="20"/>
  <c r="D308" i="20"/>
  <c r="C308" i="20"/>
  <c r="U308" i="20"/>
  <c r="G308" i="20"/>
  <c r="O308" i="20"/>
  <c r="Y308" i="20" s="1"/>
  <c r="M309" i="20"/>
  <c r="W309" i="20" s="1"/>
  <c r="G309" i="20"/>
  <c r="H309" i="20"/>
  <c r="C309" i="20"/>
  <c r="E309" i="20"/>
  <c r="D309" i="20"/>
  <c r="I309" i="20"/>
  <c r="A309" i="20"/>
  <c r="K309" i="20"/>
  <c r="J309" i="20"/>
  <c r="U309" i="20"/>
  <c r="L309" i="20"/>
  <c r="N309" i="20"/>
  <c r="X309" i="20" s="1"/>
  <c r="T309" i="20"/>
  <c r="S309" i="20"/>
  <c r="P309" i="20"/>
  <c r="Z309" i="20" s="1"/>
  <c r="O309" i="20"/>
  <c r="Y309" i="20" s="1"/>
  <c r="U310" i="20"/>
  <c r="L310" i="20"/>
  <c r="G310" i="20"/>
  <c r="I310" i="20"/>
  <c r="E310" i="20"/>
  <c r="P310" i="20"/>
  <c r="Z310" i="20" s="1"/>
  <c r="D310" i="20"/>
  <c r="C310" i="20"/>
  <c r="K310" i="20"/>
  <c r="N310" i="20"/>
  <c r="X310" i="20" s="1"/>
  <c r="H310" i="20"/>
  <c r="S310" i="20"/>
  <c r="J310" i="20"/>
  <c r="M310" i="20"/>
  <c r="W310" i="20" s="1"/>
  <c r="O310" i="20"/>
  <c r="Y310" i="20" s="1"/>
  <c r="A310" i="20"/>
  <c r="T310" i="20"/>
  <c r="U311" i="20"/>
  <c r="K311" i="20"/>
  <c r="G311" i="20"/>
  <c r="I311" i="20"/>
  <c r="E311" i="20"/>
  <c r="D311" i="20"/>
  <c r="N311" i="20"/>
  <c r="X311" i="20" s="1"/>
  <c r="O311" i="20"/>
  <c r="Y311" i="20" s="1"/>
  <c r="H311" i="20"/>
  <c r="S311" i="20"/>
  <c r="A311" i="20"/>
  <c r="P311" i="20"/>
  <c r="Z311" i="20" s="1"/>
  <c r="J311" i="20"/>
  <c r="M311" i="20"/>
  <c r="W311" i="20" s="1"/>
  <c r="L311" i="20"/>
  <c r="C311" i="20"/>
  <c r="T311" i="20"/>
  <c r="U312" i="20"/>
  <c r="K312" i="20"/>
  <c r="L312" i="20"/>
  <c r="E312" i="20"/>
  <c r="N312" i="20"/>
  <c r="X312" i="20" s="1"/>
  <c r="S312" i="20"/>
  <c r="C312" i="20"/>
  <c r="A312" i="20"/>
  <c r="P312" i="20"/>
  <c r="Z312" i="20" s="1"/>
  <c r="O312" i="20"/>
  <c r="Y312" i="20" s="1"/>
  <c r="H312" i="20"/>
  <c r="J312" i="20"/>
  <c r="I312" i="20"/>
  <c r="M312" i="20"/>
  <c r="W312" i="20" s="1"/>
  <c r="D312" i="20"/>
  <c r="T312" i="20"/>
  <c r="G312" i="20"/>
  <c r="U313" i="20"/>
  <c r="D313" i="20"/>
  <c r="S313" i="20"/>
  <c r="K313" i="20"/>
  <c r="L313" i="20"/>
  <c r="P313" i="20"/>
  <c r="Z313" i="20" s="1"/>
  <c r="O313" i="20"/>
  <c r="Y313" i="20" s="1"/>
  <c r="A313" i="20"/>
  <c r="E313" i="20"/>
  <c r="G313" i="20"/>
  <c r="N313" i="20"/>
  <c r="X313" i="20" s="1"/>
  <c r="T313" i="20"/>
  <c r="M313" i="20"/>
  <c r="W313" i="20" s="1"/>
  <c r="C313" i="20"/>
  <c r="H313" i="20"/>
  <c r="J313" i="20"/>
  <c r="I313" i="20"/>
  <c r="U314" i="20"/>
  <c r="K314" i="20"/>
  <c r="A314" i="20"/>
  <c r="P314" i="20"/>
  <c r="Z314" i="20" s="1"/>
  <c r="N314" i="20"/>
  <c r="X314" i="20" s="1"/>
  <c r="E314" i="20"/>
  <c r="H314" i="20"/>
  <c r="T314" i="20"/>
  <c r="M314" i="20"/>
  <c r="W314" i="20" s="1"/>
  <c r="O314" i="20"/>
  <c r="Y314" i="20" s="1"/>
  <c r="I314" i="20"/>
  <c r="S314" i="20"/>
  <c r="J314" i="20"/>
  <c r="C314" i="20"/>
  <c r="D314" i="20"/>
  <c r="G314" i="20"/>
  <c r="L314" i="20"/>
  <c r="U315" i="20"/>
  <c r="E315" i="20"/>
  <c r="H315" i="20"/>
  <c r="N315" i="20"/>
  <c r="X315" i="20" s="1"/>
  <c r="K315" i="20"/>
  <c r="T315" i="20"/>
  <c r="L315" i="20"/>
  <c r="C315" i="20"/>
  <c r="S315" i="20"/>
  <c r="G315" i="20"/>
  <c r="I315" i="20"/>
  <c r="M315" i="20"/>
  <c r="W315" i="20" s="1"/>
  <c r="D315" i="20"/>
  <c r="O315" i="20"/>
  <c r="Y315" i="20" s="1"/>
  <c r="P315" i="20"/>
  <c r="Z315" i="20" s="1"/>
  <c r="A315" i="20"/>
  <c r="J315" i="20"/>
  <c r="U316" i="20"/>
  <c r="S316" i="20"/>
  <c r="M316" i="20"/>
  <c r="W316" i="20" s="1"/>
  <c r="C316" i="20"/>
  <c r="I316" i="20"/>
  <c r="L316" i="20"/>
  <c r="O316" i="20"/>
  <c r="Y316" i="20" s="1"/>
  <c r="E316" i="20"/>
  <c r="G316" i="20"/>
  <c r="K316" i="20"/>
  <c r="D316" i="20"/>
  <c r="N316" i="20"/>
  <c r="X316" i="20" s="1"/>
  <c r="P316" i="20"/>
  <c r="Z316" i="20" s="1"/>
  <c r="J316" i="20"/>
  <c r="H316" i="20"/>
  <c r="T316" i="20"/>
  <c r="A316" i="20"/>
  <c r="U317" i="20"/>
  <c r="C317" i="20"/>
  <c r="S317" i="20"/>
  <c r="G317" i="20"/>
  <c r="P317" i="20"/>
  <c r="Z317" i="20" s="1"/>
  <c r="I317" i="20"/>
  <c r="M317" i="20"/>
  <c r="W317" i="20" s="1"/>
  <c r="N317" i="20"/>
  <c r="X317" i="20" s="1"/>
  <c r="D317" i="20"/>
  <c r="J317" i="20"/>
  <c r="H317" i="20"/>
  <c r="T317" i="20"/>
  <c r="K317" i="20"/>
  <c r="O317" i="20"/>
  <c r="Y317" i="20" s="1"/>
  <c r="L317" i="20"/>
  <c r="A317" i="20"/>
  <c r="E317" i="20"/>
  <c r="U318" i="20"/>
  <c r="L318" i="20"/>
  <c r="A318" i="20"/>
  <c r="I318" i="20"/>
  <c r="N318" i="20"/>
  <c r="X318" i="20" s="1"/>
  <c r="S318" i="20"/>
  <c r="D318" i="20"/>
  <c r="O318" i="20"/>
  <c r="Y318" i="20" s="1"/>
  <c r="T318" i="20"/>
  <c r="E318" i="20"/>
  <c r="C318" i="20"/>
  <c r="K318" i="20"/>
  <c r="M318" i="20"/>
  <c r="W318" i="20" s="1"/>
  <c r="J318" i="20"/>
  <c r="G318" i="20"/>
  <c r="H318" i="20"/>
  <c r="P318" i="20"/>
  <c r="Z318" i="20" s="1"/>
  <c r="U319" i="20"/>
  <c r="G319" i="20"/>
  <c r="A319" i="20"/>
  <c r="M319" i="20"/>
  <c r="W319" i="20" s="1"/>
  <c r="D319" i="20"/>
  <c r="J319" i="20"/>
  <c r="T319" i="20"/>
  <c r="O319" i="20"/>
  <c r="Y319" i="20" s="1"/>
  <c r="C319" i="20"/>
  <c r="N319" i="20"/>
  <c r="X319" i="20" s="1"/>
  <c r="S319" i="20"/>
  <c r="H319" i="20"/>
  <c r="P319" i="20"/>
  <c r="Z319" i="20" s="1"/>
  <c r="I319" i="20"/>
  <c r="E319" i="20"/>
  <c r="L319" i="20"/>
  <c r="K319" i="20"/>
  <c r="U320" i="20"/>
  <c r="N320" i="20"/>
  <c r="X320" i="20" s="1"/>
  <c r="D320" i="20"/>
  <c r="H320" i="20"/>
  <c r="T320" i="20"/>
  <c r="L320" i="20"/>
  <c r="K320" i="20"/>
  <c r="O320" i="20"/>
  <c r="Y320" i="20" s="1"/>
  <c r="P320" i="20"/>
  <c r="Z320" i="20" s="1"/>
  <c r="A320" i="20"/>
  <c r="C320" i="20"/>
  <c r="J320" i="20"/>
  <c r="G320" i="20"/>
  <c r="S320" i="20"/>
  <c r="E320" i="20"/>
  <c r="I320" i="20"/>
  <c r="M320" i="20"/>
  <c r="W320" i="20" s="1"/>
  <c r="U321" i="20"/>
  <c r="T321" i="20"/>
  <c r="H321" i="20"/>
  <c r="G321" i="20"/>
  <c r="K321" i="20"/>
  <c r="N321" i="20"/>
  <c r="X321" i="20" s="1"/>
  <c r="D321" i="20"/>
  <c r="S321" i="20"/>
  <c r="I321" i="20"/>
  <c r="L321" i="20"/>
  <c r="A321" i="20"/>
  <c r="E321" i="20"/>
  <c r="P321" i="20"/>
  <c r="Z321" i="20" s="1"/>
  <c r="C321" i="20"/>
  <c r="M321" i="20"/>
  <c r="W321" i="20" s="1"/>
  <c r="J321" i="20"/>
  <c r="O321" i="20"/>
  <c r="Y321" i="20" s="1"/>
  <c r="T322" i="20"/>
  <c r="L322" i="20"/>
  <c r="J322" i="20"/>
  <c r="K322" i="20"/>
  <c r="C322" i="20"/>
  <c r="A322" i="20"/>
  <c r="S322" i="20"/>
  <c r="N322" i="20"/>
  <c r="X322" i="20" s="1"/>
  <c r="G322" i="20"/>
  <c r="O322" i="20"/>
  <c r="Y322" i="20" s="1"/>
  <c r="M322" i="20"/>
  <c r="W322" i="20" s="1"/>
  <c r="I322" i="20"/>
  <c r="E322" i="20"/>
  <c r="P322" i="20"/>
  <c r="Z322" i="20" s="1"/>
  <c r="U322" i="20"/>
  <c r="D322" i="20"/>
  <c r="H322" i="20"/>
  <c r="D323" i="20"/>
  <c r="U323" i="20"/>
  <c r="I323" i="20"/>
  <c r="H323" i="20"/>
  <c r="J323" i="20"/>
  <c r="T323" i="20"/>
  <c r="G323" i="20"/>
  <c r="E323" i="20"/>
  <c r="C323" i="20"/>
  <c r="S323" i="20"/>
  <c r="L324" i="20"/>
  <c r="D324" i="20"/>
  <c r="N324" i="20"/>
  <c r="X324" i="20" s="1"/>
  <c r="T324" i="20"/>
  <c r="G324" i="20"/>
  <c r="I324" i="20"/>
  <c r="M324" i="20"/>
  <c r="W324" i="20" s="1"/>
  <c r="P324" i="20"/>
  <c r="Z324" i="20" s="1"/>
  <c r="A324" i="20"/>
  <c r="O324" i="20"/>
  <c r="Y324" i="20" s="1"/>
  <c r="U324" i="20"/>
  <c r="E324" i="20"/>
  <c r="J324" i="20"/>
  <c r="C324" i="20"/>
  <c r="K324" i="20"/>
  <c r="H324" i="20"/>
  <c r="S324" i="20"/>
  <c r="E325" i="20"/>
  <c r="U325" i="20"/>
  <c r="T325" i="20"/>
  <c r="G325" i="20"/>
  <c r="A325" i="20"/>
  <c r="H325" i="20"/>
  <c r="I325" i="20"/>
  <c r="C325" i="20"/>
  <c r="D325" i="20"/>
  <c r="L325" i="20"/>
  <c r="O325" i="20"/>
  <c r="Y325" i="20" s="1"/>
  <c r="J325" i="20"/>
  <c r="M325" i="20"/>
  <c r="W325" i="20" s="1"/>
  <c r="P325" i="20"/>
  <c r="Z325" i="20" s="1"/>
  <c r="S325" i="20"/>
  <c r="K325" i="20"/>
  <c r="N325" i="20"/>
  <c r="X325" i="20" s="1"/>
  <c r="L326" i="20"/>
  <c r="M326" i="20"/>
  <c r="W326" i="20" s="1"/>
  <c r="N326" i="20"/>
  <c r="X326" i="20" s="1"/>
  <c r="G326" i="20"/>
  <c r="J326" i="20"/>
  <c r="T326" i="20"/>
  <c r="P326" i="20"/>
  <c r="Z326" i="20" s="1"/>
  <c r="H326" i="20"/>
  <c r="U326" i="20"/>
  <c r="I326" i="20"/>
  <c r="A326" i="20"/>
  <c r="C326" i="20"/>
  <c r="O326" i="20"/>
  <c r="Y326" i="20" s="1"/>
  <c r="D326" i="20"/>
  <c r="S326" i="20"/>
  <c r="E326" i="20"/>
  <c r="K326" i="20"/>
  <c r="J327" i="20"/>
  <c r="T327" i="20"/>
  <c r="L327" i="20"/>
  <c r="G327" i="20"/>
  <c r="C327" i="20"/>
  <c r="H327" i="20"/>
  <c r="I327" i="20"/>
  <c r="O327" i="20"/>
  <c r="Y327" i="20" s="1"/>
  <c r="E327" i="20"/>
  <c r="D327" i="20"/>
  <c r="A327" i="20"/>
  <c r="P327" i="20"/>
  <c r="Z327" i="20" s="1"/>
  <c r="S327" i="20"/>
  <c r="M327" i="20"/>
  <c r="W327" i="20" s="1"/>
  <c r="K327" i="20"/>
  <c r="U327" i="20"/>
  <c r="N327" i="20"/>
  <c r="X327" i="20" s="1"/>
  <c r="K328" i="20"/>
  <c r="A328" i="20"/>
  <c r="G328" i="20"/>
  <c r="N328" i="20"/>
  <c r="X328" i="20" s="1"/>
  <c r="I328" i="20"/>
  <c r="S328" i="20"/>
  <c r="J328" i="20"/>
  <c r="D328" i="20"/>
  <c r="E328" i="20"/>
  <c r="O328" i="20"/>
  <c r="Y328" i="20" s="1"/>
  <c r="H328" i="20"/>
  <c r="L328" i="20"/>
  <c r="C328" i="20"/>
  <c r="T328" i="20"/>
  <c r="M328" i="20"/>
  <c r="W328" i="20" s="1"/>
  <c r="P328" i="20"/>
  <c r="Z328" i="20" s="1"/>
  <c r="U328" i="20"/>
  <c r="A329" i="20"/>
  <c r="G329" i="20"/>
  <c r="E329" i="20"/>
  <c r="L329" i="20"/>
  <c r="N329" i="20"/>
  <c r="X329" i="20" s="1"/>
  <c r="J329" i="20"/>
  <c r="U329" i="20"/>
  <c r="T329" i="20"/>
  <c r="K329" i="20"/>
  <c r="C329" i="20"/>
  <c r="S329" i="20"/>
  <c r="O329" i="20"/>
  <c r="Y329" i="20" s="1"/>
  <c r="D329" i="20"/>
  <c r="M329" i="20"/>
  <c r="W329" i="20" s="1"/>
  <c r="I329" i="20"/>
  <c r="H329" i="20"/>
  <c r="P329" i="20"/>
  <c r="Z329" i="20" s="1"/>
  <c r="J330" i="20"/>
  <c r="H330" i="20"/>
  <c r="O330" i="20"/>
  <c r="Y330" i="20" s="1"/>
  <c r="E330" i="20"/>
  <c r="L330" i="20"/>
  <c r="P330" i="20"/>
  <c r="Z330" i="20" s="1"/>
  <c r="I330" i="20"/>
  <c r="D330" i="20"/>
  <c r="A330" i="20"/>
  <c r="K330" i="20"/>
  <c r="N330" i="20"/>
  <c r="X330" i="20" s="1"/>
  <c r="T330" i="20"/>
  <c r="M330" i="20"/>
  <c r="W330" i="20" s="1"/>
  <c r="U330" i="20"/>
  <c r="C330" i="20"/>
  <c r="S330" i="20"/>
  <c r="G330" i="20"/>
  <c r="P331" i="20"/>
  <c r="Z331" i="20" s="1"/>
  <c r="I331" i="20"/>
  <c r="O331" i="20"/>
  <c r="Y331" i="20" s="1"/>
  <c r="C331" i="20"/>
  <c r="E331" i="20"/>
  <c r="H331" i="20"/>
  <c r="M331" i="20"/>
  <c r="W331" i="20" s="1"/>
  <c r="S331" i="20"/>
  <c r="K331" i="20"/>
  <c r="J331" i="20"/>
  <c r="T331" i="20"/>
  <c r="G331" i="20"/>
  <c r="L331" i="20"/>
  <c r="N331" i="20"/>
  <c r="X331" i="20" s="1"/>
  <c r="D331" i="20"/>
  <c r="A331" i="20"/>
  <c r="U331" i="20"/>
  <c r="E332" i="20"/>
  <c r="D332" i="20"/>
  <c r="C332" i="20"/>
  <c r="A332" i="20"/>
  <c r="U332" i="20"/>
  <c r="T332" i="20"/>
  <c r="S332" i="20"/>
  <c r="P332" i="20"/>
  <c r="Z332" i="20" s="1"/>
  <c r="O332" i="20"/>
  <c r="Y332" i="20" s="1"/>
  <c r="N332" i="20"/>
  <c r="X332" i="20" s="1"/>
  <c r="M332" i="20"/>
  <c r="W332" i="20" s="1"/>
  <c r="L332" i="20"/>
  <c r="K332" i="20"/>
  <c r="J332" i="20"/>
  <c r="I332" i="20"/>
  <c r="H332" i="20"/>
  <c r="G332" i="20"/>
  <c r="T333" i="20"/>
  <c r="H333" i="20"/>
  <c r="O333" i="20"/>
  <c r="Y333" i="20" s="1"/>
  <c r="I333" i="20"/>
  <c r="D333" i="20"/>
  <c r="S333" i="20"/>
  <c r="U333" i="20"/>
  <c r="N333" i="20"/>
  <c r="X333" i="20" s="1"/>
  <c r="P333" i="20"/>
  <c r="Z333" i="20" s="1"/>
  <c r="G333" i="20"/>
  <c r="K333" i="20"/>
  <c r="C333" i="20"/>
  <c r="A333" i="20"/>
  <c r="J333" i="20"/>
  <c r="L333" i="20"/>
  <c r="M333" i="20"/>
  <c r="W333" i="20" s="1"/>
  <c r="E333" i="20"/>
  <c r="J334" i="20"/>
  <c r="D334" i="20"/>
  <c r="P334" i="20"/>
  <c r="Z334" i="20" s="1"/>
  <c r="N334" i="20"/>
  <c r="X334" i="20" s="1"/>
  <c r="K334" i="20"/>
  <c r="T334" i="20"/>
  <c r="E334" i="20"/>
  <c r="S334" i="20"/>
  <c r="I334" i="20"/>
  <c r="A334" i="20"/>
  <c r="M334" i="20"/>
  <c r="W334" i="20" s="1"/>
  <c r="C334" i="20"/>
  <c r="O334" i="20"/>
  <c r="Y334" i="20" s="1"/>
  <c r="U334" i="20"/>
  <c r="L334" i="20"/>
  <c r="H334" i="20"/>
  <c r="G334" i="20"/>
  <c r="M335" i="20"/>
  <c r="W335" i="20" s="1"/>
  <c r="T335" i="20"/>
  <c r="U335" i="20"/>
  <c r="C335" i="20"/>
  <c r="H335" i="20"/>
  <c r="L335" i="20"/>
  <c r="O335" i="20"/>
  <c r="Y335" i="20" s="1"/>
  <c r="A335" i="20"/>
  <c r="D335" i="20"/>
  <c r="J335" i="20"/>
  <c r="N335" i="20"/>
  <c r="X335" i="20" s="1"/>
  <c r="S335" i="20"/>
  <c r="K335" i="20"/>
  <c r="P335" i="20"/>
  <c r="Z335" i="20" s="1"/>
  <c r="I335" i="20"/>
  <c r="E335" i="20"/>
  <c r="G335" i="20"/>
  <c r="D336" i="20"/>
  <c r="T336" i="20"/>
  <c r="P336" i="20"/>
  <c r="Z336" i="20" s="1"/>
  <c r="H336" i="20"/>
  <c r="A336" i="20"/>
  <c r="U336" i="20"/>
  <c r="L336" i="20"/>
  <c r="E336" i="20"/>
  <c r="M336" i="20"/>
  <c r="W336" i="20" s="1"/>
  <c r="O336" i="20"/>
  <c r="Y336" i="20" s="1"/>
  <c r="S336" i="20"/>
  <c r="J336" i="20"/>
  <c r="I336" i="20"/>
  <c r="C336" i="20"/>
  <c r="G336" i="20"/>
  <c r="N336" i="20"/>
  <c r="X336" i="20" s="1"/>
  <c r="K336" i="20"/>
  <c r="N337" i="20"/>
  <c r="X337" i="20" s="1"/>
  <c r="D337" i="20"/>
  <c r="G337" i="20"/>
  <c r="U337" i="20"/>
  <c r="M337" i="20"/>
  <c r="W337" i="20" s="1"/>
  <c r="E337" i="20"/>
  <c r="K337" i="20"/>
  <c r="H337" i="20"/>
  <c r="I337" i="20"/>
  <c r="J337" i="20"/>
  <c r="C337" i="20"/>
  <c r="O337" i="20"/>
  <c r="Y337" i="20" s="1"/>
  <c r="L337" i="20"/>
  <c r="T337" i="20"/>
  <c r="P337" i="20"/>
  <c r="Z337" i="20" s="1"/>
  <c r="A337" i="20"/>
  <c r="S337" i="20"/>
  <c r="M338" i="20"/>
  <c r="W338" i="20" s="1"/>
  <c r="K338" i="20"/>
  <c r="O338" i="20"/>
  <c r="Y338" i="20" s="1"/>
  <c r="E338" i="20"/>
  <c r="H338" i="20"/>
  <c r="L338" i="20"/>
  <c r="T338" i="20"/>
  <c r="N338" i="20"/>
  <c r="X338" i="20" s="1"/>
  <c r="C338" i="20"/>
  <c r="P338" i="20"/>
  <c r="Z338" i="20" s="1"/>
  <c r="U338" i="20"/>
  <c r="A338" i="20"/>
  <c r="J338" i="20"/>
  <c r="G338" i="20"/>
  <c r="S338" i="20"/>
  <c r="I338" i="20"/>
  <c r="D338" i="20"/>
  <c r="L339" i="20"/>
  <c r="K339" i="20"/>
  <c r="E339" i="20"/>
  <c r="S339" i="20"/>
  <c r="I339" i="20"/>
  <c r="M339" i="20"/>
  <c r="W339" i="20" s="1"/>
  <c r="D339" i="20"/>
  <c r="J339" i="20"/>
  <c r="N339" i="20"/>
  <c r="X339" i="20" s="1"/>
  <c r="C339" i="20"/>
  <c r="A339" i="20"/>
  <c r="O339" i="20"/>
  <c r="Y339" i="20" s="1"/>
  <c r="H339" i="20"/>
  <c r="G339" i="20"/>
  <c r="P339" i="20"/>
  <c r="Z339" i="20" s="1"/>
  <c r="U339" i="20"/>
  <c r="T339" i="20"/>
  <c r="O340" i="20"/>
  <c r="Y340" i="20" s="1"/>
  <c r="E340" i="20"/>
  <c r="H340" i="20"/>
  <c r="M340" i="20"/>
  <c r="W340" i="20" s="1"/>
  <c r="A340" i="20"/>
  <c r="U340" i="20"/>
  <c r="S340" i="20"/>
  <c r="J340" i="20"/>
  <c r="K340" i="20"/>
  <c r="G340" i="20"/>
  <c r="P340" i="20"/>
  <c r="Z340" i="20" s="1"/>
  <c r="I340" i="20"/>
  <c r="L340" i="20"/>
  <c r="T340" i="20"/>
  <c r="C340" i="20"/>
  <c r="D340" i="20"/>
  <c r="N340" i="20"/>
  <c r="X340" i="20" s="1"/>
  <c r="P341" i="20"/>
  <c r="Z341" i="20" s="1"/>
  <c r="M341" i="20"/>
  <c r="W341" i="20" s="1"/>
  <c r="S341" i="20"/>
  <c r="T341" i="20"/>
  <c r="I341" i="20"/>
  <c r="U341" i="20"/>
  <c r="H341" i="20"/>
  <c r="A341" i="20"/>
  <c r="G341" i="20"/>
  <c r="K341" i="20"/>
  <c r="L341" i="20"/>
  <c r="D341" i="20"/>
  <c r="C341" i="20"/>
  <c r="J341" i="20"/>
  <c r="O341" i="20"/>
  <c r="Y341" i="20" s="1"/>
  <c r="N341" i="20"/>
  <c r="X341" i="20" s="1"/>
  <c r="E341" i="20"/>
  <c r="A268" i="20"/>
  <c r="M268" i="20"/>
  <c r="W268" i="20" s="1"/>
  <c r="N268" i="20"/>
  <c r="X268" i="20" s="1"/>
  <c r="P268" i="20"/>
  <c r="Z268" i="20" s="1"/>
  <c r="I268" i="20"/>
  <c r="G268" i="20"/>
  <c r="K268" i="20"/>
  <c r="E268" i="20"/>
  <c r="O268" i="20"/>
  <c r="Y268" i="20" s="1"/>
  <c r="H268" i="20"/>
  <c r="U268" i="20"/>
  <c r="S268" i="20"/>
  <c r="C268" i="20"/>
  <c r="D268" i="20"/>
  <c r="T268" i="20"/>
  <c r="J268" i="20"/>
  <c r="L268" i="20"/>
  <c r="S269" i="20"/>
  <c r="P269" i="20"/>
  <c r="Z269" i="20" s="1"/>
  <c r="U269" i="20"/>
  <c r="G269" i="20"/>
  <c r="I269" i="20"/>
  <c r="T269" i="20"/>
  <c r="O269" i="20"/>
  <c r="Y269" i="20" s="1"/>
  <c r="A269" i="20"/>
  <c r="L269" i="20"/>
  <c r="J269" i="20"/>
  <c r="C269" i="20"/>
  <c r="N269" i="20"/>
  <c r="X269" i="20" s="1"/>
  <c r="K269" i="20"/>
  <c r="H269" i="20"/>
  <c r="E269" i="20"/>
  <c r="M269" i="20"/>
  <c r="W269" i="20" s="1"/>
  <c r="D269" i="20"/>
  <c r="N270" i="20"/>
  <c r="X270" i="20" s="1"/>
  <c r="P270" i="20"/>
  <c r="Z270" i="20" s="1"/>
  <c r="I270" i="20"/>
  <c r="E270" i="20"/>
  <c r="S270" i="20"/>
  <c r="T270" i="20"/>
  <c r="U270" i="20"/>
  <c r="C270" i="20"/>
  <c r="G270" i="20"/>
  <c r="A270" i="20"/>
  <c r="H270" i="20"/>
  <c r="D270" i="20"/>
  <c r="O270" i="20"/>
  <c r="Y270" i="20" s="1"/>
  <c r="J270" i="20"/>
  <c r="K270" i="20"/>
  <c r="L270" i="20"/>
  <c r="M270" i="20"/>
  <c r="W270" i="20" s="1"/>
  <c r="U271" i="20"/>
  <c r="A271" i="20"/>
  <c r="I271" i="20"/>
  <c r="T271" i="20"/>
  <c r="H271" i="20"/>
  <c r="K271" i="20"/>
  <c r="O271" i="20"/>
  <c r="Y271" i="20" s="1"/>
  <c r="S271" i="20"/>
  <c r="N271" i="20"/>
  <c r="X271" i="20" s="1"/>
  <c r="G271" i="20"/>
  <c r="D271" i="20"/>
  <c r="E271" i="20"/>
  <c r="J271" i="20"/>
  <c r="L271" i="20"/>
  <c r="C271" i="20"/>
  <c r="P271" i="20"/>
  <c r="Z271" i="20" s="1"/>
  <c r="M271" i="20"/>
  <c r="W271" i="20" s="1"/>
  <c r="I272" i="20"/>
  <c r="S272" i="20"/>
  <c r="G272" i="20"/>
  <c r="U272" i="20"/>
  <c r="A272" i="20"/>
  <c r="M272" i="20"/>
  <c r="W272" i="20" s="1"/>
  <c r="O272" i="20"/>
  <c r="Y272" i="20" s="1"/>
  <c r="C272" i="20"/>
  <c r="P272" i="20"/>
  <c r="Z272" i="20" s="1"/>
  <c r="T272" i="20"/>
  <c r="H272" i="20"/>
  <c r="D272" i="20"/>
  <c r="N272" i="20"/>
  <c r="X272" i="20" s="1"/>
  <c r="K272" i="20"/>
  <c r="J272" i="20"/>
  <c r="L272" i="20"/>
  <c r="E272" i="20"/>
  <c r="C273" i="20"/>
  <c r="I273" i="20"/>
  <c r="S273" i="20"/>
  <c r="O273" i="20"/>
  <c r="Y273" i="20" s="1"/>
  <c r="P273" i="20"/>
  <c r="Z273" i="20" s="1"/>
  <c r="A273" i="20"/>
  <c r="H273" i="20"/>
  <c r="D273" i="20"/>
  <c r="L273" i="20"/>
  <c r="T273" i="20"/>
  <c r="N273" i="20"/>
  <c r="X273" i="20" s="1"/>
  <c r="M273" i="20"/>
  <c r="W273" i="20" s="1"/>
  <c r="J273" i="20"/>
  <c r="G273" i="20"/>
  <c r="U273" i="20"/>
  <c r="K273" i="20"/>
  <c r="E273" i="20"/>
  <c r="I274" i="20"/>
  <c r="N274" i="20"/>
  <c r="X274" i="20" s="1"/>
  <c r="A274" i="20"/>
  <c r="G274" i="20"/>
  <c r="U274" i="20"/>
  <c r="C274" i="20"/>
  <c r="H274" i="20"/>
  <c r="T274" i="20"/>
  <c r="K274" i="20"/>
  <c r="S274" i="20"/>
  <c r="L274" i="20"/>
  <c r="E274" i="20"/>
  <c r="D274" i="20"/>
  <c r="P274" i="20"/>
  <c r="Z274" i="20" s="1"/>
  <c r="M274" i="20"/>
  <c r="W274" i="20" s="1"/>
  <c r="J274" i="20"/>
  <c r="O274" i="20"/>
  <c r="Y274" i="20" s="1"/>
  <c r="I275" i="20"/>
  <c r="G275" i="20"/>
  <c r="S275" i="20"/>
  <c r="P275" i="20"/>
  <c r="Z275" i="20" s="1"/>
  <c r="E275" i="20"/>
  <c r="A275" i="20"/>
  <c r="K275" i="20"/>
  <c r="J275" i="20"/>
  <c r="D275" i="20"/>
  <c r="O275" i="20"/>
  <c r="Y275" i="20" s="1"/>
  <c r="N275" i="20"/>
  <c r="X275" i="20" s="1"/>
  <c r="L275" i="20"/>
  <c r="T275" i="20"/>
  <c r="H275" i="20"/>
  <c r="C275" i="20"/>
  <c r="U275" i="20"/>
  <c r="M275" i="20"/>
  <c r="W275" i="20" s="1"/>
  <c r="K276" i="20"/>
  <c r="S276" i="20"/>
  <c r="T276" i="20"/>
  <c r="D276" i="20"/>
  <c r="O276" i="20"/>
  <c r="Y276" i="20" s="1"/>
  <c r="P276" i="20"/>
  <c r="Z276" i="20" s="1"/>
  <c r="L276" i="20"/>
  <c r="A276" i="20"/>
  <c r="C276" i="20"/>
  <c r="J276" i="20"/>
  <c r="M276" i="20"/>
  <c r="W276" i="20" s="1"/>
  <c r="H276" i="20"/>
  <c r="E276" i="20"/>
  <c r="I276" i="20"/>
  <c r="N276" i="20"/>
  <c r="X276" i="20" s="1"/>
  <c r="U276" i="20"/>
  <c r="G276" i="20"/>
  <c r="S277" i="20"/>
  <c r="K277" i="20"/>
  <c r="L277" i="20"/>
  <c r="I277" i="20"/>
  <c r="J277" i="20"/>
  <c r="E277" i="20"/>
  <c r="U277" i="20"/>
  <c r="D277" i="20"/>
  <c r="M277" i="20"/>
  <c r="W277" i="20" s="1"/>
  <c r="T277" i="20"/>
  <c r="H277" i="20"/>
  <c r="C277" i="20"/>
  <c r="N277" i="20"/>
  <c r="X277" i="20" s="1"/>
  <c r="P277" i="20"/>
  <c r="Z277" i="20" s="1"/>
  <c r="O277" i="20"/>
  <c r="Y277" i="20" s="1"/>
  <c r="A277" i="20"/>
  <c r="G277" i="20"/>
  <c r="C278" i="20"/>
  <c r="K278" i="20"/>
  <c r="L278" i="20"/>
  <c r="J278" i="20"/>
  <c r="M278" i="20"/>
  <c r="W278" i="20" s="1"/>
  <c r="N278" i="20"/>
  <c r="X278" i="20" s="1"/>
  <c r="I278" i="20"/>
  <c r="D278" i="20"/>
  <c r="U278" i="20"/>
  <c r="O278" i="20"/>
  <c r="Y278" i="20" s="1"/>
  <c r="P278" i="20"/>
  <c r="Z278" i="20" s="1"/>
  <c r="S278" i="20"/>
  <c r="E278" i="20"/>
  <c r="H278" i="20"/>
  <c r="T278" i="20"/>
  <c r="A278" i="20"/>
  <c r="G278" i="20"/>
  <c r="N279" i="20"/>
  <c r="X279" i="20" s="1"/>
  <c r="L279" i="20"/>
  <c r="A279" i="20"/>
  <c r="M279" i="20"/>
  <c r="W279" i="20" s="1"/>
  <c r="C279" i="20"/>
  <c r="G279" i="20"/>
  <c r="T279" i="20"/>
  <c r="H279" i="20"/>
  <c r="D279" i="20"/>
  <c r="E279" i="20"/>
  <c r="O279" i="20"/>
  <c r="Y279" i="20" s="1"/>
  <c r="S279" i="20"/>
  <c r="J279" i="20"/>
  <c r="P279" i="20"/>
  <c r="Z279" i="20" s="1"/>
  <c r="I279" i="20"/>
  <c r="U279" i="20"/>
  <c r="K279" i="20"/>
  <c r="N280" i="20"/>
  <c r="X280" i="20" s="1"/>
  <c r="A280" i="20"/>
  <c r="D280" i="20"/>
  <c r="G280" i="20"/>
  <c r="E280" i="20"/>
  <c r="C280" i="20"/>
  <c r="P280" i="20"/>
  <c r="Z280" i="20" s="1"/>
  <c r="H280" i="20"/>
  <c r="M280" i="20"/>
  <c r="W280" i="20" s="1"/>
  <c r="L280" i="20"/>
  <c r="K280" i="20"/>
  <c r="J280" i="20"/>
  <c r="T280" i="20"/>
  <c r="S280" i="20"/>
  <c r="I280" i="20"/>
  <c r="O280" i="20"/>
  <c r="Y280" i="20" s="1"/>
  <c r="U280" i="20"/>
  <c r="N281" i="20"/>
  <c r="X281" i="20" s="1"/>
  <c r="H281" i="20"/>
  <c r="D281" i="20"/>
  <c r="G281" i="20"/>
  <c r="J281" i="20"/>
  <c r="S281" i="20"/>
  <c r="E281" i="20"/>
  <c r="A281" i="20"/>
  <c r="P281" i="20"/>
  <c r="Z281" i="20" s="1"/>
  <c r="O281" i="20"/>
  <c r="Y281" i="20" s="1"/>
  <c r="L281" i="20"/>
  <c r="I281" i="20"/>
  <c r="K281" i="20"/>
  <c r="M281" i="20"/>
  <c r="W281" i="20" s="1"/>
  <c r="T281" i="20"/>
  <c r="U281" i="20"/>
  <c r="C281" i="20"/>
  <c r="N282" i="20"/>
  <c r="X282" i="20" s="1"/>
  <c r="D282" i="20"/>
  <c r="G282" i="20"/>
  <c r="S282" i="20"/>
  <c r="J282" i="20"/>
  <c r="P282" i="20"/>
  <c r="Z282" i="20" s="1"/>
  <c r="U282" i="20"/>
  <c r="K282" i="20"/>
  <c r="A282" i="20"/>
  <c r="M282" i="20"/>
  <c r="W282" i="20" s="1"/>
  <c r="L282" i="20"/>
  <c r="E282" i="20"/>
  <c r="O282" i="20"/>
  <c r="Y282" i="20" s="1"/>
  <c r="H282" i="20"/>
  <c r="I282" i="20"/>
  <c r="T282" i="20"/>
  <c r="C282" i="20"/>
  <c r="D283" i="20"/>
  <c r="L283" i="20"/>
  <c r="P283" i="20"/>
  <c r="Z283" i="20" s="1"/>
  <c r="N283" i="20"/>
  <c r="X283" i="20" s="1"/>
  <c r="M283" i="20"/>
  <c r="W283" i="20" s="1"/>
  <c r="O283" i="20"/>
  <c r="Y283" i="20" s="1"/>
  <c r="J283" i="20"/>
  <c r="E283" i="20"/>
  <c r="C283" i="20"/>
  <c r="I283" i="20"/>
  <c r="A283" i="20"/>
  <c r="T283" i="20"/>
  <c r="H283" i="20"/>
  <c r="U283" i="20"/>
  <c r="K283" i="20"/>
  <c r="G283" i="20"/>
  <c r="S283" i="20"/>
  <c r="D284" i="20"/>
  <c r="S284" i="20"/>
  <c r="I284" i="20"/>
  <c r="U284" i="20"/>
  <c r="H284" i="20"/>
  <c r="E284" i="20"/>
  <c r="C284" i="20"/>
  <c r="T284" i="20"/>
  <c r="J284" i="20"/>
  <c r="G284" i="20"/>
  <c r="T285" i="20"/>
  <c r="S285" i="20"/>
  <c r="U285" i="20"/>
  <c r="D285" i="20"/>
  <c r="C285" i="20"/>
  <c r="I285" i="20"/>
  <c r="H285" i="20"/>
  <c r="G285" i="20"/>
  <c r="J285" i="20"/>
  <c r="E285" i="20"/>
  <c r="S286" i="20"/>
  <c r="E286" i="20"/>
  <c r="G286" i="20"/>
  <c r="H286" i="20"/>
  <c r="D286" i="20"/>
  <c r="F286" i="20" s="1"/>
  <c r="I286" i="20"/>
  <c r="A286" i="20"/>
  <c r="C286" i="20"/>
  <c r="J286" i="20"/>
  <c r="U286" i="20"/>
  <c r="T286" i="20"/>
  <c r="G287" i="20"/>
  <c r="T287" i="20"/>
  <c r="N287" i="20"/>
  <c r="X287" i="20" s="1"/>
  <c r="A287" i="20"/>
  <c r="I287" i="20"/>
  <c r="C287" i="20"/>
  <c r="P287" i="20"/>
  <c r="Z287" i="20" s="1"/>
  <c r="O287" i="20"/>
  <c r="Y287" i="20" s="1"/>
  <c r="D287" i="20"/>
  <c r="M287" i="20"/>
  <c r="W287" i="20" s="1"/>
  <c r="E287" i="20"/>
  <c r="L287" i="20"/>
  <c r="H287" i="20"/>
  <c r="J287" i="20"/>
  <c r="S287" i="20"/>
  <c r="U287" i="20"/>
  <c r="K287" i="20"/>
  <c r="T288" i="20"/>
  <c r="J288" i="20"/>
  <c r="I288" i="20"/>
  <c r="G288" i="20"/>
  <c r="E288" i="20"/>
  <c r="U288" i="20"/>
  <c r="S288" i="20"/>
  <c r="H288" i="20"/>
  <c r="D288" i="20"/>
  <c r="F288" i="20" s="1"/>
  <c r="C288" i="20"/>
  <c r="A288" i="20"/>
  <c r="H289" i="20"/>
  <c r="G289" i="20"/>
  <c r="U289" i="20"/>
  <c r="I289" i="20"/>
  <c r="J289" i="20"/>
  <c r="D289" i="20"/>
  <c r="C289" i="20"/>
  <c r="S289" i="20"/>
  <c r="T289" i="20"/>
  <c r="E289" i="20"/>
  <c r="J290" i="20"/>
  <c r="G290" i="20"/>
  <c r="S290" i="20"/>
  <c r="I290" i="20"/>
  <c r="H290" i="20"/>
  <c r="T290" i="20"/>
  <c r="C290" i="20"/>
  <c r="U290" i="20"/>
  <c r="D290" i="20"/>
  <c r="E290" i="20"/>
  <c r="S291" i="20"/>
  <c r="T291" i="20"/>
  <c r="C291" i="20"/>
  <c r="E291" i="20"/>
  <c r="I291" i="20"/>
  <c r="G291" i="20"/>
  <c r="H291" i="20"/>
  <c r="D291" i="20"/>
  <c r="F291" i="20" s="1"/>
  <c r="A291" i="20" s="1"/>
  <c r="J291" i="20"/>
  <c r="U291" i="20"/>
  <c r="C292" i="20"/>
  <c r="H292" i="20"/>
  <c r="D292" i="20"/>
  <c r="G292" i="20"/>
  <c r="J292" i="20"/>
  <c r="I292" i="20"/>
  <c r="U292" i="20"/>
  <c r="S292" i="20"/>
  <c r="T292" i="20"/>
  <c r="E292" i="20"/>
  <c r="H293" i="20"/>
  <c r="S293" i="20"/>
  <c r="G293" i="20"/>
  <c r="I293" i="20"/>
  <c r="C293" i="20"/>
  <c r="D293" i="20"/>
  <c r="U293" i="20"/>
  <c r="T293" i="20"/>
  <c r="J293" i="20"/>
  <c r="E293" i="20"/>
  <c r="F293" i="20" s="1"/>
  <c r="A293" i="20" s="1"/>
  <c r="U294" i="20"/>
  <c r="S294" i="20"/>
  <c r="T294" i="20"/>
  <c r="C294" i="20"/>
  <c r="I294" i="20"/>
  <c r="H294" i="20"/>
  <c r="G294" i="20"/>
  <c r="J294" i="20"/>
  <c r="E294" i="20"/>
  <c r="D294" i="20"/>
  <c r="F294" i="20" s="1"/>
  <c r="A294" i="20" s="1"/>
  <c r="C295" i="20"/>
  <c r="U295" i="20"/>
  <c r="D295" i="20"/>
  <c r="E295" i="20"/>
  <c r="J295" i="20"/>
  <c r="I295" i="20"/>
  <c r="S295" i="20"/>
  <c r="T295" i="20"/>
  <c r="H295" i="20"/>
  <c r="G295" i="20"/>
  <c r="J296" i="20"/>
  <c r="T296" i="20"/>
  <c r="G296" i="20"/>
  <c r="I296" i="20"/>
  <c r="E296" i="20"/>
  <c r="S296" i="20"/>
  <c r="D296" i="20"/>
  <c r="F296" i="20" s="1"/>
  <c r="A296" i="20" s="1"/>
  <c r="C296" i="20"/>
  <c r="U296" i="20"/>
  <c r="H296" i="20"/>
  <c r="H297" i="20"/>
  <c r="G297" i="20"/>
  <c r="S297" i="20"/>
  <c r="I297" i="20"/>
  <c r="E297" i="20"/>
  <c r="T297" i="20"/>
  <c r="C297" i="20"/>
  <c r="D297" i="20"/>
  <c r="F297" i="20"/>
  <c r="A297" i="20" s="1"/>
  <c r="J297" i="20"/>
  <c r="U297" i="20"/>
  <c r="I298" i="20"/>
  <c r="D298" i="20"/>
  <c r="C298" i="20"/>
  <c r="E298" i="20"/>
  <c r="H298" i="20"/>
  <c r="G298" i="20"/>
  <c r="S298" i="20"/>
  <c r="J298" i="20"/>
  <c r="U298" i="20"/>
  <c r="T298" i="20"/>
  <c r="I299" i="20"/>
  <c r="T299" i="20"/>
  <c r="C299" i="20"/>
  <c r="E299" i="20"/>
  <c r="H299" i="20"/>
  <c r="U299" i="20"/>
  <c r="J299" i="20"/>
  <c r="D299" i="20"/>
  <c r="F299" i="20" s="1"/>
  <c r="A299" i="20" s="1"/>
  <c r="S299" i="20"/>
  <c r="G299" i="20"/>
  <c r="J300" i="20"/>
  <c r="I300" i="20"/>
  <c r="D300" i="20"/>
  <c r="H300" i="20"/>
  <c r="T300" i="20"/>
  <c r="G300" i="20"/>
  <c r="S300" i="20"/>
  <c r="E300" i="20"/>
  <c r="F300" i="20" s="1"/>
  <c r="A300" i="20" s="1"/>
  <c r="C300" i="20"/>
  <c r="U300" i="20"/>
  <c r="H301" i="20"/>
  <c r="J301" i="20"/>
  <c r="G301" i="20"/>
  <c r="U301" i="20"/>
  <c r="C301" i="20"/>
  <c r="D301" i="20"/>
  <c r="S301" i="20"/>
  <c r="I301" i="20"/>
  <c r="T301" i="20"/>
  <c r="E301" i="20"/>
  <c r="F301" i="20" s="1"/>
  <c r="A301" i="20" s="1"/>
  <c r="G302" i="20"/>
  <c r="C302" i="20"/>
  <c r="H302" i="20"/>
  <c r="I302" i="20"/>
  <c r="T302" i="20"/>
  <c r="E302" i="20"/>
  <c r="U302" i="20"/>
  <c r="S302" i="20"/>
  <c r="J302" i="20"/>
  <c r="D302" i="20"/>
  <c r="F302" i="20" s="1"/>
  <c r="A302" i="20" s="1"/>
  <c r="F303" i="20"/>
  <c r="M303" i="20"/>
  <c r="W303" i="20" s="1"/>
  <c r="N303" i="20"/>
  <c r="X303" i="20" s="1"/>
  <c r="U303" i="20"/>
  <c r="H303" i="20"/>
  <c r="K303" i="20"/>
  <c r="J303" i="20"/>
  <c r="S303" i="20"/>
  <c r="O303" i="20"/>
  <c r="Y303" i="20" s="1"/>
  <c r="A303" i="20"/>
  <c r="L303" i="20"/>
  <c r="G303" i="20"/>
  <c r="T303" i="20"/>
  <c r="P303" i="20"/>
  <c r="Z303" i="20" s="1"/>
  <c r="I303" i="20"/>
  <c r="E303" i="20"/>
  <c r="D303" i="20"/>
  <c r="C303" i="20"/>
  <c r="H304" i="20"/>
  <c r="T304" i="20"/>
  <c r="U304" i="20"/>
  <c r="J304" i="20"/>
  <c r="D304" i="20"/>
  <c r="C304" i="20"/>
  <c r="S304" i="20"/>
  <c r="E304" i="20"/>
  <c r="G304" i="20"/>
  <c r="I304" i="20"/>
  <c r="F304" i="20"/>
  <c r="A304" i="20" s="1"/>
  <c r="D194" i="20"/>
  <c r="C194" i="20"/>
  <c r="E194" i="20"/>
  <c r="H194" i="20"/>
  <c r="G194" i="20"/>
  <c r="D195" i="20"/>
  <c r="E195" i="20"/>
  <c r="C195" i="20"/>
  <c r="H195" i="20"/>
  <c r="G195" i="20"/>
  <c r="C196" i="20"/>
  <c r="E196" i="20"/>
  <c r="H196" i="20"/>
  <c r="G196" i="20"/>
  <c r="D196" i="20"/>
  <c r="E197" i="20"/>
  <c r="C197" i="20"/>
  <c r="G197" i="20"/>
  <c r="H197" i="20"/>
  <c r="D197" i="20"/>
  <c r="E198" i="20"/>
  <c r="D198" i="20"/>
  <c r="G198" i="20"/>
  <c r="C198" i="20"/>
  <c r="H198" i="20"/>
  <c r="D199" i="20"/>
  <c r="E199" i="20"/>
  <c r="I199" i="20"/>
  <c r="C199" i="20"/>
  <c r="G199" i="20"/>
  <c r="H199" i="20"/>
  <c r="E200" i="20"/>
  <c r="D200" i="20"/>
  <c r="G200" i="20"/>
  <c r="C200" i="20"/>
  <c r="I200" i="20"/>
  <c r="H200" i="20"/>
  <c r="E201" i="20"/>
  <c r="C201" i="20"/>
  <c r="I201" i="20"/>
  <c r="G201" i="20"/>
  <c r="H201" i="20"/>
  <c r="D201" i="20"/>
  <c r="D202" i="20"/>
  <c r="E202" i="20"/>
  <c r="H202" i="20"/>
  <c r="C202" i="20"/>
  <c r="I202" i="20"/>
  <c r="G202" i="20"/>
  <c r="D203" i="20"/>
  <c r="E203" i="20"/>
  <c r="I203" i="20"/>
  <c r="C203" i="20"/>
  <c r="G203" i="20"/>
  <c r="H203" i="20"/>
  <c r="H204" i="20"/>
  <c r="G204" i="20"/>
  <c r="C204" i="20"/>
  <c r="E204" i="20"/>
  <c r="D204" i="20"/>
  <c r="I204" i="20"/>
  <c r="G205" i="20"/>
  <c r="C205" i="20"/>
  <c r="H205" i="20"/>
  <c r="I205" i="20"/>
  <c r="E205" i="20"/>
  <c r="D205" i="20"/>
  <c r="G206" i="20"/>
  <c r="C206" i="20"/>
  <c r="I206" i="20"/>
  <c r="H206" i="20"/>
  <c r="E206" i="20"/>
  <c r="D206" i="20"/>
  <c r="A206" i="20"/>
  <c r="E207" i="20"/>
  <c r="I207" i="20"/>
  <c r="G207" i="20"/>
  <c r="D207" i="20"/>
  <c r="H207" i="20"/>
  <c r="A207" i="20"/>
  <c r="C207" i="20"/>
  <c r="E208" i="20"/>
  <c r="G208" i="20"/>
  <c r="C208" i="20"/>
  <c r="A208" i="20"/>
  <c r="I208" i="20"/>
  <c r="D208" i="20"/>
  <c r="H208" i="20"/>
  <c r="E209" i="20"/>
  <c r="C209" i="20"/>
  <c r="I209" i="20"/>
  <c r="A209" i="20"/>
  <c r="G209" i="20"/>
  <c r="D209" i="20"/>
  <c r="H209" i="20"/>
  <c r="G210" i="20"/>
  <c r="E210" i="20"/>
  <c r="I210" i="20"/>
  <c r="D210" i="20"/>
  <c r="A210" i="20"/>
  <c r="H210" i="20"/>
  <c r="C210" i="20"/>
  <c r="I211" i="20"/>
  <c r="E211" i="20"/>
  <c r="A211" i="20"/>
  <c r="D211" i="20"/>
  <c r="G211" i="20"/>
  <c r="C211" i="20"/>
  <c r="H211" i="20"/>
  <c r="I212" i="20"/>
  <c r="D212" i="20"/>
  <c r="H212" i="20"/>
  <c r="C212" i="20"/>
  <c r="A212" i="20"/>
  <c r="E212" i="20"/>
  <c r="G212" i="20"/>
  <c r="H213" i="20"/>
  <c r="D213" i="20"/>
  <c r="A213" i="20"/>
  <c r="E213" i="20"/>
  <c r="C213" i="20"/>
  <c r="G213" i="20"/>
  <c r="I213" i="20"/>
  <c r="I214" i="20"/>
  <c r="C214" i="20"/>
  <c r="E214" i="20"/>
  <c r="D214" i="20"/>
  <c r="A214" i="20"/>
  <c r="H214" i="20"/>
  <c r="G214" i="20"/>
  <c r="E215" i="20"/>
  <c r="C215" i="20"/>
  <c r="I215" i="20"/>
  <c r="D215" i="20"/>
  <c r="H215" i="20"/>
  <c r="A215" i="20"/>
  <c r="G215" i="20"/>
  <c r="C216" i="20"/>
  <c r="I216" i="20"/>
  <c r="E216" i="20"/>
  <c r="G216" i="20"/>
  <c r="A216" i="20"/>
  <c r="D216" i="20"/>
  <c r="H216" i="20"/>
  <c r="I217" i="20"/>
  <c r="G217" i="20"/>
  <c r="C217" i="20"/>
  <c r="E217" i="20"/>
  <c r="D217" i="20"/>
  <c r="A217" i="20"/>
  <c r="H217" i="20"/>
  <c r="C218" i="20"/>
  <c r="I218" i="20"/>
  <c r="A218" i="20"/>
  <c r="E218" i="20"/>
  <c r="G218" i="20"/>
  <c r="D218" i="20"/>
  <c r="H218" i="20"/>
  <c r="H219" i="20"/>
  <c r="I219" i="20"/>
  <c r="E219" i="20"/>
  <c r="A219" i="20"/>
  <c r="G219" i="20"/>
  <c r="D219" i="20"/>
  <c r="C219" i="20"/>
  <c r="A220" i="20"/>
  <c r="G220" i="20"/>
  <c r="H220" i="20"/>
  <c r="E220" i="20"/>
  <c r="D220" i="20"/>
  <c r="I220" i="20"/>
  <c r="C220" i="20"/>
  <c r="G221" i="20"/>
  <c r="A221" i="20"/>
  <c r="E221" i="20"/>
  <c r="I221" i="20"/>
  <c r="D221" i="20"/>
  <c r="H221" i="20"/>
  <c r="C221" i="20"/>
  <c r="G222" i="20"/>
  <c r="H222" i="20"/>
  <c r="D222" i="20"/>
  <c r="A222" i="20"/>
  <c r="E222" i="20"/>
  <c r="I222" i="20"/>
  <c r="C222" i="20"/>
  <c r="G223" i="20"/>
  <c r="H223" i="20"/>
  <c r="D223" i="20"/>
  <c r="A223" i="20"/>
  <c r="E223" i="20"/>
  <c r="I223" i="20"/>
  <c r="C223" i="20"/>
  <c r="D224" i="20"/>
  <c r="I224" i="20"/>
  <c r="H224" i="20"/>
  <c r="A224" i="20"/>
  <c r="E224" i="20"/>
  <c r="G224" i="20"/>
  <c r="C224" i="20"/>
  <c r="D225" i="20"/>
  <c r="A225" i="20"/>
  <c r="G225" i="20"/>
  <c r="H225" i="20"/>
  <c r="E225" i="20"/>
  <c r="I225" i="20"/>
  <c r="C225" i="20"/>
  <c r="H226" i="20"/>
  <c r="G226" i="20"/>
  <c r="I226" i="20"/>
  <c r="C226" i="20"/>
  <c r="A226" i="20"/>
  <c r="D226" i="20"/>
  <c r="E226" i="20"/>
  <c r="C227" i="20"/>
  <c r="D227" i="20"/>
  <c r="G227" i="20"/>
  <c r="I227" i="20"/>
  <c r="H227" i="20"/>
  <c r="A227" i="20"/>
  <c r="E227" i="20"/>
  <c r="I228" i="20"/>
  <c r="A228" i="20"/>
  <c r="E228" i="20"/>
  <c r="C228" i="20"/>
  <c r="H228" i="20"/>
  <c r="G228" i="20"/>
  <c r="D228" i="20"/>
  <c r="I229" i="20"/>
  <c r="A229" i="20"/>
  <c r="G229" i="20"/>
  <c r="H229" i="20"/>
  <c r="E229" i="20"/>
  <c r="C229" i="20"/>
  <c r="D229" i="20"/>
  <c r="A230" i="20"/>
  <c r="I230" i="20"/>
  <c r="C230" i="20"/>
  <c r="G230" i="20"/>
  <c r="D230" i="20"/>
  <c r="E230" i="20"/>
  <c r="H230" i="20"/>
  <c r="A231" i="20"/>
  <c r="I231" i="20"/>
  <c r="H231" i="20"/>
  <c r="E231" i="20"/>
  <c r="C231" i="20"/>
  <c r="G231" i="20"/>
  <c r="D231" i="20"/>
  <c r="I232" i="20"/>
  <c r="G232" i="20"/>
  <c r="H232" i="20"/>
  <c r="C232" i="20"/>
  <c r="A232" i="20"/>
  <c r="E232" i="20"/>
  <c r="D232" i="20"/>
  <c r="I233" i="20"/>
  <c r="E233" i="20"/>
  <c r="A233" i="20"/>
  <c r="H233" i="20"/>
  <c r="G233" i="20"/>
  <c r="D233" i="20"/>
  <c r="C233" i="20"/>
  <c r="H234" i="20"/>
  <c r="I234" i="20"/>
  <c r="D234" i="20"/>
  <c r="A234" i="20"/>
  <c r="E234" i="20"/>
  <c r="G234" i="20"/>
  <c r="C234" i="20"/>
  <c r="G235" i="20"/>
  <c r="E235" i="20"/>
  <c r="A235" i="20"/>
  <c r="H235" i="20"/>
  <c r="D235" i="20"/>
  <c r="I235" i="20"/>
  <c r="C235" i="20"/>
  <c r="I236" i="20"/>
  <c r="A236" i="20"/>
  <c r="H236" i="20"/>
  <c r="E236" i="20"/>
  <c r="D236" i="20"/>
  <c r="G236" i="20"/>
  <c r="C236" i="20"/>
  <c r="I237" i="20"/>
  <c r="A237" i="20"/>
  <c r="H237" i="20"/>
  <c r="D237" i="20"/>
  <c r="E237" i="20"/>
  <c r="G237" i="20"/>
  <c r="C237" i="20"/>
  <c r="G238" i="20"/>
  <c r="H238" i="20"/>
  <c r="I238" i="20"/>
  <c r="D238" i="20"/>
  <c r="E238" i="20"/>
  <c r="A238" i="20"/>
  <c r="C238" i="20"/>
  <c r="D239" i="20"/>
  <c r="G239" i="20"/>
  <c r="H239" i="20"/>
  <c r="A239" i="20"/>
  <c r="I239" i="20"/>
  <c r="E239" i="20"/>
  <c r="C239" i="20"/>
  <c r="H240" i="20"/>
  <c r="G240" i="20"/>
  <c r="I240" i="20"/>
  <c r="D240" i="20"/>
  <c r="E240" i="20"/>
  <c r="A240" i="20"/>
  <c r="C240" i="20"/>
  <c r="A241" i="20"/>
  <c r="D241" i="20"/>
  <c r="I241" i="20"/>
  <c r="H241" i="20"/>
  <c r="E241" i="20"/>
  <c r="G241" i="20"/>
  <c r="C241" i="20"/>
  <c r="C242" i="20"/>
  <c r="I242" i="20"/>
  <c r="D242" i="20"/>
  <c r="A242" i="20"/>
  <c r="E242" i="20"/>
  <c r="H242" i="20"/>
  <c r="G242" i="20"/>
  <c r="H243" i="20"/>
  <c r="A243" i="20"/>
  <c r="E243" i="20"/>
  <c r="G243" i="20"/>
  <c r="C243" i="20"/>
  <c r="D243" i="20"/>
  <c r="I243" i="20"/>
  <c r="D244" i="20"/>
  <c r="G244" i="20"/>
  <c r="H244" i="20"/>
  <c r="C244" i="20"/>
  <c r="I244" i="20"/>
  <c r="A244" i="20"/>
  <c r="E244" i="20"/>
  <c r="H245" i="20"/>
  <c r="G245" i="20"/>
  <c r="A245" i="20"/>
  <c r="I245" i="20"/>
  <c r="C245" i="20"/>
  <c r="E245" i="20"/>
  <c r="D245" i="20"/>
  <c r="I246" i="20"/>
  <c r="A246" i="20"/>
  <c r="G246" i="20"/>
  <c r="D246" i="20"/>
  <c r="E246" i="20"/>
  <c r="H246" i="20"/>
  <c r="C246" i="20"/>
  <c r="H247" i="20"/>
  <c r="E247" i="20"/>
  <c r="G247" i="20"/>
  <c r="A247" i="20"/>
  <c r="C247" i="20"/>
  <c r="D247" i="20"/>
  <c r="I247" i="20"/>
  <c r="C248" i="20"/>
  <c r="D248" i="20"/>
  <c r="I248" i="20"/>
  <c r="H248" i="20"/>
  <c r="A248" i="20"/>
  <c r="G248" i="20"/>
  <c r="E248" i="20"/>
  <c r="E249" i="20"/>
  <c r="H249" i="20"/>
  <c r="C249" i="20"/>
  <c r="A249" i="20"/>
  <c r="G249" i="20"/>
  <c r="I249" i="20"/>
  <c r="D249" i="20"/>
  <c r="E250" i="20"/>
  <c r="C250" i="20"/>
  <c r="I250" i="20"/>
  <c r="G250" i="20"/>
  <c r="A250" i="20"/>
  <c r="H250" i="20"/>
  <c r="D250" i="20"/>
  <c r="G251" i="20"/>
  <c r="D251" i="20"/>
  <c r="C251" i="20"/>
  <c r="H251" i="20"/>
  <c r="A251" i="20"/>
  <c r="E251" i="20"/>
  <c r="I251" i="20"/>
  <c r="G252" i="20"/>
  <c r="D252" i="20"/>
  <c r="E252" i="20"/>
  <c r="C252" i="20"/>
  <c r="A252" i="20"/>
  <c r="I252" i="20"/>
  <c r="H252" i="20"/>
  <c r="D253" i="20"/>
  <c r="G253" i="20"/>
  <c r="I253" i="20"/>
  <c r="C253" i="20"/>
  <c r="E253" i="20"/>
  <c r="A253" i="20"/>
  <c r="H253" i="20"/>
  <c r="G254" i="20"/>
  <c r="D254" i="20"/>
  <c r="A254" i="20"/>
  <c r="H254" i="20"/>
  <c r="E254" i="20"/>
  <c r="C254" i="20"/>
  <c r="I254" i="20"/>
  <c r="C255" i="20"/>
  <c r="H255" i="20"/>
  <c r="D255" i="20"/>
  <c r="I255" i="20"/>
  <c r="G255" i="20"/>
  <c r="E255" i="20"/>
  <c r="H256" i="20"/>
  <c r="I256" i="20"/>
  <c r="C256" i="20"/>
  <c r="D256" i="20"/>
  <c r="E256" i="20"/>
  <c r="G256" i="20"/>
  <c r="H257" i="20"/>
  <c r="C257" i="20"/>
  <c r="D257" i="20"/>
  <c r="E257" i="20"/>
  <c r="I257" i="20"/>
  <c r="G257" i="20"/>
  <c r="C258" i="20"/>
  <c r="H258" i="20"/>
  <c r="E258" i="20"/>
  <c r="D258" i="20"/>
  <c r="F258" i="20" s="1"/>
  <c r="A258" i="20" s="1"/>
  <c r="I258" i="20"/>
  <c r="G258" i="20"/>
  <c r="H259" i="20"/>
  <c r="G259" i="20"/>
  <c r="I259" i="20"/>
  <c r="A259" i="20"/>
  <c r="D259" i="20"/>
  <c r="E259" i="20"/>
  <c r="C259" i="20"/>
  <c r="I260" i="20"/>
  <c r="G260" i="20"/>
  <c r="E260" i="20"/>
  <c r="D260" i="20"/>
  <c r="F260" i="20" s="1"/>
  <c r="A260" i="20" s="1"/>
  <c r="H260" i="20"/>
  <c r="C260" i="20"/>
  <c r="E261" i="20"/>
  <c r="I261" i="20"/>
  <c r="G261" i="20"/>
  <c r="D261" i="20"/>
  <c r="F261" i="20" s="1"/>
  <c r="A261" i="20" s="1"/>
  <c r="H261" i="20"/>
  <c r="C261" i="20"/>
  <c r="G262" i="20"/>
  <c r="D262" i="20"/>
  <c r="I262" i="20"/>
  <c r="E262" i="20"/>
  <c r="H262" i="20"/>
  <c r="C262" i="20"/>
  <c r="E263" i="20"/>
  <c r="G263" i="20"/>
  <c r="I263" i="20"/>
  <c r="D263" i="20"/>
  <c r="F263" i="20" s="1"/>
  <c r="A263" i="20" s="1"/>
  <c r="H263" i="20"/>
  <c r="C263" i="20"/>
  <c r="D264" i="20"/>
  <c r="G264" i="20"/>
  <c r="I264" i="20"/>
  <c r="E264" i="20"/>
  <c r="H264" i="20"/>
  <c r="C264" i="20"/>
  <c r="I265" i="20"/>
  <c r="E265" i="20"/>
  <c r="H265" i="20"/>
  <c r="D265" i="20"/>
  <c r="G265" i="20"/>
  <c r="A265" i="20"/>
  <c r="C265" i="20"/>
  <c r="I266" i="20"/>
  <c r="E266" i="20"/>
  <c r="G266" i="20"/>
  <c r="D266" i="20"/>
  <c r="H266" i="20"/>
  <c r="A266" i="20"/>
  <c r="C266" i="20"/>
  <c r="D267" i="20"/>
  <c r="G267" i="20"/>
  <c r="I267" i="20"/>
  <c r="H267" i="20"/>
  <c r="E267" i="20"/>
  <c r="A267" i="20"/>
  <c r="C267" i="20"/>
  <c r="I131" i="20"/>
  <c r="J131" i="20"/>
  <c r="Q131" i="20" s="1"/>
  <c r="L131" i="20"/>
  <c r="C131" i="20"/>
  <c r="T131" i="20"/>
  <c r="S131" i="20"/>
  <c r="E131" i="20"/>
  <c r="D131" i="20"/>
  <c r="G131" i="20"/>
  <c r="M131" i="20"/>
  <c r="W131" i="20" s="1"/>
  <c r="K131" i="20"/>
  <c r="N131" i="20"/>
  <c r="X131" i="20" s="1"/>
  <c r="H131" i="20"/>
  <c r="U131" i="20"/>
  <c r="O131" i="20"/>
  <c r="Y131" i="20" s="1"/>
  <c r="P131" i="20"/>
  <c r="Z131" i="20" s="1"/>
  <c r="O132" i="20"/>
  <c r="Y132" i="20" s="1"/>
  <c r="S132" i="20"/>
  <c r="T132" i="20"/>
  <c r="N132" i="20"/>
  <c r="X132" i="20" s="1"/>
  <c r="I132" i="20"/>
  <c r="H132" i="20"/>
  <c r="L132" i="20"/>
  <c r="C132" i="20"/>
  <c r="J132" i="20"/>
  <c r="Q132" i="20" s="1"/>
  <c r="K132" i="20"/>
  <c r="E132" i="20"/>
  <c r="D132" i="20"/>
  <c r="U132" i="20"/>
  <c r="G132" i="20"/>
  <c r="P132" i="20"/>
  <c r="Z132" i="20" s="1"/>
  <c r="M132" i="20"/>
  <c r="W132" i="20" s="1"/>
  <c r="I133" i="20"/>
  <c r="J133" i="20"/>
  <c r="Q133" i="20" s="1"/>
  <c r="G133" i="20"/>
  <c r="M133" i="20"/>
  <c r="W133" i="20" s="1"/>
  <c r="P133" i="20"/>
  <c r="Z133" i="20" s="1"/>
  <c r="H133" i="20"/>
  <c r="U133" i="20"/>
  <c r="T133" i="20"/>
  <c r="S133" i="20"/>
  <c r="L133" i="20"/>
  <c r="E133" i="20"/>
  <c r="D133" i="20"/>
  <c r="O133" i="20"/>
  <c r="Y133" i="20" s="1"/>
  <c r="N133" i="20"/>
  <c r="X133" i="20" s="1"/>
  <c r="C133" i="20"/>
  <c r="K133" i="20"/>
  <c r="D134" i="20"/>
  <c r="P134" i="20"/>
  <c r="Z134" i="20" s="1"/>
  <c r="M134" i="20"/>
  <c r="W134" i="20" s="1"/>
  <c r="U134" i="20"/>
  <c r="C134" i="20"/>
  <c r="T134" i="20"/>
  <c r="E134" i="20"/>
  <c r="G134" i="20"/>
  <c r="N134" i="20"/>
  <c r="X134" i="20" s="1"/>
  <c r="S134" i="20"/>
  <c r="H134" i="20"/>
  <c r="O134" i="20"/>
  <c r="Y134" i="20" s="1"/>
  <c r="L134" i="20"/>
  <c r="I134" i="20"/>
  <c r="K134" i="20"/>
  <c r="J134" i="20"/>
  <c r="Q134" i="20" s="1"/>
  <c r="U135" i="20"/>
  <c r="J135" i="20"/>
  <c r="Q135" i="20" s="1"/>
  <c r="O135" i="20"/>
  <c r="Y135" i="20" s="1"/>
  <c r="S135" i="20"/>
  <c r="P135" i="20"/>
  <c r="Z135" i="20" s="1"/>
  <c r="D135" i="20"/>
  <c r="N135" i="20"/>
  <c r="X135" i="20" s="1"/>
  <c r="L135" i="20"/>
  <c r="C135" i="20"/>
  <c r="E135" i="20"/>
  <c r="I135" i="20"/>
  <c r="T135" i="20"/>
  <c r="G135" i="20"/>
  <c r="K135" i="20"/>
  <c r="H135" i="20"/>
  <c r="M135" i="20"/>
  <c r="W135" i="20" s="1"/>
  <c r="I136" i="20"/>
  <c r="N136" i="20"/>
  <c r="X136" i="20" s="1"/>
  <c r="S136" i="20"/>
  <c r="T136" i="20"/>
  <c r="E136" i="20"/>
  <c r="O136" i="20"/>
  <c r="Y136" i="20" s="1"/>
  <c r="K136" i="20"/>
  <c r="M136" i="20"/>
  <c r="W136" i="20" s="1"/>
  <c r="J136" i="20"/>
  <c r="Q136" i="20" s="1"/>
  <c r="C136" i="20"/>
  <c r="D136" i="20"/>
  <c r="H136" i="20"/>
  <c r="L136" i="20"/>
  <c r="G136" i="20"/>
  <c r="U136" i="20"/>
  <c r="P136" i="20"/>
  <c r="Z136" i="20" s="1"/>
  <c r="H137" i="20"/>
  <c r="J137" i="20"/>
  <c r="Q137" i="20" s="1"/>
  <c r="C137" i="20"/>
  <c r="S137" i="20"/>
  <c r="L137" i="20"/>
  <c r="D137" i="20"/>
  <c r="P137" i="20"/>
  <c r="Z137" i="20" s="1"/>
  <c r="K137" i="20"/>
  <c r="I137" i="20"/>
  <c r="O137" i="20"/>
  <c r="Y137" i="20" s="1"/>
  <c r="E137" i="20"/>
  <c r="G137" i="20"/>
  <c r="U137" i="20"/>
  <c r="N137" i="20"/>
  <c r="X137" i="20" s="1"/>
  <c r="T137" i="20"/>
  <c r="M137" i="20"/>
  <c r="W137" i="20" s="1"/>
  <c r="C138" i="20"/>
  <c r="K138" i="20"/>
  <c r="G138" i="20"/>
  <c r="H138" i="20"/>
  <c r="M138" i="20"/>
  <c r="W138" i="20" s="1"/>
  <c r="S138" i="20"/>
  <c r="L138" i="20"/>
  <c r="J138" i="20"/>
  <c r="Q138" i="20" s="1"/>
  <c r="T138" i="20"/>
  <c r="E138" i="20"/>
  <c r="N138" i="20"/>
  <c r="X138" i="20" s="1"/>
  <c r="D138" i="20"/>
  <c r="U138" i="20"/>
  <c r="P138" i="20"/>
  <c r="Z138" i="20" s="1"/>
  <c r="O138" i="20"/>
  <c r="Y138" i="20" s="1"/>
  <c r="I138" i="20"/>
  <c r="T139" i="20"/>
  <c r="J139" i="20"/>
  <c r="Q139" i="20" s="1"/>
  <c r="S139" i="20"/>
  <c r="K139" i="20"/>
  <c r="M139" i="20"/>
  <c r="W139" i="20" s="1"/>
  <c r="U139" i="20"/>
  <c r="L139" i="20"/>
  <c r="P139" i="20"/>
  <c r="Z139" i="20" s="1"/>
  <c r="O139" i="20"/>
  <c r="Y139" i="20" s="1"/>
  <c r="N139" i="20"/>
  <c r="X139" i="20" s="1"/>
  <c r="E139" i="20"/>
  <c r="I139" i="20"/>
  <c r="D139" i="20"/>
  <c r="H139" i="20"/>
  <c r="C139" i="20"/>
  <c r="G139" i="20"/>
  <c r="M140" i="20"/>
  <c r="W140" i="20" s="1"/>
  <c r="O140" i="20"/>
  <c r="Y140" i="20" s="1"/>
  <c r="N140" i="20"/>
  <c r="X140" i="20" s="1"/>
  <c r="C140" i="20"/>
  <c r="U140" i="20"/>
  <c r="I140" i="20"/>
  <c r="P140" i="20"/>
  <c r="Z140" i="20" s="1"/>
  <c r="H140" i="20"/>
  <c r="T140" i="20"/>
  <c r="J140" i="20"/>
  <c r="Q140" i="20" s="1"/>
  <c r="E140" i="20"/>
  <c r="K140" i="20"/>
  <c r="G140" i="20"/>
  <c r="L140" i="20"/>
  <c r="D140" i="20"/>
  <c r="S140" i="20"/>
  <c r="O141" i="20"/>
  <c r="Y141" i="20" s="1"/>
  <c r="H141" i="20"/>
  <c r="P141" i="20"/>
  <c r="Z141" i="20" s="1"/>
  <c r="K141" i="20"/>
  <c r="N141" i="20"/>
  <c r="X141" i="20" s="1"/>
  <c r="M141" i="20"/>
  <c r="W141" i="20" s="1"/>
  <c r="J141" i="20"/>
  <c r="Q141" i="20" s="1"/>
  <c r="G141" i="20"/>
  <c r="S141" i="20"/>
  <c r="U141" i="20"/>
  <c r="L141" i="20"/>
  <c r="T141" i="20"/>
  <c r="I141" i="20"/>
  <c r="C141" i="20"/>
  <c r="E141" i="20"/>
  <c r="D141" i="20"/>
  <c r="G142" i="20"/>
  <c r="S142" i="20"/>
  <c r="H142" i="20"/>
  <c r="K142" i="20"/>
  <c r="O142" i="20"/>
  <c r="Y142" i="20" s="1"/>
  <c r="P142" i="20"/>
  <c r="Z142" i="20" s="1"/>
  <c r="I142" i="20"/>
  <c r="J142" i="20"/>
  <c r="Q142" i="20" s="1"/>
  <c r="U142" i="20"/>
  <c r="N142" i="20"/>
  <c r="X142" i="20" s="1"/>
  <c r="D142" i="20"/>
  <c r="T142" i="20"/>
  <c r="M142" i="20"/>
  <c r="W142" i="20" s="1"/>
  <c r="C142" i="20"/>
  <c r="L142" i="20"/>
  <c r="E142" i="20"/>
  <c r="S143" i="20"/>
  <c r="H143" i="20"/>
  <c r="N143" i="20"/>
  <c r="X143" i="20" s="1"/>
  <c r="J143" i="20"/>
  <c r="Q143" i="20" s="1"/>
  <c r="M143" i="20"/>
  <c r="W143" i="20" s="1"/>
  <c r="T143" i="20"/>
  <c r="C143" i="20"/>
  <c r="D143" i="20"/>
  <c r="U143" i="20"/>
  <c r="L143" i="20"/>
  <c r="G143" i="20"/>
  <c r="K143" i="20"/>
  <c r="I143" i="20"/>
  <c r="E143" i="20"/>
  <c r="P143" i="20"/>
  <c r="Z143" i="20" s="1"/>
  <c r="O143" i="20"/>
  <c r="Y143" i="20" s="1"/>
  <c r="T144" i="20"/>
  <c r="M144" i="20"/>
  <c r="W144" i="20" s="1"/>
  <c r="K144" i="20"/>
  <c r="C144" i="20"/>
  <c r="D144" i="20"/>
  <c r="J144" i="20"/>
  <c r="Q144" i="20" s="1"/>
  <c r="U144" i="20"/>
  <c r="E144" i="20"/>
  <c r="P144" i="20"/>
  <c r="Z144" i="20" s="1"/>
  <c r="I144" i="20"/>
  <c r="N144" i="20"/>
  <c r="X144" i="20" s="1"/>
  <c r="G144" i="20"/>
  <c r="O144" i="20"/>
  <c r="Y144" i="20" s="1"/>
  <c r="S144" i="20"/>
  <c r="L144" i="20"/>
  <c r="H144" i="20"/>
  <c r="T145" i="20"/>
  <c r="M145" i="20"/>
  <c r="W145" i="20" s="1"/>
  <c r="K145" i="20"/>
  <c r="H145" i="20"/>
  <c r="I145" i="20"/>
  <c r="J145" i="20"/>
  <c r="Q145" i="20" s="1"/>
  <c r="U145" i="20"/>
  <c r="G145" i="20"/>
  <c r="P145" i="20"/>
  <c r="Z145" i="20" s="1"/>
  <c r="N145" i="20"/>
  <c r="X145" i="20" s="1"/>
  <c r="C145" i="20"/>
  <c r="O145" i="20"/>
  <c r="Y145" i="20" s="1"/>
  <c r="L145" i="20"/>
  <c r="D145" i="20"/>
  <c r="S145" i="20"/>
  <c r="E145" i="20"/>
  <c r="L146" i="20"/>
  <c r="N146" i="20"/>
  <c r="X146" i="20" s="1"/>
  <c r="J146" i="20"/>
  <c r="Q146" i="20" s="1"/>
  <c r="E146" i="20"/>
  <c r="C146" i="20"/>
  <c r="O146" i="20"/>
  <c r="Y146" i="20" s="1"/>
  <c r="K146" i="20"/>
  <c r="U146" i="20"/>
  <c r="T146" i="20"/>
  <c r="I146" i="20"/>
  <c r="S146" i="20"/>
  <c r="G146" i="20"/>
  <c r="P146" i="20"/>
  <c r="Z146" i="20" s="1"/>
  <c r="M146" i="20"/>
  <c r="W146" i="20" s="1"/>
  <c r="D146" i="20"/>
  <c r="H146" i="20"/>
  <c r="C147" i="20"/>
  <c r="T147" i="20"/>
  <c r="O147" i="20"/>
  <c r="Y147" i="20" s="1"/>
  <c r="D147" i="20"/>
  <c r="G147" i="20"/>
  <c r="P147" i="20"/>
  <c r="Z147" i="20" s="1"/>
  <c r="L147" i="20"/>
  <c r="K147" i="20"/>
  <c r="S147" i="20"/>
  <c r="H147" i="20"/>
  <c r="M147" i="20"/>
  <c r="W147" i="20" s="1"/>
  <c r="J147" i="20"/>
  <c r="Q147" i="20" s="1"/>
  <c r="N147" i="20"/>
  <c r="X147" i="20" s="1"/>
  <c r="U147" i="20"/>
  <c r="I147" i="20"/>
  <c r="E147" i="20"/>
  <c r="C148" i="20"/>
  <c r="U148" i="20"/>
  <c r="T148" i="20"/>
  <c r="S148" i="20"/>
  <c r="P148" i="20"/>
  <c r="Z148" i="20" s="1"/>
  <c r="G148" i="20"/>
  <c r="O148" i="20"/>
  <c r="Y148" i="20" s="1"/>
  <c r="I148" i="20"/>
  <c r="N148" i="20"/>
  <c r="X148" i="20" s="1"/>
  <c r="M148" i="20"/>
  <c r="W148" i="20" s="1"/>
  <c r="L148" i="20"/>
  <c r="K148" i="20"/>
  <c r="H148" i="20"/>
  <c r="J148" i="20"/>
  <c r="Q148" i="20" s="1"/>
  <c r="E148" i="20"/>
  <c r="D148" i="20"/>
  <c r="M149" i="20"/>
  <c r="W149" i="20" s="1"/>
  <c r="G149" i="20"/>
  <c r="D149" i="20"/>
  <c r="T149" i="20"/>
  <c r="J149" i="20"/>
  <c r="Q149" i="20" s="1"/>
  <c r="C149" i="20"/>
  <c r="K149" i="20"/>
  <c r="P149" i="20"/>
  <c r="Z149" i="20" s="1"/>
  <c r="U149" i="20"/>
  <c r="I149" i="20"/>
  <c r="N149" i="20"/>
  <c r="X149" i="20" s="1"/>
  <c r="O149" i="20"/>
  <c r="Y149" i="20" s="1"/>
  <c r="S149" i="20"/>
  <c r="L149" i="20"/>
  <c r="E149" i="20"/>
  <c r="H149" i="20"/>
  <c r="G150" i="20"/>
  <c r="J150" i="20"/>
  <c r="Q150" i="20" s="1"/>
  <c r="O150" i="20"/>
  <c r="Y150" i="20" s="1"/>
  <c r="S150" i="20"/>
  <c r="D150" i="20"/>
  <c r="M150" i="20"/>
  <c r="W150" i="20" s="1"/>
  <c r="P150" i="20"/>
  <c r="Z150" i="20" s="1"/>
  <c r="C150" i="20"/>
  <c r="T150" i="20"/>
  <c r="N150" i="20"/>
  <c r="X150" i="20" s="1"/>
  <c r="U150" i="20"/>
  <c r="K150" i="20"/>
  <c r="I150" i="20"/>
  <c r="L150" i="20"/>
  <c r="E150" i="20"/>
  <c r="H150" i="20"/>
  <c r="G151" i="20"/>
  <c r="J151" i="20"/>
  <c r="Q151" i="20" s="1"/>
  <c r="U151" i="20"/>
  <c r="N151" i="20"/>
  <c r="X151" i="20" s="1"/>
  <c r="L151" i="20"/>
  <c r="M151" i="20"/>
  <c r="W151" i="20" s="1"/>
  <c r="T151" i="20"/>
  <c r="P151" i="20"/>
  <c r="Z151" i="20" s="1"/>
  <c r="D151" i="20"/>
  <c r="O151" i="20"/>
  <c r="Y151" i="20" s="1"/>
  <c r="S151" i="20"/>
  <c r="I151" i="20"/>
  <c r="C151" i="20"/>
  <c r="E151" i="20"/>
  <c r="H151" i="20"/>
  <c r="K151" i="20"/>
  <c r="L152" i="20"/>
  <c r="M152" i="20"/>
  <c r="W152" i="20" s="1"/>
  <c r="K152" i="20"/>
  <c r="D152" i="20"/>
  <c r="P152" i="20"/>
  <c r="Z152" i="20" s="1"/>
  <c r="C152" i="20"/>
  <c r="T152" i="20"/>
  <c r="N152" i="20"/>
  <c r="X152" i="20" s="1"/>
  <c r="E152" i="20"/>
  <c r="I152" i="20"/>
  <c r="H152" i="20"/>
  <c r="U152" i="20"/>
  <c r="G152" i="20"/>
  <c r="J152" i="20"/>
  <c r="Q152" i="20" s="1"/>
  <c r="S152" i="20"/>
  <c r="O152" i="20"/>
  <c r="Y152" i="20" s="1"/>
  <c r="D153" i="20"/>
  <c r="I153" i="20"/>
  <c r="J153" i="20"/>
  <c r="Q153" i="20" s="1"/>
  <c r="G153" i="20"/>
  <c r="U153" i="20"/>
  <c r="H153" i="20"/>
  <c r="N153" i="20"/>
  <c r="X153" i="20" s="1"/>
  <c r="K153" i="20"/>
  <c r="C153" i="20"/>
  <c r="O153" i="20"/>
  <c r="Y153" i="20" s="1"/>
  <c r="M153" i="20"/>
  <c r="W153" i="20" s="1"/>
  <c r="T153" i="20"/>
  <c r="L153" i="20"/>
  <c r="S153" i="20"/>
  <c r="E153" i="20"/>
  <c r="P153" i="20"/>
  <c r="Z153" i="20" s="1"/>
  <c r="T154" i="20"/>
  <c r="D154" i="20"/>
  <c r="C154" i="20"/>
  <c r="J154" i="20"/>
  <c r="Q154" i="20" s="1"/>
  <c r="M154" i="20"/>
  <c r="W154" i="20" s="1"/>
  <c r="H154" i="20"/>
  <c r="O154" i="20"/>
  <c r="Y154" i="20" s="1"/>
  <c r="S154" i="20"/>
  <c r="N154" i="20"/>
  <c r="X154" i="20" s="1"/>
  <c r="L154" i="20"/>
  <c r="E154" i="20"/>
  <c r="K154" i="20"/>
  <c r="U154" i="20"/>
  <c r="G154" i="20"/>
  <c r="I154" i="20"/>
  <c r="P154" i="20"/>
  <c r="Z154" i="20" s="1"/>
  <c r="J155" i="20"/>
  <c r="Q155" i="20" s="1"/>
  <c r="I155" i="20"/>
  <c r="L155" i="20"/>
  <c r="H155" i="20"/>
  <c r="K155" i="20"/>
  <c r="M155" i="20"/>
  <c r="W155" i="20" s="1"/>
  <c r="E155" i="20"/>
  <c r="D155" i="20"/>
  <c r="U155" i="20"/>
  <c r="P155" i="20"/>
  <c r="Z155" i="20" s="1"/>
  <c r="S155" i="20"/>
  <c r="G155" i="20"/>
  <c r="O155" i="20"/>
  <c r="Y155" i="20" s="1"/>
  <c r="N155" i="20"/>
  <c r="X155" i="20" s="1"/>
  <c r="C155" i="20"/>
  <c r="T155" i="20"/>
  <c r="N156" i="20"/>
  <c r="X156" i="20" s="1"/>
  <c r="J156" i="20"/>
  <c r="Q156" i="20" s="1"/>
  <c r="U156" i="20"/>
  <c r="M156" i="20"/>
  <c r="W156" i="20" s="1"/>
  <c r="D156" i="20"/>
  <c r="C156" i="20"/>
  <c r="S156" i="20"/>
  <c r="P156" i="20"/>
  <c r="Z156" i="20" s="1"/>
  <c r="H156" i="20"/>
  <c r="L156" i="20"/>
  <c r="G156" i="20"/>
  <c r="K156" i="20"/>
  <c r="O156" i="20"/>
  <c r="Y156" i="20" s="1"/>
  <c r="E156" i="20"/>
  <c r="I156" i="20"/>
  <c r="T156" i="20"/>
  <c r="S157" i="20"/>
  <c r="C157" i="20"/>
  <c r="U157" i="20"/>
  <c r="L157" i="20"/>
  <c r="I157" i="20"/>
  <c r="K157" i="20"/>
  <c r="M157" i="20"/>
  <c r="W157" i="20" s="1"/>
  <c r="E157" i="20"/>
  <c r="J157" i="20"/>
  <c r="Q157" i="20" s="1"/>
  <c r="N157" i="20"/>
  <c r="X157" i="20" s="1"/>
  <c r="T157" i="20"/>
  <c r="G157" i="20"/>
  <c r="O157" i="20"/>
  <c r="Y157" i="20" s="1"/>
  <c r="H157" i="20"/>
  <c r="D157" i="20"/>
  <c r="P157" i="20"/>
  <c r="Z157" i="20" s="1"/>
  <c r="L158" i="20"/>
  <c r="T158" i="20"/>
  <c r="N158" i="20"/>
  <c r="X158" i="20" s="1"/>
  <c r="M158" i="20"/>
  <c r="W158" i="20" s="1"/>
  <c r="I158" i="20"/>
  <c r="S158" i="20"/>
  <c r="D158" i="20"/>
  <c r="G158" i="20"/>
  <c r="H158" i="20"/>
  <c r="O158" i="20"/>
  <c r="Y158" i="20" s="1"/>
  <c r="E158" i="20"/>
  <c r="U158" i="20"/>
  <c r="P158" i="20"/>
  <c r="Z158" i="20" s="1"/>
  <c r="C158" i="20"/>
  <c r="J158" i="20"/>
  <c r="Q158" i="20" s="1"/>
  <c r="K158" i="20"/>
  <c r="J159" i="20"/>
  <c r="Q159" i="20" s="1"/>
  <c r="S159" i="20"/>
  <c r="D159" i="20"/>
  <c r="K159" i="20"/>
  <c r="U159" i="20"/>
  <c r="C159" i="20"/>
  <c r="P159" i="20"/>
  <c r="Z159" i="20" s="1"/>
  <c r="O159" i="20"/>
  <c r="Y159" i="20" s="1"/>
  <c r="I159" i="20"/>
  <c r="E159" i="20"/>
  <c r="T159" i="20"/>
  <c r="G159" i="20"/>
  <c r="H159" i="20"/>
  <c r="N159" i="20"/>
  <c r="X159" i="20" s="1"/>
  <c r="M159" i="20"/>
  <c r="W159" i="20" s="1"/>
  <c r="L159" i="20"/>
  <c r="M160" i="20"/>
  <c r="W160" i="20" s="1"/>
  <c r="E160" i="20"/>
  <c r="K160" i="20"/>
  <c r="S160" i="20"/>
  <c r="N160" i="20"/>
  <c r="X160" i="20" s="1"/>
  <c r="H160" i="20"/>
  <c r="I160" i="20"/>
  <c r="J160" i="20"/>
  <c r="Q160" i="20" s="1"/>
  <c r="L160" i="20"/>
  <c r="T160" i="20"/>
  <c r="U160" i="20"/>
  <c r="D160" i="20"/>
  <c r="C160" i="20"/>
  <c r="P160" i="20"/>
  <c r="Z160" i="20" s="1"/>
  <c r="G160" i="20"/>
  <c r="O160" i="20"/>
  <c r="Y160" i="20" s="1"/>
  <c r="K161" i="20"/>
  <c r="T161" i="20"/>
  <c r="P161" i="20"/>
  <c r="Z161" i="20" s="1"/>
  <c r="I161" i="20"/>
  <c r="L161" i="20"/>
  <c r="M161" i="20"/>
  <c r="W161" i="20" s="1"/>
  <c r="D161" i="20"/>
  <c r="G161" i="20"/>
  <c r="O161" i="20"/>
  <c r="Y161" i="20" s="1"/>
  <c r="E161" i="20"/>
  <c r="U161" i="20"/>
  <c r="J161" i="20"/>
  <c r="Q161" i="20" s="1"/>
  <c r="N161" i="20"/>
  <c r="X161" i="20" s="1"/>
  <c r="H161" i="20"/>
  <c r="S161" i="20"/>
  <c r="C161" i="20"/>
  <c r="I162" i="20"/>
  <c r="M162" i="20"/>
  <c r="W162" i="20" s="1"/>
  <c r="U162" i="20"/>
  <c r="H162" i="20"/>
  <c r="C162" i="20"/>
  <c r="J162" i="20"/>
  <c r="Q162" i="20" s="1"/>
  <c r="N162" i="20"/>
  <c r="X162" i="20" s="1"/>
  <c r="O162" i="20"/>
  <c r="Y162" i="20" s="1"/>
  <c r="G162" i="20"/>
  <c r="T162" i="20"/>
  <c r="D162" i="20"/>
  <c r="L162" i="20"/>
  <c r="P162" i="20"/>
  <c r="Z162" i="20" s="1"/>
  <c r="K162" i="20"/>
  <c r="S162" i="20"/>
  <c r="E162" i="20"/>
  <c r="I163" i="20"/>
  <c r="U163" i="20"/>
  <c r="J163" i="20"/>
  <c r="Q163" i="20" s="1"/>
  <c r="K163" i="20"/>
  <c r="S163" i="20"/>
  <c r="H163" i="20"/>
  <c r="O163" i="20"/>
  <c r="Y163" i="20" s="1"/>
  <c r="L163" i="20"/>
  <c r="P163" i="20"/>
  <c r="Z163" i="20" s="1"/>
  <c r="G163" i="20"/>
  <c r="D163" i="20"/>
  <c r="T163" i="20"/>
  <c r="N163" i="20"/>
  <c r="X163" i="20" s="1"/>
  <c r="M163" i="20"/>
  <c r="W163" i="20" s="1"/>
  <c r="E163" i="20"/>
  <c r="C163" i="20"/>
  <c r="H164" i="20"/>
  <c r="G164" i="20"/>
  <c r="M164" i="20"/>
  <c r="W164" i="20" s="1"/>
  <c r="S164" i="20"/>
  <c r="N164" i="20"/>
  <c r="X164" i="20" s="1"/>
  <c r="P164" i="20"/>
  <c r="Z164" i="20" s="1"/>
  <c r="O164" i="20"/>
  <c r="Y164" i="20" s="1"/>
  <c r="U164" i="20"/>
  <c r="C164" i="20"/>
  <c r="L164" i="20"/>
  <c r="D164" i="20"/>
  <c r="J164" i="20"/>
  <c r="Q164" i="20" s="1"/>
  <c r="K164" i="20"/>
  <c r="I164" i="20"/>
  <c r="E164" i="20"/>
  <c r="T164" i="20"/>
  <c r="I165" i="20"/>
  <c r="J165" i="20"/>
  <c r="Q165" i="20" s="1"/>
  <c r="L165" i="20"/>
  <c r="T165" i="20"/>
  <c r="E165" i="20"/>
  <c r="G165" i="20"/>
  <c r="C165" i="20"/>
  <c r="U165" i="20"/>
  <c r="D165" i="20"/>
  <c r="P165" i="20"/>
  <c r="Z165" i="20" s="1"/>
  <c r="S165" i="20"/>
  <c r="H165" i="20"/>
  <c r="N165" i="20"/>
  <c r="X165" i="20" s="1"/>
  <c r="M165" i="20"/>
  <c r="W165" i="20" s="1"/>
  <c r="O165" i="20"/>
  <c r="Y165" i="20" s="1"/>
  <c r="K165" i="20"/>
  <c r="M166" i="20"/>
  <c r="W166" i="20" s="1"/>
  <c r="D166" i="20"/>
  <c r="C166" i="20"/>
  <c r="N166" i="20"/>
  <c r="X166" i="20" s="1"/>
  <c r="E166" i="20"/>
  <c r="J166" i="20"/>
  <c r="Q166" i="20" s="1"/>
  <c r="H166" i="20"/>
  <c r="S166" i="20"/>
  <c r="T166" i="20"/>
  <c r="I166" i="20"/>
  <c r="O166" i="20"/>
  <c r="Y166" i="20" s="1"/>
  <c r="K166" i="20"/>
  <c r="G166" i="20"/>
  <c r="L166" i="20"/>
  <c r="P166" i="20"/>
  <c r="Z166" i="20" s="1"/>
  <c r="U166" i="20"/>
  <c r="P167" i="20"/>
  <c r="Z167" i="20" s="1"/>
  <c r="U167" i="20"/>
  <c r="J167" i="20"/>
  <c r="Q167" i="20" s="1"/>
  <c r="C167" i="20"/>
  <c r="H167" i="20"/>
  <c r="O167" i="20"/>
  <c r="Y167" i="20" s="1"/>
  <c r="K167" i="20"/>
  <c r="L167" i="20"/>
  <c r="I167" i="20"/>
  <c r="M167" i="20"/>
  <c r="W167" i="20" s="1"/>
  <c r="G167" i="20"/>
  <c r="T167" i="20"/>
  <c r="D167" i="20"/>
  <c r="N167" i="20"/>
  <c r="X167" i="20" s="1"/>
  <c r="E167" i="20"/>
  <c r="S167" i="20"/>
  <c r="M168" i="20"/>
  <c r="W168" i="20" s="1"/>
  <c r="G168" i="20"/>
  <c r="C168" i="20"/>
  <c r="L168" i="20"/>
  <c r="K168" i="20"/>
  <c r="T168" i="20"/>
  <c r="J168" i="20"/>
  <c r="Q168" i="20" s="1"/>
  <c r="U168" i="20"/>
  <c r="H168" i="20"/>
  <c r="O168" i="20"/>
  <c r="Y168" i="20" s="1"/>
  <c r="P168" i="20"/>
  <c r="Z168" i="20" s="1"/>
  <c r="D168" i="20"/>
  <c r="I168" i="20"/>
  <c r="E168" i="20"/>
  <c r="N168" i="20"/>
  <c r="X168" i="20" s="1"/>
  <c r="S168" i="20"/>
  <c r="K169" i="20"/>
  <c r="D169" i="20"/>
  <c r="J169" i="20"/>
  <c r="Q169" i="20" s="1"/>
  <c r="C169" i="20"/>
  <c r="P169" i="20"/>
  <c r="Z169" i="20" s="1"/>
  <c r="N169" i="20"/>
  <c r="X169" i="20" s="1"/>
  <c r="U169" i="20"/>
  <c r="G169" i="20"/>
  <c r="O169" i="20"/>
  <c r="Y169" i="20" s="1"/>
  <c r="I169" i="20"/>
  <c r="L169" i="20"/>
  <c r="M169" i="20"/>
  <c r="W169" i="20" s="1"/>
  <c r="H169" i="20"/>
  <c r="S169" i="20"/>
  <c r="T169" i="20"/>
  <c r="E169" i="20"/>
  <c r="H170" i="20"/>
  <c r="D170" i="20"/>
  <c r="I170" i="20"/>
  <c r="J170" i="20"/>
  <c r="Q170" i="20" s="1"/>
  <c r="E170" i="20"/>
  <c r="M170" i="20"/>
  <c r="W170" i="20" s="1"/>
  <c r="T170" i="20"/>
  <c r="N170" i="20"/>
  <c r="X170" i="20" s="1"/>
  <c r="G170" i="20"/>
  <c r="O170" i="20"/>
  <c r="Y170" i="20" s="1"/>
  <c r="U170" i="20"/>
  <c r="S170" i="20"/>
  <c r="L170" i="20"/>
  <c r="C170" i="20"/>
  <c r="P170" i="20"/>
  <c r="Z170" i="20" s="1"/>
  <c r="K170" i="20"/>
  <c r="N171" i="20"/>
  <c r="X171" i="20" s="1"/>
  <c r="K171" i="20"/>
  <c r="L171" i="20"/>
  <c r="M171" i="20"/>
  <c r="W171" i="20" s="1"/>
  <c r="H171" i="20"/>
  <c r="E171" i="20"/>
  <c r="T171" i="20"/>
  <c r="G171" i="20"/>
  <c r="U171" i="20"/>
  <c r="J171" i="20"/>
  <c r="Q171" i="20" s="1"/>
  <c r="S171" i="20"/>
  <c r="P171" i="20"/>
  <c r="Z171" i="20" s="1"/>
  <c r="C171" i="20"/>
  <c r="O171" i="20"/>
  <c r="Y171" i="20" s="1"/>
  <c r="I171" i="20"/>
  <c r="D171" i="20"/>
  <c r="H172" i="20"/>
  <c r="D172" i="20"/>
  <c r="E172" i="20"/>
  <c r="I172" i="20"/>
  <c r="L172" i="20"/>
  <c r="O172" i="20"/>
  <c r="Y172" i="20" s="1"/>
  <c r="G172" i="20"/>
  <c r="T172" i="20"/>
  <c r="U172" i="20"/>
  <c r="N172" i="20"/>
  <c r="X172" i="20" s="1"/>
  <c r="K172" i="20"/>
  <c r="S172" i="20"/>
  <c r="M172" i="20"/>
  <c r="W172" i="20" s="1"/>
  <c r="P172" i="20"/>
  <c r="Z172" i="20" s="1"/>
  <c r="C172" i="20"/>
  <c r="J172" i="20"/>
  <c r="Q172" i="20" s="1"/>
  <c r="I173" i="20"/>
  <c r="H173" i="20"/>
  <c r="D173" i="20"/>
  <c r="P173" i="20"/>
  <c r="Z173" i="20" s="1"/>
  <c r="G173" i="20"/>
  <c r="L173" i="20"/>
  <c r="T173" i="20"/>
  <c r="U173" i="20"/>
  <c r="E173" i="20"/>
  <c r="N173" i="20"/>
  <c r="X173" i="20" s="1"/>
  <c r="J173" i="20"/>
  <c r="Q173" i="20" s="1"/>
  <c r="K173" i="20"/>
  <c r="S173" i="20"/>
  <c r="O173" i="20"/>
  <c r="Y173" i="20" s="1"/>
  <c r="C173" i="20"/>
  <c r="M173" i="20"/>
  <c r="W173" i="20" s="1"/>
  <c r="K174" i="20"/>
  <c r="T174" i="20"/>
  <c r="H174" i="20"/>
  <c r="G174" i="20"/>
  <c r="I174" i="20"/>
  <c r="E174" i="20"/>
  <c r="P174" i="20"/>
  <c r="Z174" i="20" s="1"/>
  <c r="J174" i="20"/>
  <c r="Q174" i="20" s="1"/>
  <c r="M174" i="20"/>
  <c r="W174" i="20" s="1"/>
  <c r="S174" i="20"/>
  <c r="D174" i="20"/>
  <c r="L174" i="20"/>
  <c r="N174" i="20"/>
  <c r="X174" i="20" s="1"/>
  <c r="C174" i="20"/>
  <c r="U174" i="20"/>
  <c r="O174" i="20"/>
  <c r="Y174" i="20" s="1"/>
  <c r="L175" i="20"/>
  <c r="N175" i="20"/>
  <c r="X175" i="20" s="1"/>
  <c r="I175" i="20"/>
  <c r="O175" i="20"/>
  <c r="Y175" i="20" s="1"/>
  <c r="J175" i="20"/>
  <c r="Q175" i="20" s="1"/>
  <c r="H175" i="20"/>
  <c r="P175" i="20"/>
  <c r="Z175" i="20" s="1"/>
  <c r="S175" i="20"/>
  <c r="T175" i="20"/>
  <c r="E175" i="20"/>
  <c r="K175" i="20"/>
  <c r="U175" i="20"/>
  <c r="G175" i="20"/>
  <c r="M175" i="20"/>
  <c r="W175" i="20" s="1"/>
  <c r="C175" i="20"/>
  <c r="D175" i="20"/>
  <c r="O176" i="20"/>
  <c r="Y176" i="20" s="1"/>
  <c r="P176" i="20"/>
  <c r="Z176" i="20" s="1"/>
  <c r="H176" i="20"/>
  <c r="L176" i="20"/>
  <c r="K176" i="20"/>
  <c r="T176" i="20"/>
  <c r="E176" i="20"/>
  <c r="U176" i="20"/>
  <c r="N176" i="20"/>
  <c r="X176" i="20" s="1"/>
  <c r="I176" i="20"/>
  <c r="D176" i="20"/>
  <c r="M176" i="20"/>
  <c r="W176" i="20" s="1"/>
  <c r="C176" i="20"/>
  <c r="G176" i="20"/>
  <c r="J176" i="20"/>
  <c r="Q176" i="20" s="1"/>
  <c r="S176" i="20"/>
  <c r="P177" i="20"/>
  <c r="Z177" i="20" s="1"/>
  <c r="T177" i="20"/>
  <c r="E177" i="20"/>
  <c r="I177" i="20"/>
  <c r="U177" i="20"/>
  <c r="G177" i="20"/>
  <c r="D177" i="20"/>
  <c r="L177" i="20"/>
  <c r="K177" i="20"/>
  <c r="M177" i="20"/>
  <c r="W177" i="20" s="1"/>
  <c r="N177" i="20"/>
  <c r="X177" i="20" s="1"/>
  <c r="O177" i="20"/>
  <c r="Y177" i="20" s="1"/>
  <c r="J177" i="20"/>
  <c r="Q177" i="20" s="1"/>
  <c r="S177" i="20"/>
  <c r="H177" i="20"/>
  <c r="C177" i="20"/>
  <c r="G178" i="20"/>
  <c r="U178" i="20"/>
  <c r="N178" i="20"/>
  <c r="X178" i="20" s="1"/>
  <c r="K178" i="20"/>
  <c r="T178" i="20"/>
  <c r="E178" i="20"/>
  <c r="L178" i="20"/>
  <c r="D178" i="20"/>
  <c r="H178" i="20"/>
  <c r="M178" i="20"/>
  <c r="W178" i="20" s="1"/>
  <c r="I178" i="20"/>
  <c r="C178" i="20"/>
  <c r="O178" i="20"/>
  <c r="Y178" i="20" s="1"/>
  <c r="J178" i="20"/>
  <c r="Q178" i="20" s="1"/>
  <c r="P178" i="20"/>
  <c r="Z178" i="20" s="1"/>
  <c r="S178" i="20"/>
  <c r="S179" i="20"/>
  <c r="T179" i="20"/>
  <c r="E179" i="20"/>
  <c r="D179" i="20"/>
  <c r="U179" i="20"/>
  <c r="N179" i="20"/>
  <c r="X179" i="20" s="1"/>
  <c r="K179" i="20"/>
  <c r="L179" i="20"/>
  <c r="H179" i="20"/>
  <c r="G179" i="20"/>
  <c r="C179" i="20"/>
  <c r="P179" i="20"/>
  <c r="Z179" i="20" s="1"/>
  <c r="J179" i="20"/>
  <c r="Q179" i="20" s="1"/>
  <c r="O179" i="20"/>
  <c r="Y179" i="20" s="1"/>
  <c r="I179" i="20"/>
  <c r="M179" i="20"/>
  <c r="W179" i="20" s="1"/>
  <c r="T180" i="20"/>
  <c r="D180" i="20"/>
  <c r="O180" i="20"/>
  <c r="Y180" i="20" s="1"/>
  <c r="S180" i="20"/>
  <c r="K180" i="20"/>
  <c r="J180" i="20"/>
  <c r="Q180" i="20" s="1"/>
  <c r="I180" i="20"/>
  <c r="H180" i="20"/>
  <c r="L180" i="20"/>
  <c r="U180" i="20"/>
  <c r="G180" i="20"/>
  <c r="C180" i="20"/>
  <c r="N180" i="20"/>
  <c r="X180" i="20" s="1"/>
  <c r="P180" i="20"/>
  <c r="Z180" i="20" s="1"/>
  <c r="E180" i="20"/>
  <c r="M180" i="20"/>
  <c r="W180" i="20" s="1"/>
  <c r="I181" i="20"/>
  <c r="G181" i="20"/>
  <c r="D181" i="20"/>
  <c r="T181" i="20"/>
  <c r="U181" i="20"/>
  <c r="E181" i="20"/>
  <c r="S181" i="20"/>
  <c r="C181" i="20"/>
  <c r="J181" i="20"/>
  <c r="H181" i="20"/>
  <c r="C182" i="20"/>
  <c r="U182" i="20"/>
  <c r="T182" i="20"/>
  <c r="S182" i="20"/>
  <c r="P182" i="20"/>
  <c r="Z182" i="20" s="1"/>
  <c r="O182" i="20"/>
  <c r="Y182" i="20" s="1"/>
  <c r="N182" i="20"/>
  <c r="X182" i="20" s="1"/>
  <c r="M182" i="20"/>
  <c r="W182" i="20" s="1"/>
  <c r="L182" i="20"/>
  <c r="K182" i="20"/>
  <c r="J182" i="20"/>
  <c r="Q182" i="20" s="1"/>
  <c r="I182" i="20"/>
  <c r="H182" i="20"/>
  <c r="G182" i="20"/>
  <c r="E182" i="20"/>
  <c r="D182" i="20"/>
  <c r="P183" i="20"/>
  <c r="Z183" i="20" s="1"/>
  <c r="S183" i="20"/>
  <c r="T183" i="20"/>
  <c r="K183" i="20"/>
  <c r="U183" i="20"/>
  <c r="C183" i="20"/>
  <c r="O183" i="20"/>
  <c r="Y183" i="20" s="1"/>
  <c r="N183" i="20"/>
  <c r="X183" i="20" s="1"/>
  <c r="L183" i="20"/>
  <c r="E183" i="20"/>
  <c r="M183" i="20"/>
  <c r="W183" i="20" s="1"/>
  <c r="I183" i="20"/>
  <c r="J183" i="20"/>
  <c r="Q183" i="20" s="1"/>
  <c r="H183" i="20"/>
  <c r="G183" i="20"/>
  <c r="D183" i="20"/>
  <c r="M184" i="20"/>
  <c r="W184" i="20" s="1"/>
  <c r="U184" i="20"/>
  <c r="K184" i="20"/>
  <c r="J184" i="20"/>
  <c r="Q184" i="20" s="1"/>
  <c r="N184" i="20"/>
  <c r="X184" i="20" s="1"/>
  <c r="L184" i="20"/>
  <c r="C184" i="20"/>
  <c r="H184" i="20"/>
  <c r="G184" i="20"/>
  <c r="I184" i="20"/>
  <c r="O184" i="20"/>
  <c r="Y184" i="20" s="1"/>
  <c r="S184" i="20"/>
  <c r="E184" i="20"/>
  <c r="D184" i="20"/>
  <c r="T184" i="20"/>
  <c r="P184" i="20"/>
  <c r="Z184" i="20" s="1"/>
  <c r="J185" i="20"/>
  <c r="Q185" i="20" s="1"/>
  <c r="I185" i="20"/>
  <c r="K185" i="20"/>
  <c r="M185" i="20"/>
  <c r="W185" i="20" s="1"/>
  <c r="O185" i="20"/>
  <c r="Y185" i="20" s="1"/>
  <c r="G185" i="20"/>
  <c r="E185" i="20"/>
  <c r="N185" i="20"/>
  <c r="X185" i="20" s="1"/>
  <c r="L185" i="20"/>
  <c r="U185" i="20"/>
  <c r="D185" i="20"/>
  <c r="T185" i="20"/>
  <c r="H185" i="20"/>
  <c r="P185" i="20"/>
  <c r="Z185" i="20" s="1"/>
  <c r="S185" i="20"/>
  <c r="C185" i="20"/>
  <c r="U186" i="20"/>
  <c r="G186" i="20"/>
  <c r="C186" i="20"/>
  <c r="T186" i="20"/>
  <c r="D186" i="20"/>
  <c r="I186" i="20"/>
  <c r="S186" i="20"/>
  <c r="P186" i="20"/>
  <c r="Z186" i="20" s="1"/>
  <c r="L186" i="20"/>
  <c r="O186" i="20"/>
  <c r="Y186" i="20" s="1"/>
  <c r="N186" i="20"/>
  <c r="X186" i="20" s="1"/>
  <c r="E186" i="20"/>
  <c r="H186" i="20"/>
  <c r="J186" i="20"/>
  <c r="Q186" i="20" s="1"/>
  <c r="K186" i="20"/>
  <c r="M186" i="20"/>
  <c r="W186" i="20" s="1"/>
  <c r="P187" i="20"/>
  <c r="Z187" i="20" s="1"/>
  <c r="S187" i="20"/>
  <c r="D187" i="20"/>
  <c r="K187" i="20"/>
  <c r="H187" i="20"/>
  <c r="T187" i="20"/>
  <c r="E187" i="20"/>
  <c r="M187" i="20"/>
  <c r="W187" i="20" s="1"/>
  <c r="G187" i="20"/>
  <c r="N187" i="20"/>
  <c r="X187" i="20" s="1"/>
  <c r="I187" i="20"/>
  <c r="C187" i="20"/>
  <c r="J187" i="20"/>
  <c r="Q187" i="20" s="1"/>
  <c r="O187" i="20"/>
  <c r="Y187" i="20" s="1"/>
  <c r="L187" i="20"/>
  <c r="U187" i="20"/>
  <c r="S188" i="20"/>
  <c r="D188" i="20"/>
  <c r="O188" i="20"/>
  <c r="Y188" i="20" s="1"/>
  <c r="H188" i="20"/>
  <c r="E188" i="20"/>
  <c r="G188" i="20"/>
  <c r="J188" i="20"/>
  <c r="Q188" i="20" s="1"/>
  <c r="T188" i="20"/>
  <c r="I188" i="20"/>
  <c r="C188" i="20"/>
  <c r="P188" i="20"/>
  <c r="Z188" i="20" s="1"/>
  <c r="N188" i="20"/>
  <c r="X188" i="20" s="1"/>
  <c r="M188" i="20"/>
  <c r="W188" i="20" s="1"/>
  <c r="K188" i="20"/>
  <c r="U188" i="20"/>
  <c r="L188" i="20"/>
  <c r="C189" i="20"/>
  <c r="S189" i="20"/>
  <c r="I189" i="20"/>
  <c r="O189" i="20"/>
  <c r="Y189" i="20" s="1"/>
  <c r="E189" i="20"/>
  <c r="J189" i="20"/>
  <c r="Q189" i="20" s="1"/>
  <c r="K189" i="20"/>
  <c r="H189" i="20"/>
  <c r="G189" i="20"/>
  <c r="N189" i="20"/>
  <c r="X189" i="20" s="1"/>
  <c r="D189" i="20"/>
  <c r="U189" i="20"/>
  <c r="T189" i="20"/>
  <c r="L189" i="20"/>
  <c r="M189" i="20"/>
  <c r="W189" i="20" s="1"/>
  <c r="P189" i="20"/>
  <c r="Z189" i="20" s="1"/>
  <c r="S190" i="20"/>
  <c r="T190" i="20"/>
  <c r="G190" i="20"/>
  <c r="C190" i="20"/>
  <c r="D190" i="20"/>
  <c r="E190" i="20"/>
  <c r="I190" i="20"/>
  <c r="J190" i="20"/>
  <c r="Q190" i="20" s="1"/>
  <c r="K190" i="20"/>
  <c r="L190" i="20"/>
  <c r="U190" i="20"/>
  <c r="M190" i="20"/>
  <c r="W190" i="20" s="1"/>
  <c r="N190" i="20"/>
  <c r="X190" i="20" s="1"/>
  <c r="H190" i="20"/>
  <c r="O190" i="20"/>
  <c r="Y190" i="20" s="1"/>
  <c r="P190" i="20"/>
  <c r="Z190" i="20" s="1"/>
  <c r="I191" i="20"/>
  <c r="D191" i="20"/>
  <c r="C191" i="20"/>
  <c r="P191" i="20"/>
  <c r="Z191" i="20" s="1"/>
  <c r="H191" i="20"/>
  <c r="N191" i="20"/>
  <c r="X191" i="20" s="1"/>
  <c r="L191" i="20"/>
  <c r="G191" i="20"/>
  <c r="K191" i="20"/>
  <c r="J191" i="20"/>
  <c r="Q191" i="20" s="1"/>
  <c r="S191" i="20"/>
  <c r="M191" i="20"/>
  <c r="W191" i="20" s="1"/>
  <c r="E191" i="20"/>
  <c r="U191" i="20"/>
  <c r="O191" i="20"/>
  <c r="Y191" i="20" s="1"/>
  <c r="T191" i="20"/>
  <c r="C192" i="20"/>
  <c r="D192" i="20"/>
  <c r="T192" i="20"/>
  <c r="N192" i="20"/>
  <c r="X192" i="20" s="1"/>
  <c r="M192" i="20"/>
  <c r="W192" i="20" s="1"/>
  <c r="K192" i="20"/>
  <c r="U192" i="20"/>
  <c r="J192" i="20"/>
  <c r="Q192" i="20" s="1"/>
  <c r="O192" i="20"/>
  <c r="Y192" i="20" s="1"/>
  <c r="G192" i="20"/>
  <c r="I192" i="20"/>
  <c r="P192" i="20"/>
  <c r="Z192" i="20" s="1"/>
  <c r="E192" i="20"/>
  <c r="S192" i="20"/>
  <c r="L192" i="20"/>
  <c r="H192" i="20"/>
  <c r="H193" i="20"/>
  <c r="E193" i="20"/>
  <c r="N193" i="20"/>
  <c r="X193" i="20" s="1"/>
  <c r="K193" i="20"/>
  <c r="J193" i="20"/>
  <c r="Q193" i="20" s="1"/>
  <c r="I193" i="20"/>
  <c r="G193" i="20"/>
  <c r="C193" i="20"/>
  <c r="U193" i="20"/>
  <c r="M193" i="20"/>
  <c r="W193" i="20" s="1"/>
  <c r="T193" i="20"/>
  <c r="S193" i="20"/>
  <c r="P193" i="20"/>
  <c r="Z193" i="20" s="1"/>
  <c r="O193" i="20"/>
  <c r="Y193" i="20" s="1"/>
  <c r="L193" i="20"/>
  <c r="D193" i="20"/>
  <c r="F68" i="20"/>
  <c r="L68" i="20"/>
  <c r="P68" i="20"/>
  <c r="Z68" i="20" s="1"/>
  <c r="S68" i="20"/>
  <c r="C68" i="20"/>
  <c r="E68" i="20"/>
  <c r="K68" i="20"/>
  <c r="N68" i="20"/>
  <c r="X68" i="20" s="1"/>
  <c r="H68" i="20"/>
  <c r="J68" i="20"/>
  <c r="Q68" i="20" s="1"/>
  <c r="U68" i="20"/>
  <c r="I68" i="20"/>
  <c r="G68" i="20"/>
  <c r="M68" i="20"/>
  <c r="W68" i="20" s="1"/>
  <c r="D68" i="20"/>
  <c r="T68" i="20"/>
  <c r="O68" i="20"/>
  <c r="Y68" i="20" s="1"/>
  <c r="C69" i="20"/>
  <c r="G69" i="20"/>
  <c r="N69" i="20"/>
  <c r="X69" i="20" s="1"/>
  <c r="F69" i="20"/>
  <c r="K69" i="20"/>
  <c r="J69" i="20"/>
  <c r="Q69" i="20" s="1"/>
  <c r="T69" i="20"/>
  <c r="U69" i="20"/>
  <c r="H69" i="20"/>
  <c r="P69" i="20"/>
  <c r="Z69" i="20" s="1"/>
  <c r="S69" i="20"/>
  <c r="L69" i="20"/>
  <c r="D69" i="20"/>
  <c r="I69" i="20"/>
  <c r="O69" i="20"/>
  <c r="Y69" i="20" s="1"/>
  <c r="E69" i="20"/>
  <c r="M69" i="20"/>
  <c r="W69" i="20" s="1"/>
  <c r="K70" i="20"/>
  <c r="S70" i="20"/>
  <c r="O70" i="20"/>
  <c r="Y70" i="20" s="1"/>
  <c r="H70" i="20"/>
  <c r="I70" i="20"/>
  <c r="T70" i="20"/>
  <c r="G70" i="20"/>
  <c r="L70" i="20"/>
  <c r="J70" i="20"/>
  <c r="Q70" i="20" s="1"/>
  <c r="C70" i="20"/>
  <c r="F70" i="20"/>
  <c r="U70" i="20"/>
  <c r="N70" i="20"/>
  <c r="X70" i="20" s="1"/>
  <c r="E70" i="20"/>
  <c r="P70" i="20"/>
  <c r="Z70" i="20" s="1"/>
  <c r="M70" i="20"/>
  <c r="W70" i="20" s="1"/>
  <c r="D70" i="20"/>
  <c r="T71" i="20"/>
  <c r="I71" i="20"/>
  <c r="O71" i="20"/>
  <c r="Y71" i="20" s="1"/>
  <c r="S71" i="20"/>
  <c r="J71" i="20"/>
  <c r="Q71" i="20" s="1"/>
  <c r="F71" i="20"/>
  <c r="U71" i="20"/>
  <c r="K71" i="20"/>
  <c r="L71" i="20"/>
  <c r="N71" i="20"/>
  <c r="X71" i="20" s="1"/>
  <c r="C71" i="20"/>
  <c r="G71" i="20"/>
  <c r="E71" i="20"/>
  <c r="M71" i="20"/>
  <c r="W71" i="20" s="1"/>
  <c r="D71" i="20"/>
  <c r="H71" i="20"/>
  <c r="P71" i="20"/>
  <c r="Z71" i="20" s="1"/>
  <c r="K72" i="20"/>
  <c r="H72" i="20"/>
  <c r="U72" i="20"/>
  <c r="P72" i="20"/>
  <c r="Z72" i="20" s="1"/>
  <c r="E72" i="20"/>
  <c r="S72" i="20"/>
  <c r="J72" i="20"/>
  <c r="Q72" i="20" s="1"/>
  <c r="N72" i="20"/>
  <c r="X72" i="20" s="1"/>
  <c r="T72" i="20"/>
  <c r="I72" i="20"/>
  <c r="G72" i="20"/>
  <c r="F72" i="20"/>
  <c r="M72" i="20"/>
  <c r="W72" i="20" s="1"/>
  <c r="D72" i="20"/>
  <c r="L72" i="20"/>
  <c r="C72" i="20"/>
  <c r="O72" i="20"/>
  <c r="Y72" i="20" s="1"/>
  <c r="H73" i="20"/>
  <c r="E73" i="20"/>
  <c r="M73" i="20"/>
  <c r="W73" i="20" s="1"/>
  <c r="T73" i="20"/>
  <c r="I73" i="20"/>
  <c r="F73" i="20"/>
  <c r="C73" i="20"/>
  <c r="S73" i="20"/>
  <c r="U73" i="20"/>
  <c r="O73" i="20"/>
  <c r="Y73" i="20" s="1"/>
  <c r="K73" i="20"/>
  <c r="L73" i="20"/>
  <c r="D73" i="20"/>
  <c r="G73" i="20"/>
  <c r="P73" i="20"/>
  <c r="Z73" i="20" s="1"/>
  <c r="N73" i="20"/>
  <c r="X73" i="20" s="1"/>
  <c r="J73" i="20"/>
  <c r="Q73" i="20" s="1"/>
  <c r="C74" i="20"/>
  <c r="U74" i="20"/>
  <c r="J74" i="20"/>
  <c r="Q74" i="20" s="1"/>
  <c r="E74" i="20"/>
  <c r="T74" i="20"/>
  <c r="O74" i="20"/>
  <c r="Y74" i="20" s="1"/>
  <c r="K74" i="20"/>
  <c r="L74" i="20"/>
  <c r="P74" i="20"/>
  <c r="Z74" i="20" s="1"/>
  <c r="F74" i="20"/>
  <c r="G74" i="20"/>
  <c r="I74" i="20"/>
  <c r="D74" i="20"/>
  <c r="N74" i="20"/>
  <c r="X74" i="20" s="1"/>
  <c r="M74" i="20"/>
  <c r="W74" i="20" s="1"/>
  <c r="S74" i="20"/>
  <c r="H74" i="20"/>
  <c r="F75" i="20"/>
  <c r="M75" i="20"/>
  <c r="W75" i="20" s="1"/>
  <c r="N75" i="20"/>
  <c r="X75" i="20" s="1"/>
  <c r="D75" i="20"/>
  <c r="U75" i="20"/>
  <c r="K75" i="20"/>
  <c r="E75" i="20"/>
  <c r="J75" i="20"/>
  <c r="Q75" i="20" s="1"/>
  <c r="H75" i="20"/>
  <c r="G75" i="20"/>
  <c r="T75" i="20"/>
  <c r="L75" i="20"/>
  <c r="C75" i="20"/>
  <c r="S75" i="20"/>
  <c r="P75" i="20"/>
  <c r="Z75" i="20" s="1"/>
  <c r="O75" i="20"/>
  <c r="Y75" i="20" s="1"/>
  <c r="I75" i="20"/>
  <c r="U76" i="20"/>
  <c r="K76" i="20"/>
  <c r="O76" i="20"/>
  <c r="Y76" i="20" s="1"/>
  <c r="G76" i="20"/>
  <c r="P76" i="20"/>
  <c r="Z76" i="20" s="1"/>
  <c r="S76" i="20"/>
  <c r="H76" i="20"/>
  <c r="F76" i="20"/>
  <c r="N76" i="20"/>
  <c r="X76" i="20" s="1"/>
  <c r="L76" i="20"/>
  <c r="T76" i="20"/>
  <c r="E76" i="20"/>
  <c r="I76" i="20"/>
  <c r="J76" i="20"/>
  <c r="Q76" i="20" s="1"/>
  <c r="C76" i="20"/>
  <c r="D76" i="20"/>
  <c r="M76" i="20"/>
  <c r="W76" i="20" s="1"/>
  <c r="I77" i="20"/>
  <c r="L77" i="20"/>
  <c r="G77" i="20"/>
  <c r="C77" i="20"/>
  <c r="T77" i="20"/>
  <c r="U77" i="20"/>
  <c r="F77" i="20"/>
  <c r="M77" i="20"/>
  <c r="W77" i="20" s="1"/>
  <c r="K77" i="20"/>
  <c r="E77" i="20"/>
  <c r="S77" i="20"/>
  <c r="N77" i="20"/>
  <c r="X77" i="20" s="1"/>
  <c r="H77" i="20"/>
  <c r="D77" i="20"/>
  <c r="J77" i="20"/>
  <c r="Q77" i="20" s="1"/>
  <c r="O77" i="20"/>
  <c r="Y77" i="20" s="1"/>
  <c r="P77" i="20"/>
  <c r="Z77" i="20" s="1"/>
  <c r="O78" i="20"/>
  <c r="Y78" i="20" s="1"/>
  <c r="S78" i="20"/>
  <c r="K78" i="20"/>
  <c r="I78" i="20"/>
  <c r="G78" i="20"/>
  <c r="H78" i="20"/>
  <c r="U78" i="20"/>
  <c r="L78" i="20"/>
  <c r="T78" i="20"/>
  <c r="M78" i="20"/>
  <c r="W78" i="20" s="1"/>
  <c r="C78" i="20"/>
  <c r="D78" i="20"/>
  <c r="P78" i="20"/>
  <c r="Z78" i="20" s="1"/>
  <c r="N78" i="20"/>
  <c r="X78" i="20" s="1"/>
  <c r="E78" i="20"/>
  <c r="J78" i="20"/>
  <c r="Q78" i="20" s="1"/>
  <c r="F78" i="20"/>
  <c r="I79" i="20"/>
  <c r="F79" i="20"/>
  <c r="G79" i="20"/>
  <c r="L79" i="20"/>
  <c r="H79" i="20"/>
  <c r="N79" i="20"/>
  <c r="X79" i="20" s="1"/>
  <c r="K79" i="20"/>
  <c r="S79" i="20"/>
  <c r="M79" i="20"/>
  <c r="W79" i="20" s="1"/>
  <c r="P79" i="20"/>
  <c r="Z79" i="20" s="1"/>
  <c r="D79" i="20"/>
  <c r="E79" i="20"/>
  <c r="J79" i="20"/>
  <c r="Q79" i="20" s="1"/>
  <c r="U79" i="20"/>
  <c r="T79" i="20"/>
  <c r="O79" i="20"/>
  <c r="Y79" i="20" s="1"/>
  <c r="C79" i="20"/>
  <c r="T80" i="20"/>
  <c r="D80" i="20"/>
  <c r="H80" i="20"/>
  <c r="J80" i="20"/>
  <c r="Q80" i="20" s="1"/>
  <c r="F80" i="20"/>
  <c r="E80" i="20"/>
  <c r="P80" i="20"/>
  <c r="Z80" i="20" s="1"/>
  <c r="M80" i="20"/>
  <c r="W80" i="20" s="1"/>
  <c r="G80" i="20"/>
  <c r="S80" i="20"/>
  <c r="U80" i="20"/>
  <c r="L80" i="20"/>
  <c r="I80" i="20"/>
  <c r="K80" i="20"/>
  <c r="N80" i="20"/>
  <c r="X80" i="20" s="1"/>
  <c r="C80" i="20"/>
  <c r="O80" i="20"/>
  <c r="Y80" i="20" s="1"/>
  <c r="M81" i="20"/>
  <c r="W81" i="20" s="1"/>
  <c r="I81" i="20"/>
  <c r="D81" i="20"/>
  <c r="G81" i="20"/>
  <c r="C81" i="20"/>
  <c r="F81" i="20"/>
  <c r="H81" i="20"/>
  <c r="U81" i="20"/>
  <c r="J81" i="20"/>
  <c r="Q81" i="20" s="1"/>
  <c r="L81" i="20"/>
  <c r="N81" i="20"/>
  <c r="X81" i="20" s="1"/>
  <c r="O81" i="20"/>
  <c r="Y81" i="20" s="1"/>
  <c r="K81" i="20"/>
  <c r="T81" i="20"/>
  <c r="S81" i="20"/>
  <c r="P81" i="20"/>
  <c r="Z81" i="20" s="1"/>
  <c r="E81" i="20"/>
  <c r="I82" i="20"/>
  <c r="H82" i="20"/>
  <c r="T82" i="20"/>
  <c r="L82" i="20"/>
  <c r="F82" i="20"/>
  <c r="G82" i="20"/>
  <c r="C82" i="20"/>
  <c r="D82" i="20"/>
  <c r="N82" i="20"/>
  <c r="X82" i="20" s="1"/>
  <c r="O82" i="20"/>
  <c r="Y82" i="20" s="1"/>
  <c r="K82" i="20"/>
  <c r="U82" i="20"/>
  <c r="E82" i="20"/>
  <c r="J82" i="20"/>
  <c r="Q82" i="20" s="1"/>
  <c r="M82" i="20"/>
  <c r="W82" i="20" s="1"/>
  <c r="S82" i="20"/>
  <c r="P82" i="20"/>
  <c r="Z82" i="20" s="1"/>
  <c r="L83" i="20"/>
  <c r="C83" i="20"/>
  <c r="O83" i="20"/>
  <c r="Y83" i="20" s="1"/>
  <c r="I83" i="20"/>
  <c r="U83" i="20"/>
  <c r="P83" i="20"/>
  <c r="Z83" i="20" s="1"/>
  <c r="T83" i="20"/>
  <c r="J83" i="20"/>
  <c r="Q83" i="20" s="1"/>
  <c r="K83" i="20"/>
  <c r="N83" i="20"/>
  <c r="X83" i="20" s="1"/>
  <c r="F83" i="20"/>
  <c r="M83" i="20"/>
  <c r="W83" i="20" s="1"/>
  <c r="E83" i="20"/>
  <c r="D83" i="20"/>
  <c r="G83" i="20"/>
  <c r="H83" i="20"/>
  <c r="S83" i="20"/>
  <c r="N84" i="20"/>
  <c r="X84" i="20" s="1"/>
  <c r="M84" i="20"/>
  <c r="W84" i="20" s="1"/>
  <c r="E84" i="20"/>
  <c r="I84" i="20"/>
  <c r="T84" i="20"/>
  <c r="D84" i="20"/>
  <c r="K84" i="20"/>
  <c r="O84" i="20"/>
  <c r="Y84" i="20" s="1"/>
  <c r="C84" i="20"/>
  <c r="J84" i="20"/>
  <c r="Q84" i="20" s="1"/>
  <c r="G84" i="20"/>
  <c r="U84" i="20"/>
  <c r="H84" i="20"/>
  <c r="S84" i="20"/>
  <c r="P84" i="20"/>
  <c r="Z84" i="20" s="1"/>
  <c r="L84" i="20"/>
  <c r="F84" i="20"/>
  <c r="F85" i="20"/>
  <c r="M85" i="20"/>
  <c r="W85" i="20" s="1"/>
  <c r="N85" i="20"/>
  <c r="X85" i="20" s="1"/>
  <c r="T85" i="20"/>
  <c r="I85" i="20"/>
  <c r="S85" i="20"/>
  <c r="H85" i="20"/>
  <c r="P85" i="20"/>
  <c r="Z85" i="20" s="1"/>
  <c r="O85" i="20"/>
  <c r="Y85" i="20" s="1"/>
  <c r="C85" i="20"/>
  <c r="L85" i="20"/>
  <c r="E85" i="20"/>
  <c r="D85" i="20"/>
  <c r="K85" i="20"/>
  <c r="J85" i="20"/>
  <c r="Q85" i="20" s="1"/>
  <c r="U85" i="20"/>
  <c r="G85" i="20"/>
  <c r="U86" i="20"/>
  <c r="T86" i="20"/>
  <c r="L86" i="20"/>
  <c r="D86" i="20"/>
  <c r="S86" i="20"/>
  <c r="C86" i="20"/>
  <c r="G86" i="20"/>
  <c r="M86" i="20"/>
  <c r="W86" i="20" s="1"/>
  <c r="H86" i="20"/>
  <c r="P86" i="20"/>
  <c r="Z86" i="20" s="1"/>
  <c r="K86" i="20"/>
  <c r="E86" i="20"/>
  <c r="I86" i="20"/>
  <c r="J86" i="20"/>
  <c r="Q86" i="20" s="1"/>
  <c r="O86" i="20"/>
  <c r="Y86" i="20" s="1"/>
  <c r="F86" i="20"/>
  <c r="N86" i="20"/>
  <c r="X86" i="20" s="1"/>
  <c r="T87" i="20"/>
  <c r="N87" i="20"/>
  <c r="X87" i="20" s="1"/>
  <c r="C87" i="20"/>
  <c r="H87" i="20"/>
  <c r="F87" i="20"/>
  <c r="K87" i="20"/>
  <c r="E87" i="20"/>
  <c r="O87" i="20"/>
  <c r="Y87" i="20" s="1"/>
  <c r="D87" i="20"/>
  <c r="P87" i="20"/>
  <c r="Z87" i="20" s="1"/>
  <c r="M87" i="20"/>
  <c r="W87" i="20" s="1"/>
  <c r="S87" i="20"/>
  <c r="L87" i="20"/>
  <c r="J87" i="20"/>
  <c r="Q87" i="20" s="1"/>
  <c r="U87" i="20"/>
  <c r="G87" i="20"/>
  <c r="I87" i="20"/>
  <c r="T88" i="20"/>
  <c r="U88" i="20"/>
  <c r="P88" i="20"/>
  <c r="Z88" i="20" s="1"/>
  <c r="M88" i="20"/>
  <c r="W88" i="20" s="1"/>
  <c r="G88" i="20"/>
  <c r="S88" i="20"/>
  <c r="C88" i="20"/>
  <c r="L88" i="20"/>
  <c r="D88" i="20"/>
  <c r="N88" i="20"/>
  <c r="X88" i="20" s="1"/>
  <c r="F88" i="20"/>
  <c r="K88" i="20"/>
  <c r="I88" i="20"/>
  <c r="H88" i="20"/>
  <c r="O88" i="20"/>
  <c r="Y88" i="20" s="1"/>
  <c r="E88" i="20"/>
  <c r="J88" i="20"/>
  <c r="Q88" i="20" s="1"/>
  <c r="T89" i="20"/>
  <c r="J89" i="20"/>
  <c r="Q89" i="20" s="1"/>
  <c r="G89" i="20"/>
  <c r="U89" i="20"/>
  <c r="K89" i="20"/>
  <c r="L89" i="20"/>
  <c r="N89" i="20"/>
  <c r="X89" i="20" s="1"/>
  <c r="H89" i="20"/>
  <c r="I89" i="20"/>
  <c r="C89" i="20"/>
  <c r="P89" i="20"/>
  <c r="Z89" i="20" s="1"/>
  <c r="F89" i="20"/>
  <c r="M89" i="20"/>
  <c r="W89" i="20" s="1"/>
  <c r="D89" i="20"/>
  <c r="O89" i="20"/>
  <c r="Y89" i="20" s="1"/>
  <c r="E89" i="20"/>
  <c r="S89" i="20"/>
  <c r="T90" i="20"/>
  <c r="H90" i="20"/>
  <c r="F90" i="20"/>
  <c r="M90" i="20"/>
  <c r="W90" i="20" s="1"/>
  <c r="G90" i="20"/>
  <c r="S90" i="20"/>
  <c r="P90" i="20"/>
  <c r="Z90" i="20" s="1"/>
  <c r="D90" i="20"/>
  <c r="L90" i="20"/>
  <c r="N90" i="20"/>
  <c r="X90" i="20" s="1"/>
  <c r="U90" i="20"/>
  <c r="O90" i="20"/>
  <c r="Y90" i="20" s="1"/>
  <c r="E90" i="20"/>
  <c r="K90" i="20"/>
  <c r="C90" i="20"/>
  <c r="J90" i="20"/>
  <c r="Q90" i="20" s="1"/>
  <c r="I90" i="20"/>
  <c r="T91" i="20"/>
  <c r="M91" i="20"/>
  <c r="W91" i="20" s="1"/>
  <c r="N91" i="20"/>
  <c r="X91" i="20" s="1"/>
  <c r="O91" i="20"/>
  <c r="Y91" i="20" s="1"/>
  <c r="G91" i="20"/>
  <c r="P91" i="20"/>
  <c r="Z91" i="20" s="1"/>
  <c r="F91" i="20"/>
  <c r="D91" i="20"/>
  <c r="C91" i="20"/>
  <c r="U91" i="20"/>
  <c r="S91" i="20"/>
  <c r="E91" i="20"/>
  <c r="K91" i="20"/>
  <c r="H91" i="20"/>
  <c r="L91" i="20"/>
  <c r="J91" i="20"/>
  <c r="Q91" i="20" s="1"/>
  <c r="I91" i="20"/>
  <c r="T92" i="20"/>
  <c r="F92" i="20"/>
  <c r="M92" i="20"/>
  <c r="W92" i="20" s="1"/>
  <c r="G92" i="20"/>
  <c r="S92" i="20"/>
  <c r="U92" i="20"/>
  <c r="H92" i="20"/>
  <c r="O92" i="20"/>
  <c r="Y92" i="20" s="1"/>
  <c r="K92" i="20"/>
  <c r="I92" i="20"/>
  <c r="E92" i="20"/>
  <c r="P92" i="20"/>
  <c r="Z92" i="20" s="1"/>
  <c r="L92" i="20"/>
  <c r="C92" i="20"/>
  <c r="N92" i="20"/>
  <c r="X92" i="20" s="1"/>
  <c r="J92" i="20"/>
  <c r="Q92" i="20" s="1"/>
  <c r="D92" i="20"/>
  <c r="T93" i="20"/>
  <c r="K93" i="20"/>
  <c r="J93" i="20"/>
  <c r="Q93" i="20" s="1"/>
  <c r="F93" i="20"/>
  <c r="E93" i="20"/>
  <c r="I93" i="20"/>
  <c r="L93" i="20"/>
  <c r="H93" i="20"/>
  <c r="D93" i="20"/>
  <c r="S93" i="20"/>
  <c r="C93" i="20"/>
  <c r="M93" i="20"/>
  <c r="W93" i="20" s="1"/>
  <c r="P93" i="20"/>
  <c r="Z93" i="20" s="1"/>
  <c r="G93" i="20"/>
  <c r="O93" i="20"/>
  <c r="Y93" i="20" s="1"/>
  <c r="U93" i="20"/>
  <c r="N93" i="20"/>
  <c r="X93" i="20" s="1"/>
  <c r="L94" i="20"/>
  <c r="C94" i="20"/>
  <c r="T94" i="20"/>
  <c r="D94" i="20"/>
  <c r="F94" i="20"/>
  <c r="P94" i="20"/>
  <c r="Z94" i="20" s="1"/>
  <c r="K94" i="20"/>
  <c r="E94" i="20"/>
  <c r="G94" i="20"/>
  <c r="I94" i="20"/>
  <c r="O94" i="20"/>
  <c r="Y94" i="20" s="1"/>
  <c r="S94" i="20"/>
  <c r="J94" i="20"/>
  <c r="Q94" i="20" s="1"/>
  <c r="U94" i="20"/>
  <c r="N94" i="20"/>
  <c r="X94" i="20" s="1"/>
  <c r="M94" i="20"/>
  <c r="W94" i="20" s="1"/>
  <c r="H94" i="20"/>
  <c r="T95" i="20"/>
  <c r="K95" i="20"/>
  <c r="U95" i="20"/>
  <c r="P95" i="20"/>
  <c r="Z95" i="20" s="1"/>
  <c r="O95" i="20"/>
  <c r="Y95" i="20" s="1"/>
  <c r="N95" i="20"/>
  <c r="X95" i="20" s="1"/>
  <c r="I95" i="20"/>
  <c r="D95" i="20"/>
  <c r="S95" i="20"/>
  <c r="L95" i="20"/>
  <c r="H95" i="20"/>
  <c r="G95" i="20"/>
  <c r="M95" i="20"/>
  <c r="W95" i="20" s="1"/>
  <c r="E95" i="20"/>
  <c r="J95" i="20"/>
  <c r="Q95" i="20" s="1"/>
  <c r="F95" i="20"/>
  <c r="C95" i="20"/>
  <c r="T96" i="20"/>
  <c r="N96" i="20"/>
  <c r="X96" i="20" s="1"/>
  <c r="O96" i="20"/>
  <c r="Y96" i="20" s="1"/>
  <c r="K96" i="20"/>
  <c r="G96" i="20"/>
  <c r="I96" i="20"/>
  <c r="F96" i="20"/>
  <c r="L96" i="20"/>
  <c r="E96" i="20"/>
  <c r="D96" i="20"/>
  <c r="P96" i="20"/>
  <c r="Z96" i="20" s="1"/>
  <c r="S96" i="20"/>
  <c r="U96" i="20"/>
  <c r="J96" i="20"/>
  <c r="Q96" i="20" s="1"/>
  <c r="M96" i="20"/>
  <c r="W96" i="20" s="1"/>
  <c r="C96" i="20"/>
  <c r="H96" i="20"/>
  <c r="T97" i="20"/>
  <c r="M97" i="20"/>
  <c r="W97" i="20" s="1"/>
  <c r="E97" i="20"/>
  <c r="J97" i="20"/>
  <c r="Q97" i="20" s="1"/>
  <c r="I97" i="20"/>
  <c r="C97" i="20"/>
  <c r="N97" i="20"/>
  <c r="X97" i="20" s="1"/>
  <c r="S97" i="20"/>
  <c r="P97" i="20"/>
  <c r="Z97" i="20" s="1"/>
  <c r="D97" i="20"/>
  <c r="L97" i="20"/>
  <c r="U97" i="20"/>
  <c r="F97" i="20"/>
  <c r="G97" i="20"/>
  <c r="K97" i="20"/>
  <c r="O97" i="20"/>
  <c r="Y97" i="20" s="1"/>
  <c r="H97" i="20"/>
  <c r="T98" i="20"/>
  <c r="U98" i="20"/>
  <c r="M98" i="20"/>
  <c r="W98" i="20" s="1"/>
  <c r="I98" i="20"/>
  <c r="G98" i="20"/>
  <c r="N98" i="20"/>
  <c r="X98" i="20" s="1"/>
  <c r="P98" i="20"/>
  <c r="Z98" i="20" s="1"/>
  <c r="S98" i="20"/>
  <c r="F98" i="20"/>
  <c r="K98" i="20"/>
  <c r="L98" i="20"/>
  <c r="C98" i="20"/>
  <c r="O98" i="20"/>
  <c r="Y98" i="20" s="1"/>
  <c r="E98" i="20"/>
  <c r="H98" i="20"/>
  <c r="D98" i="20"/>
  <c r="J98" i="20"/>
  <c r="Q98" i="20" s="1"/>
  <c r="T99" i="20"/>
  <c r="H99" i="20"/>
  <c r="I99" i="20"/>
  <c r="J99" i="20"/>
  <c r="S99" i="20"/>
  <c r="C99" i="20"/>
  <c r="U99" i="20"/>
  <c r="G99" i="20"/>
  <c r="E99" i="20"/>
  <c r="D99" i="20"/>
  <c r="F99" i="20" s="1"/>
  <c r="A99" i="20" s="1"/>
  <c r="T100" i="20"/>
  <c r="I100" i="20"/>
  <c r="C100" i="20"/>
  <c r="D100" i="20"/>
  <c r="J100" i="20"/>
  <c r="G100" i="20"/>
  <c r="E100" i="20"/>
  <c r="F100" i="20" s="1"/>
  <c r="A100" i="20" s="1"/>
  <c r="U100" i="20"/>
  <c r="H100" i="20"/>
  <c r="S100" i="20"/>
  <c r="D101" i="20"/>
  <c r="L101" i="20"/>
  <c r="F101" i="20"/>
  <c r="N101" i="20"/>
  <c r="X101" i="20" s="1"/>
  <c r="O101" i="20"/>
  <c r="Y101" i="20" s="1"/>
  <c r="T101" i="20"/>
  <c r="U101" i="20"/>
  <c r="M101" i="20"/>
  <c r="W101" i="20" s="1"/>
  <c r="J101" i="20"/>
  <c r="Q101" i="20" s="1"/>
  <c r="I101" i="20"/>
  <c r="G101" i="20"/>
  <c r="E101" i="20"/>
  <c r="S101" i="20"/>
  <c r="K101" i="20"/>
  <c r="P101" i="20"/>
  <c r="Z101" i="20" s="1"/>
  <c r="C101" i="20"/>
  <c r="H101" i="20"/>
  <c r="D102" i="20"/>
  <c r="E102" i="20"/>
  <c r="F102" i="20" s="1"/>
  <c r="A102" i="20" s="1"/>
  <c r="U102" i="20"/>
  <c r="I102" i="20"/>
  <c r="S102" i="20"/>
  <c r="T102" i="20"/>
  <c r="G102" i="20"/>
  <c r="C102" i="20"/>
  <c r="J102" i="20"/>
  <c r="H102" i="20"/>
  <c r="S103" i="20"/>
  <c r="T103" i="20"/>
  <c r="D103" i="20"/>
  <c r="C103" i="20"/>
  <c r="E103" i="20"/>
  <c r="G103" i="20"/>
  <c r="U103" i="20"/>
  <c r="J103" i="20"/>
  <c r="I103" i="20"/>
  <c r="H103" i="20"/>
  <c r="F103" i="20"/>
  <c r="A103" i="20" s="1"/>
  <c r="C104" i="20"/>
  <c r="U104" i="20"/>
  <c r="K104" i="20"/>
  <c r="G104" i="20"/>
  <c r="M104" i="20"/>
  <c r="W104" i="20" s="1"/>
  <c r="J104" i="20"/>
  <c r="Q104" i="20" s="1"/>
  <c r="H104" i="20"/>
  <c r="S104" i="20"/>
  <c r="I104" i="20"/>
  <c r="O104" i="20"/>
  <c r="Y104" i="20" s="1"/>
  <c r="D104" i="20"/>
  <c r="T104" i="20"/>
  <c r="F104" i="20"/>
  <c r="L104" i="20"/>
  <c r="P104" i="20"/>
  <c r="Z104" i="20" s="1"/>
  <c r="N104" i="20"/>
  <c r="X104" i="20" s="1"/>
  <c r="E104" i="20"/>
  <c r="S105" i="20"/>
  <c r="J105" i="20"/>
  <c r="U105" i="20"/>
  <c r="G105" i="20"/>
  <c r="C105" i="20"/>
  <c r="H105" i="20"/>
  <c r="T105" i="20"/>
  <c r="I105" i="20"/>
  <c r="D105" i="20"/>
  <c r="E105" i="20"/>
  <c r="C106" i="20"/>
  <c r="S106" i="20"/>
  <c r="I106" i="20"/>
  <c r="T106" i="20"/>
  <c r="U106" i="20"/>
  <c r="D106" i="20"/>
  <c r="H106" i="20"/>
  <c r="E106" i="20"/>
  <c r="J106" i="20"/>
  <c r="G106" i="20"/>
  <c r="F106" i="20"/>
  <c r="A106" i="20" s="1"/>
  <c r="H107" i="20"/>
  <c r="G107" i="20"/>
  <c r="S107" i="20"/>
  <c r="E107" i="20"/>
  <c r="D107" i="20"/>
  <c r="T107" i="20"/>
  <c r="F107" i="20"/>
  <c r="A107" i="20" s="1"/>
  <c r="J107" i="20"/>
  <c r="I107" i="20"/>
  <c r="U107" i="20"/>
  <c r="C107" i="20"/>
  <c r="E108" i="20"/>
  <c r="G108" i="20"/>
  <c r="I108" i="20"/>
  <c r="S108" i="20"/>
  <c r="H108" i="20"/>
  <c r="J108" i="20"/>
  <c r="T108" i="20"/>
  <c r="U108" i="20"/>
  <c r="D108" i="20"/>
  <c r="F108" i="20" s="1"/>
  <c r="A108" i="20" s="1"/>
  <c r="C108" i="20"/>
  <c r="F109" i="20"/>
  <c r="M109" i="20"/>
  <c r="W109" i="20" s="1"/>
  <c r="E109" i="20"/>
  <c r="L109" i="20"/>
  <c r="H109" i="20"/>
  <c r="C109" i="20"/>
  <c r="S109" i="20"/>
  <c r="G109" i="20"/>
  <c r="N109" i="20"/>
  <c r="X109" i="20" s="1"/>
  <c r="D109" i="20"/>
  <c r="O109" i="20"/>
  <c r="Y109" i="20" s="1"/>
  <c r="P109" i="20"/>
  <c r="Z109" i="20" s="1"/>
  <c r="J109" i="20"/>
  <c r="Q109" i="20" s="1"/>
  <c r="K109" i="20"/>
  <c r="I109" i="20"/>
  <c r="T109" i="20"/>
  <c r="U109" i="20"/>
  <c r="M110" i="20"/>
  <c r="W110" i="20" s="1"/>
  <c r="D110" i="20"/>
  <c r="H110" i="20"/>
  <c r="I110" i="20"/>
  <c r="L110" i="20"/>
  <c r="S110" i="20"/>
  <c r="K110" i="20"/>
  <c r="C110" i="20"/>
  <c r="N110" i="20"/>
  <c r="X110" i="20" s="1"/>
  <c r="T110" i="20"/>
  <c r="O110" i="20"/>
  <c r="Y110" i="20" s="1"/>
  <c r="U110" i="20"/>
  <c r="P110" i="20"/>
  <c r="Z110" i="20" s="1"/>
  <c r="G110" i="20"/>
  <c r="E110" i="20"/>
  <c r="J110" i="20"/>
  <c r="Q110" i="20" s="1"/>
  <c r="F110" i="20"/>
  <c r="G111" i="20"/>
  <c r="D111" i="20"/>
  <c r="H111" i="20"/>
  <c r="N111" i="20"/>
  <c r="X111" i="20" s="1"/>
  <c r="S111" i="20"/>
  <c r="M111" i="20"/>
  <c r="W111" i="20" s="1"/>
  <c r="T111" i="20"/>
  <c r="E111" i="20"/>
  <c r="F111" i="20"/>
  <c r="I111" i="20"/>
  <c r="U111" i="20"/>
  <c r="C111" i="20"/>
  <c r="L111" i="20"/>
  <c r="J111" i="20"/>
  <c r="Q111" i="20" s="1"/>
  <c r="O111" i="20"/>
  <c r="Y111" i="20" s="1"/>
  <c r="K111" i="20"/>
  <c r="P111" i="20"/>
  <c r="Z111" i="20" s="1"/>
  <c r="O112" i="20"/>
  <c r="Y112" i="20" s="1"/>
  <c r="G112" i="20"/>
  <c r="M112" i="20"/>
  <c r="W112" i="20" s="1"/>
  <c r="S112" i="20"/>
  <c r="T112" i="20"/>
  <c r="F112" i="20"/>
  <c r="L112" i="20"/>
  <c r="E112" i="20"/>
  <c r="P112" i="20"/>
  <c r="Z112" i="20" s="1"/>
  <c r="D112" i="20"/>
  <c r="H112" i="20"/>
  <c r="C112" i="20"/>
  <c r="J112" i="20"/>
  <c r="Q112" i="20" s="1"/>
  <c r="U112" i="20"/>
  <c r="I112" i="20"/>
  <c r="K112" i="20"/>
  <c r="N112" i="20"/>
  <c r="X112" i="20" s="1"/>
  <c r="G113" i="20"/>
  <c r="S113" i="20"/>
  <c r="K113" i="20"/>
  <c r="O113" i="20"/>
  <c r="Y113" i="20" s="1"/>
  <c r="L113" i="20"/>
  <c r="I113" i="20"/>
  <c r="P113" i="20"/>
  <c r="Z113" i="20" s="1"/>
  <c r="U113" i="20"/>
  <c r="C113" i="20"/>
  <c r="J113" i="20"/>
  <c r="Q113" i="20" s="1"/>
  <c r="E113" i="20"/>
  <c r="H113" i="20"/>
  <c r="F113" i="20"/>
  <c r="D113" i="20"/>
  <c r="M113" i="20"/>
  <c r="W113" i="20" s="1"/>
  <c r="N113" i="20"/>
  <c r="X113" i="20" s="1"/>
  <c r="T113" i="20"/>
  <c r="E114" i="20"/>
  <c r="L114" i="20"/>
  <c r="S114" i="20"/>
  <c r="G114" i="20"/>
  <c r="K114" i="20"/>
  <c r="O114" i="20"/>
  <c r="Y114" i="20" s="1"/>
  <c r="F114" i="20"/>
  <c r="J114" i="20"/>
  <c r="Q114" i="20" s="1"/>
  <c r="U114" i="20"/>
  <c r="C114" i="20"/>
  <c r="T114" i="20"/>
  <c r="P114" i="20"/>
  <c r="Z114" i="20" s="1"/>
  <c r="H114" i="20"/>
  <c r="I114" i="20"/>
  <c r="D114" i="20"/>
  <c r="N114" i="20"/>
  <c r="X114" i="20" s="1"/>
  <c r="M114" i="20"/>
  <c r="W114" i="20" s="1"/>
  <c r="O115" i="20"/>
  <c r="Y115" i="20" s="1"/>
  <c r="N115" i="20"/>
  <c r="X115" i="20" s="1"/>
  <c r="F115" i="20"/>
  <c r="S115" i="20"/>
  <c r="L115" i="20"/>
  <c r="I115" i="20"/>
  <c r="J115" i="20"/>
  <c r="Q115" i="20" s="1"/>
  <c r="K115" i="20"/>
  <c r="C115" i="20"/>
  <c r="G115" i="20"/>
  <c r="P115" i="20"/>
  <c r="Z115" i="20" s="1"/>
  <c r="T115" i="20"/>
  <c r="D115" i="20"/>
  <c r="E115" i="20"/>
  <c r="M115" i="20"/>
  <c r="W115" i="20" s="1"/>
  <c r="H115" i="20"/>
  <c r="U115" i="20"/>
  <c r="M116" i="20"/>
  <c r="W116" i="20" s="1"/>
  <c r="C116" i="20"/>
  <c r="P116" i="20"/>
  <c r="Z116" i="20" s="1"/>
  <c r="E116" i="20"/>
  <c r="G116" i="20"/>
  <c r="J116" i="20"/>
  <c r="Q116" i="20" s="1"/>
  <c r="O116" i="20"/>
  <c r="Y116" i="20" s="1"/>
  <c r="U116" i="20"/>
  <c r="S116" i="20"/>
  <c r="T116" i="20"/>
  <c r="K116" i="20"/>
  <c r="I116" i="20"/>
  <c r="D116" i="20"/>
  <c r="L116" i="20"/>
  <c r="F116" i="20"/>
  <c r="N116" i="20"/>
  <c r="X116" i="20" s="1"/>
  <c r="H116" i="20"/>
  <c r="J117" i="20"/>
  <c r="Q117" i="20" s="1"/>
  <c r="I117" i="20"/>
  <c r="D117" i="20"/>
  <c r="U117" i="20"/>
  <c r="E117" i="20"/>
  <c r="P117" i="20"/>
  <c r="Z117" i="20" s="1"/>
  <c r="S117" i="20"/>
  <c r="H117" i="20"/>
  <c r="L117" i="20"/>
  <c r="K117" i="20"/>
  <c r="C117" i="20"/>
  <c r="G117" i="20"/>
  <c r="T117" i="20"/>
  <c r="N117" i="20"/>
  <c r="X117" i="20" s="1"/>
  <c r="M117" i="20"/>
  <c r="W117" i="20" s="1"/>
  <c r="O117" i="20"/>
  <c r="Y117" i="20" s="1"/>
  <c r="F117" i="20"/>
  <c r="S118" i="20"/>
  <c r="I118" i="20"/>
  <c r="C118" i="20"/>
  <c r="J118" i="20"/>
  <c r="E118" i="20"/>
  <c r="U118" i="20"/>
  <c r="D118" i="20"/>
  <c r="F118" i="20" s="1"/>
  <c r="A118" i="20" s="1"/>
  <c r="G118" i="20"/>
  <c r="T118" i="20"/>
  <c r="H118" i="20"/>
  <c r="O119" i="20"/>
  <c r="Y119" i="20" s="1"/>
  <c r="N119" i="20"/>
  <c r="X119" i="20" s="1"/>
  <c r="U119" i="20"/>
  <c r="C119" i="20"/>
  <c r="F119" i="20"/>
  <c r="P119" i="20"/>
  <c r="Z119" i="20" s="1"/>
  <c r="H119" i="20"/>
  <c r="E119" i="20"/>
  <c r="G119" i="20"/>
  <c r="J119" i="20"/>
  <c r="Q119" i="20" s="1"/>
  <c r="S119" i="20"/>
  <c r="D119" i="20"/>
  <c r="I119" i="20"/>
  <c r="L119" i="20"/>
  <c r="T119" i="20"/>
  <c r="K119" i="20"/>
  <c r="M119" i="20"/>
  <c r="W119" i="20" s="1"/>
  <c r="S120" i="20"/>
  <c r="C120" i="20"/>
  <c r="M120" i="20"/>
  <c r="W120" i="20" s="1"/>
  <c r="T120" i="20"/>
  <c r="N120" i="20"/>
  <c r="X120" i="20" s="1"/>
  <c r="U120" i="20"/>
  <c r="O120" i="20"/>
  <c r="Y120" i="20" s="1"/>
  <c r="P120" i="20"/>
  <c r="Z120" i="20" s="1"/>
  <c r="E120" i="20"/>
  <c r="F120" i="20"/>
  <c r="L120" i="20"/>
  <c r="G120" i="20"/>
  <c r="D120" i="20"/>
  <c r="I120" i="20"/>
  <c r="H120" i="20"/>
  <c r="J120" i="20"/>
  <c r="Q120" i="20" s="1"/>
  <c r="K120" i="20"/>
  <c r="C121" i="20"/>
  <c r="S121" i="20"/>
  <c r="P121" i="20"/>
  <c r="Z121" i="20" s="1"/>
  <c r="T121" i="20"/>
  <c r="J121" i="20"/>
  <c r="Q121" i="20" s="1"/>
  <c r="L121" i="20"/>
  <c r="U121" i="20"/>
  <c r="F121" i="20"/>
  <c r="D121" i="20"/>
  <c r="O121" i="20"/>
  <c r="Y121" i="20" s="1"/>
  <c r="I121" i="20"/>
  <c r="N121" i="20"/>
  <c r="X121" i="20" s="1"/>
  <c r="E121" i="20"/>
  <c r="M121" i="20"/>
  <c r="W121" i="20" s="1"/>
  <c r="K121" i="20"/>
  <c r="H121" i="20"/>
  <c r="G121" i="20"/>
  <c r="N122" i="20"/>
  <c r="X122" i="20" s="1"/>
  <c r="U122" i="20"/>
  <c r="T122" i="20"/>
  <c r="H122" i="20"/>
  <c r="M122" i="20"/>
  <c r="W122" i="20" s="1"/>
  <c r="D122" i="20"/>
  <c r="O122" i="20"/>
  <c r="Y122" i="20" s="1"/>
  <c r="F122" i="20"/>
  <c r="I122" i="20"/>
  <c r="P122" i="20"/>
  <c r="Z122" i="20" s="1"/>
  <c r="G122" i="20"/>
  <c r="J122" i="20"/>
  <c r="Q122" i="20" s="1"/>
  <c r="S122" i="20"/>
  <c r="K122" i="20"/>
  <c r="C122" i="20"/>
  <c r="E122" i="20"/>
  <c r="L122" i="20"/>
  <c r="U123" i="20"/>
  <c r="T123" i="20"/>
  <c r="D123" i="20"/>
  <c r="O123" i="20"/>
  <c r="Y123" i="20" s="1"/>
  <c r="N123" i="20"/>
  <c r="X123" i="20" s="1"/>
  <c r="E123" i="20"/>
  <c r="K123" i="20"/>
  <c r="S123" i="20"/>
  <c r="H123" i="20"/>
  <c r="C123" i="20"/>
  <c r="J123" i="20"/>
  <c r="Q123" i="20" s="1"/>
  <c r="L123" i="20"/>
  <c r="M123" i="20"/>
  <c r="W123" i="20" s="1"/>
  <c r="F123" i="20"/>
  <c r="G123" i="20"/>
  <c r="P123" i="20"/>
  <c r="Z123" i="20" s="1"/>
  <c r="I123" i="20"/>
  <c r="F124" i="20"/>
  <c r="U124" i="20"/>
  <c r="T124" i="20"/>
  <c r="S124" i="20"/>
  <c r="I124" i="20"/>
  <c r="D124" i="20"/>
  <c r="H124" i="20"/>
  <c r="J124" i="20"/>
  <c r="Q124" i="20" s="1"/>
  <c r="K124" i="20"/>
  <c r="G124" i="20"/>
  <c r="L124" i="20"/>
  <c r="M124" i="20"/>
  <c r="W124" i="20" s="1"/>
  <c r="E124" i="20"/>
  <c r="N124" i="20"/>
  <c r="X124" i="20" s="1"/>
  <c r="O124" i="20"/>
  <c r="Y124" i="20" s="1"/>
  <c r="P124" i="20"/>
  <c r="Z124" i="20" s="1"/>
  <c r="C124" i="20"/>
  <c r="J125" i="20"/>
  <c r="Q125" i="20" s="1"/>
  <c r="I125" i="20"/>
  <c r="S125" i="20"/>
  <c r="N125" i="20"/>
  <c r="X125" i="20" s="1"/>
  <c r="T125" i="20"/>
  <c r="G125" i="20"/>
  <c r="D125" i="20"/>
  <c r="H125" i="20"/>
  <c r="E125" i="20"/>
  <c r="U125" i="20"/>
  <c r="L125" i="20"/>
  <c r="M125" i="20"/>
  <c r="W125" i="20" s="1"/>
  <c r="C125" i="20"/>
  <c r="K125" i="20"/>
  <c r="P125" i="20"/>
  <c r="Z125" i="20" s="1"/>
  <c r="O125" i="20"/>
  <c r="Y125" i="20" s="1"/>
  <c r="F125" i="20"/>
  <c r="U126" i="20"/>
  <c r="H126" i="20"/>
  <c r="O126" i="20"/>
  <c r="Y126" i="20" s="1"/>
  <c r="T126" i="20"/>
  <c r="M126" i="20"/>
  <c r="W126" i="20" s="1"/>
  <c r="K126" i="20"/>
  <c r="D126" i="20"/>
  <c r="S126" i="20"/>
  <c r="G126" i="20"/>
  <c r="N126" i="20"/>
  <c r="X126" i="20" s="1"/>
  <c r="E126" i="20"/>
  <c r="L126" i="20"/>
  <c r="J126" i="20"/>
  <c r="I126" i="20"/>
  <c r="A126" i="20"/>
  <c r="C126" i="20"/>
  <c r="P126" i="20"/>
  <c r="Z126" i="20" s="1"/>
  <c r="F126" i="20"/>
  <c r="F127" i="20"/>
  <c r="T127" i="20"/>
  <c r="K127" i="20"/>
  <c r="H127" i="20"/>
  <c r="N127" i="20"/>
  <c r="X127" i="20" s="1"/>
  <c r="I127" i="20"/>
  <c r="C127" i="20"/>
  <c r="P127" i="20"/>
  <c r="Z127" i="20" s="1"/>
  <c r="J127" i="20"/>
  <c r="U127" i="20"/>
  <c r="M127" i="20"/>
  <c r="W127" i="20" s="1"/>
  <c r="G127" i="20"/>
  <c r="A127" i="20"/>
  <c r="E127" i="20"/>
  <c r="O127" i="20"/>
  <c r="Y127" i="20" s="1"/>
  <c r="D127" i="20"/>
  <c r="L127" i="20"/>
  <c r="S127" i="20"/>
  <c r="H128" i="20"/>
  <c r="C128" i="20"/>
  <c r="J128" i="20"/>
  <c r="M128" i="20"/>
  <c r="W128" i="20" s="1"/>
  <c r="K128" i="20"/>
  <c r="F128" i="20"/>
  <c r="S128" i="20"/>
  <c r="D128" i="20"/>
  <c r="I128" i="20"/>
  <c r="A128" i="20"/>
  <c r="N128" i="20"/>
  <c r="X128" i="20" s="1"/>
  <c r="E128" i="20"/>
  <c r="O128" i="20"/>
  <c r="Y128" i="20" s="1"/>
  <c r="G128" i="20"/>
  <c r="L128" i="20"/>
  <c r="U128" i="20"/>
  <c r="P128" i="20"/>
  <c r="Z128" i="20" s="1"/>
  <c r="T128" i="20"/>
  <c r="S129" i="20"/>
  <c r="P129" i="20"/>
  <c r="Z129" i="20" s="1"/>
  <c r="C129" i="20"/>
  <c r="G129" i="20"/>
  <c r="J129" i="20"/>
  <c r="U129" i="20"/>
  <c r="F129" i="20"/>
  <c r="H129" i="20"/>
  <c r="N129" i="20"/>
  <c r="X129" i="20" s="1"/>
  <c r="E129" i="20"/>
  <c r="I129" i="20"/>
  <c r="D129" i="20"/>
  <c r="K129" i="20"/>
  <c r="L129" i="20"/>
  <c r="M129" i="20"/>
  <c r="W129" i="20" s="1"/>
  <c r="O129" i="20"/>
  <c r="Y129" i="20" s="1"/>
  <c r="T129" i="20"/>
  <c r="A129" i="20"/>
  <c r="U130" i="20"/>
  <c r="I130" i="20"/>
  <c r="H130" i="20"/>
  <c r="L130" i="20"/>
  <c r="M130" i="20"/>
  <c r="W130" i="20" s="1"/>
  <c r="J130" i="20"/>
  <c r="S130" i="20"/>
  <c r="G130" i="20"/>
  <c r="F130" i="20"/>
  <c r="K130" i="20"/>
  <c r="A130" i="20"/>
  <c r="C130" i="20"/>
  <c r="E130" i="20"/>
  <c r="N130" i="20"/>
  <c r="X130" i="20" s="1"/>
  <c r="O130" i="20"/>
  <c r="Y130" i="20" s="1"/>
  <c r="D130" i="20"/>
  <c r="P130" i="20"/>
  <c r="Z130" i="20" s="1"/>
  <c r="T130" i="20"/>
  <c r="I5" i="20"/>
  <c r="H5" i="20"/>
  <c r="G5" i="20"/>
  <c r="D5" i="20"/>
  <c r="E5" i="20"/>
  <c r="C5" i="20"/>
  <c r="I6" i="20"/>
  <c r="H6" i="20"/>
  <c r="G6" i="20"/>
  <c r="D6" i="20"/>
  <c r="E6" i="20"/>
  <c r="C6" i="20"/>
  <c r="H7" i="20"/>
  <c r="G7" i="20"/>
  <c r="E7" i="20"/>
  <c r="D7" i="20"/>
  <c r="C7" i="20"/>
  <c r="I7" i="20"/>
  <c r="C8" i="20"/>
  <c r="I8" i="20"/>
  <c r="H8" i="20"/>
  <c r="G8" i="20"/>
  <c r="E8" i="20"/>
  <c r="D8" i="20"/>
  <c r="E9" i="20"/>
  <c r="G9" i="20"/>
  <c r="D9" i="20"/>
  <c r="H9" i="20"/>
  <c r="C9" i="20"/>
  <c r="I9" i="20"/>
  <c r="H10" i="20"/>
  <c r="E10" i="20"/>
  <c r="I10" i="20"/>
  <c r="D10" i="20"/>
  <c r="G10" i="20"/>
  <c r="C10" i="20"/>
  <c r="I11" i="20"/>
  <c r="C11" i="20"/>
  <c r="D11" i="20"/>
  <c r="E11" i="20"/>
  <c r="G11" i="20"/>
  <c r="H11" i="20"/>
  <c r="H12" i="20"/>
  <c r="E12" i="20"/>
  <c r="C12" i="20"/>
  <c r="D12" i="20"/>
  <c r="G12" i="20"/>
  <c r="I12" i="20"/>
  <c r="D13" i="20"/>
  <c r="E13" i="20"/>
  <c r="I13" i="20"/>
  <c r="H13" i="20"/>
  <c r="C13" i="20"/>
  <c r="G13" i="20"/>
  <c r="D14" i="20"/>
  <c r="E14" i="20"/>
  <c r="C14" i="20"/>
  <c r="H14" i="20"/>
  <c r="I14" i="20"/>
  <c r="G14" i="20"/>
  <c r="D15" i="20"/>
  <c r="E15" i="20"/>
  <c r="G15" i="20"/>
  <c r="C15" i="20"/>
  <c r="H15" i="20"/>
  <c r="I15" i="20"/>
  <c r="D16" i="20"/>
  <c r="E16" i="20"/>
  <c r="G16" i="20"/>
  <c r="C16" i="20"/>
  <c r="I16" i="20"/>
  <c r="H16" i="20"/>
  <c r="D17" i="20"/>
  <c r="G17" i="20"/>
  <c r="I17" i="20"/>
  <c r="H17" i="20"/>
  <c r="E17" i="20"/>
  <c r="C17" i="20"/>
  <c r="G18" i="20"/>
  <c r="D18" i="20"/>
  <c r="H18" i="20"/>
  <c r="E18" i="20"/>
  <c r="I18" i="20"/>
  <c r="C18" i="20"/>
  <c r="I19" i="20"/>
  <c r="C19" i="20"/>
  <c r="H19" i="20"/>
  <c r="E19" i="20"/>
  <c r="D19" i="20"/>
  <c r="G19" i="20"/>
  <c r="C20" i="20"/>
  <c r="D20" i="20"/>
  <c r="G20" i="20"/>
  <c r="E20" i="20"/>
  <c r="H20" i="20"/>
  <c r="I20" i="20"/>
  <c r="I21" i="20"/>
  <c r="E21" i="20"/>
  <c r="D21" i="20"/>
  <c r="C21" i="20"/>
  <c r="H21" i="20"/>
  <c r="G21" i="20"/>
  <c r="I22" i="20"/>
  <c r="C22" i="20"/>
  <c r="H22" i="20"/>
  <c r="E22" i="20"/>
  <c r="G22" i="20"/>
  <c r="D22" i="20"/>
  <c r="I23" i="20"/>
  <c r="E23" i="20"/>
  <c r="C23" i="20"/>
  <c r="H23" i="20"/>
  <c r="D23" i="20"/>
  <c r="G23" i="20"/>
  <c r="I24" i="20"/>
  <c r="E24" i="20"/>
  <c r="H24" i="20"/>
  <c r="C24" i="20"/>
  <c r="D24" i="20"/>
  <c r="G24" i="20"/>
  <c r="G25" i="20"/>
  <c r="E25" i="20"/>
  <c r="I25" i="20"/>
  <c r="C25" i="20"/>
  <c r="H25" i="20"/>
  <c r="D25" i="20"/>
  <c r="C26" i="20"/>
  <c r="G26" i="20"/>
  <c r="D26" i="20"/>
  <c r="I26" i="20"/>
  <c r="H26" i="20"/>
  <c r="E26" i="20"/>
  <c r="C27" i="20"/>
  <c r="I27" i="20"/>
  <c r="G27" i="20"/>
  <c r="H27" i="20"/>
  <c r="E27" i="20"/>
  <c r="D27" i="20"/>
  <c r="I28" i="20"/>
  <c r="G28" i="20"/>
  <c r="E28" i="20"/>
  <c r="H28" i="20"/>
  <c r="D28" i="20"/>
  <c r="C28" i="20"/>
  <c r="D29" i="20"/>
  <c r="I29" i="20"/>
  <c r="H29" i="20"/>
  <c r="C29" i="20"/>
  <c r="G29" i="20"/>
  <c r="E29" i="20"/>
  <c r="D30" i="20"/>
  <c r="E30" i="20"/>
  <c r="C30" i="20"/>
  <c r="G30" i="20"/>
  <c r="I30" i="20"/>
  <c r="H30" i="20"/>
  <c r="D31" i="20"/>
  <c r="C31" i="20"/>
  <c r="E31" i="20"/>
  <c r="H31" i="20"/>
  <c r="G31" i="20"/>
  <c r="I31" i="20"/>
  <c r="D32" i="20"/>
  <c r="C32" i="20"/>
  <c r="E32" i="20"/>
  <c r="G32" i="20"/>
  <c r="H32" i="20"/>
  <c r="I32" i="20"/>
  <c r="D33" i="20"/>
  <c r="C33" i="20"/>
  <c r="H33" i="20"/>
  <c r="E33" i="20"/>
  <c r="G33" i="20"/>
  <c r="I33" i="20"/>
  <c r="D34" i="20"/>
  <c r="G34" i="20"/>
  <c r="I34" i="20"/>
  <c r="C34" i="20"/>
  <c r="E34" i="20"/>
  <c r="H34" i="20"/>
  <c r="H35" i="20"/>
  <c r="C35" i="20"/>
  <c r="I35" i="20"/>
  <c r="E35" i="20"/>
  <c r="D35" i="20"/>
  <c r="G35" i="20"/>
  <c r="H36" i="20"/>
  <c r="E36" i="20"/>
  <c r="D36" i="20"/>
  <c r="C36" i="20"/>
  <c r="G36" i="20"/>
  <c r="I36" i="20"/>
  <c r="C37" i="20"/>
  <c r="E37" i="20"/>
  <c r="I37" i="20"/>
  <c r="J37" i="20"/>
  <c r="G37" i="20"/>
  <c r="H37" i="20"/>
  <c r="D37" i="20"/>
  <c r="F37" i="20" s="1"/>
  <c r="A37" i="20" s="1"/>
  <c r="D38" i="20"/>
  <c r="E38" i="20"/>
  <c r="I38" i="20"/>
  <c r="C38" i="20"/>
  <c r="J38" i="20"/>
  <c r="G38" i="20"/>
  <c r="H38" i="20"/>
  <c r="I39" i="20"/>
  <c r="C39" i="20"/>
  <c r="H39" i="20"/>
  <c r="D39" i="20"/>
  <c r="G39" i="20"/>
  <c r="E39" i="20"/>
  <c r="J39" i="20"/>
  <c r="E40" i="20"/>
  <c r="I40" i="20"/>
  <c r="D40" i="20"/>
  <c r="F40" i="20" s="1"/>
  <c r="A40" i="20" s="1"/>
  <c r="H40" i="20"/>
  <c r="C40" i="20"/>
  <c r="J40" i="20"/>
  <c r="G40" i="20"/>
  <c r="E41" i="20"/>
  <c r="I41" i="20"/>
  <c r="D41" i="20"/>
  <c r="H41" i="20"/>
  <c r="G41" i="20"/>
  <c r="J41" i="20"/>
  <c r="Q41" i="20" s="1"/>
  <c r="C41" i="20"/>
  <c r="I42" i="20"/>
  <c r="E42" i="20"/>
  <c r="D42" i="20"/>
  <c r="F42" i="20" s="1"/>
  <c r="A42" i="20" s="1"/>
  <c r="C42" i="20"/>
  <c r="H42" i="20"/>
  <c r="G42" i="20"/>
  <c r="J42" i="20"/>
  <c r="E43" i="20"/>
  <c r="I43" i="20"/>
  <c r="C43" i="20"/>
  <c r="D43" i="20"/>
  <c r="F43" i="20" s="1"/>
  <c r="A43" i="20" s="1"/>
  <c r="G43" i="20"/>
  <c r="H43" i="20"/>
  <c r="J43" i="20"/>
  <c r="E44" i="20"/>
  <c r="I44" i="20"/>
  <c r="H44" i="20"/>
  <c r="J44" i="20"/>
  <c r="D44" i="20"/>
  <c r="F44" i="20" s="1"/>
  <c r="A44" i="20" s="1"/>
  <c r="G44" i="20"/>
  <c r="C44" i="20"/>
  <c r="I45" i="20"/>
  <c r="G45" i="20"/>
  <c r="J45" i="20"/>
  <c r="D45" i="20"/>
  <c r="H45" i="20"/>
  <c r="C45" i="20"/>
  <c r="E45" i="20"/>
  <c r="J46" i="20"/>
  <c r="C46" i="20"/>
  <c r="E46" i="20"/>
  <c r="D46" i="20"/>
  <c r="F46" i="20" s="1"/>
  <c r="A46" i="20" s="1"/>
  <c r="I46" i="20"/>
  <c r="H46" i="20"/>
  <c r="G46" i="20"/>
  <c r="J47" i="20"/>
  <c r="Q47" i="20" s="1"/>
  <c r="D47" i="20"/>
  <c r="C47" i="20"/>
  <c r="E47" i="20"/>
  <c r="I47" i="20"/>
  <c r="H47" i="20"/>
  <c r="G47" i="20"/>
  <c r="H48" i="20"/>
  <c r="J48" i="20"/>
  <c r="I48" i="20"/>
  <c r="D48" i="20"/>
  <c r="G48" i="20"/>
  <c r="C48" i="20"/>
  <c r="E48" i="20"/>
  <c r="C49" i="20"/>
  <c r="G49" i="20"/>
  <c r="H49" i="20"/>
  <c r="E49" i="20"/>
  <c r="I49" i="20"/>
  <c r="D49" i="20"/>
  <c r="F49" i="20" s="1"/>
  <c r="A49" i="20" s="1"/>
  <c r="J49" i="20"/>
  <c r="C50" i="20"/>
  <c r="J50" i="20"/>
  <c r="G50" i="20"/>
  <c r="D50" i="20"/>
  <c r="I50" i="20"/>
  <c r="E50" i="20"/>
  <c r="H50" i="20"/>
  <c r="H51" i="20"/>
  <c r="D51" i="20"/>
  <c r="G51" i="20"/>
  <c r="I51" i="20"/>
  <c r="J51" i="20"/>
  <c r="C51" i="20"/>
  <c r="E51" i="20"/>
  <c r="C52" i="20"/>
  <c r="D52" i="20"/>
  <c r="E52" i="20"/>
  <c r="G52" i="20"/>
  <c r="J52" i="20"/>
  <c r="H52" i="20"/>
  <c r="I52" i="20"/>
  <c r="C53" i="20"/>
  <c r="I53" i="20"/>
  <c r="G53" i="20"/>
  <c r="J53" i="20"/>
  <c r="E53" i="20"/>
  <c r="H53" i="20"/>
  <c r="D53" i="20"/>
  <c r="F53" i="20" s="1"/>
  <c r="A53" i="20" s="1"/>
  <c r="H54" i="20"/>
  <c r="I54" i="20"/>
  <c r="J54" i="20"/>
  <c r="G54" i="20"/>
  <c r="D54" i="20"/>
  <c r="E54" i="20"/>
  <c r="C54" i="20"/>
  <c r="I55" i="20"/>
  <c r="J55" i="20"/>
  <c r="G55" i="20"/>
  <c r="D55" i="20"/>
  <c r="H55" i="20"/>
  <c r="E55" i="20"/>
  <c r="C55" i="20"/>
  <c r="E56" i="20"/>
  <c r="J56" i="20"/>
  <c r="H56" i="20"/>
  <c r="G56" i="20"/>
  <c r="I56" i="20"/>
  <c r="D56" i="20"/>
  <c r="F56" i="20" s="1"/>
  <c r="A56" i="20" s="1"/>
  <c r="C56" i="20"/>
  <c r="J57" i="20"/>
  <c r="E57" i="20"/>
  <c r="G57" i="20"/>
  <c r="I57" i="20"/>
  <c r="D57" i="20"/>
  <c r="F57" i="20" s="1"/>
  <c r="A57" i="20" s="1"/>
  <c r="H57" i="20"/>
  <c r="C57" i="20"/>
  <c r="J58" i="20"/>
  <c r="I58" i="20"/>
  <c r="G58" i="20"/>
  <c r="E58" i="20"/>
  <c r="H58" i="20"/>
  <c r="D58" i="20"/>
  <c r="F58" i="20" s="1"/>
  <c r="A58" i="20" s="1"/>
  <c r="C58" i="20"/>
  <c r="E59" i="20"/>
  <c r="D59" i="20"/>
  <c r="F59" i="20" s="1"/>
  <c r="A59" i="20" s="1"/>
  <c r="H59" i="20"/>
  <c r="C59" i="20"/>
  <c r="G59" i="20"/>
  <c r="J59" i="20"/>
  <c r="I59" i="20"/>
  <c r="I60" i="20"/>
  <c r="D60" i="20"/>
  <c r="H60" i="20"/>
  <c r="E60" i="20"/>
  <c r="J60" i="20"/>
  <c r="G60" i="20"/>
  <c r="C60" i="20"/>
  <c r="J61" i="20"/>
  <c r="I61" i="20"/>
  <c r="E61" i="20"/>
  <c r="H61" i="20"/>
  <c r="G61" i="20"/>
  <c r="D61" i="20"/>
  <c r="F61" i="20" s="1"/>
  <c r="A61" i="20" s="1"/>
  <c r="C61" i="20"/>
  <c r="H62" i="20"/>
  <c r="G62" i="20"/>
  <c r="J62" i="20"/>
  <c r="I62" i="20"/>
  <c r="D62" i="20"/>
  <c r="E62" i="20"/>
  <c r="C62" i="20"/>
  <c r="D63" i="20"/>
  <c r="G63" i="20"/>
  <c r="H63" i="20"/>
  <c r="E63" i="20"/>
  <c r="J63" i="20"/>
  <c r="I63" i="20"/>
  <c r="C63" i="20"/>
  <c r="H64" i="20"/>
  <c r="E64" i="20"/>
  <c r="I64" i="20"/>
  <c r="G64" i="20"/>
  <c r="J64" i="20"/>
  <c r="D64" i="20"/>
  <c r="F64" i="20" s="1"/>
  <c r="A64" i="20" s="1"/>
  <c r="C64" i="20"/>
  <c r="E65" i="20"/>
  <c r="G65" i="20"/>
  <c r="H65" i="20"/>
  <c r="I65" i="20"/>
  <c r="J65" i="20"/>
  <c r="Q65" i="20" s="1"/>
  <c r="D65" i="20"/>
  <c r="C65" i="20"/>
  <c r="G66" i="20"/>
  <c r="I66" i="20"/>
  <c r="D66" i="20"/>
  <c r="E66" i="20"/>
  <c r="J66" i="20"/>
  <c r="H66" i="20"/>
  <c r="C66" i="20"/>
  <c r="I67" i="20"/>
  <c r="G67" i="20"/>
  <c r="J67" i="20"/>
  <c r="Q67" i="20" s="1"/>
  <c r="H67" i="20"/>
  <c r="D67" i="20"/>
  <c r="E67" i="20"/>
  <c r="C67" i="20"/>
  <c r="W46" i="6"/>
  <c r="K383" i="20" s="1"/>
  <c r="Y46" i="6"/>
  <c r="O383" i="20" s="1"/>
  <c r="Y383" i="20" s="1"/>
  <c r="Z46" i="6"/>
  <c r="P383" i="20" s="1"/>
  <c r="Z383" i="20" s="1"/>
  <c r="W47" i="6"/>
  <c r="K384" i="20" s="1"/>
  <c r="Z47" i="6"/>
  <c r="P384" i="20" s="1"/>
  <c r="Z384" i="20" s="1"/>
  <c r="Y47" i="6"/>
  <c r="O384" i="20" s="1"/>
  <c r="Y384" i="20" s="1"/>
  <c r="Y48" i="6"/>
  <c r="O385" i="20" s="1"/>
  <c r="Y385" i="20" s="1"/>
  <c r="Z48" i="6"/>
  <c r="P385" i="20" s="1"/>
  <c r="Z385" i="20" s="1"/>
  <c r="W48" i="6"/>
  <c r="K385" i="20" s="1"/>
  <c r="Z49" i="6"/>
  <c r="P386" i="20" s="1"/>
  <c r="Z386" i="20" s="1"/>
  <c r="Y49" i="6"/>
  <c r="O386" i="20" s="1"/>
  <c r="Y386" i="20" s="1"/>
  <c r="W49" i="6"/>
  <c r="K386" i="20" s="1"/>
  <c r="W50" i="6"/>
  <c r="K387" i="20" s="1"/>
  <c r="Z50" i="6"/>
  <c r="P387" i="20" s="1"/>
  <c r="Z387" i="20" s="1"/>
  <c r="Y50" i="6"/>
  <c r="O387" i="20" s="1"/>
  <c r="Y387" i="20" s="1"/>
  <c r="W51" i="6"/>
  <c r="K388" i="20" s="1"/>
  <c r="Y51" i="6"/>
  <c r="O388" i="20" s="1"/>
  <c r="Y388" i="20" s="1"/>
  <c r="Z51" i="6"/>
  <c r="P388" i="20" s="1"/>
  <c r="Z388" i="20" s="1"/>
  <c r="Y52" i="6"/>
  <c r="O389" i="20" s="1"/>
  <c r="Y389" i="20" s="1"/>
  <c r="W52" i="6"/>
  <c r="K389" i="20" s="1"/>
  <c r="Z52" i="6"/>
  <c r="P389" i="20" s="1"/>
  <c r="Z389" i="20" s="1"/>
  <c r="W53" i="6"/>
  <c r="K390" i="20" s="1"/>
  <c r="Y53" i="6"/>
  <c r="O390" i="20" s="1"/>
  <c r="Y390" i="20" s="1"/>
  <c r="Z53" i="6"/>
  <c r="P390" i="20" s="1"/>
  <c r="Z390" i="20" s="1"/>
  <c r="W54" i="6"/>
  <c r="K391" i="20" s="1"/>
  <c r="Y54" i="6"/>
  <c r="O391" i="20" s="1"/>
  <c r="Y391" i="20" s="1"/>
  <c r="Z54" i="6"/>
  <c r="P391" i="20" s="1"/>
  <c r="Z391" i="20" s="1"/>
  <c r="W55" i="6"/>
  <c r="K392" i="20" s="1"/>
  <c r="Z55" i="6"/>
  <c r="P392" i="20" s="1"/>
  <c r="Z392" i="20" s="1"/>
  <c r="Y55" i="6"/>
  <c r="O392" i="20" s="1"/>
  <c r="Y392" i="20" s="1"/>
  <c r="W56" i="6"/>
  <c r="K393" i="20" s="1"/>
  <c r="Z56" i="6"/>
  <c r="P393" i="20" s="1"/>
  <c r="Z393" i="20" s="1"/>
  <c r="Y56" i="6"/>
  <c r="O393" i="20" s="1"/>
  <c r="Y393" i="20" s="1"/>
  <c r="W57" i="6"/>
  <c r="K394" i="20" s="1"/>
  <c r="Z57" i="6"/>
  <c r="P394" i="20" s="1"/>
  <c r="Z394" i="20" s="1"/>
  <c r="Y57" i="6"/>
  <c r="O394" i="20" s="1"/>
  <c r="Y394" i="20" s="1"/>
  <c r="W58" i="6"/>
  <c r="K395" i="20" s="1"/>
  <c r="Y58" i="6"/>
  <c r="O395" i="20" s="1"/>
  <c r="Y395" i="20" s="1"/>
  <c r="Z58" i="6"/>
  <c r="P395" i="20" s="1"/>
  <c r="Z395" i="20" s="1"/>
  <c r="Z59" i="6"/>
  <c r="P396" i="20" s="1"/>
  <c r="Z396" i="20" s="1"/>
  <c r="Y59" i="6"/>
  <c r="O396" i="20" s="1"/>
  <c r="Y396" i="20" s="1"/>
  <c r="W59" i="6"/>
  <c r="K396" i="20" s="1"/>
  <c r="W60" i="6"/>
  <c r="K397" i="20" s="1"/>
  <c r="Y60" i="6"/>
  <c r="O397" i="20" s="1"/>
  <c r="Y397" i="20" s="1"/>
  <c r="Z60" i="6"/>
  <c r="P397" i="20" s="1"/>
  <c r="Z397" i="20" s="1"/>
  <c r="Y61" i="6"/>
  <c r="O398" i="20" s="1"/>
  <c r="Y398" i="20" s="1"/>
  <c r="Z61" i="6"/>
  <c r="P398" i="20" s="1"/>
  <c r="Z398" i="20" s="1"/>
  <c r="W61" i="6"/>
  <c r="K398" i="20" s="1"/>
  <c r="Y62" i="6"/>
  <c r="O399" i="20" s="1"/>
  <c r="Y399" i="20" s="1"/>
  <c r="W62" i="6"/>
  <c r="K399" i="20" s="1"/>
  <c r="Z62" i="6"/>
  <c r="P399" i="20" s="1"/>
  <c r="Z399" i="20" s="1"/>
  <c r="Z63" i="6"/>
  <c r="P400" i="20" s="1"/>
  <c r="Z400" i="20" s="1"/>
  <c r="Y63" i="6"/>
  <c r="O400" i="20" s="1"/>
  <c r="Y400" i="20" s="1"/>
  <c r="W63" i="6"/>
  <c r="K400" i="20" s="1"/>
  <c r="Z64" i="6"/>
  <c r="P401" i="20" s="1"/>
  <c r="Z401" i="20" s="1"/>
  <c r="Y64" i="6"/>
  <c r="O401" i="20" s="1"/>
  <c r="Y401" i="20" s="1"/>
  <c r="W64" i="6"/>
  <c r="K401" i="20" s="1"/>
  <c r="Y65" i="6"/>
  <c r="O402" i="20" s="1"/>
  <c r="Y402" i="20" s="1"/>
  <c r="W65" i="6"/>
  <c r="K402" i="20" s="1"/>
  <c r="Z65" i="6"/>
  <c r="P402" i="20" s="1"/>
  <c r="Z402" i="20" s="1"/>
  <c r="Y66" i="6"/>
  <c r="O403" i="20" s="1"/>
  <c r="Y403" i="20" s="1"/>
  <c r="W66" i="6"/>
  <c r="K403" i="20" s="1"/>
  <c r="Z66" i="6"/>
  <c r="P403" i="20" s="1"/>
  <c r="Z403" i="20" s="1"/>
  <c r="W5" i="6"/>
  <c r="Y5" i="6"/>
  <c r="Z5" i="6"/>
  <c r="Y6" i="6"/>
  <c r="Z6" i="6"/>
  <c r="W6" i="6"/>
  <c r="W7" i="6"/>
  <c r="Y7" i="6"/>
  <c r="Z7" i="6"/>
  <c r="W8" i="6"/>
  <c r="Y8" i="6"/>
  <c r="Z8" i="6"/>
  <c r="W9" i="6"/>
  <c r="Y9" i="6"/>
  <c r="Z9" i="6"/>
  <c r="W10" i="6"/>
  <c r="Y10" i="6"/>
  <c r="Z10" i="6"/>
  <c r="Y11" i="6"/>
  <c r="Z11" i="6"/>
  <c r="W11" i="6"/>
  <c r="Z12" i="6"/>
  <c r="W12" i="6"/>
  <c r="Y12" i="6"/>
  <c r="W13" i="6"/>
  <c r="Z13" i="6"/>
  <c r="Y13" i="6"/>
  <c r="Z14" i="6"/>
  <c r="W14" i="6"/>
  <c r="Y14" i="6"/>
  <c r="Z15" i="6"/>
  <c r="W15" i="6"/>
  <c r="Y15" i="6"/>
  <c r="W16" i="6"/>
  <c r="Y16" i="6"/>
  <c r="Z16" i="6"/>
  <c r="Z17" i="6"/>
  <c r="W17" i="6"/>
  <c r="Y17" i="6"/>
  <c r="W18" i="6"/>
  <c r="Z18" i="6"/>
  <c r="Y18" i="6"/>
  <c r="W19" i="6"/>
  <c r="Z19" i="6"/>
  <c r="Y19" i="6"/>
  <c r="W20" i="6"/>
  <c r="Z20" i="6"/>
  <c r="Y20" i="6"/>
  <c r="Y21" i="6"/>
  <c r="Z21" i="6"/>
  <c r="W21" i="6"/>
  <c r="Y22" i="6"/>
  <c r="Z22" i="6"/>
  <c r="W22" i="6"/>
  <c r="Z23" i="6"/>
  <c r="Y23" i="6"/>
  <c r="W23" i="6"/>
  <c r="Y24" i="6"/>
  <c r="Z24" i="6"/>
  <c r="W24" i="6"/>
  <c r="Z25" i="6"/>
  <c r="Y25" i="6"/>
  <c r="W25" i="6"/>
  <c r="Y26" i="6"/>
  <c r="Z26" i="6"/>
  <c r="W26" i="6"/>
  <c r="Y27" i="6"/>
  <c r="Z27" i="6"/>
  <c r="W27" i="6"/>
  <c r="W28" i="6"/>
  <c r="Y28" i="6"/>
  <c r="Z28" i="6"/>
  <c r="W29" i="6"/>
  <c r="Y29" i="6"/>
  <c r="Z29" i="6"/>
  <c r="Z30" i="6"/>
  <c r="W30" i="6"/>
  <c r="Y30" i="6"/>
  <c r="Z31" i="6"/>
  <c r="Y31" i="6"/>
  <c r="W31" i="6"/>
  <c r="Z32" i="6"/>
  <c r="W32" i="6"/>
  <c r="Y32" i="6"/>
  <c r="Z33" i="6"/>
  <c r="Y33" i="6"/>
  <c r="W33" i="6"/>
  <c r="Z34" i="6"/>
  <c r="W34" i="6"/>
  <c r="Y34" i="6"/>
  <c r="Y35" i="6"/>
  <c r="W35" i="6"/>
  <c r="Z35" i="6"/>
  <c r="Y36" i="6"/>
  <c r="Z36" i="6"/>
  <c r="W36" i="6"/>
  <c r="Y37" i="6"/>
  <c r="W37" i="6"/>
  <c r="Z37" i="6"/>
  <c r="Y38" i="6"/>
  <c r="W38" i="6"/>
  <c r="Z38" i="6"/>
  <c r="Y39" i="6"/>
  <c r="W39" i="6"/>
  <c r="Z39" i="6"/>
  <c r="Y40" i="6"/>
  <c r="W40" i="6"/>
  <c r="Z40" i="6"/>
  <c r="Y41" i="6"/>
  <c r="W41" i="6"/>
  <c r="Z41" i="6"/>
  <c r="Z42" i="6"/>
  <c r="W42" i="6"/>
  <c r="Y42" i="6"/>
  <c r="W43" i="6"/>
  <c r="Z43" i="6"/>
  <c r="Y43" i="6"/>
  <c r="Z44" i="6"/>
  <c r="W44" i="6"/>
  <c r="Y44" i="6"/>
  <c r="K34" i="7"/>
  <c r="K40" i="7"/>
  <c r="K51" i="7"/>
  <c r="AR5" i="5"/>
  <c r="K37" i="7"/>
  <c r="K38" i="7"/>
  <c r="K39" i="7"/>
  <c r="K41" i="7"/>
  <c r="K42" i="7"/>
  <c r="K43" i="7"/>
  <c r="K44" i="7"/>
  <c r="K45" i="7"/>
  <c r="K26" i="7"/>
  <c r="K46" i="7"/>
  <c r="K47" i="7"/>
  <c r="K48" i="7"/>
  <c r="K49" i="7"/>
  <c r="K50" i="7"/>
  <c r="K52" i="7"/>
  <c r="K36" i="7"/>
  <c r="K28" i="7"/>
  <c r="K29" i="7"/>
  <c r="K30" i="7"/>
  <c r="K31" i="7"/>
  <c r="K32" i="7"/>
  <c r="K33" i="7"/>
  <c r="K27" i="7"/>
  <c r="AN25" i="5"/>
  <c r="AM25" i="5"/>
  <c r="AK25" i="5"/>
  <c r="AK26" i="5"/>
  <c r="AN26" i="5"/>
  <c r="AM26" i="5"/>
  <c r="AK27" i="5"/>
  <c r="AN27" i="5"/>
  <c r="AM27" i="5"/>
  <c r="AK28" i="5"/>
  <c r="AM28" i="5"/>
  <c r="AN28" i="5"/>
  <c r="AK29" i="5"/>
  <c r="AM29" i="5"/>
  <c r="AN29" i="5"/>
  <c r="AK30" i="5"/>
  <c r="AN30" i="5"/>
  <c r="AM30" i="5"/>
  <c r="AM31" i="5"/>
  <c r="AK31" i="5"/>
  <c r="AN31" i="5"/>
  <c r="AK32" i="5"/>
  <c r="AM32" i="5"/>
  <c r="AN32" i="5"/>
  <c r="AK33" i="5"/>
  <c r="AM33" i="5"/>
  <c r="AN33" i="5"/>
  <c r="AK34" i="5"/>
  <c r="AM34" i="5"/>
  <c r="AN34" i="5"/>
  <c r="AK35" i="5"/>
  <c r="AM35" i="5"/>
  <c r="AN35" i="5"/>
  <c r="AN36" i="5"/>
  <c r="AM36" i="5"/>
  <c r="AK36" i="5"/>
  <c r="AM37" i="5"/>
  <c r="AK37" i="5"/>
  <c r="AN37" i="5"/>
  <c r="AM38" i="5"/>
  <c r="AN38" i="5"/>
  <c r="AK38" i="5"/>
  <c r="AM39" i="5"/>
  <c r="AN39" i="5"/>
  <c r="AK39" i="5"/>
  <c r="AM40" i="5"/>
  <c r="AN40" i="5"/>
  <c r="AK40" i="5"/>
  <c r="AN41" i="5"/>
  <c r="AK41" i="5"/>
  <c r="AM41" i="5"/>
  <c r="AK21" i="5"/>
  <c r="AM21" i="5"/>
  <c r="AN21" i="5"/>
  <c r="AK22" i="5"/>
  <c r="AN22" i="5"/>
  <c r="AM22" i="5"/>
  <c r="AM23" i="5"/>
  <c r="O323" i="20" s="1"/>
  <c r="Y323" i="20" s="1"/>
  <c r="AK23" i="5"/>
  <c r="K323" i="20" s="1"/>
  <c r="AN23" i="5"/>
  <c r="P323" i="20" s="1"/>
  <c r="Z323" i="20" s="1"/>
  <c r="AK5" i="5"/>
  <c r="AN5" i="5"/>
  <c r="AM5" i="5"/>
  <c r="AN6" i="5"/>
  <c r="AK6" i="5"/>
  <c r="AM6" i="5"/>
  <c r="AN7" i="5"/>
  <c r="AK7" i="5"/>
  <c r="AM7" i="5"/>
  <c r="AN8" i="5"/>
  <c r="AK8" i="5"/>
  <c r="AM8" i="5"/>
  <c r="AN9" i="5"/>
  <c r="AK9" i="5"/>
  <c r="AM9" i="5"/>
  <c r="AN10" i="5"/>
  <c r="AK10" i="5"/>
  <c r="AM10" i="5"/>
  <c r="AN11" i="5"/>
  <c r="AM11" i="5"/>
  <c r="AK11" i="5"/>
  <c r="AK12" i="5"/>
  <c r="AN12" i="5"/>
  <c r="AM12" i="5"/>
  <c r="AK13" i="5"/>
  <c r="AM13" i="5"/>
  <c r="AN13" i="5"/>
  <c r="AM14" i="5"/>
  <c r="AK14" i="5"/>
  <c r="AN14" i="5"/>
  <c r="AM15" i="5"/>
  <c r="AK15" i="5"/>
  <c r="AN15" i="5"/>
  <c r="AM16" i="5"/>
  <c r="AK16" i="5"/>
  <c r="AN16" i="5"/>
  <c r="AK17" i="5"/>
  <c r="AM17" i="5"/>
  <c r="AN17" i="5"/>
  <c r="AM18" i="5"/>
  <c r="AK18" i="5"/>
  <c r="AN18" i="5"/>
  <c r="AN19" i="5"/>
  <c r="AM19" i="5"/>
  <c r="AK19" i="5"/>
  <c r="V25" i="5"/>
  <c r="O288" i="20" s="1"/>
  <c r="Y288" i="20" s="1"/>
  <c r="T25" i="5"/>
  <c r="K288" i="20" s="1"/>
  <c r="W25" i="5"/>
  <c r="P288" i="20" s="1"/>
  <c r="Z288" i="20" s="1"/>
  <c r="W26" i="5"/>
  <c r="P289" i="20" s="1"/>
  <c r="Z289" i="20" s="1"/>
  <c r="T26" i="5"/>
  <c r="K289" i="20" s="1"/>
  <c r="V26" i="5"/>
  <c r="O289" i="20" s="1"/>
  <c r="Y289" i="20" s="1"/>
  <c r="V27" i="5"/>
  <c r="O290" i="20" s="1"/>
  <c r="Y290" i="20" s="1"/>
  <c r="W27" i="5"/>
  <c r="P290" i="20" s="1"/>
  <c r="Z290" i="20" s="1"/>
  <c r="T27" i="5"/>
  <c r="K290" i="20" s="1"/>
  <c r="W28" i="5"/>
  <c r="P291" i="20" s="1"/>
  <c r="Z291" i="20" s="1"/>
  <c r="V28" i="5"/>
  <c r="O291" i="20" s="1"/>
  <c r="Y291" i="20" s="1"/>
  <c r="T28" i="5"/>
  <c r="K291" i="20" s="1"/>
  <c r="W29" i="5"/>
  <c r="P292" i="20" s="1"/>
  <c r="Z292" i="20" s="1"/>
  <c r="T29" i="5"/>
  <c r="K292" i="20" s="1"/>
  <c r="V29" i="5"/>
  <c r="O292" i="20" s="1"/>
  <c r="Y292" i="20" s="1"/>
  <c r="V30" i="5"/>
  <c r="O293" i="20" s="1"/>
  <c r="Y293" i="20" s="1"/>
  <c r="W30" i="5"/>
  <c r="P293" i="20" s="1"/>
  <c r="Z293" i="20" s="1"/>
  <c r="T30" i="5"/>
  <c r="K293" i="20" s="1"/>
  <c r="W31" i="5"/>
  <c r="P294" i="20" s="1"/>
  <c r="Z294" i="20" s="1"/>
  <c r="V31" i="5"/>
  <c r="O294" i="20" s="1"/>
  <c r="Y294" i="20" s="1"/>
  <c r="T31" i="5"/>
  <c r="K294" i="20" s="1"/>
  <c r="V32" i="5"/>
  <c r="O295" i="20" s="1"/>
  <c r="Y295" i="20" s="1"/>
  <c r="T32" i="5"/>
  <c r="K295" i="20" s="1"/>
  <c r="W32" i="5"/>
  <c r="P295" i="20" s="1"/>
  <c r="Z295" i="20" s="1"/>
  <c r="V33" i="5"/>
  <c r="O296" i="20" s="1"/>
  <c r="Y296" i="20" s="1"/>
  <c r="W33" i="5"/>
  <c r="P296" i="20" s="1"/>
  <c r="Z296" i="20" s="1"/>
  <c r="T33" i="5"/>
  <c r="K296" i="20" s="1"/>
  <c r="W34" i="5"/>
  <c r="P297" i="20" s="1"/>
  <c r="Z297" i="20" s="1"/>
  <c r="T34" i="5"/>
  <c r="K297" i="20" s="1"/>
  <c r="V34" i="5"/>
  <c r="O297" i="20" s="1"/>
  <c r="Y297" i="20" s="1"/>
  <c r="W35" i="5"/>
  <c r="P298" i="20" s="1"/>
  <c r="Z298" i="20" s="1"/>
  <c r="T35" i="5"/>
  <c r="K298" i="20" s="1"/>
  <c r="V35" i="5"/>
  <c r="O298" i="20" s="1"/>
  <c r="Y298" i="20" s="1"/>
  <c r="T36" i="5"/>
  <c r="K299" i="20" s="1"/>
  <c r="V36" i="5"/>
  <c r="O299" i="20" s="1"/>
  <c r="Y299" i="20" s="1"/>
  <c r="W36" i="5"/>
  <c r="P299" i="20" s="1"/>
  <c r="Z299" i="20" s="1"/>
  <c r="V37" i="5"/>
  <c r="O300" i="20" s="1"/>
  <c r="Y300" i="20" s="1"/>
  <c r="T37" i="5"/>
  <c r="K300" i="20" s="1"/>
  <c r="W37" i="5"/>
  <c r="P300" i="20" s="1"/>
  <c r="Z300" i="20" s="1"/>
  <c r="V38" i="5"/>
  <c r="O301" i="20" s="1"/>
  <c r="Y301" i="20" s="1"/>
  <c r="W38" i="5"/>
  <c r="P301" i="20" s="1"/>
  <c r="Z301" i="20" s="1"/>
  <c r="T38" i="5"/>
  <c r="K301" i="20" s="1"/>
  <c r="T39" i="5"/>
  <c r="K302" i="20" s="1"/>
  <c r="V39" i="5"/>
  <c r="O302" i="20" s="1"/>
  <c r="Y302" i="20" s="1"/>
  <c r="W39" i="5"/>
  <c r="P302" i="20" s="1"/>
  <c r="Z302" i="20" s="1"/>
  <c r="W40" i="5"/>
  <c r="V40" i="5"/>
  <c r="T40" i="5"/>
  <c r="T41" i="5"/>
  <c r="K304" i="20" s="1"/>
  <c r="V41" i="5"/>
  <c r="O304" i="20" s="1"/>
  <c r="Y304" i="20" s="1"/>
  <c r="W41" i="5"/>
  <c r="P304" i="20" s="1"/>
  <c r="Z304" i="20" s="1"/>
  <c r="W21" i="5"/>
  <c r="P284" i="20" s="1"/>
  <c r="Z284" i="20" s="1"/>
  <c r="T21" i="5"/>
  <c r="K284" i="20" s="1"/>
  <c r="V21" i="5"/>
  <c r="O284" i="20" s="1"/>
  <c r="Y284" i="20" s="1"/>
  <c r="V22" i="5"/>
  <c r="O285" i="20" s="1"/>
  <c r="Y285" i="20" s="1"/>
  <c r="W22" i="5"/>
  <c r="P285" i="20" s="1"/>
  <c r="Z285" i="20" s="1"/>
  <c r="T22" i="5"/>
  <c r="K285" i="20" s="1"/>
  <c r="T23" i="5"/>
  <c r="K286" i="20" s="1"/>
  <c r="V23" i="5"/>
  <c r="O286" i="20" s="1"/>
  <c r="Y286" i="20" s="1"/>
  <c r="W23" i="5"/>
  <c r="P286" i="20" s="1"/>
  <c r="Z286" i="20" s="1"/>
  <c r="V5" i="5"/>
  <c r="T5" i="5"/>
  <c r="W5" i="5"/>
  <c r="W6" i="5"/>
  <c r="T6" i="5"/>
  <c r="V6" i="5"/>
  <c r="V7" i="5"/>
  <c r="W7" i="5"/>
  <c r="T7" i="5"/>
  <c r="T8" i="5"/>
  <c r="V8" i="5"/>
  <c r="W8" i="5"/>
  <c r="V9" i="5"/>
  <c r="T9" i="5"/>
  <c r="W9" i="5"/>
  <c r="W10" i="5"/>
  <c r="T10" i="5"/>
  <c r="V10" i="5"/>
  <c r="V11" i="5"/>
  <c r="T11" i="5"/>
  <c r="W11" i="5"/>
  <c r="V12" i="5"/>
  <c r="T12" i="5"/>
  <c r="W12" i="5"/>
  <c r="T13" i="5"/>
  <c r="V13" i="5"/>
  <c r="W13" i="5"/>
  <c r="T14" i="5"/>
  <c r="V14" i="5"/>
  <c r="W14" i="5"/>
  <c r="V15" i="5"/>
  <c r="W15" i="5"/>
  <c r="T15" i="5"/>
  <c r="W16" i="5"/>
  <c r="V16" i="5"/>
  <c r="T16" i="5"/>
  <c r="T17" i="5"/>
  <c r="W17" i="5"/>
  <c r="V17" i="5"/>
  <c r="T18" i="5"/>
  <c r="W18" i="5"/>
  <c r="V18" i="5"/>
  <c r="W19" i="5"/>
  <c r="T19" i="5"/>
  <c r="V19" i="5"/>
  <c r="AJ71" i="4"/>
  <c r="AK71" i="4" s="1"/>
  <c r="BE71" i="4"/>
  <c r="AJ72" i="4"/>
  <c r="AK72" i="4" s="1"/>
  <c r="BE72" i="4"/>
  <c r="AJ73" i="4"/>
  <c r="AK73" i="4" s="1"/>
  <c r="BE73" i="4"/>
  <c r="AJ74" i="4"/>
  <c r="AK74" i="4" s="1"/>
  <c r="BE74" i="4"/>
  <c r="AJ75" i="4"/>
  <c r="AK75" i="4" s="1"/>
  <c r="BE75" i="4"/>
  <c r="AJ76" i="4"/>
  <c r="AK76" i="4" s="1"/>
  <c r="BE76" i="4"/>
  <c r="AJ77" i="4"/>
  <c r="AK77" i="4" s="1"/>
  <c r="BE77" i="4"/>
  <c r="AJ78" i="4"/>
  <c r="AK78" i="4" s="1"/>
  <c r="BE78" i="4"/>
  <c r="AJ66" i="4"/>
  <c r="AK66" i="4" s="1"/>
  <c r="BE66" i="4"/>
  <c r="AJ67" i="4"/>
  <c r="AK67" i="4" s="1"/>
  <c r="BE67" i="4"/>
  <c r="AJ68" i="4"/>
  <c r="AK68" i="4" s="1"/>
  <c r="BE68" i="4"/>
  <c r="AJ69" i="4"/>
  <c r="AK69" i="4" s="1"/>
  <c r="BE69" i="4"/>
  <c r="AJ5" i="4"/>
  <c r="AK5" i="4" s="1"/>
  <c r="BE5" i="4"/>
  <c r="AJ6" i="4"/>
  <c r="AK6" i="4" s="1"/>
  <c r="BE6" i="4"/>
  <c r="AJ7" i="4"/>
  <c r="AK7" i="4" s="1"/>
  <c r="BE7" i="4"/>
  <c r="AJ8" i="4"/>
  <c r="AK8" i="4" s="1"/>
  <c r="BE8" i="4"/>
  <c r="AJ9" i="4"/>
  <c r="AK9" i="4" s="1"/>
  <c r="BE9" i="4"/>
  <c r="AJ10" i="4"/>
  <c r="AK10" i="4" s="1"/>
  <c r="BE10" i="4"/>
  <c r="AJ11" i="4"/>
  <c r="AK11" i="4" s="1"/>
  <c r="BE11" i="4"/>
  <c r="AJ12" i="4"/>
  <c r="AK12" i="4" s="1"/>
  <c r="BE12" i="4"/>
  <c r="AJ13" i="4"/>
  <c r="AK13" i="4" s="1"/>
  <c r="BE13" i="4"/>
  <c r="AJ14" i="4"/>
  <c r="AK14" i="4" s="1"/>
  <c r="BE14" i="4"/>
  <c r="AJ15" i="4"/>
  <c r="AK15" i="4" s="1"/>
  <c r="BE15" i="4"/>
  <c r="AJ16" i="4"/>
  <c r="AK16" i="4" s="1"/>
  <c r="BE16" i="4"/>
  <c r="AJ17" i="4"/>
  <c r="AK17" i="4" s="1"/>
  <c r="BE17" i="4"/>
  <c r="AJ18" i="4"/>
  <c r="AK18" i="4" s="1"/>
  <c r="BE18" i="4"/>
  <c r="AJ19" i="4"/>
  <c r="AK19" i="4" s="1"/>
  <c r="BE19" i="4"/>
  <c r="AJ20" i="4"/>
  <c r="AK20" i="4" s="1"/>
  <c r="BE20" i="4"/>
  <c r="AJ21" i="4"/>
  <c r="AK21" i="4" s="1"/>
  <c r="BE21" i="4"/>
  <c r="AJ22" i="4"/>
  <c r="AK22" i="4" s="1"/>
  <c r="BE22" i="4"/>
  <c r="AJ23" i="4"/>
  <c r="AK23" i="4" s="1"/>
  <c r="BE23" i="4"/>
  <c r="AJ24" i="4"/>
  <c r="AK24" i="4" s="1"/>
  <c r="BE24" i="4"/>
  <c r="AJ25" i="4"/>
  <c r="AK25" i="4" s="1"/>
  <c r="BE25" i="4"/>
  <c r="AJ26" i="4"/>
  <c r="AK26" i="4" s="1"/>
  <c r="BE26" i="4"/>
  <c r="AJ27" i="4"/>
  <c r="AK27" i="4" s="1"/>
  <c r="BE27" i="4"/>
  <c r="AJ28" i="4"/>
  <c r="AK28" i="4" s="1"/>
  <c r="BE28" i="4"/>
  <c r="AJ29" i="4"/>
  <c r="AK29" i="4" s="1"/>
  <c r="BE29" i="4"/>
  <c r="AJ30" i="4"/>
  <c r="AK30" i="4" s="1"/>
  <c r="BE30" i="4"/>
  <c r="AJ31" i="4"/>
  <c r="AK31" i="4" s="1"/>
  <c r="BE31" i="4"/>
  <c r="AJ32" i="4"/>
  <c r="AK32" i="4" s="1"/>
  <c r="BE32" i="4"/>
  <c r="AJ33" i="4"/>
  <c r="AK33" i="4" s="1"/>
  <c r="BE33" i="4"/>
  <c r="AJ34" i="4"/>
  <c r="AK34" i="4" s="1"/>
  <c r="BE34" i="4"/>
  <c r="AJ35" i="4"/>
  <c r="AK35" i="4" s="1"/>
  <c r="BE35" i="4"/>
  <c r="AJ36" i="4"/>
  <c r="AK36" i="4" s="1"/>
  <c r="BE36" i="4"/>
  <c r="AJ37" i="4"/>
  <c r="AK37" i="4" s="1"/>
  <c r="BE37" i="4"/>
  <c r="AJ38" i="4"/>
  <c r="AK38" i="4" s="1"/>
  <c r="BE38" i="4"/>
  <c r="AJ39" i="4"/>
  <c r="AK39" i="4" s="1"/>
  <c r="BE39" i="4"/>
  <c r="AJ40" i="4"/>
  <c r="AK40" i="4" s="1"/>
  <c r="BE40" i="4"/>
  <c r="AJ41" i="4"/>
  <c r="AK41" i="4" s="1"/>
  <c r="BE41" i="4"/>
  <c r="AJ42" i="4"/>
  <c r="AK42" i="4" s="1"/>
  <c r="BE42" i="4"/>
  <c r="AJ43" i="4"/>
  <c r="AK43" i="4" s="1"/>
  <c r="BE43" i="4"/>
  <c r="AJ44" i="4"/>
  <c r="AK44" i="4" s="1"/>
  <c r="BE44" i="4"/>
  <c r="AJ45" i="4"/>
  <c r="AK45" i="4" s="1"/>
  <c r="BE45" i="4"/>
  <c r="AJ46" i="4"/>
  <c r="AK46" i="4" s="1"/>
  <c r="BE46" i="4"/>
  <c r="AJ47" i="4"/>
  <c r="AK47" i="4" s="1"/>
  <c r="BE47" i="4"/>
  <c r="AJ48" i="4"/>
  <c r="AK48" i="4" s="1"/>
  <c r="BE48" i="4"/>
  <c r="AJ49" i="4"/>
  <c r="AK49" i="4" s="1"/>
  <c r="BE49" i="4"/>
  <c r="AJ50" i="4"/>
  <c r="AK50" i="4" s="1"/>
  <c r="BE50" i="4"/>
  <c r="AJ51" i="4"/>
  <c r="AK51" i="4" s="1"/>
  <c r="BE51" i="4"/>
  <c r="AJ52" i="4"/>
  <c r="AK52" i="4" s="1"/>
  <c r="BE52" i="4"/>
  <c r="AJ53" i="4"/>
  <c r="AK53" i="4" s="1"/>
  <c r="BE53" i="4"/>
  <c r="AJ54" i="4"/>
  <c r="AK54" i="4" s="1"/>
  <c r="BE54" i="4"/>
  <c r="AJ55" i="4"/>
  <c r="AK55" i="4" s="1"/>
  <c r="BE55" i="4"/>
  <c r="AJ56" i="4"/>
  <c r="AK56" i="4" s="1"/>
  <c r="BE56" i="4"/>
  <c r="AJ57" i="4"/>
  <c r="AK57" i="4" s="1"/>
  <c r="BE57" i="4"/>
  <c r="AJ58" i="4"/>
  <c r="AK58" i="4" s="1"/>
  <c r="BE58" i="4"/>
  <c r="AJ59" i="4"/>
  <c r="AK59" i="4" s="1"/>
  <c r="BE59" i="4"/>
  <c r="AJ60" i="4"/>
  <c r="AK60" i="4" s="1"/>
  <c r="BE60" i="4"/>
  <c r="AJ61" i="4"/>
  <c r="AK61" i="4" s="1"/>
  <c r="BE61" i="4"/>
  <c r="AJ62" i="4"/>
  <c r="AK62" i="4" s="1"/>
  <c r="BE62" i="4"/>
  <c r="AJ63" i="4"/>
  <c r="AK63" i="4" s="1"/>
  <c r="BE63" i="4"/>
  <c r="AJ64" i="4"/>
  <c r="AK64" i="4" s="1"/>
  <c r="BE64" i="4"/>
  <c r="X71" i="4"/>
  <c r="Z71" i="4"/>
  <c r="O260" i="20" s="1"/>
  <c r="Y260" i="20" s="1"/>
  <c r="AA71" i="4"/>
  <c r="X72" i="4"/>
  <c r="Z72" i="4"/>
  <c r="AA72" i="4"/>
  <c r="P261" i="20" s="1"/>
  <c r="Z261" i="20" s="1"/>
  <c r="AA73" i="4"/>
  <c r="P262" i="20" s="1"/>
  <c r="Z262" i="20" s="1"/>
  <c r="Z73" i="4"/>
  <c r="X73" i="4"/>
  <c r="Z74" i="4"/>
  <c r="X74" i="4"/>
  <c r="AA74" i="4"/>
  <c r="P263" i="20" s="1"/>
  <c r="Z263" i="20" s="1"/>
  <c r="AA75" i="4"/>
  <c r="P264" i="20" s="1"/>
  <c r="Z264" i="20" s="1"/>
  <c r="X75" i="4"/>
  <c r="Z75" i="4"/>
  <c r="Z76" i="4"/>
  <c r="X76" i="4"/>
  <c r="AA76" i="4"/>
  <c r="AO76" i="4"/>
  <c r="X77" i="4"/>
  <c r="AA77" i="4"/>
  <c r="Z77" i="4"/>
  <c r="AO77" i="4" s="1"/>
  <c r="Z78" i="4"/>
  <c r="AA78" i="4"/>
  <c r="AO78" i="4"/>
  <c r="X78" i="4"/>
  <c r="AA66" i="4"/>
  <c r="P255" i="20" s="1"/>
  <c r="Z255" i="20" s="1"/>
  <c r="X66" i="4"/>
  <c r="Z66" i="4"/>
  <c r="Z67" i="4"/>
  <c r="O256" i="20" s="1"/>
  <c r="Y256" i="20" s="1"/>
  <c r="X67" i="4"/>
  <c r="AA67" i="4"/>
  <c r="Z68" i="4"/>
  <c r="O257" i="20" s="1"/>
  <c r="Y257" i="20" s="1"/>
  <c r="X68" i="4"/>
  <c r="AA68" i="4"/>
  <c r="X69" i="4"/>
  <c r="Z69" i="4"/>
  <c r="AA69" i="4"/>
  <c r="P258" i="20" s="1"/>
  <c r="Z258" i="20" s="1"/>
  <c r="Z5" i="4"/>
  <c r="X5" i="4"/>
  <c r="AA5" i="4"/>
  <c r="AO5" i="4"/>
  <c r="X6" i="4"/>
  <c r="AA6" i="4"/>
  <c r="Z6" i="4"/>
  <c r="AO6" i="4" s="1"/>
  <c r="X7" i="4"/>
  <c r="AA7" i="4"/>
  <c r="Z7" i="4"/>
  <c r="AO7" i="4" s="1"/>
  <c r="X8" i="4"/>
  <c r="AA8" i="4"/>
  <c r="Z8" i="4"/>
  <c r="AO8" i="4" s="1"/>
  <c r="X9" i="4"/>
  <c r="Z9" i="4"/>
  <c r="AA9" i="4"/>
  <c r="Z10" i="4"/>
  <c r="X10" i="4"/>
  <c r="AA10" i="4"/>
  <c r="Z11" i="4"/>
  <c r="AA11" i="4"/>
  <c r="X11" i="4"/>
  <c r="Z12" i="4"/>
  <c r="AA12" i="4"/>
  <c r="X12" i="4"/>
  <c r="Z13" i="4"/>
  <c r="AA13" i="4"/>
  <c r="X13" i="4"/>
  <c r="Z14" i="4"/>
  <c r="AA14" i="4"/>
  <c r="X14" i="4"/>
  <c r="Z15" i="4"/>
  <c r="AA15" i="4"/>
  <c r="X15" i="4"/>
  <c r="AA16" i="4"/>
  <c r="X16" i="4"/>
  <c r="Z16" i="4"/>
  <c r="AO16" i="4" s="1"/>
  <c r="X17" i="4"/>
  <c r="Z17" i="4"/>
  <c r="AA17" i="4"/>
  <c r="AA18" i="4"/>
  <c r="Z18" i="4"/>
  <c r="AO18" i="4" s="1"/>
  <c r="X18" i="4"/>
  <c r="AA19" i="4"/>
  <c r="Z19" i="4"/>
  <c r="AO19" i="4" s="1"/>
  <c r="X19" i="4"/>
  <c r="AA20" i="4"/>
  <c r="Z20" i="4"/>
  <c r="AO20" i="4" s="1"/>
  <c r="X20" i="4"/>
  <c r="X21" i="4"/>
  <c r="Z21" i="4"/>
  <c r="AA21" i="4"/>
  <c r="Z22" i="4"/>
  <c r="X22" i="4"/>
  <c r="AA22" i="4"/>
  <c r="X23" i="4"/>
  <c r="Z23" i="4"/>
  <c r="AA23" i="4"/>
  <c r="X24" i="4"/>
  <c r="Z24" i="4"/>
  <c r="AA24" i="4"/>
  <c r="AA25" i="4"/>
  <c r="X25" i="4"/>
  <c r="Z25" i="4"/>
  <c r="AO25" i="4" s="1"/>
  <c r="X26" i="4"/>
  <c r="AA26" i="4"/>
  <c r="Z26" i="4"/>
  <c r="AO26" i="4"/>
  <c r="X27" i="4"/>
  <c r="AA27" i="4"/>
  <c r="Z27" i="4"/>
  <c r="AO27" i="4" s="1"/>
  <c r="X28" i="4"/>
  <c r="AA28" i="4"/>
  <c r="Z28" i="4"/>
  <c r="AO28" i="4" s="1"/>
  <c r="AA29" i="4"/>
  <c r="X29" i="4"/>
  <c r="Z29" i="4"/>
  <c r="AO29" i="4" s="1"/>
  <c r="AA30" i="4"/>
  <c r="X30" i="4"/>
  <c r="Z30" i="4"/>
  <c r="AO30" i="4" s="1"/>
  <c r="AA31" i="4"/>
  <c r="X31" i="4"/>
  <c r="Z31" i="4"/>
  <c r="AO31" i="4" s="1"/>
  <c r="AA32" i="4"/>
  <c r="X32" i="4"/>
  <c r="Z32" i="4"/>
  <c r="AO32" i="4" s="1"/>
  <c r="AA33" i="4"/>
  <c r="X33" i="4"/>
  <c r="Z33" i="4"/>
  <c r="AO33" i="4" s="1"/>
  <c r="AA34" i="4"/>
  <c r="Z34" i="4"/>
  <c r="X34" i="4"/>
  <c r="AO34" i="4"/>
  <c r="AA35" i="4"/>
  <c r="Z35" i="4"/>
  <c r="AO35" i="4"/>
  <c r="X35" i="4"/>
  <c r="AA36" i="4"/>
  <c r="Z36" i="4"/>
  <c r="X36" i="4"/>
  <c r="AO36" i="4"/>
  <c r="AA37" i="4"/>
  <c r="Z37" i="4"/>
  <c r="X37" i="4"/>
  <c r="AO37" i="4"/>
  <c r="AA38" i="4"/>
  <c r="Z38" i="4"/>
  <c r="X38" i="4"/>
  <c r="AO38" i="4"/>
  <c r="AA39" i="4"/>
  <c r="Z39" i="4"/>
  <c r="X39" i="4"/>
  <c r="AO39" i="4"/>
  <c r="X40" i="4"/>
  <c r="Z40" i="4"/>
  <c r="AA40" i="4"/>
  <c r="AO40" i="4"/>
  <c r="Z41" i="4"/>
  <c r="AA41" i="4"/>
  <c r="X41" i="4"/>
  <c r="AA42" i="4"/>
  <c r="X42" i="4"/>
  <c r="Z42" i="4"/>
  <c r="AO42" i="4" s="1"/>
  <c r="AA43" i="4"/>
  <c r="X43" i="4"/>
  <c r="Z43" i="4"/>
  <c r="AO43" i="4"/>
  <c r="Z44" i="4"/>
  <c r="AA44" i="4"/>
  <c r="AO44" i="4" s="1"/>
  <c r="X44" i="4"/>
  <c r="Z45" i="4"/>
  <c r="X45" i="4"/>
  <c r="AA45" i="4"/>
  <c r="AO45" i="4" s="1"/>
  <c r="X46" i="4"/>
  <c r="Z46" i="4"/>
  <c r="AA46" i="4"/>
  <c r="AO46" i="4" s="1"/>
  <c r="Z47" i="4"/>
  <c r="X47" i="4"/>
  <c r="AA47" i="4"/>
  <c r="AO47" i="4" s="1"/>
  <c r="X48" i="4"/>
  <c r="Z48" i="4"/>
  <c r="AA48" i="4"/>
  <c r="AO48" i="4" s="1"/>
  <c r="Z49" i="4"/>
  <c r="X49" i="4"/>
  <c r="AA49" i="4"/>
  <c r="AO49" i="4" s="1"/>
  <c r="Z50" i="4"/>
  <c r="X50" i="4"/>
  <c r="AA50" i="4"/>
  <c r="AO50" i="4"/>
  <c r="Z51" i="4"/>
  <c r="X51" i="4"/>
  <c r="AA51" i="4"/>
  <c r="AO51" i="4" s="1"/>
  <c r="Z52" i="4"/>
  <c r="AA52" i="4"/>
  <c r="X52" i="4"/>
  <c r="AO52" i="4"/>
  <c r="Z53" i="4"/>
  <c r="AA53" i="4"/>
  <c r="AO53" i="4" s="1"/>
  <c r="X53" i="4"/>
  <c r="AA54" i="4"/>
  <c r="Z54" i="4"/>
  <c r="X54" i="4"/>
  <c r="AO54" i="4"/>
  <c r="Z55" i="4"/>
  <c r="X55" i="4"/>
  <c r="AA55" i="4"/>
  <c r="AO55" i="4" s="1"/>
  <c r="Z56" i="4"/>
  <c r="AA56" i="4"/>
  <c r="AO56" i="4" s="1"/>
  <c r="X56" i="4"/>
  <c r="Z57" i="4"/>
  <c r="AA57" i="4"/>
  <c r="AO57" i="4" s="1"/>
  <c r="X57" i="4"/>
  <c r="Z58" i="4"/>
  <c r="X58" i="4"/>
  <c r="AA58" i="4"/>
  <c r="AO58" i="4" s="1"/>
  <c r="Z59" i="4"/>
  <c r="X59" i="4"/>
  <c r="AA59" i="4"/>
  <c r="AO59" i="4" s="1"/>
  <c r="Z60" i="4"/>
  <c r="AA60" i="4"/>
  <c r="AO60" i="4"/>
  <c r="X60" i="4"/>
  <c r="Z61" i="4"/>
  <c r="X61" i="4"/>
  <c r="AA61" i="4"/>
  <c r="AO61" i="4" s="1"/>
  <c r="Z62" i="4"/>
  <c r="X62" i="4"/>
  <c r="AA62" i="4"/>
  <c r="AO62" i="4" s="1"/>
  <c r="X63" i="4"/>
  <c r="Z63" i="4"/>
  <c r="AA63" i="4"/>
  <c r="AO63" i="4"/>
  <c r="X64" i="4"/>
  <c r="Z64" i="4"/>
  <c r="AA64" i="4"/>
  <c r="AO64" i="4" s="1"/>
  <c r="BM5" i="3"/>
  <c r="J37" i="7"/>
  <c r="J38" i="7"/>
  <c r="J39" i="7"/>
  <c r="J40" i="7"/>
  <c r="J51" i="7"/>
  <c r="J41" i="7"/>
  <c r="J42" i="7"/>
  <c r="J43" i="7"/>
  <c r="J44" i="7"/>
  <c r="J45" i="7"/>
  <c r="J46" i="7"/>
  <c r="J47" i="7"/>
  <c r="J48" i="7"/>
  <c r="J49" i="7"/>
  <c r="J50" i="7"/>
  <c r="J26" i="7"/>
  <c r="J52" i="7"/>
  <c r="J36" i="7"/>
  <c r="BM12" i="3"/>
  <c r="J27" i="7"/>
  <c r="BM20" i="3"/>
  <c r="J28" i="7"/>
  <c r="BM27" i="3"/>
  <c r="J29" i="7"/>
  <c r="BH48" i="3"/>
  <c r="BI48" i="3"/>
  <c r="BF48" i="3"/>
  <c r="BF49" i="3"/>
  <c r="BH49" i="3"/>
  <c r="BI49" i="3"/>
  <c r="BI50" i="3"/>
  <c r="BF50" i="3"/>
  <c r="BH50" i="3"/>
  <c r="BI51" i="3"/>
  <c r="BF51" i="3"/>
  <c r="BH51" i="3"/>
  <c r="BI52" i="3"/>
  <c r="BH52" i="3"/>
  <c r="BF52" i="3"/>
  <c r="BI53" i="3"/>
  <c r="BH53" i="3"/>
  <c r="BF53" i="3"/>
  <c r="BI54" i="3"/>
  <c r="BH54" i="3"/>
  <c r="BF54" i="3"/>
  <c r="BI55" i="3"/>
  <c r="P181" i="20" s="1"/>
  <c r="Z181" i="20" s="1"/>
  <c r="BH55" i="3"/>
  <c r="O181" i="20" s="1"/>
  <c r="Y181" i="20" s="1"/>
  <c r="BF55" i="3"/>
  <c r="K181" i="20" s="1"/>
  <c r="BI56" i="3"/>
  <c r="BH56" i="3"/>
  <c r="BF56" i="3"/>
  <c r="BI57" i="3"/>
  <c r="BH57" i="3"/>
  <c r="BF57" i="3"/>
  <c r="BI58" i="3"/>
  <c r="BF58" i="3"/>
  <c r="BH58" i="3"/>
  <c r="BI59" i="3"/>
  <c r="BF59" i="3"/>
  <c r="BH59" i="3"/>
  <c r="BI60" i="3"/>
  <c r="BH60" i="3"/>
  <c r="BF60" i="3"/>
  <c r="BI61" i="3"/>
  <c r="BH61" i="3"/>
  <c r="BF61" i="3"/>
  <c r="BH62" i="3"/>
  <c r="BF62" i="3"/>
  <c r="BI62" i="3"/>
  <c r="BH63" i="3"/>
  <c r="BF63" i="3"/>
  <c r="BI63" i="3"/>
  <c r="BH64" i="3"/>
  <c r="BF64" i="3"/>
  <c r="BI64" i="3"/>
  <c r="BH65" i="3"/>
  <c r="BF65" i="3"/>
  <c r="BI65" i="3"/>
  <c r="BF66" i="3"/>
  <c r="BH66" i="3"/>
  <c r="BI66" i="3"/>
  <c r="BF67" i="3"/>
  <c r="BH67" i="3"/>
  <c r="BI67" i="3"/>
  <c r="BF36" i="3"/>
  <c r="BH36" i="3"/>
  <c r="BI36" i="3"/>
  <c r="BI37" i="3"/>
  <c r="BF37" i="3"/>
  <c r="BH37" i="3"/>
  <c r="BF38" i="3"/>
  <c r="BI38" i="3"/>
  <c r="BH38" i="3"/>
  <c r="BF39" i="3"/>
  <c r="BI39" i="3"/>
  <c r="BH39" i="3"/>
  <c r="BI40" i="3"/>
  <c r="BF40" i="3"/>
  <c r="BH40" i="3"/>
  <c r="BI41" i="3"/>
  <c r="BH41" i="3"/>
  <c r="BF41" i="3"/>
  <c r="BF42" i="3"/>
  <c r="BH42" i="3"/>
  <c r="BI42" i="3"/>
  <c r="BF43" i="3"/>
  <c r="BH43" i="3"/>
  <c r="BI43" i="3"/>
  <c r="BI44" i="3"/>
  <c r="BF44" i="3"/>
  <c r="BH44" i="3"/>
  <c r="BH45" i="3"/>
  <c r="BI45" i="3"/>
  <c r="BF45" i="3"/>
  <c r="BI46" i="3"/>
  <c r="BH46" i="3"/>
  <c r="BF46" i="3"/>
  <c r="BI5" i="3"/>
  <c r="BH5" i="3"/>
  <c r="BF5" i="3"/>
  <c r="BI6" i="3"/>
  <c r="BH6" i="3"/>
  <c r="BF6" i="3"/>
  <c r="BI7" i="3"/>
  <c r="BF7" i="3"/>
  <c r="BH7" i="3"/>
  <c r="BH8" i="3"/>
  <c r="BI8" i="3"/>
  <c r="BF8" i="3"/>
  <c r="BH9" i="3"/>
  <c r="BI9" i="3"/>
  <c r="BF9" i="3"/>
  <c r="BF10" i="3"/>
  <c r="BI10" i="3"/>
  <c r="BH10" i="3"/>
  <c r="BF11" i="3"/>
  <c r="BH11" i="3"/>
  <c r="BI11" i="3"/>
  <c r="BH12" i="3"/>
  <c r="BF12" i="3"/>
  <c r="BI12" i="3"/>
  <c r="BH13" i="3"/>
  <c r="BF13" i="3"/>
  <c r="BI13" i="3"/>
  <c r="BF14" i="3"/>
  <c r="BH14" i="3"/>
  <c r="BI14" i="3"/>
  <c r="BH15" i="3"/>
  <c r="BF15" i="3"/>
  <c r="BI15" i="3"/>
  <c r="BF16" i="3"/>
  <c r="BI16" i="3"/>
  <c r="BH16" i="3"/>
  <c r="BH17" i="3"/>
  <c r="BI17" i="3"/>
  <c r="BF17" i="3"/>
  <c r="BH18" i="3"/>
  <c r="BI18" i="3"/>
  <c r="BF18" i="3"/>
  <c r="BI19" i="3"/>
  <c r="BH19" i="3"/>
  <c r="BF19" i="3"/>
  <c r="BH20" i="3"/>
  <c r="BF20" i="3"/>
  <c r="BI20" i="3"/>
  <c r="BH21" i="3"/>
  <c r="BF21" i="3"/>
  <c r="BI21" i="3"/>
  <c r="BH22" i="3"/>
  <c r="BI22" i="3"/>
  <c r="BF22" i="3"/>
  <c r="BH23" i="3"/>
  <c r="BI23" i="3"/>
  <c r="BF23" i="3"/>
  <c r="BH24" i="3"/>
  <c r="BF24" i="3"/>
  <c r="BI24" i="3"/>
  <c r="BI25" i="3"/>
  <c r="BF25" i="3"/>
  <c r="BH25" i="3"/>
  <c r="BH26" i="3"/>
  <c r="BI26" i="3"/>
  <c r="BF26" i="3"/>
  <c r="BI27" i="3"/>
  <c r="BF27" i="3"/>
  <c r="BH27" i="3"/>
  <c r="BF28" i="3"/>
  <c r="BI28" i="3"/>
  <c r="BH28" i="3"/>
  <c r="BI29" i="3"/>
  <c r="BF29" i="3"/>
  <c r="BH29" i="3"/>
  <c r="BH30" i="3"/>
  <c r="BF30" i="3"/>
  <c r="BI30" i="3"/>
  <c r="BI31" i="3"/>
  <c r="BH31" i="3"/>
  <c r="BF31" i="3"/>
  <c r="BI32" i="3"/>
  <c r="BH32" i="3"/>
  <c r="BF32" i="3"/>
  <c r="BI33" i="3"/>
  <c r="BF33" i="3"/>
  <c r="BH33" i="3"/>
  <c r="BH34" i="3"/>
  <c r="BI34" i="3"/>
  <c r="BF34" i="3"/>
  <c r="AR48" i="3"/>
  <c r="AQ48" i="3"/>
  <c r="AO48" i="3"/>
  <c r="AO49" i="3"/>
  <c r="AR49" i="3"/>
  <c r="AQ49" i="3"/>
  <c r="AO50" i="3"/>
  <c r="AR50" i="3"/>
  <c r="AQ50" i="3"/>
  <c r="AR51" i="3"/>
  <c r="AO51" i="3"/>
  <c r="AQ51" i="3"/>
  <c r="AR52" i="3"/>
  <c r="AO52" i="3"/>
  <c r="AQ52" i="3"/>
  <c r="AR53" i="3"/>
  <c r="AO53" i="3"/>
  <c r="AQ53" i="3"/>
  <c r="AO54" i="3"/>
  <c r="AQ54" i="3"/>
  <c r="AR54" i="3"/>
  <c r="AO55" i="3"/>
  <c r="K118" i="20" s="1"/>
  <c r="AQ55" i="3"/>
  <c r="O118" i="20" s="1"/>
  <c r="Y118" i="20" s="1"/>
  <c r="AR55" i="3"/>
  <c r="P118" i="20" s="1"/>
  <c r="Z118" i="20" s="1"/>
  <c r="AO56" i="3"/>
  <c r="AQ56" i="3"/>
  <c r="AR56" i="3"/>
  <c r="AQ57" i="3"/>
  <c r="AO57" i="3"/>
  <c r="AR57" i="3"/>
  <c r="AQ58" i="3"/>
  <c r="AR58" i="3"/>
  <c r="AO58" i="3"/>
  <c r="AQ59" i="3"/>
  <c r="AO59" i="3"/>
  <c r="AR59" i="3"/>
  <c r="AQ60" i="3"/>
  <c r="AO60" i="3"/>
  <c r="AR60" i="3"/>
  <c r="AQ61" i="3"/>
  <c r="AO61" i="3"/>
  <c r="AR61" i="3"/>
  <c r="AQ62" i="3"/>
  <c r="AR62" i="3"/>
  <c r="AO62" i="3"/>
  <c r="AQ63" i="3"/>
  <c r="AO63" i="3"/>
  <c r="AR63" i="3"/>
  <c r="AQ64" i="3"/>
  <c r="AR64" i="3"/>
  <c r="AO64" i="3"/>
  <c r="AQ65" i="3"/>
  <c r="AR65" i="3"/>
  <c r="AO65" i="3"/>
  <c r="AQ66" i="3"/>
  <c r="AO66" i="3"/>
  <c r="AR66" i="3"/>
  <c r="AR67" i="3"/>
  <c r="AO67" i="3"/>
  <c r="AQ67" i="3"/>
  <c r="AO36" i="3"/>
  <c r="K99" i="20" s="1"/>
  <c r="AR36" i="3"/>
  <c r="P99" i="20" s="1"/>
  <c r="Z99" i="20" s="1"/>
  <c r="AQ36" i="3"/>
  <c r="O99" i="20" s="1"/>
  <c r="Y99" i="20" s="1"/>
  <c r="AO37" i="3"/>
  <c r="K100" i="20" s="1"/>
  <c r="AQ37" i="3"/>
  <c r="O100" i="20" s="1"/>
  <c r="Y100" i="20" s="1"/>
  <c r="AR37" i="3"/>
  <c r="P100" i="20" s="1"/>
  <c r="Z100" i="20" s="1"/>
  <c r="AO38" i="3"/>
  <c r="AR38" i="3"/>
  <c r="AQ38" i="3"/>
  <c r="AQ39" i="3"/>
  <c r="O102" i="20" s="1"/>
  <c r="Y102" i="20" s="1"/>
  <c r="AR39" i="3"/>
  <c r="P102" i="20" s="1"/>
  <c r="Z102" i="20" s="1"/>
  <c r="AO39" i="3"/>
  <c r="K102" i="20" s="1"/>
  <c r="AQ40" i="3"/>
  <c r="O103" i="20" s="1"/>
  <c r="Y103" i="20" s="1"/>
  <c r="AO40" i="3"/>
  <c r="K103" i="20" s="1"/>
  <c r="AR40" i="3"/>
  <c r="P103" i="20" s="1"/>
  <c r="Z103" i="20" s="1"/>
  <c r="AQ41" i="3"/>
  <c r="AO41" i="3"/>
  <c r="AR41" i="3"/>
  <c r="AQ42" i="3"/>
  <c r="O105" i="20" s="1"/>
  <c r="Y105" i="20" s="1"/>
  <c r="AO42" i="3"/>
  <c r="K105" i="20" s="1"/>
  <c r="AR42" i="3"/>
  <c r="P105" i="20" s="1"/>
  <c r="Z105" i="20" s="1"/>
  <c r="AQ43" i="3"/>
  <c r="O106" i="20" s="1"/>
  <c r="Y106" i="20" s="1"/>
  <c r="AR43" i="3"/>
  <c r="P106" i="20" s="1"/>
  <c r="Z106" i="20" s="1"/>
  <c r="AO43" i="3"/>
  <c r="K106" i="20" s="1"/>
  <c r="AQ44" i="3"/>
  <c r="O107" i="20" s="1"/>
  <c r="Y107" i="20" s="1"/>
  <c r="AR44" i="3"/>
  <c r="P107" i="20" s="1"/>
  <c r="Z107" i="20" s="1"/>
  <c r="AO44" i="3"/>
  <c r="K107" i="20" s="1"/>
  <c r="AR45" i="3"/>
  <c r="P108" i="20" s="1"/>
  <c r="Z108" i="20" s="1"/>
  <c r="AO45" i="3"/>
  <c r="K108" i="20" s="1"/>
  <c r="AQ45" i="3"/>
  <c r="O108" i="20" s="1"/>
  <c r="Y108" i="20" s="1"/>
  <c r="AO46" i="3"/>
  <c r="AR46" i="3"/>
  <c r="AQ46" i="3"/>
  <c r="AQ5" i="3"/>
  <c r="AO5" i="3"/>
  <c r="AR5" i="3"/>
  <c r="AO6" i="3"/>
  <c r="AR6" i="3"/>
  <c r="AQ6" i="3"/>
  <c r="AO7" i="3"/>
  <c r="AR7" i="3"/>
  <c r="AQ7" i="3"/>
  <c r="AO8" i="3"/>
  <c r="AR8" i="3"/>
  <c r="AQ8" i="3"/>
  <c r="AR9" i="3"/>
  <c r="AO9" i="3"/>
  <c r="AQ9" i="3"/>
  <c r="AO10" i="3"/>
  <c r="AR10" i="3"/>
  <c r="AQ10" i="3"/>
  <c r="AO11" i="3"/>
  <c r="AR11" i="3"/>
  <c r="AQ11" i="3"/>
  <c r="AO12" i="3"/>
  <c r="AR12" i="3"/>
  <c r="AQ12" i="3"/>
  <c r="AQ13" i="3"/>
  <c r="AO13" i="3"/>
  <c r="AR13" i="3"/>
  <c r="AR14" i="3"/>
  <c r="AO14" i="3"/>
  <c r="AQ14" i="3"/>
  <c r="AQ15" i="3"/>
  <c r="AR15" i="3"/>
  <c r="AO15" i="3"/>
  <c r="AR16" i="3"/>
  <c r="AQ16" i="3"/>
  <c r="AO16" i="3"/>
  <c r="AQ17" i="3"/>
  <c r="AR17" i="3"/>
  <c r="AO17" i="3"/>
  <c r="AQ18" i="3"/>
  <c r="AO18" i="3"/>
  <c r="AR18" i="3"/>
  <c r="AQ19" i="3"/>
  <c r="AR19" i="3"/>
  <c r="AO19" i="3"/>
  <c r="AR20" i="3"/>
  <c r="AO20" i="3"/>
  <c r="AQ20" i="3"/>
  <c r="AO21" i="3"/>
  <c r="AR21" i="3"/>
  <c r="AQ21" i="3"/>
  <c r="AR22" i="3"/>
  <c r="AQ22" i="3"/>
  <c r="AO22" i="3"/>
  <c r="AR23" i="3"/>
  <c r="AO23" i="3"/>
  <c r="AQ23" i="3"/>
  <c r="AO24" i="3"/>
  <c r="AR24" i="3"/>
  <c r="AQ24" i="3"/>
  <c r="AQ25" i="3"/>
  <c r="AR25" i="3"/>
  <c r="AO25" i="3"/>
  <c r="AR26" i="3"/>
  <c r="AO26" i="3"/>
  <c r="AQ26" i="3"/>
  <c r="AR27" i="3"/>
  <c r="AQ27" i="3"/>
  <c r="AO27" i="3"/>
  <c r="AQ28" i="3"/>
  <c r="AO28" i="3"/>
  <c r="AR28" i="3"/>
  <c r="AQ29" i="3"/>
  <c r="AO29" i="3"/>
  <c r="AR29" i="3"/>
  <c r="AQ30" i="3"/>
  <c r="AR30" i="3"/>
  <c r="AO30" i="3"/>
  <c r="AO31" i="3"/>
  <c r="AQ31" i="3"/>
  <c r="AR31" i="3"/>
  <c r="AR32" i="3"/>
  <c r="AO32" i="3"/>
  <c r="AQ32" i="3"/>
  <c r="AR33" i="3"/>
  <c r="AQ33" i="3"/>
  <c r="AO33" i="3"/>
  <c r="AQ34" i="3"/>
  <c r="AR34" i="3"/>
  <c r="AO34" i="3"/>
  <c r="AA48" i="3"/>
  <c r="P48" i="20" s="1"/>
  <c r="Z48" i="20" s="1"/>
  <c r="Z48" i="3"/>
  <c r="O48" i="20" s="1"/>
  <c r="Y48" i="20" s="1"/>
  <c r="X48" i="3"/>
  <c r="AA49" i="3"/>
  <c r="P49" i="20" s="1"/>
  <c r="Z49" i="20" s="1"/>
  <c r="X49" i="3"/>
  <c r="Z49" i="3"/>
  <c r="O49" i="20" s="1"/>
  <c r="Y49" i="20" s="1"/>
  <c r="AA50" i="3"/>
  <c r="P50" i="20" s="1"/>
  <c r="Z50" i="20" s="1"/>
  <c r="X50" i="3"/>
  <c r="Z50" i="3"/>
  <c r="O50" i="20" s="1"/>
  <c r="Y50" i="20" s="1"/>
  <c r="AA51" i="3"/>
  <c r="P51" i="20" s="1"/>
  <c r="Z51" i="20" s="1"/>
  <c r="Z51" i="3"/>
  <c r="O51" i="20" s="1"/>
  <c r="Y51" i="20" s="1"/>
  <c r="X51" i="3"/>
  <c r="AA52" i="3"/>
  <c r="P52" i="20" s="1"/>
  <c r="Z52" i="20" s="1"/>
  <c r="Z52" i="3"/>
  <c r="O52" i="20" s="1"/>
  <c r="Y52" i="20" s="1"/>
  <c r="X52" i="3"/>
  <c r="AA53" i="3"/>
  <c r="P53" i="20" s="1"/>
  <c r="Z53" i="20" s="1"/>
  <c r="Z53" i="3"/>
  <c r="O53" i="20" s="1"/>
  <c r="Y53" i="20" s="1"/>
  <c r="X53" i="3"/>
  <c r="AA54" i="3"/>
  <c r="P54" i="20" s="1"/>
  <c r="Z54" i="20" s="1"/>
  <c r="X54" i="3"/>
  <c r="Z54" i="3"/>
  <c r="O54" i="20" s="1"/>
  <c r="Y54" i="20" s="1"/>
  <c r="AA55" i="3"/>
  <c r="P55" i="20" s="1"/>
  <c r="Z55" i="20" s="1"/>
  <c r="X55" i="3"/>
  <c r="Z55" i="3"/>
  <c r="O55" i="20" s="1"/>
  <c r="Y55" i="20" s="1"/>
  <c r="AA56" i="3"/>
  <c r="P56" i="20" s="1"/>
  <c r="Z56" i="20" s="1"/>
  <c r="X56" i="3"/>
  <c r="Z56" i="3"/>
  <c r="O56" i="20" s="1"/>
  <c r="Y56" i="20" s="1"/>
  <c r="AA57" i="3"/>
  <c r="P57" i="20" s="1"/>
  <c r="Z57" i="20" s="1"/>
  <c r="X57" i="3"/>
  <c r="Z57" i="3"/>
  <c r="O57" i="20" s="1"/>
  <c r="Y57" i="20" s="1"/>
  <c r="AA58" i="3"/>
  <c r="P58" i="20" s="1"/>
  <c r="Z58" i="20" s="1"/>
  <c r="X58" i="3"/>
  <c r="Z58" i="3"/>
  <c r="O58" i="20" s="1"/>
  <c r="Y58" i="20" s="1"/>
  <c r="AA59" i="3"/>
  <c r="P59" i="20" s="1"/>
  <c r="Z59" i="20" s="1"/>
  <c r="Z59" i="3"/>
  <c r="O59" i="20" s="1"/>
  <c r="Y59" i="20" s="1"/>
  <c r="X59" i="3"/>
  <c r="AA60" i="3"/>
  <c r="P60" i="20" s="1"/>
  <c r="Z60" i="20" s="1"/>
  <c r="Z60" i="3"/>
  <c r="O60" i="20" s="1"/>
  <c r="Y60" i="20" s="1"/>
  <c r="X60" i="3"/>
  <c r="AA61" i="3"/>
  <c r="P61" i="20" s="1"/>
  <c r="Z61" i="20" s="1"/>
  <c r="Z61" i="3"/>
  <c r="O61" i="20" s="1"/>
  <c r="Y61" i="20" s="1"/>
  <c r="X61" i="3"/>
  <c r="AA62" i="3"/>
  <c r="P62" i="20" s="1"/>
  <c r="Z62" i="20" s="1"/>
  <c r="Z62" i="3"/>
  <c r="O62" i="20" s="1"/>
  <c r="Y62" i="20" s="1"/>
  <c r="X62" i="3"/>
  <c r="AA63" i="3"/>
  <c r="P63" i="20" s="1"/>
  <c r="Z63" i="20" s="1"/>
  <c r="Z63" i="3"/>
  <c r="O63" i="20" s="1"/>
  <c r="Y63" i="20" s="1"/>
  <c r="X63" i="3"/>
  <c r="AA64" i="3"/>
  <c r="P64" i="20" s="1"/>
  <c r="Z64" i="20" s="1"/>
  <c r="Z64" i="3"/>
  <c r="O64" i="20" s="1"/>
  <c r="Y64" i="20" s="1"/>
  <c r="X64" i="3"/>
  <c r="AA65" i="3"/>
  <c r="X65" i="3"/>
  <c r="Z65" i="3"/>
  <c r="AA66" i="3"/>
  <c r="P66" i="20" s="1"/>
  <c r="Z66" i="20" s="1"/>
  <c r="Z66" i="3"/>
  <c r="O66" i="20" s="1"/>
  <c r="Y66" i="20" s="1"/>
  <c r="X66" i="3"/>
  <c r="AA67" i="3"/>
  <c r="X67" i="3"/>
  <c r="Z67" i="3"/>
  <c r="AA36" i="3"/>
  <c r="P36" i="20" s="1"/>
  <c r="Z36" i="20" s="1"/>
  <c r="Z36" i="3"/>
  <c r="O36" i="20" s="1"/>
  <c r="Y36" i="20" s="1"/>
  <c r="X36" i="3"/>
  <c r="AA37" i="3"/>
  <c r="P37" i="20" s="1"/>
  <c r="Z37" i="20" s="1"/>
  <c r="X37" i="3"/>
  <c r="Z37" i="3"/>
  <c r="O37" i="20" s="1"/>
  <c r="Y37" i="20" s="1"/>
  <c r="AA38" i="3"/>
  <c r="P38" i="20" s="1"/>
  <c r="Z38" i="20" s="1"/>
  <c r="X38" i="3"/>
  <c r="Z38" i="3"/>
  <c r="O38" i="20" s="1"/>
  <c r="Y38" i="20" s="1"/>
  <c r="AA39" i="3"/>
  <c r="P39" i="20" s="1"/>
  <c r="Z39" i="20" s="1"/>
  <c r="Z39" i="3"/>
  <c r="O39" i="20" s="1"/>
  <c r="Y39" i="20" s="1"/>
  <c r="X39" i="3"/>
  <c r="AA40" i="3"/>
  <c r="P40" i="20" s="1"/>
  <c r="Z40" i="20" s="1"/>
  <c r="X40" i="3"/>
  <c r="Z40" i="3"/>
  <c r="O40" i="20" s="1"/>
  <c r="Y40" i="20" s="1"/>
  <c r="X41" i="3"/>
  <c r="Z41" i="3"/>
  <c r="AA41" i="3"/>
  <c r="AA42" i="3"/>
  <c r="P42" i="20" s="1"/>
  <c r="Z42" i="20" s="1"/>
  <c r="X42" i="3"/>
  <c r="Z42" i="3"/>
  <c r="O42" i="20" s="1"/>
  <c r="Y42" i="20" s="1"/>
  <c r="AA43" i="3"/>
  <c r="P43" i="20" s="1"/>
  <c r="Z43" i="20" s="1"/>
  <c r="Z43" i="3"/>
  <c r="O43" i="20" s="1"/>
  <c r="Y43" i="20" s="1"/>
  <c r="X43" i="3"/>
  <c r="Z44" i="3"/>
  <c r="O44" i="20" s="1"/>
  <c r="Y44" i="20" s="1"/>
  <c r="X44" i="3"/>
  <c r="AA44" i="3"/>
  <c r="P44" i="20" s="1"/>
  <c r="Z44" i="20" s="1"/>
  <c r="Z45" i="3"/>
  <c r="O45" i="20" s="1"/>
  <c r="Y45" i="20" s="1"/>
  <c r="X45" i="3"/>
  <c r="AA45" i="3"/>
  <c r="P45" i="20" s="1"/>
  <c r="Z45" i="20" s="1"/>
  <c r="Z46" i="3"/>
  <c r="O46" i="20" s="1"/>
  <c r="Y46" i="20" s="1"/>
  <c r="X46" i="3"/>
  <c r="AA46" i="3"/>
  <c r="P46" i="20" s="1"/>
  <c r="Z46" i="20" s="1"/>
  <c r="X5" i="3"/>
  <c r="Z5" i="3"/>
  <c r="AA5" i="3"/>
  <c r="Z6" i="3"/>
  <c r="X6" i="3"/>
  <c r="AA6" i="3"/>
  <c r="Z7" i="3"/>
  <c r="AA7" i="3"/>
  <c r="X7" i="3"/>
  <c r="Z8" i="3"/>
  <c r="X8" i="3"/>
  <c r="AA8" i="3"/>
  <c r="Z9" i="3"/>
  <c r="X9" i="3"/>
  <c r="AA9" i="3"/>
  <c r="Z10" i="3"/>
  <c r="X10" i="3"/>
  <c r="AA10" i="3"/>
  <c r="Z11" i="3"/>
  <c r="AA11" i="3"/>
  <c r="X11" i="3"/>
  <c r="X12" i="3"/>
  <c r="AA12" i="3"/>
  <c r="Z12" i="3"/>
  <c r="AA13" i="3"/>
  <c r="Z13" i="3"/>
  <c r="X13" i="3"/>
  <c r="AA14" i="3"/>
  <c r="Z14" i="3"/>
  <c r="X14" i="3"/>
  <c r="Z15" i="3"/>
  <c r="AA15" i="3"/>
  <c r="X15" i="3"/>
  <c r="Z16" i="3"/>
  <c r="AA16" i="3"/>
  <c r="X16" i="3"/>
  <c r="AA17" i="3"/>
  <c r="Z17" i="3"/>
  <c r="X17" i="3"/>
  <c r="X18" i="3"/>
  <c r="AA18" i="3"/>
  <c r="Z18" i="3"/>
  <c r="AA19" i="3"/>
  <c r="Z19" i="3"/>
  <c r="X19" i="3"/>
  <c r="AA20" i="3"/>
  <c r="X20" i="3"/>
  <c r="Z20" i="3"/>
  <c r="AA21" i="3"/>
  <c r="Z21" i="3"/>
  <c r="X21" i="3"/>
  <c r="X22" i="3"/>
  <c r="AA22" i="3"/>
  <c r="Z22" i="3"/>
  <c r="X23" i="3"/>
  <c r="Z23" i="3"/>
  <c r="AA23" i="3"/>
  <c r="X24" i="3"/>
  <c r="Z24" i="3"/>
  <c r="AA24" i="3"/>
  <c r="X25" i="3"/>
  <c r="Z25" i="3"/>
  <c r="AA25" i="3"/>
  <c r="Z26" i="3"/>
  <c r="X26" i="3"/>
  <c r="AA26" i="3"/>
  <c r="X27" i="3"/>
  <c r="Z27" i="3"/>
  <c r="AA27" i="3"/>
  <c r="X28" i="3"/>
  <c r="Z28" i="3"/>
  <c r="AA28" i="3"/>
  <c r="X29" i="3"/>
  <c r="Z29" i="3"/>
  <c r="AA29" i="3"/>
  <c r="X30" i="3"/>
  <c r="Z30" i="3"/>
  <c r="AA30" i="3"/>
  <c r="Z31" i="3"/>
  <c r="AA31" i="3"/>
  <c r="X31" i="3"/>
  <c r="Z32" i="3"/>
  <c r="AA32" i="3"/>
  <c r="X32" i="3"/>
  <c r="Z33" i="3"/>
  <c r="X33" i="3"/>
  <c r="AA33" i="3"/>
  <c r="AA34" i="3"/>
  <c r="Z34" i="3"/>
  <c r="X34" i="3"/>
  <c r="K30" i="2"/>
  <c r="L30" i="2" s="1"/>
  <c r="M30" i="2" s="1"/>
  <c r="K31" i="2"/>
  <c r="L31" i="2" s="1"/>
  <c r="M31" i="2" s="1"/>
  <c r="K32" i="2"/>
  <c r="L32" i="2" s="1"/>
  <c r="M32" i="2" s="1"/>
  <c r="K33" i="2"/>
  <c r="L33" i="2" s="1"/>
  <c r="M33" i="2" s="1"/>
  <c r="K34" i="2"/>
  <c r="L34" i="2" s="1"/>
  <c r="M34" i="2" s="1"/>
  <c r="K35" i="2"/>
  <c r="L35" i="2" s="1"/>
  <c r="M35" i="2" s="1"/>
  <c r="K36" i="2"/>
  <c r="L36" i="2" s="1"/>
  <c r="M36" i="2" s="1"/>
  <c r="K37" i="2"/>
  <c r="L37" i="2" s="1"/>
  <c r="M37" i="2" s="1"/>
  <c r="K38" i="2"/>
  <c r="L38" i="2" s="1"/>
  <c r="M38" i="2" s="1"/>
  <c r="K39" i="2"/>
  <c r="L39" i="2" s="1"/>
  <c r="M39" i="2" s="1"/>
  <c r="K40" i="2"/>
  <c r="L40" i="2" s="1"/>
  <c r="M40" i="2" s="1"/>
  <c r="K41" i="2"/>
  <c r="L41" i="2" s="1"/>
  <c r="M41" i="2" s="1"/>
  <c r="K42" i="2"/>
  <c r="L42" i="2" s="1"/>
  <c r="M42" i="2" s="1"/>
  <c r="K43" i="2"/>
  <c r="L43" i="2" s="1"/>
  <c r="M43" i="2" s="1"/>
  <c r="K44" i="2"/>
  <c r="L44" i="2" s="1"/>
  <c r="M44" i="2" s="1"/>
  <c r="K45" i="2"/>
  <c r="L45" i="2" s="1"/>
  <c r="M45" i="2" s="1"/>
  <c r="K46" i="2"/>
  <c r="L46" i="2" s="1"/>
  <c r="M46" i="2" s="1"/>
  <c r="K47" i="2"/>
  <c r="L47" i="2" s="1"/>
  <c r="M47" i="2" s="1"/>
  <c r="K48" i="2"/>
  <c r="L48" i="2" s="1"/>
  <c r="M48" i="2" s="1"/>
  <c r="K49" i="2"/>
  <c r="L49" i="2" s="1"/>
  <c r="M49" i="2" s="1"/>
  <c r="K50" i="2"/>
  <c r="L50" i="2" s="1"/>
  <c r="M50" i="2" s="1"/>
  <c r="K51" i="2"/>
  <c r="L51" i="2" s="1"/>
  <c r="M51" i="2" s="1"/>
  <c r="K52" i="2"/>
  <c r="L52" i="2" s="1"/>
  <c r="M52" i="2" s="1"/>
  <c r="K53" i="2"/>
  <c r="L53" i="2" s="1"/>
  <c r="M53" i="2" s="1"/>
  <c r="K54" i="2"/>
  <c r="L54" i="2" s="1"/>
  <c r="M54" i="2" s="1"/>
  <c r="K55" i="2"/>
  <c r="L55" i="2" s="1"/>
  <c r="M55" i="2" s="1"/>
  <c r="K56" i="2"/>
  <c r="L56" i="2" s="1"/>
  <c r="M56" i="2" s="1"/>
  <c r="K26" i="2"/>
  <c r="L26" i="2" s="1"/>
  <c r="M26" i="2" s="1"/>
  <c r="K27" i="2"/>
  <c r="L27" i="2" s="1"/>
  <c r="M27" i="2" s="1"/>
  <c r="K28" i="2"/>
  <c r="L28" i="2" s="1"/>
  <c r="M28" i="2" s="1"/>
  <c r="L5" i="2"/>
  <c r="M5" i="2" s="1"/>
  <c r="K5" i="2"/>
  <c r="L6" i="2"/>
  <c r="M6" i="2" s="1"/>
  <c r="K6" i="2"/>
  <c r="L7" i="2"/>
  <c r="M7" i="2" s="1"/>
  <c r="K7" i="2"/>
  <c r="K8" i="2"/>
  <c r="L8" i="2"/>
  <c r="M8" i="2" s="1"/>
  <c r="L9" i="2"/>
  <c r="M9" i="2" s="1"/>
  <c r="K9" i="2"/>
  <c r="L10" i="2"/>
  <c r="M10" i="2" s="1"/>
  <c r="K10" i="2"/>
  <c r="K11" i="2"/>
  <c r="L11" i="2"/>
  <c r="M11" i="2" s="1"/>
  <c r="L12" i="2"/>
  <c r="M12" i="2" s="1"/>
  <c r="K12" i="2"/>
  <c r="L13" i="2"/>
  <c r="M13" i="2" s="1"/>
  <c r="K13" i="2"/>
  <c r="K14" i="2"/>
  <c r="L14" i="2"/>
  <c r="M14" i="2" s="1"/>
  <c r="K15" i="2"/>
  <c r="L15" i="2"/>
  <c r="M15" i="2" s="1"/>
  <c r="K16" i="2"/>
  <c r="L16" i="2"/>
  <c r="M16" i="2" s="1"/>
  <c r="K17" i="2"/>
  <c r="L17" i="2"/>
  <c r="M17" i="2" s="1"/>
  <c r="K18" i="2"/>
  <c r="L18" i="2"/>
  <c r="M18" i="2" s="1"/>
  <c r="K19" i="2"/>
  <c r="L19" i="2"/>
  <c r="M19" i="2" s="1"/>
  <c r="K20" i="2"/>
  <c r="L20" i="2"/>
  <c r="M20" i="2" s="1"/>
  <c r="K21" i="2"/>
  <c r="L21" i="2"/>
  <c r="M21" i="2" s="1"/>
  <c r="K22" i="2"/>
  <c r="L22" i="2"/>
  <c r="M22" i="2" s="1"/>
  <c r="L23" i="2"/>
  <c r="M23" i="2" s="1"/>
  <c r="K23" i="2"/>
  <c r="K24" i="2"/>
  <c r="L24" i="2"/>
  <c r="M24" i="2" s="1"/>
  <c r="AT72" i="8" l="1"/>
  <c r="AT73" i="8"/>
  <c r="AT74" i="8"/>
  <c r="AT75" i="8"/>
  <c r="L33" i="7"/>
  <c r="M33" i="7" s="1"/>
  <c r="F295" i="20"/>
  <c r="A295" i="20" s="1"/>
  <c r="F298" i="20"/>
  <c r="A298" i="20" s="1"/>
  <c r="L30" i="7"/>
  <c r="M30" i="7" s="1"/>
  <c r="L34" i="7"/>
  <c r="M34" i="7" s="1"/>
  <c r="L32" i="7"/>
  <c r="M32" i="7" s="1"/>
  <c r="F105" i="20"/>
  <c r="A105" i="20" s="1"/>
  <c r="F36" i="20"/>
  <c r="A36" i="20" s="1"/>
  <c r="L31" i="7"/>
  <c r="M31" i="7" s="1"/>
  <c r="AO9" i="4"/>
  <c r="AO10" i="4"/>
  <c r="AO11" i="4"/>
  <c r="AO12" i="4"/>
  <c r="AO13" i="4"/>
  <c r="AO14" i="4"/>
  <c r="AO15" i="4"/>
  <c r="AO17" i="4"/>
  <c r="AS17" i="4" s="1"/>
  <c r="AO21" i="4"/>
  <c r="AO22" i="4"/>
  <c r="AO23" i="4"/>
  <c r="AO24" i="4"/>
  <c r="AO41" i="4"/>
  <c r="V194" i="20"/>
  <c r="R194" i="20"/>
  <c r="Q194" i="20"/>
  <c r="R195" i="20"/>
  <c r="Q195" i="20"/>
  <c r="V195" i="20"/>
  <c r="Q196" i="20"/>
  <c r="R196" i="20"/>
  <c r="V196" i="20"/>
  <c r="Q197" i="20"/>
  <c r="V197" i="20"/>
  <c r="R197" i="20"/>
  <c r="R198" i="20"/>
  <c r="Q198" i="20"/>
  <c r="V198" i="20"/>
  <c r="V199" i="20"/>
  <c r="Q199" i="20"/>
  <c r="R199" i="20"/>
  <c r="Q200" i="20"/>
  <c r="R200" i="20"/>
  <c r="V200" i="20"/>
  <c r="V201" i="20"/>
  <c r="R201" i="20"/>
  <c r="Q201" i="20"/>
  <c r="V202" i="20"/>
  <c r="R202" i="20"/>
  <c r="Q202" i="20"/>
  <c r="R203" i="20"/>
  <c r="V203" i="20"/>
  <c r="Q203" i="20"/>
  <c r="V204" i="20"/>
  <c r="R204" i="20"/>
  <c r="Q204" i="20"/>
  <c r="V205" i="20"/>
  <c r="R205" i="20"/>
  <c r="Q205" i="20"/>
  <c r="AH116" i="11"/>
  <c r="AI116" i="11"/>
  <c r="N37" i="12"/>
  <c r="P37" i="12"/>
  <c r="G111" i="19" s="1"/>
  <c r="H111" i="19" s="1"/>
  <c r="Q37" i="12"/>
  <c r="Y37" i="12"/>
  <c r="N28" i="12"/>
  <c r="O28" i="12"/>
  <c r="O29" i="12"/>
  <c r="N29" i="12"/>
  <c r="O30" i="12"/>
  <c r="N30" i="12"/>
  <c r="N32" i="12"/>
  <c r="O32" i="12"/>
  <c r="O33" i="12"/>
  <c r="N33" i="12"/>
  <c r="N35" i="12"/>
  <c r="O35" i="12"/>
  <c r="T184" i="11"/>
  <c r="R184" i="11"/>
  <c r="S184" i="11"/>
  <c r="G128" i="19" s="1"/>
  <c r="H128" i="19" s="1"/>
  <c r="U184" i="11"/>
  <c r="AE184" i="11"/>
  <c r="V184" i="11"/>
  <c r="G134" i="19" s="1"/>
  <c r="H134" i="19" s="1"/>
  <c r="W184" i="11"/>
  <c r="Q184" i="11"/>
  <c r="T185" i="11"/>
  <c r="R185" i="11"/>
  <c r="S185" i="11" s="1"/>
  <c r="U185" i="11"/>
  <c r="W185" i="11"/>
  <c r="AE185" i="11"/>
  <c r="V185" i="11"/>
  <c r="G135" i="19" s="1"/>
  <c r="H135" i="19" s="1"/>
  <c r="V186" i="11"/>
  <c r="G136" i="19" s="1"/>
  <c r="H136" i="19" s="1"/>
  <c r="W186" i="11"/>
  <c r="AE186" i="11"/>
  <c r="U186" i="11"/>
  <c r="R186" i="11"/>
  <c r="S186" i="11" s="1"/>
  <c r="T186" i="11"/>
  <c r="AE187" i="11"/>
  <c r="W187" i="11"/>
  <c r="V187" i="11"/>
  <c r="G137" i="19" s="1"/>
  <c r="H137" i="19" s="1"/>
  <c r="R187" i="11"/>
  <c r="U187" i="11" s="1"/>
  <c r="G132" i="19" s="1"/>
  <c r="H132" i="19" s="1"/>
  <c r="T187" i="11"/>
  <c r="S187" i="11"/>
  <c r="R188" i="11"/>
  <c r="U188" i="11"/>
  <c r="S188" i="11"/>
  <c r="G133" i="19" s="1"/>
  <c r="H133" i="19" s="1"/>
  <c r="T188" i="11"/>
  <c r="V188" i="11"/>
  <c r="G138" i="19" s="1"/>
  <c r="H138" i="19" s="1"/>
  <c r="Q188" i="11"/>
  <c r="AE188" i="11"/>
  <c r="W188" i="11" s="1"/>
  <c r="W180" i="11"/>
  <c r="AE180" i="11"/>
  <c r="V180" i="11"/>
  <c r="R180" i="11"/>
  <c r="T180" i="11"/>
  <c r="U180" i="11"/>
  <c r="S180" i="11"/>
  <c r="Q180" i="11" s="1"/>
  <c r="AE181" i="11"/>
  <c r="W181" i="11" s="1"/>
  <c r="Q181" i="11"/>
  <c r="K41" i="18" s="1"/>
  <c r="V181" i="11"/>
  <c r="J41" i="18" s="1"/>
  <c r="L41" i="18" s="1"/>
  <c r="R181" i="11"/>
  <c r="U181" i="11"/>
  <c r="T181" i="11"/>
  <c r="S181" i="11"/>
  <c r="T182" i="11"/>
  <c r="U182" i="11"/>
  <c r="R182" i="11"/>
  <c r="S182" i="11"/>
  <c r="Q182" i="11"/>
  <c r="K42" i="18" s="1"/>
  <c r="AE182" i="11"/>
  <c r="W182" i="11" s="1"/>
  <c r="V182" i="11"/>
  <c r="J42" i="18" s="1"/>
  <c r="L42" i="18" s="1"/>
  <c r="R173" i="11"/>
  <c r="S173" i="11"/>
  <c r="U173" i="11"/>
  <c r="T173" i="11"/>
  <c r="T174" i="11"/>
  <c r="U174" i="11"/>
  <c r="S174" i="11"/>
  <c r="R174" i="11"/>
  <c r="S175" i="11"/>
  <c r="R175" i="11"/>
  <c r="T175" i="11"/>
  <c r="U175" i="11"/>
  <c r="U177" i="11"/>
  <c r="R177" i="11"/>
  <c r="S177" i="11"/>
  <c r="T177" i="11"/>
  <c r="R178" i="11"/>
  <c r="T178" i="11"/>
  <c r="U178" i="11"/>
  <c r="S178" i="11"/>
  <c r="Z163" i="11"/>
  <c r="J163" i="11"/>
  <c r="K163" i="11"/>
  <c r="K164" i="11"/>
  <c r="J164" i="11"/>
  <c r="Z164" i="11"/>
  <c r="J154" i="11"/>
  <c r="K154" i="11"/>
  <c r="AD154" i="11"/>
  <c r="AE154" i="11"/>
  <c r="O154" i="11" s="1"/>
  <c r="AC154" i="11"/>
  <c r="AB154" i="11"/>
  <c r="N154" i="11"/>
  <c r="AD155" i="11"/>
  <c r="AE155" i="11"/>
  <c r="J155" i="11"/>
  <c r="K155" i="11"/>
  <c r="O155" i="11"/>
  <c r="AB155" i="11"/>
  <c r="N155" i="11"/>
  <c r="AC155" i="11"/>
  <c r="J158" i="11"/>
  <c r="K158" i="11"/>
  <c r="AB158" i="11"/>
  <c r="AC158" i="11"/>
  <c r="AE158" i="11"/>
  <c r="O158" i="11" s="1"/>
  <c r="N158" i="11"/>
  <c r="AD158" i="11"/>
  <c r="L138" i="11"/>
  <c r="N138" i="11"/>
  <c r="K138" i="11"/>
  <c r="K140" i="11"/>
  <c r="L140" i="11"/>
  <c r="N140" i="11"/>
  <c r="L141" i="11"/>
  <c r="N141" i="11"/>
  <c r="K141" i="11"/>
  <c r="X129" i="11"/>
  <c r="G116" i="19" s="1"/>
  <c r="H116" i="19" s="1"/>
  <c r="Y129" i="11"/>
  <c r="AH129" i="11"/>
  <c r="T129" i="11"/>
  <c r="U129" i="11"/>
  <c r="T124" i="11"/>
  <c r="V124" i="11"/>
  <c r="J43" i="18" s="1"/>
  <c r="L43" i="18" s="1"/>
  <c r="U124" i="11"/>
  <c r="W124" i="11" s="1"/>
  <c r="Y124" i="11"/>
  <c r="X124" i="11"/>
  <c r="J47" i="18" s="1"/>
  <c r="L47" i="18" s="1"/>
  <c r="AH124" i="11"/>
  <c r="T125" i="11"/>
  <c r="V125" i="11" s="1"/>
  <c r="U125" i="11"/>
  <c r="W125" i="11" s="1"/>
  <c r="J46" i="18" s="1"/>
  <c r="L46" i="18" s="1"/>
  <c r="Y125" i="11"/>
  <c r="AH125" i="11"/>
  <c r="X125" i="11"/>
  <c r="AH126" i="11"/>
  <c r="Y126" i="11"/>
  <c r="X126" i="11"/>
  <c r="U126" i="11"/>
  <c r="T126" i="11"/>
  <c r="V126" i="11" s="1"/>
  <c r="W126" i="11"/>
  <c r="J75" i="18" s="1"/>
  <c r="L75" i="18" s="1"/>
  <c r="U127" i="11"/>
  <c r="W127" i="11" s="1"/>
  <c r="J77" i="18" s="1"/>
  <c r="L77" i="18" s="1"/>
  <c r="T127" i="11"/>
  <c r="V127" i="11" s="1"/>
  <c r="S127" i="11" s="1"/>
  <c r="K77" i="18" s="1"/>
  <c r="Y127" i="11"/>
  <c r="AH127" i="11"/>
  <c r="X127" i="11"/>
  <c r="U116" i="11"/>
  <c r="W116" i="11"/>
  <c r="V116" i="11"/>
  <c r="T116" i="11"/>
  <c r="W121" i="11"/>
  <c r="U121" i="11"/>
  <c r="V121" i="11"/>
  <c r="T121" i="11"/>
  <c r="Q108" i="11"/>
  <c r="T108" i="11"/>
  <c r="S108" i="11"/>
  <c r="G113" i="19" s="1"/>
  <c r="H113" i="19" s="1"/>
  <c r="AC108" i="11"/>
  <c r="Q105" i="11"/>
  <c r="R105" i="11" s="1"/>
  <c r="AC105" i="11"/>
  <c r="T105" i="11"/>
  <c r="S105" i="11"/>
  <c r="J74" i="18" s="1"/>
  <c r="L74" i="18" s="1"/>
  <c r="Q106" i="11"/>
  <c r="R106" i="11" s="1"/>
  <c r="AC106" i="11"/>
  <c r="T106" i="11"/>
  <c r="S106" i="11"/>
  <c r="T89" i="11"/>
  <c r="G107" i="19" s="1"/>
  <c r="H107" i="19" s="1"/>
  <c r="U89" i="11"/>
  <c r="G108" i="19" s="1"/>
  <c r="H108" i="19" s="1"/>
  <c r="S89" i="11"/>
  <c r="V89" i="11"/>
  <c r="G109" i="19" s="1"/>
  <c r="H109" i="19" s="1"/>
  <c r="AF89" i="11"/>
  <c r="W89" i="11"/>
  <c r="T80" i="11"/>
  <c r="U80" i="11"/>
  <c r="W80" i="11"/>
  <c r="AF80" i="11"/>
  <c r="U81" i="11"/>
  <c r="T81" i="11"/>
  <c r="W81" i="11"/>
  <c r="AF81" i="11"/>
  <c r="U82" i="11"/>
  <c r="T82" i="11"/>
  <c r="W82" i="11"/>
  <c r="AF82" i="11"/>
  <c r="W83" i="11"/>
  <c r="AF83" i="11"/>
  <c r="T83" i="11"/>
  <c r="U83" i="11"/>
  <c r="AF84" i="11"/>
  <c r="W84" i="11"/>
  <c r="U84" i="11"/>
  <c r="T84" i="11"/>
  <c r="W85" i="11"/>
  <c r="AF85" i="11"/>
  <c r="U85" i="11"/>
  <c r="T85" i="11"/>
  <c r="U86" i="11"/>
  <c r="T86" i="11"/>
  <c r="W86" i="11"/>
  <c r="AF86" i="11"/>
  <c r="W87" i="11"/>
  <c r="AF87" i="11"/>
  <c r="T87" i="11"/>
  <c r="U87" i="11"/>
  <c r="AH73" i="11"/>
  <c r="Y73" i="11"/>
  <c r="X73" i="11"/>
  <c r="G106" i="19" s="1"/>
  <c r="H106" i="19" s="1"/>
  <c r="T73" i="11"/>
  <c r="W73" i="11"/>
  <c r="V73" i="11"/>
  <c r="U73" i="11"/>
  <c r="G105" i="19" s="1"/>
  <c r="H105" i="19" s="1"/>
  <c r="AH68" i="11"/>
  <c r="Y68" i="11"/>
  <c r="X68" i="11"/>
  <c r="T68" i="11"/>
  <c r="S68" i="11" s="1"/>
  <c r="K48" i="18" s="1"/>
  <c r="V68" i="11"/>
  <c r="W68" i="11"/>
  <c r="U68" i="11"/>
  <c r="J48" i="18" s="1"/>
  <c r="L48" i="18" s="1"/>
  <c r="Y69" i="11"/>
  <c r="AH69" i="11"/>
  <c r="X69" i="11"/>
  <c r="V69" i="11"/>
  <c r="W69" i="11"/>
  <c r="T69" i="11"/>
  <c r="S69" i="11" s="1"/>
  <c r="K49" i="18" s="1"/>
  <c r="U69" i="11"/>
  <c r="J49" i="18" s="1"/>
  <c r="L49" i="18" s="1"/>
  <c r="T70" i="11"/>
  <c r="V70" i="11"/>
  <c r="U70" i="11"/>
  <c r="J50" i="18" s="1"/>
  <c r="L50" i="18" s="1"/>
  <c r="W70" i="11"/>
  <c r="AH70" i="11"/>
  <c r="S70" i="11"/>
  <c r="K50" i="18" s="1"/>
  <c r="Y70" i="11"/>
  <c r="X70" i="11"/>
  <c r="T71" i="11"/>
  <c r="U71" i="11"/>
  <c r="J51" i="18" s="1"/>
  <c r="L51" i="18" s="1"/>
  <c r="V71" i="11"/>
  <c r="W71" i="11"/>
  <c r="X71" i="11"/>
  <c r="Y71" i="11"/>
  <c r="S71" i="11"/>
  <c r="K51" i="18" s="1"/>
  <c r="AH71" i="11"/>
  <c r="AH59" i="11"/>
  <c r="Y59" i="11"/>
  <c r="V59" i="11"/>
  <c r="W59" i="11"/>
  <c r="T59" i="11"/>
  <c r="U59" i="11"/>
  <c r="AH60" i="11"/>
  <c r="Y60" i="11"/>
  <c r="U60" i="11"/>
  <c r="T60" i="11"/>
  <c r="V60" i="11"/>
  <c r="W60" i="11"/>
  <c r="AH61" i="11"/>
  <c r="Y61" i="11"/>
  <c r="W61" i="11"/>
  <c r="T61" i="11"/>
  <c r="U61" i="11"/>
  <c r="V61" i="11"/>
  <c r="U62" i="11"/>
  <c r="W62" i="11"/>
  <c r="T62" i="11"/>
  <c r="V62" i="11"/>
  <c r="AH62" i="11"/>
  <c r="Y62" i="11"/>
  <c r="W63" i="11"/>
  <c r="T63" i="11"/>
  <c r="U63" i="11"/>
  <c r="V63" i="11"/>
  <c r="AH63" i="11"/>
  <c r="Y63" i="11"/>
  <c r="AH64" i="11"/>
  <c r="Y64" i="11"/>
  <c r="U64" i="11"/>
  <c r="V64" i="11"/>
  <c r="T64" i="11"/>
  <c r="W64" i="11"/>
  <c r="AH65" i="11"/>
  <c r="Y65" i="11"/>
  <c r="W65" i="11"/>
  <c r="U65" i="11"/>
  <c r="V65" i="11"/>
  <c r="T65" i="11"/>
  <c r="AH66" i="11"/>
  <c r="Y66" i="11"/>
  <c r="U66" i="11"/>
  <c r="V66" i="11"/>
  <c r="W66" i="11"/>
  <c r="T66" i="11"/>
  <c r="AB52" i="11"/>
  <c r="S52" i="11"/>
  <c r="P52" i="11"/>
  <c r="R52" i="11"/>
  <c r="G103" i="19" s="1"/>
  <c r="H103" i="19" s="1"/>
  <c r="G25" i="19" s="1"/>
  <c r="H25" i="19" s="1"/>
  <c r="AB43" i="11"/>
  <c r="S43" i="11"/>
  <c r="AB44" i="11"/>
  <c r="S44" i="11"/>
  <c r="AB45" i="11"/>
  <c r="S45" i="11"/>
  <c r="AB46" i="11"/>
  <c r="S46" i="11"/>
  <c r="AB47" i="11"/>
  <c r="S47" i="11"/>
  <c r="S48" i="11"/>
  <c r="AB48" i="11"/>
  <c r="S49" i="11"/>
  <c r="AB49" i="11"/>
  <c r="S50" i="11"/>
  <c r="AB50" i="11"/>
  <c r="S36" i="11"/>
  <c r="G101" i="19" s="1"/>
  <c r="H101" i="19" s="1"/>
  <c r="T36" i="11"/>
  <c r="AC36" i="11"/>
  <c r="Q36" i="11"/>
  <c r="T27" i="11"/>
  <c r="AC27" i="11"/>
  <c r="Q27" i="11"/>
  <c r="R27" i="11"/>
  <c r="R28" i="11"/>
  <c r="Q28" i="11"/>
  <c r="T28" i="11"/>
  <c r="AC28" i="11"/>
  <c r="R29" i="11"/>
  <c r="Q29" i="11"/>
  <c r="T29" i="11"/>
  <c r="AC29" i="11"/>
  <c r="R30" i="11"/>
  <c r="Q30" i="11"/>
  <c r="AC30" i="11"/>
  <c r="T30" i="11"/>
  <c r="AC31" i="11"/>
  <c r="T31" i="11"/>
  <c r="Q31" i="11"/>
  <c r="R31" i="11"/>
  <c r="T32" i="11"/>
  <c r="AC32" i="11"/>
  <c r="Q32" i="11"/>
  <c r="R32" i="11"/>
  <c r="AC33" i="11"/>
  <c r="T33" i="11"/>
  <c r="Q33" i="11"/>
  <c r="R33" i="11"/>
  <c r="R34" i="11"/>
  <c r="Q34" i="11"/>
  <c r="T34" i="11"/>
  <c r="AC34" i="11"/>
  <c r="U17" i="11"/>
  <c r="G98" i="19" s="1"/>
  <c r="H98" i="19" s="1"/>
  <c r="AE17" i="11"/>
  <c r="V17" i="11"/>
  <c r="S17" i="11"/>
  <c r="Q17" i="11"/>
  <c r="T17" i="11"/>
  <c r="G97" i="19" s="1"/>
  <c r="H97" i="19" s="1"/>
  <c r="T18" i="11"/>
  <c r="R18" i="11"/>
  <c r="Q18" i="11"/>
  <c r="S18" i="11"/>
  <c r="AE18" i="11"/>
  <c r="V18" i="11"/>
  <c r="P18" i="11"/>
  <c r="U18" i="11"/>
  <c r="G117" i="19" s="1"/>
  <c r="H117" i="19" s="1"/>
  <c r="G31" i="19" s="1"/>
  <c r="H31" i="19" s="1"/>
  <c r="P19" i="11"/>
  <c r="AE19" i="11"/>
  <c r="V19" i="11" s="1"/>
  <c r="U19" i="11"/>
  <c r="G118" i="19" s="1"/>
  <c r="H118" i="19" s="1"/>
  <c r="R19" i="11"/>
  <c r="T19" i="11"/>
  <c r="Q19" i="11"/>
  <c r="S19" i="11"/>
  <c r="P20" i="11"/>
  <c r="V20" i="11"/>
  <c r="AE20" i="11"/>
  <c r="U20" i="11"/>
  <c r="G119" i="19" s="1"/>
  <c r="H119" i="19" s="1"/>
  <c r="Q20" i="11"/>
  <c r="S20" i="11"/>
  <c r="R20" i="11"/>
  <c r="T20" i="11"/>
  <c r="R8" i="11"/>
  <c r="S8" i="11"/>
  <c r="T8" i="11"/>
  <c r="Q8" i="11"/>
  <c r="AE8" i="11"/>
  <c r="V8" i="11"/>
  <c r="AE9" i="11"/>
  <c r="V9" i="11"/>
  <c r="Q9" i="11"/>
  <c r="T9" i="11"/>
  <c r="R9" i="11"/>
  <c r="S9" i="11"/>
  <c r="AE10" i="11"/>
  <c r="V10" i="11"/>
  <c r="Q10" i="11"/>
  <c r="R10" i="11"/>
  <c r="S10" i="11"/>
  <c r="T10" i="11"/>
  <c r="V11" i="11"/>
  <c r="AE11" i="11"/>
  <c r="Q11" i="11"/>
  <c r="R11" i="11"/>
  <c r="S11" i="11"/>
  <c r="T11" i="11"/>
  <c r="AE12" i="11"/>
  <c r="V12" i="11"/>
  <c r="Q12" i="11"/>
  <c r="R12" i="11"/>
  <c r="T12" i="11"/>
  <c r="S12" i="11"/>
  <c r="AE13" i="11"/>
  <c r="V13" i="11"/>
  <c r="T13" i="11"/>
  <c r="Q13" i="11"/>
  <c r="S13" i="11"/>
  <c r="R13" i="11"/>
  <c r="S14" i="11"/>
  <c r="Q14" i="11"/>
  <c r="R14" i="11"/>
  <c r="T14" i="11"/>
  <c r="V14" i="11"/>
  <c r="AE14" i="11"/>
  <c r="V15" i="11"/>
  <c r="AE15" i="11"/>
  <c r="R15" i="11"/>
  <c r="Q15" i="11"/>
  <c r="S15" i="11"/>
  <c r="T15" i="11"/>
  <c r="AL78" i="8"/>
  <c r="AM78" i="8"/>
  <c r="AL79" i="8"/>
  <c r="AM79" i="8"/>
  <c r="AL80" i="8"/>
  <c r="AM80" i="8"/>
  <c r="AL81" i="8"/>
  <c r="AM81" i="8"/>
  <c r="AL82" i="8"/>
  <c r="AM82" i="8"/>
  <c r="AL83" i="8"/>
  <c r="AM83" i="8"/>
  <c r="AL84" i="8"/>
  <c r="AM84" i="8"/>
  <c r="AL85" i="8"/>
  <c r="AM85" i="8"/>
  <c r="AL86" i="8"/>
  <c r="AM86" i="8"/>
  <c r="AL87" i="8"/>
  <c r="AM87" i="8"/>
  <c r="AL88" i="8"/>
  <c r="AM88" i="8"/>
  <c r="AL89" i="8"/>
  <c r="AM89" i="8"/>
  <c r="AL90" i="8"/>
  <c r="AM90" i="8"/>
  <c r="AL91" i="8"/>
  <c r="AM91" i="8"/>
  <c r="AL92" i="8"/>
  <c r="AM92" i="8"/>
  <c r="AL93" i="8"/>
  <c r="AM93" i="8"/>
  <c r="AL94" i="8"/>
  <c r="AM94" i="8"/>
  <c r="AL95" i="8"/>
  <c r="AM95" i="8"/>
  <c r="AL96" i="8"/>
  <c r="AM96" i="8"/>
  <c r="AT46" i="8"/>
  <c r="G95" i="19"/>
  <c r="H95" i="19" s="1"/>
  <c r="AL46" i="8"/>
  <c r="AM46" i="8"/>
  <c r="AL47" i="8"/>
  <c r="AM47" i="8"/>
  <c r="AL48" i="8"/>
  <c r="AM48" i="8"/>
  <c r="AL49" i="8"/>
  <c r="AM49" i="8"/>
  <c r="AL50" i="8"/>
  <c r="AM50" i="8"/>
  <c r="AL51" i="8"/>
  <c r="AM51" i="8"/>
  <c r="AL52" i="8"/>
  <c r="AM52" i="8"/>
  <c r="AL53" i="8"/>
  <c r="AM53" i="8"/>
  <c r="AL54" i="8"/>
  <c r="AM54" i="8"/>
  <c r="AL55" i="8"/>
  <c r="AM55" i="8"/>
  <c r="AL56" i="8"/>
  <c r="AM56" i="8"/>
  <c r="AL57" i="8"/>
  <c r="AM57" i="8"/>
  <c r="AL58" i="8"/>
  <c r="AM58" i="8"/>
  <c r="AL59" i="8"/>
  <c r="AM59" i="8"/>
  <c r="AL60" i="8"/>
  <c r="AM60" i="8"/>
  <c r="AL61" i="8"/>
  <c r="AM61" i="8"/>
  <c r="AL62" i="8"/>
  <c r="AM62" i="8"/>
  <c r="AL63" i="8"/>
  <c r="AM63" i="8"/>
  <c r="AL64" i="8"/>
  <c r="AM64" i="8"/>
  <c r="AL65" i="8"/>
  <c r="AM65" i="8"/>
  <c r="AL66" i="8"/>
  <c r="AM66" i="8"/>
  <c r="AL67" i="8"/>
  <c r="AM67" i="8"/>
  <c r="AL68" i="8"/>
  <c r="AM68" i="8"/>
  <c r="AL69" i="8"/>
  <c r="AM69" i="8"/>
  <c r="AL70" i="8"/>
  <c r="AM70" i="8"/>
  <c r="AL71" i="8"/>
  <c r="AM71" i="8"/>
  <c r="AL72" i="8"/>
  <c r="AM72" i="8"/>
  <c r="AL73" i="8"/>
  <c r="AM73" i="8"/>
  <c r="AL74" i="8"/>
  <c r="AM74" i="8"/>
  <c r="AL75" i="8"/>
  <c r="AM75" i="8"/>
  <c r="AL76" i="8"/>
  <c r="AM76" i="8"/>
  <c r="AW5" i="8"/>
  <c r="AX5" i="8"/>
  <c r="CN5" i="8" s="1"/>
  <c r="AO5" i="8" s="1"/>
  <c r="AY5" i="8"/>
  <c r="AZ5" i="8"/>
  <c r="BA5" i="8"/>
  <c r="BB5" i="8"/>
  <c r="BZ5" i="8" s="1"/>
  <c r="AJ5" i="8"/>
  <c r="BC5" i="8"/>
  <c r="BD5" i="8"/>
  <c r="BE5" i="8"/>
  <c r="BF5" i="8"/>
  <c r="BG5" i="8"/>
  <c r="BH5" i="8" s="1"/>
  <c r="BI5" i="8" s="1"/>
  <c r="AK5" i="8"/>
  <c r="BY5" i="8"/>
  <c r="CA5" i="8"/>
  <c r="CB5" i="8"/>
  <c r="CC5" i="8"/>
  <c r="V5" i="8" s="1"/>
  <c r="CD5" i="8"/>
  <c r="W5" i="8" s="1"/>
  <c r="CF5" i="8"/>
  <c r="CG5" i="8"/>
  <c r="CI5" i="8"/>
  <c r="CJ5" i="8"/>
  <c r="CL5" i="8"/>
  <c r="CM5" i="8"/>
  <c r="CO5" i="8"/>
  <c r="X5" i="8"/>
  <c r="Z5" i="8"/>
  <c r="CK5" i="8" s="1"/>
  <c r="AN5" i="8"/>
  <c r="U5" i="8"/>
  <c r="AA5" i="8"/>
  <c r="AW6" i="8"/>
  <c r="AX6" i="8"/>
  <c r="CN6" i="8" s="1"/>
  <c r="AO6" i="8" s="1"/>
  <c r="AY6" i="8"/>
  <c r="AZ6" i="8"/>
  <c r="BA6" i="8"/>
  <c r="BB6" i="8"/>
  <c r="BZ6" i="8" s="1"/>
  <c r="BC6" i="8"/>
  <c r="BD6" i="8"/>
  <c r="BE6" i="8"/>
  <c r="BF6" i="8"/>
  <c r="BG6" i="8"/>
  <c r="BH6" i="8" s="1"/>
  <c r="BI6" i="8" s="1"/>
  <c r="AJ6" i="8"/>
  <c r="AK6" i="8"/>
  <c r="BY6" i="8"/>
  <c r="CA6" i="8"/>
  <c r="CB6" i="8"/>
  <c r="CC6" i="8"/>
  <c r="V6" i="8" s="1"/>
  <c r="CD6" i="8"/>
  <c r="W6" i="8" s="1"/>
  <c r="CF6" i="8"/>
  <c r="CG6" i="8"/>
  <c r="CI6" i="8"/>
  <c r="CJ6" i="8"/>
  <c r="CL6" i="8"/>
  <c r="CM6" i="8"/>
  <c r="CO6" i="8"/>
  <c r="U6" i="8"/>
  <c r="AA6" i="8"/>
  <c r="AN6" i="8"/>
  <c r="X6" i="8"/>
  <c r="Z6" i="8"/>
  <c r="CK6" i="8" s="1"/>
  <c r="AW7" i="8"/>
  <c r="AX7" i="8"/>
  <c r="CN7" i="8" s="1"/>
  <c r="AO7" i="8" s="1"/>
  <c r="AY7" i="8"/>
  <c r="AZ7" i="8"/>
  <c r="BA7" i="8"/>
  <c r="BB7" i="8"/>
  <c r="BZ7" i="8" s="1"/>
  <c r="AJ7" i="8"/>
  <c r="BC7" i="8"/>
  <c r="BD7" i="8"/>
  <c r="BE7" i="8"/>
  <c r="BF7" i="8"/>
  <c r="BG7" i="8"/>
  <c r="BH7" i="8" s="1"/>
  <c r="BI7" i="8" s="1"/>
  <c r="AK7" i="8"/>
  <c r="BY7" i="8"/>
  <c r="CA7" i="8"/>
  <c r="CB7" i="8"/>
  <c r="CC7" i="8"/>
  <c r="V7" i="8" s="1"/>
  <c r="CD7" i="8"/>
  <c r="W7" i="8" s="1"/>
  <c r="CF7" i="8"/>
  <c r="CG7" i="8"/>
  <c r="CI7" i="8"/>
  <c r="CJ7" i="8"/>
  <c r="CL7" i="8"/>
  <c r="CO7" i="8"/>
  <c r="CM7" i="8"/>
  <c r="X7" i="8"/>
  <c r="Z7" i="8"/>
  <c r="CK7" i="8" s="1"/>
  <c r="AN7" i="8"/>
  <c r="U7" i="8"/>
  <c r="AA7" i="8"/>
  <c r="AW8" i="8"/>
  <c r="AX8" i="8"/>
  <c r="CN8" i="8" s="1"/>
  <c r="AY8" i="8"/>
  <c r="AZ8" i="8"/>
  <c r="BA8" i="8"/>
  <c r="BB8" i="8"/>
  <c r="BZ8" i="8" s="1"/>
  <c r="AJ8" i="8"/>
  <c r="BC8" i="8"/>
  <c r="BD8" i="8"/>
  <c r="BE8" i="8"/>
  <c r="BF8" i="8"/>
  <c r="BG8" i="8"/>
  <c r="BH8" i="8" s="1"/>
  <c r="BI8" i="8" s="1"/>
  <c r="AK8" i="8"/>
  <c r="BY8" i="8"/>
  <c r="CA8" i="8"/>
  <c r="CB8" i="8"/>
  <c r="CC8" i="8"/>
  <c r="V8" i="8" s="1"/>
  <c r="CD8" i="8"/>
  <c r="W8" i="8" s="1"/>
  <c r="CF8" i="8"/>
  <c r="CG8" i="8"/>
  <c r="U8" i="8"/>
  <c r="AA8" i="8"/>
  <c r="AN8" i="8"/>
  <c r="X8" i="8"/>
  <c r="Z8" i="8"/>
  <c r="CK8" i="8" s="1"/>
  <c r="AW9" i="8"/>
  <c r="AX9" i="8"/>
  <c r="CN9" i="8" s="1"/>
  <c r="AO9" i="8" s="1"/>
  <c r="AY9" i="8"/>
  <c r="AZ9" i="8"/>
  <c r="BA9" i="8"/>
  <c r="BB9" i="8"/>
  <c r="BZ9" i="8" s="1"/>
  <c r="BC9" i="8"/>
  <c r="BD9" i="8"/>
  <c r="BE9" i="8"/>
  <c r="BF9" i="8"/>
  <c r="BG9" i="8"/>
  <c r="BH9" i="8" s="1"/>
  <c r="BI9" i="8" s="1"/>
  <c r="AJ9" i="8"/>
  <c r="AK9" i="8"/>
  <c r="BY9" i="8"/>
  <c r="CA9" i="8"/>
  <c r="CB9" i="8"/>
  <c r="CC9" i="8"/>
  <c r="V9" i="8" s="1"/>
  <c r="CD9" i="8"/>
  <c r="W9" i="8" s="1"/>
  <c r="CF9" i="8"/>
  <c r="CG9" i="8"/>
  <c r="CI9" i="8"/>
  <c r="CJ9" i="8"/>
  <c r="CL9" i="8"/>
  <c r="CO9" i="8"/>
  <c r="CM9" i="8"/>
  <c r="X9" i="8"/>
  <c r="Z9" i="8"/>
  <c r="CK9" i="8" s="1"/>
  <c r="AN9" i="8"/>
  <c r="U9" i="8"/>
  <c r="AA9" i="8"/>
  <c r="AW10" i="8"/>
  <c r="AX10" i="8"/>
  <c r="CN10" i="8" s="1"/>
  <c r="AO10" i="8" s="1"/>
  <c r="AY10" i="8"/>
  <c r="AZ10" i="8"/>
  <c r="BA10" i="8"/>
  <c r="BB10" i="8"/>
  <c r="BZ10" i="8" s="1"/>
  <c r="AJ10" i="8"/>
  <c r="BC10" i="8"/>
  <c r="BD10" i="8"/>
  <c r="BE10" i="8"/>
  <c r="BF10" i="8"/>
  <c r="BG10" i="8"/>
  <c r="BH10" i="8" s="1"/>
  <c r="BI10" i="8" s="1"/>
  <c r="AK10" i="8"/>
  <c r="BY10" i="8"/>
  <c r="CA10" i="8"/>
  <c r="CB10" i="8"/>
  <c r="CC10" i="8"/>
  <c r="V10" i="8" s="1"/>
  <c r="CD10" i="8"/>
  <c r="W10" i="8" s="1"/>
  <c r="CF10" i="8"/>
  <c r="CG10" i="8"/>
  <c r="CI10" i="8"/>
  <c r="CJ10" i="8"/>
  <c r="CL10" i="8"/>
  <c r="CO10" i="8"/>
  <c r="CM10" i="8"/>
  <c r="U10" i="8"/>
  <c r="AA10" i="8"/>
  <c r="AN10" i="8"/>
  <c r="X10" i="8"/>
  <c r="Z10" i="8"/>
  <c r="CK10" i="8" s="1"/>
  <c r="AW11" i="8"/>
  <c r="AX11" i="8"/>
  <c r="CN11" i="8" s="1"/>
  <c r="AO11" i="8" s="1"/>
  <c r="AY11" i="8"/>
  <c r="AZ11" i="8"/>
  <c r="BA11" i="8"/>
  <c r="BB11" i="8"/>
  <c r="BZ11" i="8" s="1"/>
  <c r="BC11" i="8"/>
  <c r="BD11" i="8"/>
  <c r="BE11" i="8"/>
  <c r="BF11" i="8"/>
  <c r="BG11" i="8"/>
  <c r="BH11" i="8" s="1"/>
  <c r="BI11" i="8" s="1"/>
  <c r="AJ11" i="8"/>
  <c r="AK11" i="8"/>
  <c r="BY11" i="8"/>
  <c r="CA11" i="8"/>
  <c r="CB11" i="8"/>
  <c r="CC11" i="8"/>
  <c r="V11" i="8" s="1"/>
  <c r="CD11" i="8"/>
  <c r="W11" i="8" s="1"/>
  <c r="CF11" i="8"/>
  <c r="CG11" i="8"/>
  <c r="CI11" i="8"/>
  <c r="CJ11" i="8"/>
  <c r="CL11" i="8"/>
  <c r="CO11" i="8"/>
  <c r="X11" i="8"/>
  <c r="Z11" i="8"/>
  <c r="CK11" i="8" s="1"/>
  <c r="AN11" i="8"/>
  <c r="CM11" i="8"/>
  <c r="U11" i="8"/>
  <c r="AA11" i="8"/>
  <c r="AW12" i="8"/>
  <c r="AX12" i="8"/>
  <c r="CN12" i="8" s="1"/>
  <c r="AO12" i="8" s="1"/>
  <c r="AY12" i="8"/>
  <c r="AZ12" i="8"/>
  <c r="BA12" i="8"/>
  <c r="BB12" i="8"/>
  <c r="BZ12" i="8" s="1"/>
  <c r="AJ12" i="8"/>
  <c r="BC12" i="8"/>
  <c r="BD12" i="8"/>
  <c r="BE12" i="8"/>
  <c r="BF12" i="8"/>
  <c r="BG12" i="8"/>
  <c r="BH12" i="8" s="1"/>
  <c r="BI12" i="8" s="1"/>
  <c r="AK12" i="8"/>
  <c r="BY12" i="8"/>
  <c r="CA12" i="8"/>
  <c r="CB12" i="8"/>
  <c r="CC12" i="8"/>
  <c r="V12" i="8" s="1"/>
  <c r="CD12" i="8"/>
  <c r="W12" i="8" s="1"/>
  <c r="CF12" i="8"/>
  <c r="CG12" i="8"/>
  <c r="CI12" i="8"/>
  <c r="CJ12" i="8"/>
  <c r="CL12" i="8"/>
  <c r="CM12" i="8"/>
  <c r="U12" i="8"/>
  <c r="AA12" i="8"/>
  <c r="AN12" i="8"/>
  <c r="CO12" i="8"/>
  <c r="X12" i="8"/>
  <c r="Z12" i="8"/>
  <c r="CK12" i="8" s="1"/>
  <c r="BY13" i="8"/>
  <c r="CB13" i="8"/>
  <c r="CC13" i="8"/>
  <c r="V13" i="8" s="1"/>
  <c r="CD13" i="8"/>
  <c r="W13" i="8" s="1"/>
  <c r="CF13" i="8"/>
  <c r="CG13" i="8"/>
  <c r="CM13" i="8"/>
  <c r="X13" i="8"/>
  <c r="Z13" i="8"/>
  <c r="CK13" i="8" s="1"/>
  <c r="AN13" i="8"/>
  <c r="U13" i="8"/>
  <c r="AA13" i="8"/>
  <c r="AW13" i="8"/>
  <c r="AX13" i="8"/>
  <c r="CN13" i="8" s="1"/>
  <c r="AY13" i="8"/>
  <c r="AZ13" i="8"/>
  <c r="BA13" i="8"/>
  <c r="BB13" i="8"/>
  <c r="BZ13" i="8" s="1"/>
  <c r="BC13" i="8"/>
  <c r="BD13" i="8"/>
  <c r="BE13" i="8"/>
  <c r="BF13" i="8"/>
  <c r="BG13" i="8"/>
  <c r="BH13" i="8" s="1"/>
  <c r="BI13" i="8" s="1"/>
  <c r="AJ13" i="8"/>
  <c r="AK13" i="8"/>
  <c r="BY14" i="8"/>
  <c r="CB14" i="8"/>
  <c r="CC14" i="8"/>
  <c r="V14" i="8" s="1"/>
  <c r="CD14" i="8"/>
  <c r="W14" i="8" s="1"/>
  <c r="CF14" i="8"/>
  <c r="CG14" i="8"/>
  <c r="CM14" i="8"/>
  <c r="U14" i="8"/>
  <c r="AA14" i="8"/>
  <c r="AN14" i="8"/>
  <c r="X14" i="8"/>
  <c r="Z14" i="8"/>
  <c r="CK14" i="8" s="1"/>
  <c r="AW14" i="8"/>
  <c r="AX14" i="8"/>
  <c r="CN14" i="8" s="1"/>
  <c r="AY14" i="8"/>
  <c r="AZ14" i="8"/>
  <c r="BA14" i="8"/>
  <c r="BB14" i="8"/>
  <c r="BZ14" i="8" s="1"/>
  <c r="AJ14" i="8"/>
  <c r="BC14" i="8"/>
  <c r="BD14" i="8"/>
  <c r="BE14" i="8"/>
  <c r="BF14" i="8"/>
  <c r="BG14" i="8"/>
  <c r="BH14" i="8" s="1"/>
  <c r="BI14" i="8" s="1"/>
  <c r="AK14" i="8"/>
  <c r="BY15" i="8"/>
  <c r="CB15" i="8"/>
  <c r="CC15" i="8"/>
  <c r="V15" i="8" s="1"/>
  <c r="CD15" i="8"/>
  <c r="W15" i="8" s="1"/>
  <c r="CF15" i="8"/>
  <c r="CG15" i="8"/>
  <c r="CM15" i="8"/>
  <c r="X15" i="8"/>
  <c r="Z15" i="8"/>
  <c r="CK15" i="8" s="1"/>
  <c r="AN15" i="8"/>
  <c r="U15" i="8"/>
  <c r="AA15" i="8"/>
  <c r="AW15" i="8"/>
  <c r="AX15" i="8"/>
  <c r="CN15" i="8" s="1"/>
  <c r="AY15" i="8"/>
  <c r="AZ15" i="8"/>
  <c r="BA15" i="8"/>
  <c r="BB15" i="8"/>
  <c r="BZ15" i="8" s="1"/>
  <c r="BC15" i="8"/>
  <c r="BD15" i="8"/>
  <c r="BE15" i="8"/>
  <c r="BF15" i="8"/>
  <c r="BG15" i="8"/>
  <c r="BH15" i="8" s="1"/>
  <c r="BI15" i="8" s="1"/>
  <c r="AJ15" i="8"/>
  <c r="AK15" i="8"/>
  <c r="BY16" i="8"/>
  <c r="CB16" i="8"/>
  <c r="CC16" i="8"/>
  <c r="V16" i="8" s="1"/>
  <c r="CD16" i="8"/>
  <c r="W16" i="8" s="1"/>
  <c r="CF16" i="8"/>
  <c r="CG16" i="8"/>
  <c r="CM16" i="8"/>
  <c r="U16" i="8"/>
  <c r="AA16" i="8"/>
  <c r="AN16" i="8"/>
  <c r="X16" i="8"/>
  <c r="Z16" i="8"/>
  <c r="CK16" i="8" s="1"/>
  <c r="AW16" i="8"/>
  <c r="AX16" i="8"/>
  <c r="CN16" i="8" s="1"/>
  <c r="AY16" i="8"/>
  <c r="AZ16" i="8"/>
  <c r="BA16" i="8"/>
  <c r="BB16" i="8"/>
  <c r="BZ16" i="8" s="1"/>
  <c r="AJ16" i="8"/>
  <c r="BC16" i="8"/>
  <c r="BD16" i="8"/>
  <c r="BE16" i="8"/>
  <c r="BF16" i="8"/>
  <c r="BG16" i="8"/>
  <c r="BH16" i="8" s="1"/>
  <c r="BI16" i="8" s="1"/>
  <c r="AK16" i="8"/>
  <c r="BY17" i="8"/>
  <c r="CB17" i="8"/>
  <c r="CC17" i="8"/>
  <c r="V17" i="8" s="1"/>
  <c r="CD17" i="8"/>
  <c r="W17" i="8" s="1"/>
  <c r="CF17" i="8"/>
  <c r="CG17" i="8"/>
  <c r="CM17" i="8"/>
  <c r="U17" i="8"/>
  <c r="X17" i="8"/>
  <c r="Z17" i="8"/>
  <c r="CK17" i="8" s="1"/>
  <c r="AN17" i="8"/>
  <c r="AA17" i="8"/>
  <c r="AW17" i="8"/>
  <c r="AX17" i="8"/>
  <c r="CN17" i="8" s="1"/>
  <c r="AY17" i="8"/>
  <c r="AZ17" i="8"/>
  <c r="BA17" i="8"/>
  <c r="BB17" i="8"/>
  <c r="BZ17" i="8" s="1"/>
  <c r="BC17" i="8"/>
  <c r="BD17" i="8"/>
  <c r="BE17" i="8"/>
  <c r="BF17" i="8"/>
  <c r="BG17" i="8"/>
  <c r="BH17" i="8" s="1"/>
  <c r="BI17" i="8" s="1"/>
  <c r="AJ17" i="8"/>
  <c r="AK17" i="8"/>
  <c r="BY18" i="8"/>
  <c r="CB18" i="8"/>
  <c r="CC18" i="8"/>
  <c r="V18" i="8" s="1"/>
  <c r="CD18" i="8"/>
  <c r="W18" i="8" s="1"/>
  <c r="CF18" i="8"/>
  <c r="CG18" i="8"/>
  <c r="CM18" i="8"/>
  <c r="AA18" i="8"/>
  <c r="AN18" i="8"/>
  <c r="U18" i="8"/>
  <c r="X18" i="8"/>
  <c r="Z18" i="8"/>
  <c r="CK18" i="8" s="1"/>
  <c r="AW18" i="8"/>
  <c r="AX18" i="8"/>
  <c r="CN18" i="8" s="1"/>
  <c r="AY18" i="8"/>
  <c r="AZ18" i="8"/>
  <c r="BA18" i="8"/>
  <c r="BB18" i="8"/>
  <c r="BZ18" i="8" s="1"/>
  <c r="AJ18" i="8"/>
  <c r="BC18" i="8"/>
  <c r="BD18" i="8"/>
  <c r="BE18" i="8"/>
  <c r="BF18" i="8"/>
  <c r="BG18" i="8"/>
  <c r="BH18" i="8" s="1"/>
  <c r="BI18" i="8" s="1"/>
  <c r="AK18" i="8"/>
  <c r="BY19" i="8"/>
  <c r="CB19" i="8"/>
  <c r="CC19" i="8"/>
  <c r="V19" i="8" s="1"/>
  <c r="CD19" i="8"/>
  <c r="W19" i="8" s="1"/>
  <c r="CF19" i="8"/>
  <c r="CG19" i="8"/>
  <c r="CM19" i="8"/>
  <c r="X19" i="8"/>
  <c r="Z19" i="8"/>
  <c r="CK19" i="8" s="1"/>
  <c r="AN19" i="8"/>
  <c r="U19" i="8"/>
  <c r="AA19" i="8"/>
  <c r="AW19" i="8"/>
  <c r="AX19" i="8"/>
  <c r="CN19" i="8" s="1"/>
  <c r="AY19" i="8"/>
  <c r="AZ19" i="8"/>
  <c r="BA19" i="8"/>
  <c r="BB19" i="8"/>
  <c r="BZ19" i="8" s="1"/>
  <c r="BC19" i="8"/>
  <c r="BD19" i="8"/>
  <c r="BE19" i="8"/>
  <c r="BF19" i="8"/>
  <c r="BG19" i="8"/>
  <c r="BH19" i="8" s="1"/>
  <c r="BI19" i="8" s="1"/>
  <c r="AJ19" i="8"/>
  <c r="AK19" i="8"/>
  <c r="BY20" i="8"/>
  <c r="CB20" i="8"/>
  <c r="CC20" i="8"/>
  <c r="V20" i="8" s="1"/>
  <c r="CD20" i="8"/>
  <c r="W20" i="8" s="1"/>
  <c r="CF20" i="8"/>
  <c r="CG20" i="8"/>
  <c r="CM20" i="8"/>
  <c r="U20" i="8"/>
  <c r="AA20" i="8"/>
  <c r="AN20" i="8"/>
  <c r="X20" i="8"/>
  <c r="Z20" i="8"/>
  <c r="CK20" i="8" s="1"/>
  <c r="AW20" i="8"/>
  <c r="AX20" i="8"/>
  <c r="CN20" i="8" s="1"/>
  <c r="AY20" i="8"/>
  <c r="AZ20" i="8"/>
  <c r="BA20" i="8"/>
  <c r="BB20" i="8"/>
  <c r="BZ20" i="8" s="1"/>
  <c r="AJ20" i="8"/>
  <c r="BC20" i="8"/>
  <c r="BD20" i="8"/>
  <c r="BE20" i="8"/>
  <c r="BF20" i="8"/>
  <c r="BG20" i="8"/>
  <c r="BH20" i="8" s="1"/>
  <c r="BI20" i="8" s="1"/>
  <c r="AK20" i="8"/>
  <c r="BY21" i="8"/>
  <c r="CB21" i="8"/>
  <c r="CC21" i="8"/>
  <c r="V21" i="8" s="1"/>
  <c r="CD21" i="8"/>
  <c r="W21" i="8" s="1"/>
  <c r="CF21" i="8"/>
  <c r="CG21" i="8"/>
  <c r="CM21" i="8"/>
  <c r="U21" i="8"/>
  <c r="X21" i="8"/>
  <c r="Z21" i="8"/>
  <c r="CK21" i="8" s="1"/>
  <c r="AN21" i="8"/>
  <c r="AA21" i="8"/>
  <c r="AW21" i="8"/>
  <c r="AX21" i="8"/>
  <c r="CN21" i="8" s="1"/>
  <c r="AY21" i="8"/>
  <c r="AZ21" i="8"/>
  <c r="BA21" i="8"/>
  <c r="BB21" i="8"/>
  <c r="BZ21" i="8" s="1"/>
  <c r="BC21" i="8"/>
  <c r="BD21" i="8"/>
  <c r="BE21" i="8"/>
  <c r="BF21" i="8"/>
  <c r="BG21" i="8"/>
  <c r="BH21" i="8" s="1"/>
  <c r="BI21" i="8" s="1"/>
  <c r="AJ21" i="8"/>
  <c r="AK21" i="8"/>
  <c r="BY22" i="8"/>
  <c r="CB22" i="8"/>
  <c r="CC22" i="8"/>
  <c r="V22" i="8" s="1"/>
  <c r="CD22" i="8"/>
  <c r="W22" i="8" s="1"/>
  <c r="CF22" i="8"/>
  <c r="CG22" i="8"/>
  <c r="CM22" i="8"/>
  <c r="AA22" i="8"/>
  <c r="AN22" i="8"/>
  <c r="U22" i="8"/>
  <c r="X22" i="8"/>
  <c r="Z22" i="8"/>
  <c r="CK22" i="8" s="1"/>
  <c r="AW22" i="8"/>
  <c r="AX22" i="8"/>
  <c r="CN22" i="8" s="1"/>
  <c r="AY22" i="8"/>
  <c r="AZ22" i="8"/>
  <c r="BA22" i="8"/>
  <c r="BB22" i="8"/>
  <c r="BZ22" i="8" s="1"/>
  <c r="AJ22" i="8"/>
  <c r="BC22" i="8"/>
  <c r="BD22" i="8"/>
  <c r="BE22" i="8"/>
  <c r="BF22" i="8"/>
  <c r="BG22" i="8"/>
  <c r="BH22" i="8" s="1"/>
  <c r="BI22" i="8" s="1"/>
  <c r="AK22" i="8"/>
  <c r="AW23" i="8"/>
  <c r="AX23" i="8"/>
  <c r="CN23" i="8" s="1"/>
  <c r="AO23" i="8" s="1"/>
  <c r="AY23" i="8"/>
  <c r="AZ23" i="8"/>
  <c r="BA23" i="8"/>
  <c r="BB23" i="8"/>
  <c r="BZ23" i="8" s="1"/>
  <c r="BC23" i="8"/>
  <c r="BD23" i="8"/>
  <c r="BE23" i="8"/>
  <c r="BF23" i="8"/>
  <c r="BG23" i="8"/>
  <c r="BH23" i="8" s="1"/>
  <c r="BI23" i="8" s="1"/>
  <c r="AJ23" i="8"/>
  <c r="AK23" i="8"/>
  <c r="BY23" i="8"/>
  <c r="CA23" i="8"/>
  <c r="CB23" i="8"/>
  <c r="CC23" i="8"/>
  <c r="V23" i="8" s="1"/>
  <c r="CD23" i="8"/>
  <c r="W23" i="8" s="1"/>
  <c r="CF23" i="8"/>
  <c r="CG23" i="8"/>
  <c r="CI23" i="8"/>
  <c r="CJ23" i="8"/>
  <c r="CL23" i="8"/>
  <c r="CM23" i="8"/>
  <c r="CO23" i="8"/>
  <c r="U23" i="8"/>
  <c r="X23" i="8"/>
  <c r="Z23" i="8"/>
  <c r="CK23" i="8" s="1"/>
  <c r="AN23" i="8"/>
  <c r="AA23" i="8"/>
  <c r="AW24" i="8"/>
  <c r="AX24" i="8"/>
  <c r="CN24" i="8" s="1"/>
  <c r="AO24" i="8" s="1"/>
  <c r="AY24" i="8"/>
  <c r="AZ24" i="8"/>
  <c r="BA24" i="8"/>
  <c r="BB24" i="8"/>
  <c r="BZ24" i="8" s="1"/>
  <c r="AJ24" i="8"/>
  <c r="BC24" i="8"/>
  <c r="BD24" i="8"/>
  <c r="BE24" i="8"/>
  <c r="BF24" i="8"/>
  <c r="BG24" i="8"/>
  <c r="BH24" i="8" s="1"/>
  <c r="BI24" i="8" s="1"/>
  <c r="AK24" i="8"/>
  <c r="BY24" i="8"/>
  <c r="CA24" i="8"/>
  <c r="CB24" i="8"/>
  <c r="CC24" i="8"/>
  <c r="V24" i="8" s="1"/>
  <c r="CD24" i="8"/>
  <c r="W24" i="8" s="1"/>
  <c r="CF24" i="8"/>
  <c r="CG24" i="8"/>
  <c r="CI24" i="8"/>
  <c r="CJ24" i="8"/>
  <c r="CL24" i="8"/>
  <c r="CO24" i="8"/>
  <c r="CM24" i="8"/>
  <c r="AA24" i="8"/>
  <c r="AN24" i="8"/>
  <c r="U24" i="8"/>
  <c r="X24" i="8"/>
  <c r="Z24" i="8"/>
  <c r="CK24" i="8" s="1"/>
  <c r="AW25" i="8"/>
  <c r="AX25" i="8"/>
  <c r="CN25" i="8" s="1"/>
  <c r="AO25" i="8" s="1"/>
  <c r="AY25" i="8"/>
  <c r="AZ25" i="8"/>
  <c r="BA25" i="8"/>
  <c r="BB25" i="8"/>
  <c r="BZ25" i="8" s="1"/>
  <c r="BC25" i="8"/>
  <c r="BD25" i="8"/>
  <c r="BE25" i="8"/>
  <c r="BF25" i="8"/>
  <c r="BG25" i="8"/>
  <c r="BH25" i="8" s="1"/>
  <c r="BI25" i="8" s="1"/>
  <c r="AJ25" i="8"/>
  <c r="AK25" i="8"/>
  <c r="BY25" i="8"/>
  <c r="CA25" i="8"/>
  <c r="CB25" i="8"/>
  <c r="CC25" i="8"/>
  <c r="V25" i="8" s="1"/>
  <c r="CD25" i="8"/>
  <c r="W25" i="8" s="1"/>
  <c r="CF25" i="8"/>
  <c r="CG25" i="8"/>
  <c r="CI25" i="8"/>
  <c r="CJ25" i="8"/>
  <c r="CL25" i="8"/>
  <c r="CO25" i="8"/>
  <c r="CM25" i="8"/>
  <c r="X25" i="8"/>
  <c r="Z25" i="8"/>
  <c r="CK25" i="8" s="1"/>
  <c r="AN25" i="8"/>
  <c r="U25" i="8"/>
  <c r="AA25" i="8"/>
  <c r="AW26" i="8"/>
  <c r="AX26" i="8"/>
  <c r="CN26" i="8" s="1"/>
  <c r="AY26" i="8"/>
  <c r="AZ26" i="8"/>
  <c r="BA26" i="8"/>
  <c r="BB26" i="8"/>
  <c r="BZ26" i="8" s="1"/>
  <c r="AJ26" i="8"/>
  <c r="BC26" i="8"/>
  <c r="BD26" i="8"/>
  <c r="BE26" i="8"/>
  <c r="BF26" i="8"/>
  <c r="BG26" i="8"/>
  <c r="BH26" i="8" s="1"/>
  <c r="BI26" i="8" s="1"/>
  <c r="AK26" i="8"/>
  <c r="BY26" i="8"/>
  <c r="CB26" i="8"/>
  <c r="CC26" i="8"/>
  <c r="V26" i="8" s="1"/>
  <c r="CD26" i="8"/>
  <c r="W26" i="8" s="1"/>
  <c r="CF26" i="8"/>
  <c r="CG26" i="8"/>
  <c r="U26" i="8"/>
  <c r="AA26" i="8"/>
  <c r="AN26" i="8"/>
  <c r="CM26" i="8"/>
  <c r="X26" i="8"/>
  <c r="Z26" i="8"/>
  <c r="CK26" i="8" s="1"/>
  <c r="AW27" i="8"/>
  <c r="AX27" i="8"/>
  <c r="CN27" i="8" s="1"/>
  <c r="AO27" i="8" s="1"/>
  <c r="AY27" i="8"/>
  <c r="AZ27" i="8"/>
  <c r="BA27" i="8"/>
  <c r="BB27" i="8"/>
  <c r="BZ27" i="8" s="1"/>
  <c r="BC27" i="8"/>
  <c r="BD27" i="8"/>
  <c r="BE27" i="8"/>
  <c r="BF27" i="8"/>
  <c r="BG27" i="8"/>
  <c r="BH27" i="8" s="1"/>
  <c r="BI27" i="8" s="1"/>
  <c r="AJ27" i="8"/>
  <c r="AK27" i="8"/>
  <c r="BY27" i="8"/>
  <c r="CA27" i="8"/>
  <c r="CB27" i="8"/>
  <c r="CC27" i="8"/>
  <c r="V27" i="8" s="1"/>
  <c r="CD27" i="8"/>
  <c r="W27" i="8" s="1"/>
  <c r="CF27" i="8"/>
  <c r="CG27" i="8"/>
  <c r="CI27" i="8"/>
  <c r="CJ27" i="8"/>
  <c r="CL27" i="8"/>
  <c r="CM27" i="8"/>
  <c r="CO27" i="8"/>
  <c r="U27" i="8"/>
  <c r="X27" i="8"/>
  <c r="Z27" i="8"/>
  <c r="CK27" i="8" s="1"/>
  <c r="AN27" i="8"/>
  <c r="AA27" i="8"/>
  <c r="AW28" i="8"/>
  <c r="AX28" i="8"/>
  <c r="CN28" i="8" s="1"/>
  <c r="AO28" i="8" s="1"/>
  <c r="AY28" i="8"/>
  <c r="AZ28" i="8"/>
  <c r="BA28" i="8"/>
  <c r="BB28" i="8"/>
  <c r="BZ28" i="8" s="1"/>
  <c r="AJ28" i="8"/>
  <c r="BC28" i="8"/>
  <c r="BD28" i="8"/>
  <c r="BE28" i="8"/>
  <c r="BF28" i="8"/>
  <c r="BG28" i="8"/>
  <c r="BH28" i="8" s="1"/>
  <c r="BI28" i="8" s="1"/>
  <c r="AK28" i="8"/>
  <c r="BY28" i="8"/>
  <c r="CA28" i="8"/>
  <c r="CB28" i="8"/>
  <c r="CC28" i="8"/>
  <c r="V28" i="8" s="1"/>
  <c r="CD28" i="8"/>
  <c r="W28" i="8" s="1"/>
  <c r="CF28" i="8"/>
  <c r="CG28" i="8"/>
  <c r="CI28" i="8"/>
  <c r="CJ28" i="8"/>
  <c r="CL28" i="8"/>
  <c r="CM28" i="8"/>
  <c r="AA28" i="8"/>
  <c r="AN28" i="8"/>
  <c r="CO28" i="8"/>
  <c r="U28" i="8"/>
  <c r="X28" i="8"/>
  <c r="Z28" i="8"/>
  <c r="CK28" i="8" s="1"/>
  <c r="AW29" i="8"/>
  <c r="AX29" i="8"/>
  <c r="CN29" i="8" s="1"/>
  <c r="AO29" i="8" s="1"/>
  <c r="AY29" i="8"/>
  <c r="AZ29" i="8"/>
  <c r="BA29" i="8"/>
  <c r="BB29" i="8"/>
  <c r="BZ29" i="8" s="1"/>
  <c r="BC29" i="8"/>
  <c r="BD29" i="8"/>
  <c r="BE29" i="8"/>
  <c r="BF29" i="8"/>
  <c r="BG29" i="8"/>
  <c r="BH29" i="8" s="1"/>
  <c r="BI29" i="8" s="1"/>
  <c r="AJ29" i="8"/>
  <c r="AK29" i="8"/>
  <c r="BY29" i="8"/>
  <c r="CA29" i="8"/>
  <c r="CB29" i="8"/>
  <c r="CC29" i="8"/>
  <c r="V29" i="8" s="1"/>
  <c r="CD29" i="8"/>
  <c r="W29" i="8" s="1"/>
  <c r="CF29" i="8"/>
  <c r="CG29" i="8"/>
  <c r="CI29" i="8"/>
  <c r="CJ29" i="8"/>
  <c r="CL29" i="8"/>
  <c r="CM29" i="8"/>
  <c r="CO29" i="8"/>
  <c r="X29" i="8"/>
  <c r="Z29" i="8"/>
  <c r="CK29" i="8" s="1"/>
  <c r="AN29" i="8"/>
  <c r="U29" i="8"/>
  <c r="AA29" i="8"/>
  <c r="AW30" i="8"/>
  <c r="AX30" i="8"/>
  <c r="CN30" i="8" s="1"/>
  <c r="AO30" i="8" s="1"/>
  <c r="AY30" i="8"/>
  <c r="AZ30" i="8"/>
  <c r="BA30" i="8"/>
  <c r="BB30" i="8"/>
  <c r="BZ30" i="8" s="1"/>
  <c r="AJ30" i="8"/>
  <c r="BC30" i="8"/>
  <c r="BD30" i="8"/>
  <c r="BE30" i="8"/>
  <c r="BF30" i="8"/>
  <c r="BG30" i="8"/>
  <c r="BH30" i="8" s="1"/>
  <c r="BI30" i="8" s="1"/>
  <c r="AK30" i="8"/>
  <c r="BY30" i="8"/>
  <c r="CA30" i="8"/>
  <c r="CB30" i="8"/>
  <c r="CC30" i="8"/>
  <c r="V30" i="8" s="1"/>
  <c r="CD30" i="8"/>
  <c r="W30" i="8" s="1"/>
  <c r="CF30" i="8"/>
  <c r="CG30" i="8"/>
  <c r="CI30" i="8"/>
  <c r="CJ30" i="8"/>
  <c r="CL30" i="8"/>
  <c r="CO30" i="8"/>
  <c r="CM30" i="8"/>
  <c r="U30" i="8"/>
  <c r="AA30" i="8"/>
  <c r="AN30" i="8"/>
  <c r="X30" i="8"/>
  <c r="Z30" i="8"/>
  <c r="CK30" i="8" s="1"/>
  <c r="AW31" i="8"/>
  <c r="AX31" i="8"/>
  <c r="CN31" i="8" s="1"/>
  <c r="AO31" i="8" s="1"/>
  <c r="AY31" i="8"/>
  <c r="AZ31" i="8"/>
  <c r="BA31" i="8"/>
  <c r="BB31" i="8"/>
  <c r="BZ31" i="8" s="1"/>
  <c r="BC31" i="8"/>
  <c r="BD31" i="8"/>
  <c r="BE31" i="8"/>
  <c r="BF31" i="8"/>
  <c r="BG31" i="8"/>
  <c r="BH31" i="8" s="1"/>
  <c r="BI31" i="8" s="1"/>
  <c r="AJ31" i="8"/>
  <c r="AK31" i="8"/>
  <c r="BY31" i="8"/>
  <c r="CA31" i="8"/>
  <c r="CB31" i="8"/>
  <c r="CC31" i="8"/>
  <c r="V31" i="8" s="1"/>
  <c r="CD31" i="8"/>
  <c r="W31" i="8" s="1"/>
  <c r="CF31" i="8"/>
  <c r="CG31" i="8"/>
  <c r="CI31" i="8"/>
  <c r="CJ31" i="8"/>
  <c r="CL31" i="8"/>
  <c r="CM31" i="8"/>
  <c r="CO31" i="8"/>
  <c r="X31" i="8"/>
  <c r="Z31" i="8"/>
  <c r="CK31" i="8" s="1"/>
  <c r="AN31" i="8"/>
  <c r="U31" i="8"/>
  <c r="AA31" i="8"/>
  <c r="AW32" i="8"/>
  <c r="AX32" i="8"/>
  <c r="CN32" i="8" s="1"/>
  <c r="AY32" i="8"/>
  <c r="AZ32" i="8"/>
  <c r="BA32" i="8"/>
  <c r="BB32" i="8"/>
  <c r="AJ32" i="8"/>
  <c r="BC32" i="8"/>
  <c r="BD32" i="8"/>
  <c r="BE32" i="8"/>
  <c r="BF32" i="8"/>
  <c r="BG32" i="8"/>
  <c r="BH32" i="8" s="1"/>
  <c r="BI32" i="8" s="1"/>
  <c r="AK32" i="8"/>
  <c r="BY32" i="8"/>
  <c r="CB32" i="8"/>
  <c r="CC32" i="8"/>
  <c r="V32" i="8" s="1"/>
  <c r="CD32" i="8"/>
  <c r="W32" i="8" s="1"/>
  <c r="CF32" i="8"/>
  <c r="CG32" i="8"/>
  <c r="CM32" i="8"/>
  <c r="U32" i="8"/>
  <c r="AN32" i="8"/>
  <c r="X32" i="8"/>
  <c r="Z32" i="8"/>
  <c r="CK32" i="8" s="1"/>
  <c r="AA32" i="8"/>
  <c r="BK32" i="8"/>
  <c r="BL32" i="8"/>
  <c r="BM32" i="8"/>
  <c r="BN32" i="8"/>
  <c r="BO32" i="8"/>
  <c r="BP32" i="8"/>
  <c r="BZ32" i="8" s="1"/>
  <c r="BQ32" i="8"/>
  <c r="BR32" i="8"/>
  <c r="BS32" i="8"/>
  <c r="BT32" i="8"/>
  <c r="BU32" i="8"/>
  <c r="AH32" i="8"/>
  <c r="AI32" i="8"/>
  <c r="AW33" i="8"/>
  <c r="AX33" i="8"/>
  <c r="CN33" i="8" s="1"/>
  <c r="AY33" i="8"/>
  <c r="AZ33" i="8"/>
  <c r="BA33" i="8"/>
  <c r="BB33" i="8"/>
  <c r="BC33" i="8"/>
  <c r="BD33" i="8"/>
  <c r="BE33" i="8"/>
  <c r="BF33" i="8"/>
  <c r="BG33" i="8"/>
  <c r="BH33" i="8" s="1"/>
  <c r="BI33" i="8" s="1"/>
  <c r="AJ33" i="8"/>
  <c r="AK33" i="8"/>
  <c r="BY33" i="8"/>
  <c r="CB33" i="8"/>
  <c r="CC33" i="8"/>
  <c r="V33" i="8" s="1"/>
  <c r="CD33" i="8"/>
  <c r="W33" i="8" s="1"/>
  <c r="CF33" i="8"/>
  <c r="CG33" i="8"/>
  <c r="CM33" i="8"/>
  <c r="X33" i="8"/>
  <c r="Z33" i="8"/>
  <c r="CK33" i="8" s="1"/>
  <c r="AA33" i="8"/>
  <c r="AN33" i="8"/>
  <c r="U33" i="8"/>
  <c r="BK33" i="8"/>
  <c r="BL33" i="8"/>
  <c r="BM33" i="8"/>
  <c r="BN33" i="8"/>
  <c r="BO33" i="8"/>
  <c r="BP33" i="8"/>
  <c r="BZ33" i="8" s="1"/>
  <c r="BQ33" i="8"/>
  <c r="BR33" i="8"/>
  <c r="BS33" i="8"/>
  <c r="BT33" i="8"/>
  <c r="BU33" i="8"/>
  <c r="CO33" i="8" s="1"/>
  <c r="AH33" i="8"/>
  <c r="AI33" i="8"/>
  <c r="AW34" i="8"/>
  <c r="AX34" i="8"/>
  <c r="CN34" i="8" s="1"/>
  <c r="AY34" i="8"/>
  <c r="AZ34" i="8"/>
  <c r="BA34" i="8"/>
  <c r="BB34" i="8"/>
  <c r="AJ34" i="8"/>
  <c r="BC34" i="8"/>
  <c r="BD34" i="8"/>
  <c r="BE34" i="8"/>
  <c r="BF34" i="8"/>
  <c r="BG34" i="8"/>
  <c r="BH34" i="8" s="1"/>
  <c r="BI34" i="8" s="1"/>
  <c r="AK34" i="8"/>
  <c r="BY34" i="8"/>
  <c r="CB34" i="8"/>
  <c r="CC34" i="8"/>
  <c r="V34" i="8" s="1"/>
  <c r="CD34" i="8"/>
  <c r="W34" i="8" s="1"/>
  <c r="CF34" i="8"/>
  <c r="CG34" i="8"/>
  <c r="CM34" i="8"/>
  <c r="U34" i="8"/>
  <c r="AN34" i="8"/>
  <c r="X34" i="8"/>
  <c r="Z34" i="8"/>
  <c r="CK34" i="8" s="1"/>
  <c r="AA34" i="8"/>
  <c r="BK34" i="8"/>
  <c r="BL34" i="8"/>
  <c r="BM34" i="8"/>
  <c r="BN34" i="8"/>
  <c r="BO34" i="8"/>
  <c r="BP34" i="8"/>
  <c r="BZ34" i="8" s="1"/>
  <c r="BQ34" i="8"/>
  <c r="BR34" i="8"/>
  <c r="BS34" i="8"/>
  <c r="BT34" i="8"/>
  <c r="BU34" i="8"/>
  <c r="CO34" i="8" s="1"/>
  <c r="AH34" i="8"/>
  <c r="AI34" i="8"/>
  <c r="AW35" i="8"/>
  <c r="AX35" i="8"/>
  <c r="CN35" i="8" s="1"/>
  <c r="AY35" i="8"/>
  <c r="AZ35" i="8"/>
  <c r="BA35" i="8"/>
  <c r="BB35" i="8"/>
  <c r="BC35" i="8"/>
  <c r="BD35" i="8"/>
  <c r="BE35" i="8"/>
  <c r="BF35" i="8"/>
  <c r="BG35" i="8"/>
  <c r="BH35" i="8" s="1"/>
  <c r="BI35" i="8" s="1"/>
  <c r="AJ35" i="8"/>
  <c r="AK35" i="8"/>
  <c r="BY35" i="8"/>
  <c r="CB35" i="8"/>
  <c r="CC35" i="8"/>
  <c r="V35" i="8" s="1"/>
  <c r="CD35" i="8"/>
  <c r="W35" i="8" s="1"/>
  <c r="CF35" i="8"/>
  <c r="CG35" i="8"/>
  <c r="X35" i="8"/>
  <c r="Z35" i="8"/>
  <c r="CK35" i="8" s="1"/>
  <c r="AA35" i="8"/>
  <c r="AN35" i="8"/>
  <c r="CM35" i="8"/>
  <c r="U35" i="8"/>
  <c r="BK35" i="8"/>
  <c r="BL35" i="8"/>
  <c r="BM35" i="8"/>
  <c r="BN35" i="8"/>
  <c r="BO35" i="8"/>
  <c r="BP35" i="8"/>
  <c r="BZ35" i="8" s="1"/>
  <c r="BQ35" i="8"/>
  <c r="BR35" i="8"/>
  <c r="BS35" i="8"/>
  <c r="BT35" i="8"/>
  <c r="BU35" i="8"/>
  <c r="CO35" i="8" s="1"/>
  <c r="AH35" i="8"/>
  <c r="AI35" i="8"/>
  <c r="BK36" i="8"/>
  <c r="BL36" i="8"/>
  <c r="BM36" i="8"/>
  <c r="BN36" i="8"/>
  <c r="BO36" i="8"/>
  <c r="BP36" i="8"/>
  <c r="BQ36" i="8"/>
  <c r="BR36" i="8"/>
  <c r="BS36" i="8"/>
  <c r="BT36" i="8"/>
  <c r="BU36" i="8"/>
  <c r="AH36" i="8"/>
  <c r="AI36" i="8"/>
  <c r="AW36" i="8"/>
  <c r="AX36" i="8"/>
  <c r="CN36" i="8" s="1"/>
  <c r="AO36" i="8" s="1"/>
  <c r="AY36" i="8"/>
  <c r="AZ36" i="8"/>
  <c r="BA36" i="8"/>
  <c r="BB36" i="8"/>
  <c r="BC36" i="8"/>
  <c r="BD36" i="8"/>
  <c r="BE36" i="8"/>
  <c r="BF36" i="8"/>
  <c r="BG36" i="8"/>
  <c r="BH36" i="8" s="1"/>
  <c r="BI36" i="8" s="1"/>
  <c r="AJ36" i="8"/>
  <c r="AK36" i="8"/>
  <c r="BY36" i="8"/>
  <c r="CA36" i="8"/>
  <c r="CB36" i="8"/>
  <c r="CC36" i="8"/>
  <c r="V36" i="8" s="1"/>
  <c r="CD36" i="8"/>
  <c r="W36" i="8" s="1"/>
  <c r="CF36" i="8"/>
  <c r="CG36" i="8"/>
  <c r="CJ36" i="8"/>
  <c r="CL36" i="8"/>
  <c r="CO36" i="8"/>
  <c r="CM36" i="8"/>
  <c r="U36" i="8"/>
  <c r="AN36" i="8"/>
  <c r="X36" i="8"/>
  <c r="Z36" i="8"/>
  <c r="CK36" i="8" s="1"/>
  <c r="AA36" i="8"/>
  <c r="AW37" i="8"/>
  <c r="AX37" i="8"/>
  <c r="CN37" i="8" s="1"/>
  <c r="AY37" i="8"/>
  <c r="AZ37" i="8"/>
  <c r="BA37" i="8"/>
  <c r="BB37" i="8"/>
  <c r="BC37" i="8"/>
  <c r="BD37" i="8"/>
  <c r="BE37" i="8"/>
  <c r="BF37" i="8"/>
  <c r="BG37" i="8"/>
  <c r="BH37" i="8" s="1"/>
  <c r="BI37" i="8" s="1"/>
  <c r="AJ37" i="8"/>
  <c r="AK37" i="8"/>
  <c r="BY37" i="8"/>
  <c r="CB37" i="8"/>
  <c r="CC37" i="8"/>
  <c r="V37" i="8" s="1"/>
  <c r="CD37" i="8"/>
  <c r="W37" i="8" s="1"/>
  <c r="CF37" i="8"/>
  <c r="CG37" i="8"/>
  <c r="CM37" i="8"/>
  <c r="X37" i="8"/>
  <c r="Z37" i="8"/>
  <c r="CK37" i="8" s="1"/>
  <c r="AA37" i="8"/>
  <c r="AN37" i="8"/>
  <c r="U37" i="8"/>
  <c r="BK37" i="8"/>
  <c r="BL37" i="8"/>
  <c r="BM37" i="8"/>
  <c r="BN37" i="8"/>
  <c r="BO37" i="8"/>
  <c r="BP37" i="8"/>
  <c r="BZ37" i="8" s="1"/>
  <c r="BQ37" i="8"/>
  <c r="BR37" i="8"/>
  <c r="BS37" i="8"/>
  <c r="BT37" i="8"/>
  <c r="BU37" i="8"/>
  <c r="CO37" i="8" s="1"/>
  <c r="AH37" i="8"/>
  <c r="AI37" i="8"/>
  <c r="BK38" i="8"/>
  <c r="BL38" i="8"/>
  <c r="BM38" i="8"/>
  <c r="BN38" i="8"/>
  <c r="BO38" i="8"/>
  <c r="BP38" i="8"/>
  <c r="BQ38" i="8"/>
  <c r="BR38" i="8"/>
  <c r="BS38" i="8"/>
  <c r="BT38" i="8"/>
  <c r="BU38" i="8"/>
  <c r="AH38" i="8"/>
  <c r="AI38" i="8"/>
  <c r="BY38" i="8"/>
  <c r="CB38" i="8"/>
  <c r="CC38" i="8"/>
  <c r="V38" i="8" s="1"/>
  <c r="CD38" i="8"/>
  <c r="W38" i="8" s="1"/>
  <c r="CF38" i="8"/>
  <c r="CG38" i="8"/>
  <c r="CM38" i="8"/>
  <c r="U38" i="8"/>
  <c r="AN38" i="8"/>
  <c r="X38" i="8"/>
  <c r="Z38" i="8"/>
  <c r="CK38" i="8" s="1"/>
  <c r="AA38" i="8"/>
  <c r="AW38" i="8"/>
  <c r="AX38" i="8"/>
  <c r="CN38" i="8" s="1"/>
  <c r="AY38" i="8"/>
  <c r="AZ38" i="8"/>
  <c r="BA38" i="8"/>
  <c r="BB38" i="8"/>
  <c r="BC38" i="8"/>
  <c r="BD38" i="8"/>
  <c r="BE38" i="8"/>
  <c r="BF38" i="8"/>
  <c r="BG38" i="8"/>
  <c r="BH38" i="8" s="1"/>
  <c r="BI38" i="8" s="1"/>
  <c r="AJ38" i="8"/>
  <c r="AK38" i="8"/>
  <c r="BK39" i="8"/>
  <c r="BL39" i="8"/>
  <c r="BM39" i="8"/>
  <c r="BN39" i="8"/>
  <c r="BO39" i="8"/>
  <c r="BP39" i="8"/>
  <c r="BQ39" i="8"/>
  <c r="BR39" i="8"/>
  <c r="BS39" i="8"/>
  <c r="BT39" i="8"/>
  <c r="BU39" i="8"/>
  <c r="AH39" i="8"/>
  <c r="AI39" i="8"/>
  <c r="AW39" i="8"/>
  <c r="AX39" i="8"/>
  <c r="CN39" i="8" s="1"/>
  <c r="AO39" i="8" s="1"/>
  <c r="AY39" i="8"/>
  <c r="AZ39" i="8"/>
  <c r="BA39" i="8"/>
  <c r="BB39" i="8"/>
  <c r="BC39" i="8"/>
  <c r="BD39" i="8"/>
  <c r="BE39" i="8"/>
  <c r="BF39" i="8"/>
  <c r="BG39" i="8"/>
  <c r="BH39" i="8" s="1"/>
  <c r="BI39" i="8" s="1"/>
  <c r="AJ39" i="8"/>
  <c r="AK39" i="8"/>
  <c r="BY39" i="8"/>
  <c r="CA39" i="8"/>
  <c r="CB39" i="8"/>
  <c r="CC39" i="8"/>
  <c r="V39" i="8" s="1"/>
  <c r="CD39" i="8"/>
  <c r="W39" i="8" s="1"/>
  <c r="CF39" i="8"/>
  <c r="CG39" i="8"/>
  <c r="CJ39" i="8"/>
  <c r="CL39" i="8"/>
  <c r="CO39" i="8"/>
  <c r="CM39" i="8"/>
  <c r="X39" i="8"/>
  <c r="Z39" i="8"/>
  <c r="CK39" i="8" s="1"/>
  <c r="AA39" i="8"/>
  <c r="AN39" i="8"/>
  <c r="U39" i="8"/>
  <c r="BY40" i="8"/>
  <c r="CB40" i="8"/>
  <c r="CC40" i="8"/>
  <c r="V40" i="8" s="1"/>
  <c r="CD40" i="8"/>
  <c r="W40" i="8" s="1"/>
  <c r="CF40" i="8"/>
  <c r="CG40" i="8"/>
  <c r="CM40" i="8"/>
  <c r="U40" i="8"/>
  <c r="AN40" i="8"/>
  <c r="X40" i="8"/>
  <c r="Z40" i="8"/>
  <c r="CK40" i="8" s="1"/>
  <c r="AA40" i="8"/>
  <c r="BK40" i="8"/>
  <c r="BL40" i="8"/>
  <c r="BM40" i="8"/>
  <c r="BN40" i="8"/>
  <c r="BO40" i="8"/>
  <c r="BP40" i="8"/>
  <c r="BQ40" i="8"/>
  <c r="BR40" i="8"/>
  <c r="BS40" i="8"/>
  <c r="BT40" i="8"/>
  <c r="BU40" i="8"/>
  <c r="AH40" i="8"/>
  <c r="AI40" i="8"/>
  <c r="AW40" i="8"/>
  <c r="AX40" i="8"/>
  <c r="CN40" i="8" s="1"/>
  <c r="AY40" i="8"/>
  <c r="AZ40" i="8"/>
  <c r="BA40" i="8"/>
  <c r="BB40" i="8"/>
  <c r="BC40" i="8"/>
  <c r="BD40" i="8"/>
  <c r="BE40" i="8"/>
  <c r="BF40" i="8"/>
  <c r="BG40" i="8"/>
  <c r="BH40" i="8" s="1"/>
  <c r="BI40" i="8" s="1"/>
  <c r="AJ40" i="8"/>
  <c r="AK40" i="8"/>
  <c r="AW41" i="8"/>
  <c r="AX41" i="8"/>
  <c r="CN41" i="8" s="1"/>
  <c r="AY41" i="8"/>
  <c r="AZ41" i="8"/>
  <c r="BA41" i="8"/>
  <c r="BB41" i="8"/>
  <c r="BC41" i="8"/>
  <c r="BD41" i="8"/>
  <c r="BE41" i="8"/>
  <c r="BF41" i="8"/>
  <c r="BG41" i="8"/>
  <c r="BH41" i="8" s="1"/>
  <c r="BI41" i="8" s="1"/>
  <c r="AJ41" i="8"/>
  <c r="AK41" i="8"/>
  <c r="BK41" i="8"/>
  <c r="BL41" i="8"/>
  <c r="BM41" i="8"/>
  <c r="BN41" i="8"/>
  <c r="BO41" i="8"/>
  <c r="BP41" i="8"/>
  <c r="BZ41" i="8" s="1"/>
  <c r="BQ41" i="8"/>
  <c r="BR41" i="8"/>
  <c r="BS41" i="8"/>
  <c r="BT41" i="8"/>
  <c r="BU41" i="8"/>
  <c r="AH41" i="8"/>
  <c r="AI41" i="8"/>
  <c r="BY41" i="8"/>
  <c r="CA41" i="8"/>
  <c r="CB41" i="8"/>
  <c r="CC41" i="8"/>
  <c r="V41" i="8" s="1"/>
  <c r="CD41" i="8"/>
  <c r="W41" i="8" s="1"/>
  <c r="CF41" i="8"/>
  <c r="CG41" i="8"/>
  <c r="CI41" i="8"/>
  <c r="CJ41" i="8"/>
  <c r="CL41" i="8"/>
  <c r="CO41" i="8"/>
  <c r="CM41" i="8"/>
  <c r="X41" i="8"/>
  <c r="Z41" i="8"/>
  <c r="CK41" i="8" s="1"/>
  <c r="AA41" i="8"/>
  <c r="AN41" i="8"/>
  <c r="U41" i="8"/>
  <c r="BK42" i="8"/>
  <c r="BL42" i="8"/>
  <c r="BM42" i="8"/>
  <c r="BN42" i="8"/>
  <c r="BO42" i="8"/>
  <c r="BP42" i="8"/>
  <c r="BQ42" i="8"/>
  <c r="BR42" i="8"/>
  <c r="BS42" i="8"/>
  <c r="BT42" i="8"/>
  <c r="BU42" i="8"/>
  <c r="AH42" i="8"/>
  <c r="AI42" i="8"/>
  <c r="AW42" i="8"/>
  <c r="AX42" i="8"/>
  <c r="CN42" i="8" s="1"/>
  <c r="AO42" i="8" s="1"/>
  <c r="AY42" i="8"/>
  <c r="AZ42" i="8"/>
  <c r="BA42" i="8"/>
  <c r="BB42" i="8"/>
  <c r="BC42" i="8"/>
  <c r="BD42" i="8"/>
  <c r="BE42" i="8"/>
  <c r="BF42" i="8"/>
  <c r="BG42" i="8"/>
  <c r="BH42" i="8" s="1"/>
  <c r="BI42" i="8" s="1"/>
  <c r="AJ42" i="8"/>
  <c r="AK42" i="8"/>
  <c r="BY42" i="8"/>
  <c r="CA42" i="8"/>
  <c r="CB42" i="8"/>
  <c r="CC42" i="8"/>
  <c r="V42" i="8" s="1"/>
  <c r="CD42" i="8"/>
  <c r="W42" i="8" s="1"/>
  <c r="CF42" i="8"/>
  <c r="CG42" i="8"/>
  <c r="CJ42" i="8"/>
  <c r="CL42" i="8"/>
  <c r="CO42" i="8"/>
  <c r="U42" i="8"/>
  <c r="AN42" i="8"/>
  <c r="CM42" i="8"/>
  <c r="X42" i="8"/>
  <c r="Z42" i="8"/>
  <c r="CK42" i="8" s="1"/>
  <c r="AA42" i="8"/>
  <c r="BK43" i="8"/>
  <c r="BL43" i="8"/>
  <c r="BM43" i="8"/>
  <c r="BN43" i="8"/>
  <c r="BO43" i="8"/>
  <c r="BP43" i="8"/>
  <c r="BQ43" i="8"/>
  <c r="BR43" i="8"/>
  <c r="BS43" i="8"/>
  <c r="BT43" i="8"/>
  <c r="BU43" i="8"/>
  <c r="AH43" i="8"/>
  <c r="AI43" i="8"/>
  <c r="AW43" i="8"/>
  <c r="AX43" i="8"/>
  <c r="CN43" i="8" s="1"/>
  <c r="AO43" i="8" s="1"/>
  <c r="AY43" i="8"/>
  <c r="AZ43" i="8"/>
  <c r="BA43" i="8"/>
  <c r="BB43" i="8"/>
  <c r="BC43" i="8"/>
  <c r="BD43" i="8"/>
  <c r="BE43" i="8"/>
  <c r="BF43" i="8"/>
  <c r="BG43" i="8"/>
  <c r="BH43" i="8" s="1"/>
  <c r="BI43" i="8" s="1"/>
  <c r="AJ43" i="8"/>
  <c r="AK43" i="8"/>
  <c r="BY43" i="8"/>
  <c r="CA43" i="8"/>
  <c r="CB43" i="8"/>
  <c r="CC43" i="8"/>
  <c r="V43" i="8" s="1"/>
  <c r="CD43" i="8"/>
  <c r="W43" i="8" s="1"/>
  <c r="CF43" i="8"/>
  <c r="CG43" i="8"/>
  <c r="CJ43" i="8"/>
  <c r="CL43" i="8"/>
  <c r="CO43" i="8"/>
  <c r="CM43" i="8"/>
  <c r="U43" i="8"/>
  <c r="X43" i="8"/>
  <c r="Z43" i="8"/>
  <c r="CK43" i="8" s="1"/>
  <c r="AA43" i="8"/>
  <c r="AN43" i="8"/>
  <c r="BK44" i="8"/>
  <c r="BL44" i="8"/>
  <c r="BM44" i="8"/>
  <c r="BN44" i="8"/>
  <c r="BO44" i="8"/>
  <c r="BP44" i="8"/>
  <c r="BQ44" i="8"/>
  <c r="BR44" i="8"/>
  <c r="BS44" i="8"/>
  <c r="BT44" i="8"/>
  <c r="BU44" i="8"/>
  <c r="AH44" i="8"/>
  <c r="AI44" i="8"/>
  <c r="AW44" i="8"/>
  <c r="AX44" i="8"/>
  <c r="CN44" i="8" s="1"/>
  <c r="AO44" i="8" s="1"/>
  <c r="AY44" i="8"/>
  <c r="AZ44" i="8"/>
  <c r="BA44" i="8"/>
  <c r="BB44" i="8"/>
  <c r="BC44" i="8"/>
  <c r="BD44" i="8"/>
  <c r="BE44" i="8"/>
  <c r="BF44" i="8"/>
  <c r="BG44" i="8"/>
  <c r="BH44" i="8" s="1"/>
  <c r="BI44" i="8" s="1"/>
  <c r="AJ44" i="8"/>
  <c r="AK44" i="8"/>
  <c r="BY44" i="8"/>
  <c r="CA44" i="8"/>
  <c r="CB44" i="8"/>
  <c r="CC44" i="8"/>
  <c r="V44" i="8" s="1"/>
  <c r="CD44" i="8"/>
  <c r="W44" i="8" s="1"/>
  <c r="CF44" i="8"/>
  <c r="CG44" i="8"/>
  <c r="CJ44" i="8"/>
  <c r="CL44" i="8"/>
  <c r="CM44" i="8"/>
  <c r="U44" i="8"/>
  <c r="AN44" i="8"/>
  <c r="CO44" i="8"/>
  <c r="X44" i="8"/>
  <c r="Z44" i="8"/>
  <c r="CK44" i="8" s="1"/>
  <c r="AA44" i="8"/>
  <c r="Q342" i="20"/>
  <c r="R342" i="20"/>
  <c r="V342" i="20"/>
  <c r="Q343" i="20"/>
  <c r="R343" i="20"/>
  <c r="V343" i="20"/>
  <c r="Q344" i="20"/>
  <c r="R344" i="20"/>
  <c r="V344" i="20"/>
  <c r="Q345" i="20"/>
  <c r="R345" i="20"/>
  <c r="V345" i="20"/>
  <c r="Q346" i="20"/>
  <c r="R346" i="20"/>
  <c r="V346" i="20"/>
  <c r="Q347" i="20"/>
  <c r="R347" i="20"/>
  <c r="V347" i="20"/>
  <c r="Q348" i="20"/>
  <c r="R348" i="20"/>
  <c r="V348" i="20"/>
  <c r="Q349" i="20"/>
  <c r="R349" i="20"/>
  <c r="V349" i="20"/>
  <c r="Q350" i="20"/>
  <c r="R350" i="20"/>
  <c r="V350" i="20"/>
  <c r="Q351" i="20"/>
  <c r="R351" i="20"/>
  <c r="V351" i="20"/>
  <c r="Q352" i="20"/>
  <c r="R352" i="20"/>
  <c r="V352" i="20"/>
  <c r="Q353" i="20"/>
  <c r="R353" i="20"/>
  <c r="V353" i="20"/>
  <c r="Q354" i="20"/>
  <c r="R354" i="20"/>
  <c r="V354" i="20"/>
  <c r="Q355" i="20"/>
  <c r="R355" i="20"/>
  <c r="V355" i="20"/>
  <c r="Q356" i="20"/>
  <c r="R356" i="20"/>
  <c r="V356" i="20"/>
  <c r="Q357" i="20"/>
  <c r="R357" i="20"/>
  <c r="V357" i="20"/>
  <c r="Q358" i="20"/>
  <c r="R358" i="20"/>
  <c r="V358" i="20"/>
  <c r="Q359" i="20"/>
  <c r="R359" i="20"/>
  <c r="V359" i="20"/>
  <c r="Q360" i="20"/>
  <c r="R360" i="20"/>
  <c r="V360" i="20"/>
  <c r="Q361" i="20"/>
  <c r="R361" i="20"/>
  <c r="V361" i="20"/>
  <c r="Q362" i="20"/>
  <c r="R362" i="20"/>
  <c r="V362" i="20"/>
  <c r="Q363" i="20"/>
  <c r="R363" i="20"/>
  <c r="V363" i="20"/>
  <c r="Q364" i="20"/>
  <c r="R364" i="20"/>
  <c r="V364" i="20"/>
  <c r="Q365" i="20"/>
  <c r="R365" i="20"/>
  <c r="V365" i="20"/>
  <c r="Q366" i="20"/>
  <c r="R366" i="20"/>
  <c r="V366" i="20"/>
  <c r="Q367" i="20"/>
  <c r="R367" i="20"/>
  <c r="V367" i="20"/>
  <c r="Q368" i="20"/>
  <c r="R368" i="20"/>
  <c r="V368" i="20"/>
  <c r="Q369" i="20"/>
  <c r="R369" i="20"/>
  <c r="V369" i="20"/>
  <c r="Q370" i="20"/>
  <c r="R370" i="20"/>
  <c r="V370" i="20"/>
  <c r="Q371" i="20"/>
  <c r="R371" i="20"/>
  <c r="V371" i="20"/>
  <c r="Q372" i="20"/>
  <c r="R372" i="20"/>
  <c r="V372" i="20"/>
  <c r="Q373" i="20"/>
  <c r="R373" i="20"/>
  <c r="V373" i="20"/>
  <c r="Q374" i="20"/>
  <c r="R374" i="20"/>
  <c r="V374" i="20"/>
  <c r="Q375" i="20"/>
  <c r="R375" i="20"/>
  <c r="V375" i="20"/>
  <c r="Q376" i="20"/>
  <c r="R376" i="20"/>
  <c r="V376" i="20"/>
  <c r="Q377" i="20"/>
  <c r="R377" i="20"/>
  <c r="V377" i="20"/>
  <c r="Q378" i="20"/>
  <c r="R378" i="20"/>
  <c r="V378" i="20"/>
  <c r="Q379" i="20"/>
  <c r="R379" i="20"/>
  <c r="V379" i="20"/>
  <c r="Q380" i="20"/>
  <c r="R380" i="20"/>
  <c r="V380" i="20"/>
  <c r="Q381" i="20"/>
  <c r="R381" i="20"/>
  <c r="V381" i="20"/>
  <c r="Q382" i="20"/>
  <c r="R382" i="20"/>
  <c r="V382" i="20"/>
  <c r="Q388" i="20"/>
  <c r="R388" i="20"/>
  <c r="Q390" i="20"/>
  <c r="R390" i="20"/>
  <c r="Q391" i="20"/>
  <c r="R391" i="20"/>
  <c r="Q395" i="20"/>
  <c r="R395" i="20"/>
  <c r="Q396" i="20"/>
  <c r="R396" i="20"/>
  <c r="Q397" i="20"/>
  <c r="R397" i="20"/>
  <c r="Q398" i="20"/>
  <c r="R398" i="20"/>
  <c r="Q399" i="20"/>
  <c r="R399" i="20"/>
  <c r="Q400" i="20"/>
  <c r="R400" i="20"/>
  <c r="Q401" i="20"/>
  <c r="R401" i="20"/>
  <c r="Q402" i="20"/>
  <c r="R402" i="20"/>
  <c r="Q403" i="20"/>
  <c r="R403" i="20"/>
  <c r="Q305" i="20"/>
  <c r="R305" i="20"/>
  <c r="V305" i="20"/>
  <c r="Q306" i="20"/>
  <c r="R306" i="20"/>
  <c r="V306" i="20"/>
  <c r="Q307" i="20"/>
  <c r="R307" i="20"/>
  <c r="V307" i="20"/>
  <c r="Q308" i="20"/>
  <c r="R308" i="20"/>
  <c r="V308" i="20"/>
  <c r="Q309" i="20"/>
  <c r="R309" i="20"/>
  <c r="V309" i="20"/>
  <c r="Q310" i="20"/>
  <c r="R310" i="20"/>
  <c r="V310" i="20"/>
  <c r="Q311" i="20"/>
  <c r="R311" i="20"/>
  <c r="V311" i="20"/>
  <c r="Q312" i="20"/>
  <c r="R312" i="20"/>
  <c r="V312" i="20"/>
  <c r="Q313" i="20"/>
  <c r="R313" i="20"/>
  <c r="V313" i="20"/>
  <c r="Q314" i="20"/>
  <c r="R314" i="20"/>
  <c r="V314" i="20"/>
  <c r="Q315" i="20"/>
  <c r="R315" i="20"/>
  <c r="V315" i="20"/>
  <c r="Q316" i="20"/>
  <c r="R316" i="20"/>
  <c r="V316" i="20"/>
  <c r="Q317" i="20"/>
  <c r="R317" i="20"/>
  <c r="V317" i="20"/>
  <c r="Q318" i="20"/>
  <c r="R318" i="20"/>
  <c r="V318" i="20"/>
  <c r="Q319" i="20"/>
  <c r="R319" i="20"/>
  <c r="V319" i="20"/>
  <c r="Q320" i="20"/>
  <c r="R320" i="20"/>
  <c r="V320" i="20"/>
  <c r="Q321" i="20"/>
  <c r="R321" i="20"/>
  <c r="V321" i="20"/>
  <c r="Q322" i="20"/>
  <c r="R322" i="20"/>
  <c r="V322" i="20"/>
  <c r="Q324" i="20"/>
  <c r="R324" i="20"/>
  <c r="V324" i="20"/>
  <c r="Q325" i="20"/>
  <c r="R325" i="20"/>
  <c r="V325" i="20"/>
  <c r="Q326" i="20"/>
  <c r="R326" i="20"/>
  <c r="V326" i="20"/>
  <c r="Q327" i="20"/>
  <c r="R327" i="20"/>
  <c r="V327" i="20"/>
  <c r="Q328" i="20"/>
  <c r="R328" i="20"/>
  <c r="V328" i="20"/>
  <c r="Q329" i="20"/>
  <c r="R329" i="20"/>
  <c r="V329" i="20"/>
  <c r="Q330" i="20"/>
  <c r="R330" i="20"/>
  <c r="V330" i="20"/>
  <c r="Q331" i="20"/>
  <c r="R331" i="20"/>
  <c r="V331" i="20"/>
  <c r="Q332" i="20"/>
  <c r="R332" i="20"/>
  <c r="V332" i="20"/>
  <c r="Q333" i="20"/>
  <c r="R333" i="20"/>
  <c r="V333" i="20"/>
  <c r="Q334" i="20"/>
  <c r="R334" i="20"/>
  <c r="V334" i="20"/>
  <c r="Q335" i="20"/>
  <c r="R335" i="20"/>
  <c r="V335" i="20"/>
  <c r="Q336" i="20"/>
  <c r="R336" i="20"/>
  <c r="V336" i="20"/>
  <c r="Q337" i="20"/>
  <c r="R337" i="20"/>
  <c r="V337" i="20"/>
  <c r="Q338" i="20"/>
  <c r="R338" i="20"/>
  <c r="V338" i="20"/>
  <c r="Q339" i="20"/>
  <c r="R339" i="20"/>
  <c r="V339" i="20"/>
  <c r="Q340" i="20"/>
  <c r="R340" i="20"/>
  <c r="V340" i="20"/>
  <c r="Q341" i="20"/>
  <c r="R341" i="20"/>
  <c r="V341" i="20"/>
  <c r="Q268" i="20"/>
  <c r="R268" i="20"/>
  <c r="V268" i="20"/>
  <c r="Q269" i="20"/>
  <c r="R269" i="20"/>
  <c r="V269" i="20"/>
  <c r="Q270" i="20"/>
  <c r="R270" i="20"/>
  <c r="V270" i="20"/>
  <c r="Q271" i="20"/>
  <c r="R271" i="20"/>
  <c r="V271" i="20"/>
  <c r="Q272" i="20"/>
  <c r="R272" i="20"/>
  <c r="V272" i="20"/>
  <c r="Q273" i="20"/>
  <c r="R273" i="20"/>
  <c r="V273" i="20"/>
  <c r="Q274" i="20"/>
  <c r="R274" i="20"/>
  <c r="V274" i="20"/>
  <c r="Q275" i="20"/>
  <c r="R275" i="20"/>
  <c r="V275" i="20"/>
  <c r="Q276" i="20"/>
  <c r="R276" i="20"/>
  <c r="V276" i="20"/>
  <c r="Q277" i="20"/>
  <c r="R277" i="20"/>
  <c r="V277" i="20"/>
  <c r="Q278" i="20"/>
  <c r="R278" i="20"/>
  <c r="V278" i="20"/>
  <c r="Q279" i="20"/>
  <c r="R279" i="20"/>
  <c r="V279" i="20"/>
  <c r="Q280" i="20"/>
  <c r="R280" i="20"/>
  <c r="V280" i="20"/>
  <c r="Q281" i="20"/>
  <c r="R281" i="20"/>
  <c r="V281" i="20"/>
  <c r="Q282" i="20"/>
  <c r="R282" i="20"/>
  <c r="V282" i="20"/>
  <c r="Q283" i="20"/>
  <c r="R283" i="20"/>
  <c r="V283" i="20"/>
  <c r="Q286" i="20"/>
  <c r="R286" i="20"/>
  <c r="Q287" i="20"/>
  <c r="R287" i="20"/>
  <c r="V287" i="20"/>
  <c r="Q291" i="20"/>
  <c r="R291" i="20"/>
  <c r="Q293" i="20"/>
  <c r="R293" i="20"/>
  <c r="Q295" i="20"/>
  <c r="R295" i="20"/>
  <c r="Q299" i="20"/>
  <c r="R299" i="20"/>
  <c r="Q300" i="20"/>
  <c r="R300" i="20"/>
  <c r="Q301" i="20"/>
  <c r="R301" i="20"/>
  <c r="Q302" i="20"/>
  <c r="R302" i="20"/>
  <c r="Q303" i="20"/>
  <c r="R303" i="20"/>
  <c r="V303" i="20"/>
  <c r="Q206" i="20"/>
  <c r="R206" i="20"/>
  <c r="V206" i="20"/>
  <c r="Q207" i="20"/>
  <c r="R207" i="20"/>
  <c r="V207" i="20"/>
  <c r="Q208" i="20"/>
  <c r="R208" i="20"/>
  <c r="V208" i="20"/>
  <c r="Q209" i="20"/>
  <c r="R209" i="20"/>
  <c r="V209" i="20"/>
  <c r="Q210" i="20"/>
  <c r="R210" i="20"/>
  <c r="V210" i="20"/>
  <c r="Q211" i="20"/>
  <c r="R211" i="20"/>
  <c r="V211" i="20"/>
  <c r="Q212" i="20"/>
  <c r="R212" i="20"/>
  <c r="V212" i="20"/>
  <c r="Q213" i="20"/>
  <c r="R213" i="20"/>
  <c r="V213" i="20"/>
  <c r="Q214" i="20"/>
  <c r="R214" i="20"/>
  <c r="V214" i="20"/>
  <c r="Q215" i="20"/>
  <c r="R215" i="20"/>
  <c r="V215" i="20"/>
  <c r="Q216" i="20"/>
  <c r="R216" i="20"/>
  <c r="V216" i="20"/>
  <c r="Q217" i="20"/>
  <c r="R217" i="20"/>
  <c r="V217" i="20"/>
  <c r="Q218" i="20"/>
  <c r="R218" i="20"/>
  <c r="V218" i="20"/>
  <c r="Q219" i="20"/>
  <c r="R219" i="20"/>
  <c r="V219" i="20"/>
  <c r="Q220" i="20"/>
  <c r="R220" i="20"/>
  <c r="V220" i="20"/>
  <c r="Q221" i="20"/>
  <c r="R221" i="20"/>
  <c r="V221" i="20"/>
  <c r="Q222" i="20"/>
  <c r="R222" i="20"/>
  <c r="V222" i="20"/>
  <c r="Q223" i="20"/>
  <c r="R223" i="20"/>
  <c r="V223" i="20"/>
  <c r="Q224" i="20"/>
  <c r="R224" i="20"/>
  <c r="V224" i="20"/>
  <c r="Q225" i="20"/>
  <c r="R225" i="20"/>
  <c r="V225" i="20"/>
  <c r="Q226" i="20"/>
  <c r="R226" i="20"/>
  <c r="V226" i="20"/>
  <c r="Q227" i="20"/>
  <c r="R227" i="20"/>
  <c r="V227" i="20"/>
  <c r="Q228" i="20"/>
  <c r="R228" i="20"/>
  <c r="V228" i="20"/>
  <c r="Q229" i="20"/>
  <c r="R229" i="20"/>
  <c r="V229" i="20"/>
  <c r="Q230" i="20"/>
  <c r="R230" i="20"/>
  <c r="V230" i="20"/>
  <c r="Q231" i="20"/>
  <c r="R231" i="20"/>
  <c r="V231" i="20"/>
  <c r="Q232" i="20"/>
  <c r="R232" i="20"/>
  <c r="V232" i="20"/>
  <c r="Q233" i="20"/>
  <c r="R233" i="20"/>
  <c r="V233" i="20"/>
  <c r="Q234" i="20"/>
  <c r="R234" i="20"/>
  <c r="V234" i="20"/>
  <c r="Q235" i="20"/>
  <c r="R235" i="20"/>
  <c r="V235" i="20"/>
  <c r="Q236" i="20"/>
  <c r="R236" i="20"/>
  <c r="V236" i="20"/>
  <c r="Q237" i="20"/>
  <c r="R237" i="20"/>
  <c r="V237" i="20"/>
  <c r="Q238" i="20"/>
  <c r="R238" i="20"/>
  <c r="V238" i="20"/>
  <c r="Q239" i="20"/>
  <c r="R239" i="20"/>
  <c r="V239" i="20"/>
  <c r="Q240" i="20"/>
  <c r="R240" i="20"/>
  <c r="V240" i="20"/>
  <c r="Q241" i="20"/>
  <c r="R241" i="20"/>
  <c r="V241" i="20"/>
  <c r="Q242" i="20"/>
  <c r="R242" i="20"/>
  <c r="V242" i="20"/>
  <c r="Q243" i="20"/>
  <c r="R243" i="20"/>
  <c r="V243" i="20"/>
  <c r="Q244" i="20"/>
  <c r="R244" i="20"/>
  <c r="V244" i="20"/>
  <c r="Q245" i="20"/>
  <c r="R245" i="20"/>
  <c r="V245" i="20"/>
  <c r="Q246" i="20"/>
  <c r="R246" i="20"/>
  <c r="V246" i="20"/>
  <c r="Q247" i="20"/>
  <c r="R247" i="20"/>
  <c r="V247" i="20"/>
  <c r="Q248" i="20"/>
  <c r="R248" i="20"/>
  <c r="V248" i="20"/>
  <c r="Q249" i="20"/>
  <c r="R249" i="20"/>
  <c r="V249" i="20"/>
  <c r="Q250" i="20"/>
  <c r="R250" i="20"/>
  <c r="V250" i="20"/>
  <c r="Q251" i="20"/>
  <c r="R251" i="20"/>
  <c r="V251" i="20"/>
  <c r="Q252" i="20"/>
  <c r="R252" i="20"/>
  <c r="V252" i="20"/>
  <c r="Q253" i="20"/>
  <c r="R253" i="20"/>
  <c r="V253" i="20"/>
  <c r="Q254" i="20"/>
  <c r="R254" i="20"/>
  <c r="V254" i="20"/>
  <c r="Q259" i="20"/>
  <c r="R259" i="20"/>
  <c r="V259" i="20"/>
  <c r="Q265" i="20"/>
  <c r="R265" i="20"/>
  <c r="V265" i="20"/>
  <c r="Q266" i="20"/>
  <c r="R266" i="20"/>
  <c r="V266" i="20"/>
  <c r="Q267" i="20"/>
  <c r="R267" i="20"/>
  <c r="V267" i="20"/>
  <c r="Q102" i="20"/>
  <c r="R102" i="20"/>
  <c r="Q103" i="20"/>
  <c r="R103" i="20"/>
  <c r="Q105" i="20"/>
  <c r="R105" i="20"/>
  <c r="Q106" i="20"/>
  <c r="R106" i="20"/>
  <c r="Q107" i="20"/>
  <c r="R107" i="20"/>
  <c r="Q108" i="20"/>
  <c r="R108" i="20"/>
  <c r="Q118" i="20"/>
  <c r="R118" i="20"/>
  <c r="Q126" i="20"/>
  <c r="R126" i="20"/>
  <c r="V126" i="20"/>
  <c r="Q127" i="20"/>
  <c r="R127" i="20"/>
  <c r="V127" i="20"/>
  <c r="Q128" i="20"/>
  <c r="R128" i="20"/>
  <c r="V128" i="20"/>
  <c r="Q129" i="20"/>
  <c r="R129" i="20"/>
  <c r="V129" i="20"/>
  <c r="Q130" i="20"/>
  <c r="R130" i="20"/>
  <c r="V130" i="20"/>
  <c r="BJ58" i="8"/>
  <c r="BJ47" i="8"/>
  <c r="BJ46" i="8"/>
  <c r="BJ49" i="8"/>
  <c r="Q40" i="20"/>
  <c r="R40" i="20"/>
  <c r="Q42" i="20"/>
  <c r="R42" i="20"/>
  <c r="Q43" i="20"/>
  <c r="R43" i="20"/>
  <c r="Q44" i="20"/>
  <c r="R44" i="20"/>
  <c r="Q46" i="20"/>
  <c r="R46" i="20"/>
  <c r="Q49" i="20"/>
  <c r="R49" i="20"/>
  <c r="Q53" i="20"/>
  <c r="R53" i="20"/>
  <c r="Q59" i="20"/>
  <c r="R59" i="20"/>
  <c r="Q61" i="20"/>
  <c r="R61" i="20"/>
  <c r="Q64" i="20"/>
  <c r="R64" i="20"/>
  <c r="X46" i="6"/>
  <c r="AA46" i="6"/>
  <c r="M383" i="20" s="1"/>
  <c r="X47" i="6"/>
  <c r="AA47" i="6"/>
  <c r="M384" i="20" s="1"/>
  <c r="W384" i="20" s="1"/>
  <c r="X48" i="6"/>
  <c r="AA48" i="6"/>
  <c r="M385" i="20" s="1"/>
  <c r="W385" i="20" s="1"/>
  <c r="X49" i="6"/>
  <c r="AA49" i="6"/>
  <c r="M386" i="20" s="1"/>
  <c r="X50" i="6"/>
  <c r="AA50" i="6"/>
  <c r="M387" i="20" s="1"/>
  <c r="W387" i="20" s="1"/>
  <c r="X51" i="6"/>
  <c r="AA51" i="6"/>
  <c r="M388" i="20" s="1"/>
  <c r="W388" i="20" s="1"/>
  <c r="X52" i="6"/>
  <c r="AA52" i="6"/>
  <c r="M389" i="20" s="1"/>
  <c r="W389" i="20" s="1"/>
  <c r="X53" i="6"/>
  <c r="AA53" i="6"/>
  <c r="M390" i="20" s="1"/>
  <c r="W390" i="20" s="1"/>
  <c r="X54" i="6"/>
  <c r="AA54" i="6"/>
  <c r="M391" i="20" s="1"/>
  <c r="W391" i="20" s="1"/>
  <c r="X55" i="6"/>
  <c r="AA55" i="6"/>
  <c r="M392" i="20" s="1"/>
  <c r="W392" i="20" s="1"/>
  <c r="X56" i="6"/>
  <c r="AA56" i="6"/>
  <c r="M393" i="20" s="1"/>
  <c r="W393" i="20" s="1"/>
  <c r="X57" i="6"/>
  <c r="AA57" i="6"/>
  <c r="M394" i="20" s="1"/>
  <c r="W394" i="20" s="1"/>
  <c r="X58" i="6"/>
  <c r="AA58" i="6"/>
  <c r="M395" i="20" s="1"/>
  <c r="W395" i="20" s="1"/>
  <c r="X59" i="6"/>
  <c r="AA59" i="6"/>
  <c r="M396" i="20" s="1"/>
  <c r="W396" i="20" s="1"/>
  <c r="X60" i="6"/>
  <c r="AA60" i="6"/>
  <c r="M397" i="20" s="1"/>
  <c r="W397" i="20" s="1"/>
  <c r="X61" i="6"/>
  <c r="AA61" i="6"/>
  <c r="M398" i="20" s="1"/>
  <c r="W398" i="20" s="1"/>
  <c r="X62" i="6"/>
  <c r="AA62" i="6"/>
  <c r="M399" i="20" s="1"/>
  <c r="W399" i="20" s="1"/>
  <c r="X63" i="6"/>
  <c r="AA63" i="6"/>
  <c r="M400" i="20" s="1"/>
  <c r="W400" i="20" s="1"/>
  <c r="X64" i="6"/>
  <c r="AA64" i="6"/>
  <c r="M401" i="20" s="1"/>
  <c r="W401" i="20" s="1"/>
  <c r="X65" i="6"/>
  <c r="AA65" i="6"/>
  <c r="M402" i="20" s="1"/>
  <c r="W402" i="20" s="1"/>
  <c r="X66" i="6"/>
  <c r="AA66" i="6"/>
  <c r="M403" i="20" s="1"/>
  <c r="W403" i="20" s="1"/>
  <c r="X5" i="6"/>
  <c r="AB5" i="6" s="1"/>
  <c r="AA5" i="6"/>
  <c r="X6" i="6"/>
  <c r="AB6" i="6" s="1"/>
  <c r="AA6" i="6"/>
  <c r="X7" i="6"/>
  <c r="AB7" i="6" s="1"/>
  <c r="AA7" i="6"/>
  <c r="X8" i="6"/>
  <c r="AB8" i="6" s="1"/>
  <c r="AA8" i="6"/>
  <c r="X9" i="6"/>
  <c r="AB9" i="6" s="1"/>
  <c r="AA9" i="6"/>
  <c r="X10" i="6"/>
  <c r="AB10" i="6" s="1"/>
  <c r="AA10" i="6"/>
  <c r="X11" i="6"/>
  <c r="AB11" i="6" s="1"/>
  <c r="AA11" i="6"/>
  <c r="X12" i="6"/>
  <c r="AB12" i="6" s="1"/>
  <c r="AA12" i="6"/>
  <c r="X13" i="6"/>
  <c r="AB13" i="6" s="1"/>
  <c r="AA13" i="6"/>
  <c r="X14" i="6"/>
  <c r="AB14" i="6" s="1"/>
  <c r="AA14" i="6"/>
  <c r="X15" i="6"/>
  <c r="AB15" i="6" s="1"/>
  <c r="AA15" i="6"/>
  <c r="X16" i="6"/>
  <c r="AB16" i="6" s="1"/>
  <c r="AA16" i="6"/>
  <c r="X17" i="6"/>
  <c r="AB17" i="6" s="1"/>
  <c r="AA17" i="6"/>
  <c r="X18" i="6"/>
  <c r="AB18" i="6" s="1"/>
  <c r="AA18" i="6"/>
  <c r="X19" i="6"/>
  <c r="AB19" i="6" s="1"/>
  <c r="AA19" i="6"/>
  <c r="X20" i="6"/>
  <c r="AB20" i="6" s="1"/>
  <c r="AA20" i="6"/>
  <c r="X21" i="6"/>
  <c r="AB21" i="6" s="1"/>
  <c r="AA21" i="6"/>
  <c r="X22" i="6"/>
  <c r="AB22" i="6" s="1"/>
  <c r="AA22" i="6"/>
  <c r="X23" i="6"/>
  <c r="AB23" i="6" s="1"/>
  <c r="AA23" i="6"/>
  <c r="X24" i="6"/>
  <c r="AB24" i="6" s="1"/>
  <c r="AA24" i="6"/>
  <c r="X25" i="6"/>
  <c r="AB25" i="6" s="1"/>
  <c r="AA25" i="6"/>
  <c r="X26" i="6"/>
  <c r="AB26" i="6" s="1"/>
  <c r="AA26" i="6"/>
  <c r="X27" i="6"/>
  <c r="AB27" i="6" s="1"/>
  <c r="AA27" i="6"/>
  <c r="X28" i="6"/>
  <c r="AB28" i="6" s="1"/>
  <c r="AA28" i="6"/>
  <c r="X29" i="6"/>
  <c r="AB29" i="6" s="1"/>
  <c r="AA29" i="6"/>
  <c r="X30" i="6"/>
  <c r="AB30" i="6" s="1"/>
  <c r="AA30" i="6"/>
  <c r="X31" i="6"/>
  <c r="AB31" i="6" s="1"/>
  <c r="AA31" i="6"/>
  <c r="X32" i="6"/>
  <c r="AB32" i="6" s="1"/>
  <c r="AA32" i="6"/>
  <c r="X33" i="6"/>
  <c r="AB33" i="6" s="1"/>
  <c r="AA33" i="6"/>
  <c r="X34" i="6"/>
  <c r="AB34" i="6" s="1"/>
  <c r="AA34" i="6"/>
  <c r="X35" i="6"/>
  <c r="AB35" i="6" s="1"/>
  <c r="AA35" i="6"/>
  <c r="X36" i="6"/>
  <c r="AB36" i="6" s="1"/>
  <c r="AA36" i="6"/>
  <c r="X37" i="6"/>
  <c r="AB37" i="6" s="1"/>
  <c r="AA37" i="6"/>
  <c r="X38" i="6"/>
  <c r="AB38" i="6" s="1"/>
  <c r="AA38" i="6"/>
  <c r="X39" i="6"/>
  <c r="AB39" i="6" s="1"/>
  <c r="AA39" i="6"/>
  <c r="X40" i="6"/>
  <c r="AB40" i="6" s="1"/>
  <c r="AA40" i="6"/>
  <c r="X41" i="6"/>
  <c r="AB41" i="6" s="1"/>
  <c r="AA41" i="6"/>
  <c r="X42" i="6"/>
  <c r="AB42" i="6" s="1"/>
  <c r="AA42" i="6"/>
  <c r="X43" i="6"/>
  <c r="AB43" i="6" s="1"/>
  <c r="AA43" i="6"/>
  <c r="X44" i="6"/>
  <c r="AB44" i="6" s="1"/>
  <c r="AA44" i="6"/>
  <c r="AL25" i="5"/>
  <c r="AP25" i="5" s="1"/>
  <c r="AO25" i="5"/>
  <c r="AL26" i="5"/>
  <c r="AP26" i="5" s="1"/>
  <c r="AO26" i="5"/>
  <c r="AL27" i="5"/>
  <c r="AP27" i="5" s="1"/>
  <c r="AO27" i="5"/>
  <c r="AL28" i="5"/>
  <c r="AP28" i="5" s="1"/>
  <c r="AO28" i="5"/>
  <c r="AL29" i="5"/>
  <c r="AP29" i="5" s="1"/>
  <c r="AO29" i="5"/>
  <c r="AL30" i="5"/>
  <c r="AP30" i="5" s="1"/>
  <c r="AO30" i="5"/>
  <c r="AL31" i="5"/>
  <c r="AP31" i="5" s="1"/>
  <c r="AO31" i="5"/>
  <c r="AL32" i="5"/>
  <c r="AP32" i="5" s="1"/>
  <c r="AO32" i="5"/>
  <c r="AL33" i="5"/>
  <c r="AP33" i="5" s="1"/>
  <c r="AO33" i="5"/>
  <c r="AL34" i="5"/>
  <c r="AP34" i="5" s="1"/>
  <c r="AO34" i="5"/>
  <c r="AL35" i="5"/>
  <c r="AP35" i="5" s="1"/>
  <c r="AO35" i="5"/>
  <c r="AL36" i="5"/>
  <c r="AP36" i="5" s="1"/>
  <c r="AO36" i="5"/>
  <c r="AL37" i="5"/>
  <c r="AP37" i="5" s="1"/>
  <c r="AO37" i="5"/>
  <c r="AL38" i="5"/>
  <c r="AP38" i="5" s="1"/>
  <c r="AO38" i="5"/>
  <c r="AL39" i="5"/>
  <c r="AP39" i="5" s="1"/>
  <c r="AO39" i="5"/>
  <c r="AL40" i="5"/>
  <c r="AP40" i="5" s="1"/>
  <c r="AO40" i="5"/>
  <c r="AL41" i="5"/>
  <c r="AP41" i="5" s="1"/>
  <c r="AO41" i="5"/>
  <c r="AL21" i="5"/>
  <c r="AP21" i="5" s="1"/>
  <c r="AO21" i="5"/>
  <c r="AL22" i="5"/>
  <c r="AP22" i="5" s="1"/>
  <c r="AO22" i="5"/>
  <c r="AL23" i="5"/>
  <c r="AO23" i="5"/>
  <c r="M323" i="20" s="1"/>
  <c r="W323" i="20" s="1"/>
  <c r="AL5" i="5"/>
  <c r="AP5" i="5" s="1"/>
  <c r="AO5" i="5"/>
  <c r="AL6" i="5"/>
  <c r="AP6" i="5" s="1"/>
  <c r="AO6" i="5"/>
  <c r="AL7" i="5"/>
  <c r="AP7" i="5" s="1"/>
  <c r="AO7" i="5"/>
  <c r="AL8" i="5"/>
  <c r="AP8" i="5" s="1"/>
  <c r="AO8" i="5"/>
  <c r="AL9" i="5"/>
  <c r="AP9" i="5" s="1"/>
  <c r="AO9" i="5"/>
  <c r="AL10" i="5"/>
  <c r="AP10" i="5" s="1"/>
  <c r="AO10" i="5"/>
  <c r="AL11" i="5"/>
  <c r="AP11" i="5" s="1"/>
  <c r="AO11" i="5"/>
  <c r="AL12" i="5"/>
  <c r="AP12" i="5" s="1"/>
  <c r="AO12" i="5"/>
  <c r="AL13" i="5"/>
  <c r="AP13" i="5" s="1"/>
  <c r="AO13" i="5"/>
  <c r="AL14" i="5"/>
  <c r="AP14" i="5" s="1"/>
  <c r="AO14" i="5"/>
  <c r="AL15" i="5"/>
  <c r="AP15" i="5" s="1"/>
  <c r="AO15" i="5"/>
  <c r="AL16" i="5"/>
  <c r="AP16" i="5" s="1"/>
  <c r="AO16" i="5"/>
  <c r="AL17" i="5"/>
  <c r="AP17" i="5" s="1"/>
  <c r="AO17" i="5"/>
  <c r="AL18" i="5"/>
  <c r="AP18" i="5" s="1"/>
  <c r="AO18" i="5"/>
  <c r="AL19" i="5"/>
  <c r="AP19" i="5" s="1"/>
  <c r="AO19" i="5"/>
  <c r="U25" i="5"/>
  <c r="X25" i="5"/>
  <c r="M288" i="20" s="1"/>
  <c r="X26" i="5"/>
  <c r="M289" i="20" s="1"/>
  <c r="W289" i="20" s="1"/>
  <c r="U26" i="5"/>
  <c r="U27" i="5"/>
  <c r="X27" i="5"/>
  <c r="M290" i="20" s="1"/>
  <c r="W290" i="20" s="1"/>
  <c r="U28" i="5"/>
  <c r="X28" i="5"/>
  <c r="M291" i="20" s="1"/>
  <c r="W291" i="20" s="1"/>
  <c r="X29" i="5"/>
  <c r="M292" i="20" s="1"/>
  <c r="W292" i="20" s="1"/>
  <c r="U29" i="5"/>
  <c r="U30" i="5"/>
  <c r="X30" i="5"/>
  <c r="M293" i="20" s="1"/>
  <c r="W293" i="20" s="1"/>
  <c r="X31" i="5"/>
  <c r="M294" i="20" s="1"/>
  <c r="U31" i="5"/>
  <c r="X32" i="5"/>
  <c r="M295" i="20" s="1"/>
  <c r="W295" i="20" s="1"/>
  <c r="U32" i="5"/>
  <c r="X33" i="5"/>
  <c r="M296" i="20" s="1"/>
  <c r="U33" i="5"/>
  <c r="U34" i="5"/>
  <c r="X34" i="5"/>
  <c r="M297" i="20" s="1"/>
  <c r="X35" i="5"/>
  <c r="M298" i="20" s="1"/>
  <c r="U35" i="5"/>
  <c r="U36" i="5"/>
  <c r="X36" i="5"/>
  <c r="M299" i="20" s="1"/>
  <c r="W299" i="20" s="1"/>
  <c r="U37" i="5"/>
  <c r="X37" i="5"/>
  <c r="M300" i="20" s="1"/>
  <c r="W300" i="20" s="1"/>
  <c r="X38" i="5"/>
  <c r="M301" i="20" s="1"/>
  <c r="W301" i="20" s="1"/>
  <c r="U38" i="5"/>
  <c r="U39" i="5"/>
  <c r="X39" i="5"/>
  <c r="M302" i="20" s="1"/>
  <c r="W302" i="20" s="1"/>
  <c r="X40" i="5"/>
  <c r="U40" i="5"/>
  <c r="Y40" i="5" s="1"/>
  <c r="U41" i="5"/>
  <c r="X41" i="5"/>
  <c r="M304" i="20" s="1"/>
  <c r="X21" i="5"/>
  <c r="M284" i="20" s="1"/>
  <c r="W284" i="20" s="1"/>
  <c r="U21" i="5"/>
  <c r="U22" i="5"/>
  <c r="X22" i="5"/>
  <c r="M285" i="20" s="1"/>
  <c r="W285" i="20" s="1"/>
  <c r="X23" i="5"/>
  <c r="M286" i="20" s="1"/>
  <c r="W286" i="20" s="1"/>
  <c r="U23" i="5"/>
  <c r="X5" i="5"/>
  <c r="U5" i="5"/>
  <c r="Y5" i="5" s="1"/>
  <c r="U6" i="5"/>
  <c r="Y6" i="5" s="1"/>
  <c r="X6" i="5"/>
  <c r="X7" i="5"/>
  <c r="U7" i="5"/>
  <c r="Y7" i="5" s="1"/>
  <c r="U8" i="5"/>
  <c r="Y8" i="5" s="1"/>
  <c r="X8" i="5"/>
  <c r="X9" i="5"/>
  <c r="U9" i="5"/>
  <c r="Y9" i="5" s="1"/>
  <c r="U10" i="5"/>
  <c r="Y10" i="5" s="1"/>
  <c r="X10" i="5"/>
  <c r="X11" i="5"/>
  <c r="U11" i="5"/>
  <c r="Y11" i="5" s="1"/>
  <c r="X12" i="5"/>
  <c r="U12" i="5"/>
  <c r="Y12" i="5" s="1"/>
  <c r="U13" i="5"/>
  <c r="Y13" i="5" s="1"/>
  <c r="X13" i="5"/>
  <c r="X14" i="5"/>
  <c r="U14" i="5"/>
  <c r="Y14" i="5" s="1"/>
  <c r="U15" i="5"/>
  <c r="Y15" i="5" s="1"/>
  <c r="X15" i="5"/>
  <c r="U16" i="5"/>
  <c r="Y16" i="5" s="1"/>
  <c r="X16" i="5"/>
  <c r="U17" i="5"/>
  <c r="Y17" i="5" s="1"/>
  <c r="X17" i="5"/>
  <c r="X18" i="5"/>
  <c r="U18" i="5"/>
  <c r="Y18" i="5" s="1"/>
  <c r="U19" i="5"/>
  <c r="Y19" i="5" s="1"/>
  <c r="X19" i="5"/>
  <c r="Y71" i="4"/>
  <c r="AB71" i="4"/>
  <c r="K260" i="20"/>
  <c r="BD71" i="4"/>
  <c r="Y72" i="4"/>
  <c r="AB72" i="4"/>
  <c r="BD72" i="4"/>
  <c r="K261" i="20"/>
  <c r="Y73" i="4"/>
  <c r="AB73" i="4"/>
  <c r="M262" i="20" s="1"/>
  <c r="W262" i="20" s="1"/>
  <c r="AP73" i="4"/>
  <c r="BD73" i="4"/>
  <c r="K262" i="20"/>
  <c r="Y74" i="4"/>
  <c r="AB74" i="4"/>
  <c r="M263" i="20" s="1"/>
  <c r="W263" i="20" s="1"/>
  <c r="AP74" i="4"/>
  <c r="BD74" i="4"/>
  <c r="K263" i="20"/>
  <c r="Y75" i="4"/>
  <c r="AB75" i="4"/>
  <c r="M264" i="20" s="1"/>
  <c r="W264" i="20" s="1"/>
  <c r="AP75" i="4"/>
  <c r="K264" i="20"/>
  <c r="BD75" i="4"/>
  <c r="Y76" i="4"/>
  <c r="AB76" i="4"/>
  <c r="AP76" i="4"/>
  <c r="BD76" i="4"/>
  <c r="AR76" i="4"/>
  <c r="AS76" i="4"/>
  <c r="AR77" i="4"/>
  <c r="AS77" i="4"/>
  <c r="Y77" i="4"/>
  <c r="AB77" i="4"/>
  <c r="AP77" i="4"/>
  <c r="BD77" i="4"/>
  <c r="AR78" i="4"/>
  <c r="AS78" i="4"/>
  <c r="Y78" i="4"/>
  <c r="AB78" i="4"/>
  <c r="AP78" i="4"/>
  <c r="BD78" i="4"/>
  <c r="Y66" i="4"/>
  <c r="AB66" i="4"/>
  <c r="M255" i="20" s="1"/>
  <c r="W255" i="20" s="1"/>
  <c r="AP66" i="4"/>
  <c r="BD66" i="4"/>
  <c r="BI66" i="4"/>
  <c r="K255" i="20"/>
  <c r="Y67" i="4"/>
  <c r="AB67" i="4"/>
  <c r="M256" i="20" s="1"/>
  <c r="W256" i="20" s="1"/>
  <c r="AP67" i="4"/>
  <c r="K256" i="20"/>
  <c r="BD67" i="4"/>
  <c r="Y68" i="4"/>
  <c r="AB68" i="4"/>
  <c r="M257" i="20" s="1"/>
  <c r="W257" i="20" s="1"/>
  <c r="AP68" i="4"/>
  <c r="BD68" i="4"/>
  <c r="K257" i="20"/>
  <c r="Y69" i="4"/>
  <c r="AB69" i="4"/>
  <c r="M258" i="20" s="1"/>
  <c r="W258" i="20" s="1"/>
  <c r="AP69" i="4"/>
  <c r="K258" i="20"/>
  <c r="BD69" i="4"/>
  <c r="Y5" i="4"/>
  <c r="AB5" i="4"/>
  <c r="AP5" i="4"/>
  <c r="BD5" i="4"/>
  <c r="AR5" i="4"/>
  <c r="AS5" i="4"/>
  <c r="AR6" i="4"/>
  <c r="AS6" i="4"/>
  <c r="Y6" i="4"/>
  <c r="AB6" i="4"/>
  <c r="AP6" i="4"/>
  <c r="BD6" i="4"/>
  <c r="AR7" i="4"/>
  <c r="AS7" i="4"/>
  <c r="Y7" i="4"/>
  <c r="AB7" i="4"/>
  <c r="AP7" i="4"/>
  <c r="BD7" i="4"/>
  <c r="AR8" i="4"/>
  <c r="AS8" i="4"/>
  <c r="Y8" i="4"/>
  <c r="AB8" i="4"/>
  <c r="AP8" i="4"/>
  <c r="BD8" i="4"/>
  <c r="AR9" i="4"/>
  <c r="AS9" i="4"/>
  <c r="Y9" i="4"/>
  <c r="AB9" i="4"/>
  <c r="AP9" i="4"/>
  <c r="BD9" i="4"/>
  <c r="AR10" i="4"/>
  <c r="AS10" i="4"/>
  <c r="Y10" i="4"/>
  <c r="AB10" i="4"/>
  <c r="AP10" i="4"/>
  <c r="BD10" i="4"/>
  <c r="AR11" i="4"/>
  <c r="AS11" i="4"/>
  <c r="Y11" i="4"/>
  <c r="AB11" i="4"/>
  <c r="AP11" i="4"/>
  <c r="BD11" i="4"/>
  <c r="AR12" i="4"/>
  <c r="AS12" i="4"/>
  <c r="Y12" i="4"/>
  <c r="AB12" i="4"/>
  <c r="AP12" i="4"/>
  <c r="BD12" i="4"/>
  <c r="AR13" i="4"/>
  <c r="AS13" i="4"/>
  <c r="Y13" i="4"/>
  <c r="AB13" i="4"/>
  <c r="AP13" i="4"/>
  <c r="BD13" i="4"/>
  <c r="AR14" i="4"/>
  <c r="AS14" i="4"/>
  <c r="Y14" i="4"/>
  <c r="AB14" i="4"/>
  <c r="AP14" i="4"/>
  <c r="BD14" i="4"/>
  <c r="AR15" i="4"/>
  <c r="AS15" i="4"/>
  <c r="Y15" i="4"/>
  <c r="AB15" i="4"/>
  <c r="AP15" i="4"/>
  <c r="BD15" i="4"/>
  <c r="AR16" i="4"/>
  <c r="AS16" i="4"/>
  <c r="Y16" i="4"/>
  <c r="AB16" i="4"/>
  <c r="AP16" i="4"/>
  <c r="BD16" i="4"/>
  <c r="AR17" i="4"/>
  <c r="Y17" i="4"/>
  <c r="AB17" i="4"/>
  <c r="AP17" i="4"/>
  <c r="BD17" i="4"/>
  <c r="AR18" i="4"/>
  <c r="AS18" i="4"/>
  <c r="Y18" i="4"/>
  <c r="AB18" i="4"/>
  <c r="AP18" i="4"/>
  <c r="BD18" i="4"/>
  <c r="AR19" i="4"/>
  <c r="AS19" i="4"/>
  <c r="Y19" i="4"/>
  <c r="AB19" i="4"/>
  <c r="AP19" i="4"/>
  <c r="BD19" i="4"/>
  <c r="AR20" i="4"/>
  <c r="AS20" i="4"/>
  <c r="Y20" i="4"/>
  <c r="AB20" i="4"/>
  <c r="AP20" i="4"/>
  <c r="BD20" i="4"/>
  <c r="Y21" i="4"/>
  <c r="AB21" i="4"/>
  <c r="AP21" i="4"/>
  <c r="BD21" i="4"/>
  <c r="Y22" i="4"/>
  <c r="AB22" i="4"/>
  <c r="AP22" i="4"/>
  <c r="BD22" i="4"/>
  <c r="Y23" i="4"/>
  <c r="AB23" i="4"/>
  <c r="AP23" i="4"/>
  <c r="BD23" i="4"/>
  <c r="Y24" i="4"/>
  <c r="AB24" i="4"/>
  <c r="AP24" i="4"/>
  <c r="BD24" i="4"/>
  <c r="Y25" i="4"/>
  <c r="AB25" i="4"/>
  <c r="AP25" i="4"/>
  <c r="BD25" i="4"/>
  <c r="AR25" i="4"/>
  <c r="AS25" i="4"/>
  <c r="Y26" i="4"/>
  <c r="AB26" i="4"/>
  <c r="AP26" i="4"/>
  <c r="BD26" i="4"/>
  <c r="AR26" i="4"/>
  <c r="AS26" i="4"/>
  <c r="Y27" i="4"/>
  <c r="AB27" i="4"/>
  <c r="AP27" i="4"/>
  <c r="BD27" i="4"/>
  <c r="AR27" i="4"/>
  <c r="AS27" i="4"/>
  <c r="Y28" i="4"/>
  <c r="AB28" i="4"/>
  <c r="AP28" i="4"/>
  <c r="BD28" i="4"/>
  <c r="AR28" i="4"/>
  <c r="AS28" i="4"/>
  <c r="AR29" i="4"/>
  <c r="AS29" i="4"/>
  <c r="Y29" i="4"/>
  <c r="AB29" i="4"/>
  <c r="AP29" i="4"/>
  <c r="BD29" i="4"/>
  <c r="Y30" i="4"/>
  <c r="AB30" i="4"/>
  <c r="AP30" i="4"/>
  <c r="BD30" i="4"/>
  <c r="AR30" i="4"/>
  <c r="AS30" i="4"/>
  <c r="Y31" i="4"/>
  <c r="AB31" i="4"/>
  <c r="AP31" i="4"/>
  <c r="BD31" i="4"/>
  <c r="AR31" i="4"/>
  <c r="AS31" i="4"/>
  <c r="AR32" i="4"/>
  <c r="AS32" i="4"/>
  <c r="Y32" i="4"/>
  <c r="AB32" i="4"/>
  <c r="AP32" i="4"/>
  <c r="BD32" i="4"/>
  <c r="AR33" i="4"/>
  <c r="AS33" i="4"/>
  <c r="Y33" i="4"/>
  <c r="AB33" i="4"/>
  <c r="AP33" i="4"/>
  <c r="BD33" i="4"/>
  <c r="Y34" i="4"/>
  <c r="AB34" i="4"/>
  <c r="AP34" i="4"/>
  <c r="BD34" i="4"/>
  <c r="AR34" i="4"/>
  <c r="AS34" i="4"/>
  <c r="AR35" i="4"/>
  <c r="AS35" i="4"/>
  <c r="Y35" i="4"/>
  <c r="AB35" i="4"/>
  <c r="AP35" i="4"/>
  <c r="BD35" i="4"/>
  <c r="Y36" i="4"/>
  <c r="AB36" i="4"/>
  <c r="AP36" i="4"/>
  <c r="BD36" i="4"/>
  <c r="AR36" i="4"/>
  <c r="AS36" i="4"/>
  <c r="Y37" i="4"/>
  <c r="AB37" i="4"/>
  <c r="AP37" i="4"/>
  <c r="BD37" i="4"/>
  <c r="AR37" i="4"/>
  <c r="AS37" i="4"/>
  <c r="Y38" i="4"/>
  <c r="AB38" i="4"/>
  <c r="AP38" i="4"/>
  <c r="BD38" i="4"/>
  <c r="AR38" i="4"/>
  <c r="AS38" i="4"/>
  <c r="Y39" i="4"/>
  <c r="AB39" i="4"/>
  <c r="AP39" i="4"/>
  <c r="BD39" i="4"/>
  <c r="AR39" i="4"/>
  <c r="AS39" i="4"/>
  <c r="Y40" i="4"/>
  <c r="AB40" i="4"/>
  <c r="AP40" i="4"/>
  <c r="BD40" i="4"/>
  <c r="AR40" i="4"/>
  <c r="AS40" i="4"/>
  <c r="Y41" i="4"/>
  <c r="AB41" i="4"/>
  <c r="AP41" i="4"/>
  <c r="BD41" i="4"/>
  <c r="AR42" i="4"/>
  <c r="AS42" i="4"/>
  <c r="Y42" i="4"/>
  <c r="AB42" i="4"/>
  <c r="AP42" i="4"/>
  <c r="BD42" i="4"/>
  <c r="Y43" i="4"/>
  <c r="AB43" i="4"/>
  <c r="AP43" i="4"/>
  <c r="BD43" i="4"/>
  <c r="AR43" i="4"/>
  <c r="AS43" i="4"/>
  <c r="AR44" i="4"/>
  <c r="AS44" i="4"/>
  <c r="Y44" i="4"/>
  <c r="AB44" i="4"/>
  <c r="AP44" i="4"/>
  <c r="BD44" i="4"/>
  <c r="Y45" i="4"/>
  <c r="AB45" i="4"/>
  <c r="AP45" i="4"/>
  <c r="BD45" i="4"/>
  <c r="AR45" i="4"/>
  <c r="AS45" i="4"/>
  <c r="Y46" i="4"/>
  <c r="AB46" i="4"/>
  <c r="AP46" i="4"/>
  <c r="BD46" i="4"/>
  <c r="AR46" i="4"/>
  <c r="AS46" i="4"/>
  <c r="AR47" i="4"/>
  <c r="AS47" i="4"/>
  <c r="Y47" i="4"/>
  <c r="AB47" i="4"/>
  <c r="AP47" i="4"/>
  <c r="BD47" i="4"/>
  <c r="Y48" i="4"/>
  <c r="AB48" i="4"/>
  <c r="AP48" i="4"/>
  <c r="BD48" i="4"/>
  <c r="AR48" i="4"/>
  <c r="AS48" i="4"/>
  <c r="Y49" i="4"/>
  <c r="AB49" i="4"/>
  <c r="AP49" i="4"/>
  <c r="BD49" i="4"/>
  <c r="AR49" i="4"/>
  <c r="AS49" i="4"/>
  <c r="Y50" i="4"/>
  <c r="AB50" i="4"/>
  <c r="AP50" i="4"/>
  <c r="BD50" i="4"/>
  <c r="AR50" i="4"/>
  <c r="AS50" i="4"/>
  <c r="Y51" i="4"/>
  <c r="AB51" i="4"/>
  <c r="AP51" i="4"/>
  <c r="BD51" i="4"/>
  <c r="AR51" i="4"/>
  <c r="AS51" i="4"/>
  <c r="Y52" i="4"/>
  <c r="AB52" i="4"/>
  <c r="AP52" i="4"/>
  <c r="BD52" i="4"/>
  <c r="AR52" i="4"/>
  <c r="AS52" i="4"/>
  <c r="AR53" i="4"/>
  <c r="AS53" i="4"/>
  <c r="Y53" i="4"/>
  <c r="AB53" i="4"/>
  <c r="AP53" i="4"/>
  <c r="BD53" i="4"/>
  <c r="Y54" i="4"/>
  <c r="AB54" i="4"/>
  <c r="AP54" i="4"/>
  <c r="BD54" i="4"/>
  <c r="AR54" i="4"/>
  <c r="AS54" i="4"/>
  <c r="Y55" i="4"/>
  <c r="AB55" i="4"/>
  <c r="AP55" i="4"/>
  <c r="BD55" i="4"/>
  <c r="AR55" i="4"/>
  <c r="AS55" i="4"/>
  <c r="AR56" i="4"/>
  <c r="AS56" i="4"/>
  <c r="Y56" i="4"/>
  <c r="AB56" i="4"/>
  <c r="AP56" i="4"/>
  <c r="BD56" i="4"/>
  <c r="AR57" i="4"/>
  <c r="AS57" i="4"/>
  <c r="Y57" i="4"/>
  <c r="AB57" i="4"/>
  <c r="AP57" i="4"/>
  <c r="BD57" i="4"/>
  <c r="Y58" i="4"/>
  <c r="AB58" i="4"/>
  <c r="AP58" i="4"/>
  <c r="BD58" i="4"/>
  <c r="AR58" i="4"/>
  <c r="AS58" i="4"/>
  <c r="Y59" i="4"/>
  <c r="AB59" i="4"/>
  <c r="AP59" i="4"/>
  <c r="BD59" i="4"/>
  <c r="AR59" i="4"/>
  <c r="AS59" i="4"/>
  <c r="AR60" i="4"/>
  <c r="AS60" i="4"/>
  <c r="Y60" i="4"/>
  <c r="AB60" i="4"/>
  <c r="AP60" i="4"/>
  <c r="BD60" i="4"/>
  <c r="Y61" i="4"/>
  <c r="AB61" i="4"/>
  <c r="AP61" i="4"/>
  <c r="BD61" i="4"/>
  <c r="AR61" i="4"/>
  <c r="AS61" i="4"/>
  <c r="Y62" i="4"/>
  <c r="AB62" i="4"/>
  <c r="AP62" i="4"/>
  <c r="BD62" i="4"/>
  <c r="AR62" i="4"/>
  <c r="AS62" i="4"/>
  <c r="Y63" i="4"/>
  <c r="AB63" i="4"/>
  <c r="AP63" i="4"/>
  <c r="BD63" i="4"/>
  <c r="AR63" i="4"/>
  <c r="AS63" i="4"/>
  <c r="Y64" i="4"/>
  <c r="AB64" i="4"/>
  <c r="AP64" i="4"/>
  <c r="BD64" i="4"/>
  <c r="AR64" i="4"/>
  <c r="AS64" i="4"/>
  <c r="BG48" i="3"/>
  <c r="BK48" i="3" s="1"/>
  <c r="BJ48" i="3"/>
  <c r="BG49" i="3"/>
  <c r="BK49" i="3" s="1"/>
  <c r="BJ49" i="3"/>
  <c r="BG50" i="3"/>
  <c r="BK50" i="3" s="1"/>
  <c r="BJ50" i="3"/>
  <c r="BG51" i="3"/>
  <c r="BK51" i="3" s="1"/>
  <c r="BJ51" i="3"/>
  <c r="BG52" i="3"/>
  <c r="BK52" i="3" s="1"/>
  <c r="BJ52" i="3"/>
  <c r="BG53" i="3"/>
  <c r="BK53" i="3" s="1"/>
  <c r="BJ53" i="3"/>
  <c r="BG54" i="3"/>
  <c r="BK54" i="3" s="1"/>
  <c r="BJ54" i="3"/>
  <c r="BG55" i="3"/>
  <c r="BJ55" i="3"/>
  <c r="M181" i="20" s="1"/>
  <c r="W181" i="20" s="1"/>
  <c r="BG56" i="3"/>
  <c r="BK56" i="3" s="1"/>
  <c r="BJ56" i="3"/>
  <c r="BG57" i="3"/>
  <c r="BK57" i="3" s="1"/>
  <c r="BJ57" i="3"/>
  <c r="BG58" i="3"/>
  <c r="BK58" i="3" s="1"/>
  <c r="BJ58" i="3"/>
  <c r="BG59" i="3"/>
  <c r="BK59" i="3" s="1"/>
  <c r="BJ59" i="3"/>
  <c r="BG60" i="3"/>
  <c r="BK60" i="3" s="1"/>
  <c r="BJ60" i="3"/>
  <c r="BG61" i="3"/>
  <c r="BK61" i="3" s="1"/>
  <c r="BJ61" i="3"/>
  <c r="BG62" i="3"/>
  <c r="BK62" i="3" s="1"/>
  <c r="BJ62" i="3"/>
  <c r="BG63" i="3"/>
  <c r="BK63" i="3" s="1"/>
  <c r="BJ63" i="3"/>
  <c r="BG64" i="3"/>
  <c r="BK64" i="3" s="1"/>
  <c r="BJ64" i="3"/>
  <c r="BG65" i="3"/>
  <c r="BK65" i="3" s="1"/>
  <c r="BJ65" i="3"/>
  <c r="BG66" i="3"/>
  <c r="BK66" i="3" s="1"/>
  <c r="BJ66" i="3"/>
  <c r="BG67" i="3"/>
  <c r="BK67" i="3" s="1"/>
  <c r="BJ67" i="3"/>
  <c r="BG36" i="3"/>
  <c r="BK36" i="3" s="1"/>
  <c r="BJ36" i="3"/>
  <c r="BG37" i="3"/>
  <c r="BK37" i="3" s="1"/>
  <c r="BJ37" i="3"/>
  <c r="BG38" i="3"/>
  <c r="BK38" i="3" s="1"/>
  <c r="BJ38" i="3"/>
  <c r="BG39" i="3"/>
  <c r="BK39" i="3" s="1"/>
  <c r="BJ39" i="3"/>
  <c r="BG40" i="3"/>
  <c r="BK40" i="3" s="1"/>
  <c r="BJ40" i="3"/>
  <c r="BG41" i="3"/>
  <c r="BK41" i="3" s="1"/>
  <c r="BJ41" i="3"/>
  <c r="BG42" i="3"/>
  <c r="BK42" i="3" s="1"/>
  <c r="BJ42" i="3"/>
  <c r="BG43" i="3"/>
  <c r="BK43" i="3" s="1"/>
  <c r="BJ43" i="3"/>
  <c r="BG44" i="3"/>
  <c r="BK44" i="3" s="1"/>
  <c r="BJ44" i="3"/>
  <c r="BG45" i="3"/>
  <c r="BK45" i="3" s="1"/>
  <c r="BJ45" i="3"/>
  <c r="BG46" i="3"/>
  <c r="BK46" i="3" s="1"/>
  <c r="BJ46" i="3"/>
  <c r="BG5" i="3"/>
  <c r="BK5" i="3" s="1"/>
  <c r="BJ5" i="3"/>
  <c r="BG6" i="3"/>
  <c r="BK6" i="3" s="1"/>
  <c r="BJ6" i="3"/>
  <c r="BG7" i="3"/>
  <c r="BK7" i="3" s="1"/>
  <c r="BJ7" i="3"/>
  <c r="BG8" i="3"/>
  <c r="BK8" i="3" s="1"/>
  <c r="BJ8" i="3"/>
  <c r="BG9" i="3"/>
  <c r="BK9" i="3" s="1"/>
  <c r="BJ9" i="3"/>
  <c r="BG10" i="3"/>
  <c r="BK10" i="3" s="1"/>
  <c r="BJ10" i="3"/>
  <c r="BG11" i="3"/>
  <c r="BK11" i="3" s="1"/>
  <c r="BJ11" i="3"/>
  <c r="BG12" i="3"/>
  <c r="BK12" i="3" s="1"/>
  <c r="BJ12" i="3"/>
  <c r="BG13" i="3"/>
  <c r="BK13" i="3" s="1"/>
  <c r="BJ13" i="3"/>
  <c r="BG14" i="3"/>
  <c r="BK14" i="3" s="1"/>
  <c r="BJ14" i="3"/>
  <c r="BG15" i="3"/>
  <c r="BK15" i="3" s="1"/>
  <c r="BJ15" i="3"/>
  <c r="BG16" i="3"/>
  <c r="BK16" i="3" s="1"/>
  <c r="BJ16" i="3"/>
  <c r="BG17" i="3"/>
  <c r="BK17" i="3" s="1"/>
  <c r="BJ17" i="3"/>
  <c r="BG18" i="3"/>
  <c r="BK18" i="3" s="1"/>
  <c r="BJ18" i="3"/>
  <c r="BG19" i="3"/>
  <c r="BK19" i="3" s="1"/>
  <c r="BJ19" i="3"/>
  <c r="BG20" i="3"/>
  <c r="BK20" i="3" s="1"/>
  <c r="BJ20" i="3"/>
  <c r="BG21" i="3"/>
  <c r="BK21" i="3" s="1"/>
  <c r="BJ21" i="3"/>
  <c r="BG22" i="3"/>
  <c r="BK22" i="3" s="1"/>
  <c r="BJ22" i="3"/>
  <c r="BG23" i="3"/>
  <c r="BK23" i="3" s="1"/>
  <c r="BJ23" i="3"/>
  <c r="BG24" i="3"/>
  <c r="BK24" i="3" s="1"/>
  <c r="BJ24" i="3"/>
  <c r="BG25" i="3"/>
  <c r="BK25" i="3" s="1"/>
  <c r="BJ25" i="3"/>
  <c r="BG26" i="3"/>
  <c r="BK26" i="3" s="1"/>
  <c r="BJ26" i="3"/>
  <c r="BG27" i="3"/>
  <c r="BK27" i="3" s="1"/>
  <c r="BJ27" i="3"/>
  <c r="BG28" i="3"/>
  <c r="BK28" i="3" s="1"/>
  <c r="BJ28" i="3"/>
  <c r="BG29" i="3"/>
  <c r="BK29" i="3" s="1"/>
  <c r="BJ29" i="3"/>
  <c r="BG30" i="3"/>
  <c r="BK30" i="3" s="1"/>
  <c r="BJ30" i="3"/>
  <c r="BG31" i="3"/>
  <c r="BK31" i="3" s="1"/>
  <c r="BJ31" i="3"/>
  <c r="BG32" i="3"/>
  <c r="BK32" i="3" s="1"/>
  <c r="BJ32" i="3"/>
  <c r="BG33" i="3"/>
  <c r="BK33" i="3" s="1"/>
  <c r="BJ33" i="3"/>
  <c r="BG34" i="3"/>
  <c r="BK34" i="3" s="1"/>
  <c r="BJ34" i="3"/>
  <c r="AP48" i="3"/>
  <c r="AT48" i="3" s="1"/>
  <c r="AS48" i="3"/>
  <c r="AP49" i="3"/>
  <c r="AT49" i="3" s="1"/>
  <c r="AS49" i="3"/>
  <c r="AP50" i="3"/>
  <c r="AT50" i="3" s="1"/>
  <c r="AS50" i="3"/>
  <c r="AP51" i="3"/>
  <c r="AT51" i="3" s="1"/>
  <c r="AS51" i="3"/>
  <c r="AP52" i="3"/>
  <c r="AT52" i="3" s="1"/>
  <c r="AS52" i="3"/>
  <c r="AP53" i="3"/>
  <c r="AT53" i="3" s="1"/>
  <c r="AS53" i="3"/>
  <c r="AP54" i="3"/>
  <c r="AT54" i="3" s="1"/>
  <c r="AS54" i="3"/>
  <c r="AP55" i="3"/>
  <c r="AS55" i="3"/>
  <c r="M118" i="20" s="1"/>
  <c r="W118" i="20" s="1"/>
  <c r="AP56" i="3"/>
  <c r="AT56" i="3" s="1"/>
  <c r="AS56" i="3"/>
  <c r="AP57" i="3"/>
  <c r="AT57" i="3" s="1"/>
  <c r="AS57" i="3"/>
  <c r="AP58" i="3"/>
  <c r="AT58" i="3" s="1"/>
  <c r="AS58" i="3"/>
  <c r="AP59" i="3"/>
  <c r="AT59" i="3" s="1"/>
  <c r="AS59" i="3"/>
  <c r="AP60" i="3"/>
  <c r="AT60" i="3" s="1"/>
  <c r="AS60" i="3"/>
  <c r="AP61" i="3"/>
  <c r="AT61" i="3" s="1"/>
  <c r="AS61" i="3"/>
  <c r="AP62" i="3"/>
  <c r="AT62" i="3" s="1"/>
  <c r="AS62" i="3"/>
  <c r="AP63" i="3"/>
  <c r="AT63" i="3" s="1"/>
  <c r="AS63" i="3"/>
  <c r="AP64" i="3"/>
  <c r="AT64" i="3" s="1"/>
  <c r="AS64" i="3"/>
  <c r="AP65" i="3"/>
  <c r="AT65" i="3" s="1"/>
  <c r="AS65" i="3"/>
  <c r="AP66" i="3"/>
  <c r="AT66" i="3" s="1"/>
  <c r="AS66" i="3"/>
  <c r="AP67" i="3"/>
  <c r="AT67" i="3" s="1"/>
  <c r="AS67" i="3"/>
  <c r="AP36" i="3"/>
  <c r="AS36" i="3"/>
  <c r="M99" i="20" s="1"/>
  <c r="W99" i="20" s="1"/>
  <c r="AP37" i="3"/>
  <c r="AS37" i="3"/>
  <c r="M100" i="20" s="1"/>
  <c r="W100" i="20" s="1"/>
  <c r="AP38" i="3"/>
  <c r="AT38" i="3" s="1"/>
  <c r="AS38" i="3"/>
  <c r="AP39" i="3"/>
  <c r="AS39" i="3"/>
  <c r="M102" i="20" s="1"/>
  <c r="W102" i="20" s="1"/>
  <c r="AP40" i="3"/>
  <c r="AS40" i="3"/>
  <c r="M103" i="20" s="1"/>
  <c r="W103" i="20" s="1"/>
  <c r="AP41" i="3"/>
  <c r="AT41" i="3" s="1"/>
  <c r="AS41" i="3"/>
  <c r="AP42" i="3"/>
  <c r="AS42" i="3"/>
  <c r="M105" i="20" s="1"/>
  <c r="W105" i="20" s="1"/>
  <c r="AP43" i="3"/>
  <c r="AS43" i="3"/>
  <c r="M106" i="20" s="1"/>
  <c r="W106" i="20" s="1"/>
  <c r="AP44" i="3"/>
  <c r="AS44" i="3"/>
  <c r="M107" i="20" s="1"/>
  <c r="W107" i="20" s="1"/>
  <c r="AP45" i="3"/>
  <c r="AS45" i="3"/>
  <c r="M108" i="20" s="1"/>
  <c r="W108" i="20" s="1"/>
  <c r="AP46" i="3"/>
  <c r="AT46" i="3" s="1"/>
  <c r="AS46" i="3"/>
  <c r="AP5" i="3"/>
  <c r="AT5" i="3" s="1"/>
  <c r="AS5" i="3"/>
  <c r="AP6" i="3"/>
  <c r="AT6" i="3" s="1"/>
  <c r="AS6" i="3"/>
  <c r="AP7" i="3"/>
  <c r="AT7" i="3" s="1"/>
  <c r="AS7" i="3"/>
  <c r="AP8" i="3"/>
  <c r="AT8" i="3" s="1"/>
  <c r="AS8" i="3"/>
  <c r="AP9" i="3"/>
  <c r="AT9" i="3" s="1"/>
  <c r="AS9" i="3"/>
  <c r="AP10" i="3"/>
  <c r="AT10" i="3" s="1"/>
  <c r="AS10" i="3"/>
  <c r="AP11" i="3"/>
  <c r="AT11" i="3" s="1"/>
  <c r="AS11" i="3"/>
  <c r="AP12" i="3"/>
  <c r="AT12" i="3" s="1"/>
  <c r="AS12" i="3"/>
  <c r="AP13" i="3"/>
  <c r="AT13" i="3" s="1"/>
  <c r="AS13" i="3"/>
  <c r="AP14" i="3"/>
  <c r="AT14" i="3" s="1"/>
  <c r="AS14" i="3"/>
  <c r="AP15" i="3"/>
  <c r="AT15" i="3" s="1"/>
  <c r="AS15" i="3"/>
  <c r="AP16" i="3"/>
  <c r="AT16" i="3" s="1"/>
  <c r="AS16" i="3"/>
  <c r="AP17" i="3"/>
  <c r="AT17" i="3" s="1"/>
  <c r="AS17" i="3"/>
  <c r="AP18" i="3"/>
  <c r="AT18" i="3" s="1"/>
  <c r="AS18" i="3"/>
  <c r="AP19" i="3"/>
  <c r="AT19" i="3" s="1"/>
  <c r="AS19" i="3"/>
  <c r="AP20" i="3"/>
  <c r="AT20" i="3" s="1"/>
  <c r="AS20" i="3"/>
  <c r="AP21" i="3"/>
  <c r="AT21" i="3" s="1"/>
  <c r="AS21" i="3"/>
  <c r="AP22" i="3"/>
  <c r="AT22" i="3" s="1"/>
  <c r="AS22" i="3"/>
  <c r="AP23" i="3"/>
  <c r="AT23" i="3" s="1"/>
  <c r="AS23" i="3"/>
  <c r="AP24" i="3"/>
  <c r="AT24" i="3" s="1"/>
  <c r="AS24" i="3"/>
  <c r="AP25" i="3"/>
  <c r="AT25" i="3" s="1"/>
  <c r="AS25" i="3"/>
  <c r="AP26" i="3"/>
  <c r="AT26" i="3" s="1"/>
  <c r="AS26" i="3"/>
  <c r="AP27" i="3"/>
  <c r="AT27" i="3" s="1"/>
  <c r="AS27" i="3"/>
  <c r="AP28" i="3"/>
  <c r="AT28" i="3" s="1"/>
  <c r="AS28" i="3"/>
  <c r="AP29" i="3"/>
  <c r="AT29" i="3" s="1"/>
  <c r="AS29" i="3"/>
  <c r="AP30" i="3"/>
  <c r="AT30" i="3" s="1"/>
  <c r="AS30" i="3"/>
  <c r="AP31" i="3"/>
  <c r="AT31" i="3" s="1"/>
  <c r="AS31" i="3"/>
  <c r="AP32" i="3"/>
  <c r="AT32" i="3" s="1"/>
  <c r="AS32" i="3"/>
  <c r="AP33" i="3"/>
  <c r="AT33" i="3" s="1"/>
  <c r="AS33" i="3"/>
  <c r="AP34" i="3"/>
  <c r="AT34" i="3" s="1"/>
  <c r="AS34" i="3"/>
  <c r="Y48" i="3"/>
  <c r="AB48" i="3"/>
  <c r="M48" i="20" s="1"/>
  <c r="W48" i="20" s="1"/>
  <c r="K48" i="20"/>
  <c r="Y49" i="3"/>
  <c r="AB49" i="3"/>
  <c r="M49" i="20" s="1"/>
  <c r="W49" i="20" s="1"/>
  <c r="K49" i="20"/>
  <c r="Y50" i="3"/>
  <c r="AB50" i="3"/>
  <c r="M50" i="20" s="1"/>
  <c r="W50" i="20" s="1"/>
  <c r="K50" i="20"/>
  <c r="Y51" i="3"/>
  <c r="AB51" i="3"/>
  <c r="M51" i="20" s="1"/>
  <c r="W51" i="20" s="1"/>
  <c r="K51" i="20"/>
  <c r="Y52" i="3"/>
  <c r="AB52" i="3"/>
  <c r="M52" i="20" s="1"/>
  <c r="W52" i="20" s="1"/>
  <c r="K52" i="20"/>
  <c r="Y53" i="3"/>
  <c r="AB53" i="3"/>
  <c r="M53" i="20" s="1"/>
  <c r="W53" i="20" s="1"/>
  <c r="K53" i="20"/>
  <c r="Y54" i="3"/>
  <c r="AB54" i="3"/>
  <c r="M54" i="20" s="1"/>
  <c r="W54" i="20" s="1"/>
  <c r="K54" i="20"/>
  <c r="Y55" i="3"/>
  <c r="AB55" i="3"/>
  <c r="M55" i="20" s="1"/>
  <c r="W55" i="20" s="1"/>
  <c r="K55" i="20"/>
  <c r="Y56" i="3"/>
  <c r="AB56" i="3"/>
  <c r="M56" i="20" s="1"/>
  <c r="W56" i="20" s="1"/>
  <c r="K56" i="20"/>
  <c r="Y57" i="3"/>
  <c r="AB57" i="3"/>
  <c r="M57" i="20" s="1"/>
  <c r="W57" i="20" s="1"/>
  <c r="K57" i="20"/>
  <c r="Y58" i="3"/>
  <c r="AB58" i="3"/>
  <c r="M58" i="20" s="1"/>
  <c r="W58" i="20" s="1"/>
  <c r="K58" i="20"/>
  <c r="Y59" i="3"/>
  <c r="AB59" i="3"/>
  <c r="M59" i="20" s="1"/>
  <c r="W59" i="20" s="1"/>
  <c r="K59" i="20"/>
  <c r="Y60" i="3"/>
  <c r="AB60" i="3"/>
  <c r="M60" i="20" s="1"/>
  <c r="W60" i="20" s="1"/>
  <c r="K60" i="20"/>
  <c r="Y61" i="3"/>
  <c r="AB61" i="3"/>
  <c r="M61" i="20" s="1"/>
  <c r="W61" i="20" s="1"/>
  <c r="K61" i="20"/>
  <c r="Y62" i="3"/>
  <c r="AB62" i="3"/>
  <c r="M62" i="20" s="1"/>
  <c r="W62" i="20" s="1"/>
  <c r="K62" i="20"/>
  <c r="Y63" i="3"/>
  <c r="AB63" i="3"/>
  <c r="M63" i="20" s="1"/>
  <c r="W63" i="20" s="1"/>
  <c r="K63" i="20"/>
  <c r="Y64" i="3"/>
  <c r="AB64" i="3"/>
  <c r="M64" i="20" s="1"/>
  <c r="W64" i="20" s="1"/>
  <c r="K64" i="20"/>
  <c r="Y65" i="3"/>
  <c r="AC65" i="3" s="1"/>
  <c r="AB65" i="3"/>
  <c r="Y66" i="3"/>
  <c r="AB66" i="3"/>
  <c r="M66" i="20" s="1"/>
  <c r="W66" i="20" s="1"/>
  <c r="K66" i="20"/>
  <c r="Y67" i="3"/>
  <c r="AC67" i="3" s="1"/>
  <c r="AB67" i="3"/>
  <c r="Y36" i="3"/>
  <c r="AB36" i="3"/>
  <c r="M36" i="20" s="1"/>
  <c r="W36" i="20" s="1"/>
  <c r="K36" i="20"/>
  <c r="Y37" i="3"/>
  <c r="AB37" i="3"/>
  <c r="M37" i="20" s="1"/>
  <c r="W37" i="20" s="1"/>
  <c r="K37" i="20"/>
  <c r="Y38" i="3"/>
  <c r="AB38" i="3"/>
  <c r="M38" i="20" s="1"/>
  <c r="W38" i="20" s="1"/>
  <c r="K38" i="20"/>
  <c r="Y39" i="3"/>
  <c r="AB39" i="3"/>
  <c r="M39" i="20" s="1"/>
  <c r="W39" i="20" s="1"/>
  <c r="K39" i="20"/>
  <c r="Y40" i="3"/>
  <c r="AB40" i="3"/>
  <c r="M40" i="20" s="1"/>
  <c r="W40" i="20" s="1"/>
  <c r="K40" i="20"/>
  <c r="Y41" i="3"/>
  <c r="AC41" i="3" s="1"/>
  <c r="AB41" i="3"/>
  <c r="Y42" i="3"/>
  <c r="AB42" i="3"/>
  <c r="M42" i="20" s="1"/>
  <c r="W42" i="20" s="1"/>
  <c r="K42" i="20"/>
  <c r="Y43" i="3"/>
  <c r="AB43" i="3"/>
  <c r="M43" i="20" s="1"/>
  <c r="W43" i="20" s="1"/>
  <c r="K43" i="20"/>
  <c r="Y44" i="3"/>
  <c r="AB44" i="3"/>
  <c r="M44" i="20" s="1"/>
  <c r="W44" i="20" s="1"/>
  <c r="K44" i="20"/>
  <c r="Y45" i="3"/>
  <c r="AB45" i="3"/>
  <c r="M45" i="20" s="1"/>
  <c r="W45" i="20" s="1"/>
  <c r="K45" i="20"/>
  <c r="Y46" i="3"/>
  <c r="AB46" i="3"/>
  <c r="M46" i="20" s="1"/>
  <c r="W46" i="20" s="1"/>
  <c r="K46" i="20"/>
  <c r="Y5" i="3"/>
  <c r="AC5" i="3" s="1"/>
  <c r="AB5" i="3"/>
  <c r="Y6" i="3"/>
  <c r="AC6" i="3" s="1"/>
  <c r="AB6" i="3"/>
  <c r="Y7" i="3"/>
  <c r="AC7" i="3" s="1"/>
  <c r="AB7" i="3"/>
  <c r="Y8" i="3"/>
  <c r="AC8" i="3" s="1"/>
  <c r="AB8" i="3"/>
  <c r="Y9" i="3"/>
  <c r="AC9" i="3" s="1"/>
  <c r="AB9" i="3"/>
  <c r="Y10" i="3"/>
  <c r="AC10" i="3" s="1"/>
  <c r="AB10" i="3"/>
  <c r="Y11" i="3"/>
  <c r="AC11" i="3" s="1"/>
  <c r="AB11" i="3"/>
  <c r="Y12" i="3"/>
  <c r="AC12" i="3" s="1"/>
  <c r="AB12" i="3"/>
  <c r="Y13" i="3"/>
  <c r="AC13" i="3" s="1"/>
  <c r="AB13" i="3"/>
  <c r="Y14" i="3"/>
  <c r="AC14" i="3" s="1"/>
  <c r="AB14" i="3"/>
  <c r="Y15" i="3"/>
  <c r="AC15" i="3" s="1"/>
  <c r="AB15" i="3"/>
  <c r="Y16" i="3"/>
  <c r="AC16" i="3" s="1"/>
  <c r="AB16" i="3"/>
  <c r="Y17" i="3"/>
  <c r="AC17" i="3" s="1"/>
  <c r="AB17" i="3"/>
  <c r="Y18" i="3"/>
  <c r="AC18" i="3" s="1"/>
  <c r="AB18" i="3"/>
  <c r="Y19" i="3"/>
  <c r="AC19" i="3" s="1"/>
  <c r="AB19" i="3"/>
  <c r="Y20" i="3"/>
  <c r="AC20" i="3" s="1"/>
  <c r="AB20" i="3"/>
  <c r="Y21" i="3"/>
  <c r="AC21" i="3" s="1"/>
  <c r="AB21" i="3"/>
  <c r="Y22" i="3"/>
  <c r="AC22" i="3" s="1"/>
  <c r="AB22" i="3"/>
  <c r="Y23" i="3"/>
  <c r="AC23" i="3" s="1"/>
  <c r="AB23" i="3"/>
  <c r="Y24" i="3"/>
  <c r="AC24" i="3" s="1"/>
  <c r="AB24" i="3"/>
  <c r="Y25" i="3"/>
  <c r="AC25" i="3" s="1"/>
  <c r="AB25" i="3"/>
  <c r="Y26" i="3"/>
  <c r="AC26" i="3" s="1"/>
  <c r="AB26" i="3"/>
  <c r="Y27" i="3"/>
  <c r="AC27" i="3" s="1"/>
  <c r="AB27" i="3"/>
  <c r="Y28" i="3"/>
  <c r="AC28" i="3" s="1"/>
  <c r="AB28" i="3"/>
  <c r="Y29" i="3"/>
  <c r="AC29" i="3" s="1"/>
  <c r="AB29" i="3"/>
  <c r="Y30" i="3"/>
  <c r="AC30" i="3" s="1"/>
  <c r="AB30" i="3"/>
  <c r="Y31" i="3"/>
  <c r="AC31" i="3" s="1"/>
  <c r="AB31" i="3"/>
  <c r="Y32" i="3"/>
  <c r="AC32" i="3" s="1"/>
  <c r="AB32" i="3"/>
  <c r="Y33" i="3"/>
  <c r="AC33" i="3" s="1"/>
  <c r="AB33" i="3"/>
  <c r="Y34" i="3"/>
  <c r="AC34" i="3" s="1"/>
  <c r="AB34" i="3"/>
  <c r="AT80" i="8"/>
  <c r="AT86" i="8"/>
  <c r="AT94" i="8"/>
  <c r="AT50" i="8"/>
  <c r="AT56" i="8"/>
  <c r="AT68" i="8"/>
  <c r="AT79" i="8"/>
  <c r="AT89" i="8"/>
  <c r="AT93" i="8"/>
  <c r="AT49" i="8"/>
  <c r="AT55" i="8"/>
  <c r="AT61" i="8"/>
  <c r="AT69" i="8"/>
  <c r="F384" i="20"/>
  <c r="A384" i="20" s="1"/>
  <c r="F385" i="20"/>
  <c r="A385" i="20" s="1"/>
  <c r="F387" i="20"/>
  <c r="A387" i="20" s="1"/>
  <c r="F389" i="20"/>
  <c r="A389" i="20" s="1"/>
  <c r="F392" i="20"/>
  <c r="A392" i="20" s="1"/>
  <c r="F393" i="20"/>
  <c r="A393" i="20" s="1"/>
  <c r="F394" i="20"/>
  <c r="A394" i="20" s="1"/>
  <c r="F323" i="20"/>
  <c r="A323" i="20" s="1"/>
  <c r="AT82" i="8"/>
  <c r="AT87" i="8"/>
  <c r="AT92" i="8"/>
  <c r="AT47" i="8"/>
  <c r="AT63" i="8"/>
  <c r="AT71" i="8"/>
  <c r="F284" i="20"/>
  <c r="A284" i="20" s="1"/>
  <c r="F285" i="20"/>
  <c r="A285" i="20" s="1"/>
  <c r="F289" i="20"/>
  <c r="A289" i="20" s="1"/>
  <c r="F290" i="20"/>
  <c r="A290" i="20" s="1"/>
  <c r="F292" i="20"/>
  <c r="A292" i="20" s="1"/>
  <c r="AT83" i="8"/>
  <c r="AT90" i="8"/>
  <c r="AT96" i="8"/>
  <c r="AT52" i="8"/>
  <c r="AT59" i="8"/>
  <c r="AT66" i="8"/>
  <c r="F255" i="20"/>
  <c r="A255" i="20" s="1"/>
  <c r="F256" i="20"/>
  <c r="A256" i="20" s="1"/>
  <c r="F257" i="20"/>
  <c r="A257" i="20" s="1"/>
  <c r="F262" i="20"/>
  <c r="A262" i="20" s="1"/>
  <c r="F264" i="20"/>
  <c r="A264" i="20" s="1"/>
  <c r="F181" i="20"/>
  <c r="A181" i="20" s="1"/>
  <c r="AT78" i="8"/>
  <c r="AT88" i="8"/>
  <c r="AT54" i="8"/>
  <c r="AT62" i="8"/>
  <c r="AT85" i="8"/>
  <c r="AT51" i="8"/>
  <c r="AT58" i="8"/>
  <c r="AT64" i="8"/>
  <c r="AT70" i="8"/>
  <c r="F38" i="20"/>
  <c r="A38" i="20" s="1"/>
  <c r="F39" i="20"/>
  <c r="A39" i="20" s="1"/>
  <c r="F45" i="20"/>
  <c r="A45" i="20" s="1"/>
  <c r="F48" i="20"/>
  <c r="A48" i="20" s="1"/>
  <c r="V53" i="20" s="1"/>
  <c r="F50" i="20"/>
  <c r="A50" i="20" s="1"/>
  <c r="F51" i="20"/>
  <c r="A51" i="20" s="1"/>
  <c r="F52" i="20"/>
  <c r="A52" i="20" s="1"/>
  <c r="F54" i="20"/>
  <c r="A54" i="20" s="1"/>
  <c r="F55" i="20"/>
  <c r="A55" i="20" s="1"/>
  <c r="F60" i="20"/>
  <c r="A60" i="20" s="1"/>
  <c r="F62" i="20"/>
  <c r="A62" i="20" s="1"/>
  <c r="F63" i="20"/>
  <c r="A63" i="20" s="1"/>
  <c r="F66" i="20"/>
  <c r="A66" i="20" s="1"/>
  <c r="AT81" i="8"/>
  <c r="AT91" i="8"/>
  <c r="AT48" i="8"/>
  <c r="AT57" i="8"/>
  <c r="AT67" i="8"/>
  <c r="L37" i="7"/>
  <c r="M37" i="7" s="1"/>
  <c r="L38" i="7"/>
  <c r="M38" i="7" s="1"/>
  <c r="L39" i="7"/>
  <c r="M39" i="7" s="1"/>
  <c r="L40" i="7"/>
  <c r="M40" i="7" s="1"/>
  <c r="L51" i="7"/>
  <c r="M51" i="7" s="1"/>
  <c r="L41" i="7"/>
  <c r="M41" i="7" s="1"/>
  <c r="L42" i="7"/>
  <c r="M42" i="7" s="1"/>
  <c r="L43" i="7"/>
  <c r="M43" i="7" s="1"/>
  <c r="L44" i="7"/>
  <c r="M44" i="7" s="1"/>
  <c r="L45" i="7"/>
  <c r="M45" i="7" s="1"/>
  <c r="L46" i="7"/>
  <c r="M46" i="7" s="1"/>
  <c r="L47" i="7"/>
  <c r="M47" i="7" s="1"/>
  <c r="L48" i="7"/>
  <c r="M48" i="7" s="1"/>
  <c r="L49" i="7"/>
  <c r="M49" i="7" s="1"/>
  <c r="L50" i="7"/>
  <c r="M50" i="7" s="1"/>
  <c r="L26" i="7"/>
  <c r="M26" i="7" s="1"/>
  <c r="L52" i="7"/>
  <c r="M52" i="7" s="1"/>
  <c r="L36" i="7"/>
  <c r="M36" i="7" s="1"/>
  <c r="L27" i="7"/>
  <c r="M27" i="7" s="1"/>
  <c r="L28" i="7"/>
  <c r="M28" i="7" s="1"/>
  <c r="L29" i="7"/>
  <c r="M29" i="7" s="1"/>
  <c r="AT84" i="8"/>
  <c r="AT95" i="8"/>
  <c r="BV95" i="8" s="1"/>
  <c r="AT53" i="8"/>
  <c r="AT60" i="8"/>
  <c r="AT65" i="8"/>
  <c r="Y31" i="12"/>
  <c r="Z31" i="12"/>
  <c r="Y34" i="12"/>
  <c r="Z34" i="12"/>
  <c r="AE171" i="11"/>
  <c r="AF171" i="11"/>
  <c r="AE172" i="11"/>
  <c r="AF172" i="11"/>
  <c r="AE176" i="11"/>
  <c r="AF176" i="11"/>
  <c r="Z156" i="11"/>
  <c r="AA156" i="11"/>
  <c r="Z157" i="11"/>
  <c r="AA157" i="11"/>
  <c r="Z159" i="11"/>
  <c r="AA159" i="11"/>
  <c r="Z160" i="11"/>
  <c r="AA160" i="11"/>
  <c r="Z161" i="11"/>
  <c r="AA161" i="11"/>
  <c r="AG136" i="11"/>
  <c r="AH136" i="11"/>
  <c r="AG137" i="11"/>
  <c r="AH137" i="11"/>
  <c r="AG139" i="11"/>
  <c r="AH139" i="11"/>
  <c r="AG142" i="11"/>
  <c r="AH142" i="11"/>
  <c r="AG143" i="11"/>
  <c r="AH143" i="11"/>
  <c r="AH115" i="11"/>
  <c r="AI115" i="11"/>
  <c r="AH117" i="11"/>
  <c r="AI117" i="11"/>
  <c r="AH118" i="11"/>
  <c r="AI118" i="11"/>
  <c r="AH119" i="11"/>
  <c r="AI119" i="11"/>
  <c r="AH120" i="11"/>
  <c r="AI120" i="11"/>
  <c r="AH122" i="11"/>
  <c r="AI122" i="11"/>
  <c r="AC96" i="11"/>
  <c r="AD96" i="11"/>
  <c r="AC97" i="11"/>
  <c r="AD97" i="11"/>
  <c r="AC98" i="11"/>
  <c r="AD98" i="11"/>
  <c r="AC99" i="11"/>
  <c r="AD99" i="11"/>
  <c r="AC100" i="11"/>
  <c r="AD100" i="11"/>
  <c r="AC101" i="11"/>
  <c r="AD101" i="11"/>
  <c r="AC102" i="11"/>
  <c r="AD102" i="11"/>
  <c r="AC103" i="11"/>
  <c r="AD103" i="11"/>
  <c r="P260" i="20"/>
  <c r="Z260" i="20" s="1"/>
  <c r="AO71" i="4"/>
  <c r="O261" i="20"/>
  <c r="Y261" i="20" s="1"/>
  <c r="AO72" i="4"/>
  <c r="O262" i="20"/>
  <c r="Y262" i="20" s="1"/>
  <c r="AO73" i="4"/>
  <c r="O263" i="20"/>
  <c r="Y263" i="20" s="1"/>
  <c r="AO74" i="4"/>
  <c r="O264" i="20"/>
  <c r="Y264" i="20" s="1"/>
  <c r="AO75" i="4"/>
  <c r="O255" i="20"/>
  <c r="Y255" i="20" s="1"/>
  <c r="AO66" i="4"/>
  <c r="P256" i="20"/>
  <c r="Z256" i="20" s="1"/>
  <c r="AO67" i="4"/>
  <c r="P257" i="20"/>
  <c r="Z257" i="20" s="1"/>
  <c r="AO68" i="4"/>
  <c r="O258" i="20"/>
  <c r="AO69" i="4"/>
  <c r="CL8" i="8" l="1"/>
  <c r="CI8" i="8"/>
  <c r="G27" i="19"/>
  <c r="H27" i="19" s="1"/>
  <c r="CO32" i="8"/>
  <c r="BZ40" i="8"/>
  <c r="AS21" i="4"/>
  <c r="AR21" i="4"/>
  <c r="AS22" i="4"/>
  <c r="AR22" i="4"/>
  <c r="AS23" i="4"/>
  <c r="AR23" i="4"/>
  <c r="AS24" i="4"/>
  <c r="AR24" i="4"/>
  <c r="AS41" i="4"/>
  <c r="AR41" i="4"/>
  <c r="V300" i="20"/>
  <c r="V57" i="20"/>
  <c r="V64" i="20"/>
  <c r="V304" i="20"/>
  <c r="V56" i="20"/>
  <c r="V299" i="20"/>
  <c r="V301" i="20"/>
  <c r="V302" i="20"/>
  <c r="V58" i="20"/>
  <c r="V297" i="20"/>
  <c r="V296" i="20"/>
  <c r="V295" i="20"/>
  <c r="V294" i="20"/>
  <c r="V293" i="20"/>
  <c r="V291" i="20"/>
  <c r="V288" i="20"/>
  <c r="V286" i="20"/>
  <c r="V61" i="20"/>
  <c r="V59" i="20"/>
  <c r="V298" i="20"/>
  <c r="Y258" i="20"/>
  <c r="R258" i="20"/>
  <c r="Q258" i="20"/>
  <c r="K39" i="18"/>
  <c r="K40" i="18"/>
  <c r="J39" i="18"/>
  <c r="L39" i="18" s="1"/>
  <c r="J40" i="18"/>
  <c r="L40" i="18" s="1"/>
  <c r="CH5" i="8"/>
  <c r="AD5" i="8"/>
  <c r="AE5" i="8"/>
  <c r="CH6" i="8"/>
  <c r="AE6" i="8"/>
  <c r="AD6" i="8"/>
  <c r="CH7" i="8"/>
  <c r="AD7" i="8"/>
  <c r="AE7" i="8"/>
  <c r="CH8" i="8"/>
  <c r="AE8" i="8"/>
  <c r="AD8" i="8"/>
  <c r="CH9" i="8"/>
  <c r="AE9" i="8"/>
  <c r="AD9" i="8"/>
  <c r="CH10" i="8"/>
  <c r="AD10" i="8"/>
  <c r="AE10" i="8"/>
  <c r="CH11" i="8"/>
  <c r="AE11" i="8"/>
  <c r="AD11" i="8"/>
  <c r="CH12" i="8"/>
  <c r="AD12" i="8"/>
  <c r="AE12" i="8"/>
  <c r="CH13" i="8"/>
  <c r="AE13" i="8"/>
  <c r="AD13" i="8"/>
  <c r="CH14" i="8"/>
  <c r="AD14" i="8"/>
  <c r="AE14" i="8"/>
  <c r="CH15" i="8"/>
  <c r="AE15" i="8"/>
  <c r="AD15" i="8"/>
  <c r="CH16" i="8"/>
  <c r="AD16" i="8"/>
  <c r="AE16" i="8"/>
  <c r="CH17" i="8"/>
  <c r="AE17" i="8"/>
  <c r="AD17" i="8"/>
  <c r="CH18" i="8"/>
  <c r="AD18" i="8"/>
  <c r="AE18" i="8"/>
  <c r="CH19" i="8"/>
  <c r="AE19" i="8"/>
  <c r="AD19" i="8"/>
  <c r="CH20" i="8"/>
  <c r="AD20" i="8"/>
  <c r="AE20" i="8"/>
  <c r="CH21" i="8"/>
  <c r="AE21" i="8"/>
  <c r="AD21" i="8"/>
  <c r="CH22" i="8"/>
  <c r="AD22" i="8"/>
  <c r="AE22" i="8"/>
  <c r="CH23" i="8"/>
  <c r="AD23" i="8"/>
  <c r="AE23" i="8"/>
  <c r="CH24" i="8"/>
  <c r="AD24" i="8" s="1"/>
  <c r="AE24" i="8"/>
  <c r="CH25" i="8"/>
  <c r="AD25" i="8"/>
  <c r="AE25" i="8"/>
  <c r="CH26" i="8"/>
  <c r="CH27" i="8"/>
  <c r="AE27" i="8" s="1"/>
  <c r="AD27" i="8"/>
  <c r="CH28" i="8"/>
  <c r="CH29" i="8"/>
  <c r="CH30" i="8"/>
  <c r="CH31" i="8"/>
  <c r="AD31" i="8" s="1"/>
  <c r="AE31" i="8"/>
  <c r="CH32" i="8"/>
  <c r="CH33" i="8"/>
  <c r="CH34" i="8"/>
  <c r="AD34" i="8" s="1"/>
  <c r="AE34" i="8"/>
  <c r="CH35" i="8"/>
  <c r="CH36" i="8"/>
  <c r="CH37" i="8"/>
  <c r="CH38" i="8"/>
  <c r="CH39" i="8"/>
  <c r="AD39" i="8" s="1"/>
  <c r="AE39" i="8"/>
  <c r="CH40" i="8"/>
  <c r="CH41" i="8"/>
  <c r="CH42" i="8"/>
  <c r="AE42" i="8"/>
  <c r="AD42" i="8"/>
  <c r="CH43" i="8"/>
  <c r="AD43" i="8"/>
  <c r="AE43" i="8"/>
  <c r="CH44" i="8"/>
  <c r="AE44" i="8"/>
  <c r="AD44" i="8"/>
  <c r="BT58" i="8"/>
  <c r="BS58" i="8"/>
  <c r="BQ58" i="8"/>
  <c r="BO58" i="8"/>
  <c r="BN58" i="8"/>
  <c r="BM58" i="8"/>
  <c r="BL58" i="8"/>
  <c r="BT47" i="8"/>
  <c r="BS47" i="8"/>
  <c r="BQ47" i="8"/>
  <c r="BO47" i="8"/>
  <c r="BN47" i="8"/>
  <c r="BM47" i="8"/>
  <c r="BL47" i="8"/>
  <c r="BT46" i="8"/>
  <c r="BS46" i="8"/>
  <c r="BQ46" i="8"/>
  <c r="BO46" i="8"/>
  <c r="BN46" i="8"/>
  <c r="BM46" i="8"/>
  <c r="BL46" i="8"/>
  <c r="BT49" i="8"/>
  <c r="BS49" i="8"/>
  <c r="BQ49" i="8"/>
  <c r="BO49" i="8"/>
  <c r="BN49" i="8"/>
  <c r="BM49" i="8"/>
  <c r="BL49" i="8"/>
  <c r="L383" i="20"/>
  <c r="AB46" i="6"/>
  <c r="N383" i="20" s="1"/>
  <c r="X383" i="20" s="1"/>
  <c r="L384" i="20"/>
  <c r="AB47" i="6"/>
  <c r="N384" i="20" s="1"/>
  <c r="X384" i="20" s="1"/>
  <c r="L385" i="20"/>
  <c r="AB48" i="6"/>
  <c r="N385" i="20" s="1"/>
  <c r="X385" i="20" s="1"/>
  <c r="L386" i="20"/>
  <c r="AB49" i="6"/>
  <c r="N386" i="20" s="1"/>
  <c r="X386" i="20" s="1"/>
  <c r="L387" i="20"/>
  <c r="AB50" i="6"/>
  <c r="N387" i="20" s="1"/>
  <c r="X387" i="20" s="1"/>
  <c r="L388" i="20"/>
  <c r="AB51" i="6"/>
  <c r="N388" i="20" s="1"/>
  <c r="X388" i="20" s="1"/>
  <c r="L389" i="20"/>
  <c r="AB52" i="6"/>
  <c r="N389" i="20" s="1"/>
  <c r="X389" i="20" s="1"/>
  <c r="L390" i="20"/>
  <c r="AB53" i="6"/>
  <c r="N390" i="20" s="1"/>
  <c r="X390" i="20" s="1"/>
  <c r="L391" i="20"/>
  <c r="AB54" i="6"/>
  <c r="N391" i="20" s="1"/>
  <c r="X391" i="20" s="1"/>
  <c r="L392" i="20"/>
  <c r="AB55" i="6"/>
  <c r="N392" i="20" s="1"/>
  <c r="X392" i="20" s="1"/>
  <c r="L393" i="20"/>
  <c r="AB56" i="6"/>
  <c r="N393" i="20" s="1"/>
  <c r="X393" i="20" s="1"/>
  <c r="L394" i="20"/>
  <c r="AB57" i="6"/>
  <c r="N394" i="20" s="1"/>
  <c r="X394" i="20" s="1"/>
  <c r="L395" i="20"/>
  <c r="AB58" i="6"/>
  <c r="N395" i="20" s="1"/>
  <c r="X395" i="20" s="1"/>
  <c r="L396" i="20"/>
  <c r="AB59" i="6"/>
  <c r="N396" i="20" s="1"/>
  <c r="X396" i="20" s="1"/>
  <c r="L397" i="20"/>
  <c r="AB60" i="6"/>
  <c r="N397" i="20" s="1"/>
  <c r="X397" i="20" s="1"/>
  <c r="L398" i="20"/>
  <c r="AB61" i="6"/>
  <c r="N398" i="20" s="1"/>
  <c r="X398" i="20" s="1"/>
  <c r="L399" i="20"/>
  <c r="AB62" i="6"/>
  <c r="N399" i="20" s="1"/>
  <c r="X399" i="20" s="1"/>
  <c r="L400" i="20"/>
  <c r="AB63" i="6"/>
  <c r="N400" i="20" s="1"/>
  <c r="X400" i="20" s="1"/>
  <c r="L401" i="20"/>
  <c r="AB64" i="6"/>
  <c r="N401" i="20" s="1"/>
  <c r="X401" i="20" s="1"/>
  <c r="L402" i="20"/>
  <c r="AB65" i="6"/>
  <c r="N402" i="20" s="1"/>
  <c r="X402" i="20" s="1"/>
  <c r="L403" i="20"/>
  <c r="AB66" i="6"/>
  <c r="N403" i="20" s="1"/>
  <c r="X403" i="20" s="1"/>
  <c r="L323" i="20"/>
  <c r="AP23" i="5"/>
  <c r="N323" i="20" s="1"/>
  <c r="X323" i="20" s="1"/>
  <c r="L288" i="20"/>
  <c r="Y25" i="5"/>
  <c r="N288" i="20" s="1"/>
  <c r="X288" i="20" s="1"/>
  <c r="L289" i="20"/>
  <c r="Y26" i="5"/>
  <c r="N289" i="20" s="1"/>
  <c r="X289" i="20" s="1"/>
  <c r="L290" i="20"/>
  <c r="Y27" i="5"/>
  <c r="N290" i="20" s="1"/>
  <c r="X290" i="20" s="1"/>
  <c r="L291" i="20"/>
  <c r="Y28" i="5"/>
  <c r="N291" i="20" s="1"/>
  <c r="X291" i="20" s="1"/>
  <c r="L292" i="20"/>
  <c r="Y29" i="5"/>
  <c r="N292" i="20" s="1"/>
  <c r="X292" i="20" s="1"/>
  <c r="L293" i="20"/>
  <c r="Y30" i="5"/>
  <c r="N293" i="20" s="1"/>
  <c r="X293" i="20" s="1"/>
  <c r="L294" i="20"/>
  <c r="Y31" i="5"/>
  <c r="N294" i="20" s="1"/>
  <c r="X294" i="20" s="1"/>
  <c r="L295" i="20"/>
  <c r="Y32" i="5"/>
  <c r="N295" i="20" s="1"/>
  <c r="X295" i="20" s="1"/>
  <c r="L296" i="20"/>
  <c r="Y33" i="5"/>
  <c r="N296" i="20" s="1"/>
  <c r="X296" i="20" s="1"/>
  <c r="L297" i="20"/>
  <c r="Y34" i="5"/>
  <c r="N297" i="20" s="1"/>
  <c r="X297" i="20" s="1"/>
  <c r="L298" i="20"/>
  <c r="Y35" i="5"/>
  <c r="N298" i="20" s="1"/>
  <c r="X298" i="20" s="1"/>
  <c r="L299" i="20"/>
  <c r="Y36" i="5"/>
  <c r="N299" i="20" s="1"/>
  <c r="X299" i="20" s="1"/>
  <c r="L300" i="20"/>
  <c r="Y37" i="5"/>
  <c r="N300" i="20" s="1"/>
  <c r="X300" i="20" s="1"/>
  <c r="L301" i="20"/>
  <c r="Y38" i="5"/>
  <c r="N301" i="20" s="1"/>
  <c r="X301" i="20" s="1"/>
  <c r="L302" i="20"/>
  <c r="Y39" i="5"/>
  <c r="N302" i="20" s="1"/>
  <c r="X302" i="20" s="1"/>
  <c r="L304" i="20"/>
  <c r="Y41" i="5"/>
  <c r="N304" i="20" s="1"/>
  <c r="X304" i="20" s="1"/>
  <c r="L284" i="20"/>
  <c r="Y21" i="5"/>
  <c r="N284" i="20" s="1"/>
  <c r="X284" i="20" s="1"/>
  <c r="L285" i="20"/>
  <c r="Y22" i="5"/>
  <c r="N285" i="20" s="1"/>
  <c r="X285" i="20" s="1"/>
  <c r="L286" i="20"/>
  <c r="Y23" i="5"/>
  <c r="N286" i="20" s="1"/>
  <c r="X286" i="20" s="1"/>
  <c r="AC71" i="4"/>
  <c r="AQ71" i="4"/>
  <c r="BA71" i="4"/>
  <c r="L260" i="20"/>
  <c r="AC72" i="4"/>
  <c r="AQ72" i="4"/>
  <c r="BA72" i="4"/>
  <c r="L261" i="20"/>
  <c r="AC73" i="4"/>
  <c r="AQ73" i="4"/>
  <c r="BA73" i="4"/>
  <c r="L262" i="20"/>
  <c r="AC74" i="4"/>
  <c r="AQ74" i="4"/>
  <c r="L263" i="20"/>
  <c r="BA74" i="4"/>
  <c r="AC75" i="4"/>
  <c r="AQ75" i="4"/>
  <c r="BA75" i="4"/>
  <c r="L264" i="20"/>
  <c r="AC76" i="4"/>
  <c r="AQ76" i="4"/>
  <c r="BA76" i="4"/>
  <c r="AC77" i="4"/>
  <c r="AQ77" i="4"/>
  <c r="BA77" i="4"/>
  <c r="AC78" i="4"/>
  <c r="AQ78" i="4"/>
  <c r="BA78" i="4"/>
  <c r="AC66" i="4"/>
  <c r="AQ66" i="4"/>
  <c r="BA66" i="4"/>
  <c r="L255" i="20"/>
  <c r="BK66" i="4"/>
  <c r="BL66" i="4" s="1"/>
  <c r="AC67" i="4"/>
  <c r="N256" i="20" s="1"/>
  <c r="X256" i="20" s="1"/>
  <c r="AQ67" i="4"/>
  <c r="BA67" i="4"/>
  <c r="L256" i="20"/>
  <c r="AC68" i="4"/>
  <c r="N257" i="20" s="1"/>
  <c r="X257" i="20" s="1"/>
  <c r="AQ68" i="4"/>
  <c r="BA68" i="4"/>
  <c r="L257" i="20"/>
  <c r="AC69" i="4"/>
  <c r="N258" i="20" s="1"/>
  <c r="X258" i="20" s="1"/>
  <c r="AQ69" i="4"/>
  <c r="BA69" i="4"/>
  <c r="L258" i="20"/>
  <c r="AC5" i="4"/>
  <c r="AQ5" i="4"/>
  <c r="BA5" i="4"/>
  <c r="AC6" i="4"/>
  <c r="AQ6" i="4"/>
  <c r="BA6" i="4"/>
  <c r="AC7" i="4"/>
  <c r="AQ7" i="4"/>
  <c r="BA7" i="4"/>
  <c r="AC8" i="4"/>
  <c r="AQ8" i="4"/>
  <c r="BA8" i="4"/>
  <c r="AC9" i="4"/>
  <c r="AQ9" i="4"/>
  <c r="BA9" i="4"/>
  <c r="AC10" i="4"/>
  <c r="AQ10" i="4"/>
  <c r="BA10" i="4"/>
  <c r="AC11" i="4"/>
  <c r="AQ11" i="4"/>
  <c r="BA11" i="4"/>
  <c r="AC12" i="4"/>
  <c r="AQ12" i="4"/>
  <c r="BA12" i="4"/>
  <c r="AC13" i="4"/>
  <c r="AQ13" i="4"/>
  <c r="BA13" i="4"/>
  <c r="AC14" i="4"/>
  <c r="AQ14" i="4"/>
  <c r="BA14" i="4"/>
  <c r="AC15" i="4"/>
  <c r="AQ15" i="4"/>
  <c r="BA15" i="4"/>
  <c r="AC16" i="4"/>
  <c r="AQ16" i="4"/>
  <c r="BA16" i="4"/>
  <c r="AC17" i="4"/>
  <c r="AQ17" i="4"/>
  <c r="BA17" i="4"/>
  <c r="AC18" i="4"/>
  <c r="AQ18" i="4"/>
  <c r="BA18" i="4"/>
  <c r="AC19" i="4"/>
  <c r="AQ19" i="4"/>
  <c r="BA19" i="4"/>
  <c r="AC20" i="4"/>
  <c r="AQ20" i="4"/>
  <c r="BA20" i="4"/>
  <c r="AC21" i="4"/>
  <c r="AQ21" i="4"/>
  <c r="BA21" i="4"/>
  <c r="AC22" i="4"/>
  <c r="AQ22" i="4"/>
  <c r="BA22" i="4"/>
  <c r="AC23" i="4"/>
  <c r="AQ23" i="4"/>
  <c r="BA23" i="4"/>
  <c r="AC24" i="4"/>
  <c r="AQ24" i="4"/>
  <c r="BA24" i="4"/>
  <c r="AC25" i="4"/>
  <c r="AQ25" i="4"/>
  <c r="BA25" i="4"/>
  <c r="AC26" i="4"/>
  <c r="AQ26" i="4"/>
  <c r="BA26" i="4"/>
  <c r="AC27" i="4"/>
  <c r="AQ27" i="4"/>
  <c r="BA27" i="4"/>
  <c r="AC28" i="4"/>
  <c r="AQ28" i="4"/>
  <c r="BA28" i="4"/>
  <c r="AC29" i="4"/>
  <c r="AQ29" i="4"/>
  <c r="BA29" i="4"/>
  <c r="AC30" i="4"/>
  <c r="AQ30" i="4"/>
  <c r="BA30" i="4"/>
  <c r="AC31" i="4"/>
  <c r="AQ31" i="4"/>
  <c r="BA31" i="4"/>
  <c r="AC32" i="4"/>
  <c r="AQ32" i="4"/>
  <c r="BA32" i="4"/>
  <c r="AC33" i="4"/>
  <c r="AQ33" i="4"/>
  <c r="BA33" i="4"/>
  <c r="AC34" i="4"/>
  <c r="AQ34" i="4"/>
  <c r="BA34" i="4"/>
  <c r="AC35" i="4"/>
  <c r="AQ35" i="4"/>
  <c r="BA35" i="4"/>
  <c r="AC36" i="4"/>
  <c r="AQ36" i="4"/>
  <c r="BA36" i="4"/>
  <c r="AC37" i="4"/>
  <c r="AQ37" i="4"/>
  <c r="BA37" i="4"/>
  <c r="AC38" i="4"/>
  <c r="AQ38" i="4"/>
  <c r="BA38" i="4"/>
  <c r="AC39" i="4"/>
  <c r="AQ39" i="4"/>
  <c r="BA39" i="4"/>
  <c r="AC40" i="4"/>
  <c r="AQ40" i="4"/>
  <c r="BA40" i="4"/>
  <c r="AC41" i="4"/>
  <c r="AQ41" i="4"/>
  <c r="BA41" i="4"/>
  <c r="AC42" i="4"/>
  <c r="AQ42" i="4"/>
  <c r="BA42" i="4"/>
  <c r="AC43" i="4"/>
  <c r="AQ43" i="4"/>
  <c r="BA43" i="4"/>
  <c r="AC44" i="4"/>
  <c r="AQ44" i="4"/>
  <c r="BA44" i="4"/>
  <c r="AC45" i="4"/>
  <c r="AQ45" i="4"/>
  <c r="BA45" i="4"/>
  <c r="AC46" i="4"/>
  <c r="AQ46" i="4"/>
  <c r="BA46" i="4"/>
  <c r="AC47" i="4"/>
  <c r="AQ47" i="4"/>
  <c r="BA47" i="4"/>
  <c r="AC48" i="4"/>
  <c r="AQ48" i="4"/>
  <c r="BA48" i="4"/>
  <c r="AC49" i="4"/>
  <c r="AQ49" i="4"/>
  <c r="BA49" i="4"/>
  <c r="AC50" i="4"/>
  <c r="AQ50" i="4"/>
  <c r="BA50" i="4"/>
  <c r="AC51" i="4"/>
  <c r="AQ51" i="4"/>
  <c r="BA51" i="4"/>
  <c r="AC52" i="4"/>
  <c r="AQ52" i="4"/>
  <c r="BA52" i="4"/>
  <c r="AC53" i="4"/>
  <c r="AQ53" i="4"/>
  <c r="BA53" i="4"/>
  <c r="AC54" i="4"/>
  <c r="AQ54" i="4"/>
  <c r="BA54" i="4"/>
  <c r="AC55" i="4"/>
  <c r="AQ55" i="4"/>
  <c r="BA55" i="4"/>
  <c r="AC56" i="4"/>
  <c r="AQ56" i="4"/>
  <c r="BA56" i="4"/>
  <c r="AC57" i="4"/>
  <c r="AQ57" i="4"/>
  <c r="BA57" i="4"/>
  <c r="AC58" i="4"/>
  <c r="AQ58" i="4"/>
  <c r="BA58" i="4"/>
  <c r="AC59" i="4"/>
  <c r="AQ59" i="4"/>
  <c r="BA59" i="4"/>
  <c r="AC60" i="4"/>
  <c r="AQ60" i="4"/>
  <c r="BA60" i="4"/>
  <c r="AC61" i="4"/>
  <c r="AQ61" i="4"/>
  <c r="BA61" i="4"/>
  <c r="AC62" i="4"/>
  <c r="AQ62" i="4"/>
  <c r="BA62" i="4"/>
  <c r="AC63" i="4"/>
  <c r="AQ63" i="4"/>
  <c r="BA63" i="4"/>
  <c r="AC64" i="4"/>
  <c r="AQ64" i="4"/>
  <c r="BA64" i="4"/>
  <c r="L181" i="20"/>
  <c r="BK55" i="3"/>
  <c r="N181" i="20" s="1"/>
  <c r="X181" i="20" s="1"/>
  <c r="L118" i="20"/>
  <c r="AT55" i="3"/>
  <c r="N118" i="20" s="1"/>
  <c r="X118" i="20" s="1"/>
  <c r="L99" i="20"/>
  <c r="AT36" i="3"/>
  <c r="N99" i="20" s="1"/>
  <c r="X99" i="20" s="1"/>
  <c r="L100" i="20"/>
  <c r="AT37" i="3"/>
  <c r="N100" i="20" s="1"/>
  <c r="X100" i="20" s="1"/>
  <c r="L102" i="20"/>
  <c r="AT39" i="3"/>
  <c r="N102" i="20" s="1"/>
  <c r="X102" i="20" s="1"/>
  <c r="L103" i="20"/>
  <c r="AT40" i="3"/>
  <c r="N103" i="20" s="1"/>
  <c r="X103" i="20" s="1"/>
  <c r="L105" i="20"/>
  <c r="AT42" i="3"/>
  <c r="N105" i="20" s="1"/>
  <c r="X105" i="20" s="1"/>
  <c r="L106" i="20"/>
  <c r="AT43" i="3"/>
  <c r="N106" i="20" s="1"/>
  <c r="X106" i="20" s="1"/>
  <c r="L107" i="20"/>
  <c r="AT44" i="3"/>
  <c r="N107" i="20" s="1"/>
  <c r="X107" i="20" s="1"/>
  <c r="L108" i="20"/>
  <c r="AT45" i="3"/>
  <c r="N108" i="20" s="1"/>
  <c r="X108" i="20" s="1"/>
  <c r="AC48" i="3"/>
  <c r="N48" i="20" s="1"/>
  <c r="X48" i="20" s="1"/>
  <c r="L48" i="20"/>
  <c r="AC49" i="3"/>
  <c r="N49" i="20" s="1"/>
  <c r="X49" i="20" s="1"/>
  <c r="L49" i="20"/>
  <c r="AC50" i="3"/>
  <c r="N50" i="20" s="1"/>
  <c r="X50" i="20" s="1"/>
  <c r="L50" i="20"/>
  <c r="AC51" i="3"/>
  <c r="N51" i="20" s="1"/>
  <c r="X51" i="20" s="1"/>
  <c r="L51" i="20"/>
  <c r="AC52" i="3"/>
  <c r="N52" i="20" s="1"/>
  <c r="X52" i="20" s="1"/>
  <c r="L52" i="20"/>
  <c r="AC53" i="3"/>
  <c r="N53" i="20" s="1"/>
  <c r="X53" i="20" s="1"/>
  <c r="L53" i="20"/>
  <c r="AC54" i="3"/>
  <c r="N54" i="20" s="1"/>
  <c r="X54" i="20" s="1"/>
  <c r="L54" i="20"/>
  <c r="AC55" i="3"/>
  <c r="N55" i="20" s="1"/>
  <c r="X55" i="20" s="1"/>
  <c r="L55" i="20"/>
  <c r="AC56" i="3"/>
  <c r="N56" i="20" s="1"/>
  <c r="X56" i="20" s="1"/>
  <c r="L56" i="20"/>
  <c r="AC57" i="3"/>
  <c r="N57" i="20" s="1"/>
  <c r="X57" i="20" s="1"/>
  <c r="L57" i="20"/>
  <c r="AC58" i="3"/>
  <c r="N58" i="20" s="1"/>
  <c r="X58" i="20" s="1"/>
  <c r="L58" i="20"/>
  <c r="AC59" i="3"/>
  <c r="N59" i="20" s="1"/>
  <c r="X59" i="20" s="1"/>
  <c r="L59" i="20"/>
  <c r="AC60" i="3"/>
  <c r="N60" i="20" s="1"/>
  <c r="X60" i="20" s="1"/>
  <c r="L60" i="20"/>
  <c r="AC61" i="3"/>
  <c r="N61" i="20" s="1"/>
  <c r="X61" i="20" s="1"/>
  <c r="L61" i="20"/>
  <c r="AC62" i="3"/>
  <c r="N62" i="20" s="1"/>
  <c r="X62" i="20" s="1"/>
  <c r="L62" i="20"/>
  <c r="AC63" i="3"/>
  <c r="N63" i="20" s="1"/>
  <c r="X63" i="20" s="1"/>
  <c r="L63" i="20"/>
  <c r="AC64" i="3"/>
  <c r="N64" i="20" s="1"/>
  <c r="X64" i="20" s="1"/>
  <c r="L64" i="20"/>
  <c r="AC66" i="3"/>
  <c r="N66" i="20" s="1"/>
  <c r="X66" i="20" s="1"/>
  <c r="L66" i="20"/>
  <c r="AC36" i="3"/>
  <c r="N36" i="20" s="1"/>
  <c r="L36" i="20"/>
  <c r="AC37" i="3"/>
  <c r="N37" i="20" s="1"/>
  <c r="L37" i="20"/>
  <c r="BP49" i="8" s="1"/>
  <c r="AC38" i="3"/>
  <c r="N38" i="20" s="1"/>
  <c r="X38" i="20" s="1"/>
  <c r="L38" i="20"/>
  <c r="AC39" i="3"/>
  <c r="N39" i="20" s="1"/>
  <c r="X39" i="20" s="1"/>
  <c r="L39" i="20"/>
  <c r="AC40" i="3"/>
  <c r="N40" i="20" s="1"/>
  <c r="X40" i="20" s="1"/>
  <c r="L40" i="20"/>
  <c r="AC42" i="3"/>
  <c r="N42" i="20" s="1"/>
  <c r="X42" i="20" s="1"/>
  <c r="L42" i="20"/>
  <c r="AC43" i="3"/>
  <c r="N43" i="20" s="1"/>
  <c r="X43" i="20" s="1"/>
  <c r="L43" i="20"/>
  <c r="AC44" i="3"/>
  <c r="N44" i="20" s="1"/>
  <c r="X44" i="20" s="1"/>
  <c r="L44" i="20"/>
  <c r="AC45" i="3"/>
  <c r="N45" i="20" s="1"/>
  <c r="X45" i="20" s="1"/>
  <c r="L45" i="20"/>
  <c r="AC46" i="3"/>
  <c r="N46" i="20" s="1"/>
  <c r="X46" i="20" s="1"/>
  <c r="L46" i="20"/>
  <c r="V384" i="20"/>
  <c r="R384" i="20"/>
  <c r="Q384" i="20"/>
  <c r="V385" i="20"/>
  <c r="R385" i="20"/>
  <c r="Q385" i="20"/>
  <c r="V387" i="20"/>
  <c r="R387" i="20"/>
  <c r="Q387" i="20"/>
  <c r="V389" i="20"/>
  <c r="R389" i="20"/>
  <c r="Q389" i="20"/>
  <c r="V392" i="20"/>
  <c r="R392" i="20"/>
  <c r="Q392" i="20"/>
  <c r="V393" i="20"/>
  <c r="R393" i="20"/>
  <c r="Q393" i="20"/>
  <c r="V394" i="20"/>
  <c r="R394" i="20"/>
  <c r="Q394" i="20"/>
  <c r="V323" i="20"/>
  <c r="R323" i="20"/>
  <c r="Q323" i="20"/>
  <c r="V284" i="20"/>
  <c r="R284" i="20"/>
  <c r="Q284" i="20"/>
  <c r="V285" i="20"/>
  <c r="R285" i="20"/>
  <c r="Q285" i="20"/>
  <c r="V289" i="20"/>
  <c r="R289" i="20"/>
  <c r="Q289" i="20"/>
  <c r="V290" i="20"/>
  <c r="R290" i="20"/>
  <c r="Q290" i="20"/>
  <c r="V292" i="20"/>
  <c r="R292" i="20"/>
  <c r="Q292" i="20"/>
  <c r="V255" i="20"/>
  <c r="R255" i="20"/>
  <c r="Q255" i="20"/>
  <c r="V256" i="20"/>
  <c r="R256" i="20"/>
  <c r="Q256" i="20"/>
  <c r="V257" i="20"/>
  <c r="R257" i="20"/>
  <c r="Q257" i="20"/>
  <c r="V262" i="20"/>
  <c r="R262" i="20"/>
  <c r="Q262" i="20"/>
  <c r="V264" i="20"/>
  <c r="V181" i="20"/>
  <c r="R181" i="20"/>
  <c r="Q181" i="20"/>
  <c r="V38" i="20"/>
  <c r="R38" i="20"/>
  <c r="Q38" i="20"/>
  <c r="AV76" i="8"/>
  <c r="AV71" i="8"/>
  <c r="AV63" i="8"/>
  <c r="AV96" i="8"/>
  <c r="AV85" i="8"/>
  <c r="AV80" i="8"/>
  <c r="AV69" i="8"/>
  <c r="AV61" i="8"/>
  <c r="AV55" i="8"/>
  <c r="AV47" i="8"/>
  <c r="AV92" i="8"/>
  <c r="AV86" i="8"/>
  <c r="AV73" i="8"/>
  <c r="AV67" i="8"/>
  <c r="AV60" i="8"/>
  <c r="AV49" i="8"/>
  <c r="AV88" i="8"/>
  <c r="AV83" i="8"/>
  <c r="AV65" i="8"/>
  <c r="AV59" i="8"/>
  <c r="AV53" i="8"/>
  <c r="AV46" i="8"/>
  <c r="AV90" i="8"/>
  <c r="AV75" i="8"/>
  <c r="AV64" i="8"/>
  <c r="AV57" i="8"/>
  <c r="AV51" i="8"/>
  <c r="AV93" i="8"/>
  <c r="AV72" i="8"/>
  <c r="AV66" i="8"/>
  <c r="AV58" i="8"/>
  <c r="AV52" i="8"/>
  <c r="AV95" i="8"/>
  <c r="AV89" i="8"/>
  <c r="AV84" i="8"/>
  <c r="AV79" i="8"/>
  <c r="AV70" i="8"/>
  <c r="AV62" i="8"/>
  <c r="AV54" i="8"/>
  <c r="AV48" i="8"/>
  <c r="AV94" i="8"/>
  <c r="AV87" i="8"/>
  <c r="AV81" i="8"/>
  <c r="AV78" i="8"/>
  <c r="AV74" i="8"/>
  <c r="AV68" i="8"/>
  <c r="AV56" i="8"/>
  <c r="AV50" i="8"/>
  <c r="AV91" i="8"/>
  <c r="AV82" i="8"/>
  <c r="V39" i="20"/>
  <c r="R39" i="20"/>
  <c r="Q39" i="20"/>
  <c r="V45" i="20"/>
  <c r="R45" i="20"/>
  <c r="Q45" i="20"/>
  <c r="V48" i="20"/>
  <c r="R48" i="20"/>
  <c r="Q48" i="20"/>
  <c r="V50" i="20"/>
  <c r="R50" i="20"/>
  <c r="Q50" i="20"/>
  <c r="V51" i="20"/>
  <c r="R51" i="20"/>
  <c r="Q51" i="20"/>
  <c r="V52" i="20"/>
  <c r="R52" i="20"/>
  <c r="Q52" i="20"/>
  <c r="V54" i="20"/>
  <c r="R54" i="20"/>
  <c r="Q54" i="20"/>
  <c r="V55" i="20"/>
  <c r="R55" i="20"/>
  <c r="Q55" i="20"/>
  <c r="V60" i="20"/>
  <c r="R60" i="20"/>
  <c r="Q60" i="20"/>
  <c r="V62" i="20"/>
  <c r="R62" i="20"/>
  <c r="Q62" i="20"/>
  <c r="V63" i="20"/>
  <c r="R63" i="20"/>
  <c r="Q63" i="20"/>
  <c r="V66" i="20"/>
  <c r="R66" i="20"/>
  <c r="Q66" i="20"/>
  <c r="BX95" i="8"/>
  <c r="BW95" i="8"/>
  <c r="O31" i="12"/>
  <c r="N31" i="12"/>
  <c r="N34" i="12"/>
  <c r="O34" i="12"/>
  <c r="U171" i="11"/>
  <c r="T171" i="11"/>
  <c r="S171" i="11"/>
  <c r="R171" i="11"/>
  <c r="S172" i="11"/>
  <c r="R172" i="11"/>
  <c r="U172" i="11"/>
  <c r="T172" i="11"/>
  <c r="T176" i="11"/>
  <c r="R176" i="11"/>
  <c r="S176" i="11"/>
  <c r="U176" i="11"/>
  <c r="N156" i="11"/>
  <c r="AE156" i="11"/>
  <c r="O156" i="11" s="1"/>
  <c r="AD156" i="11"/>
  <c r="K156" i="11"/>
  <c r="J156" i="11"/>
  <c r="AB156" i="11"/>
  <c r="AC156" i="11"/>
  <c r="AE157" i="11"/>
  <c r="O157" i="11" s="1"/>
  <c r="AC157" i="11"/>
  <c r="AD157" i="11"/>
  <c r="N157" i="11"/>
  <c r="J157" i="11"/>
  <c r="AB157" i="11"/>
  <c r="K157" i="11"/>
  <c r="AE159" i="11"/>
  <c r="N159" i="11"/>
  <c r="K159" i="11"/>
  <c r="J159" i="11"/>
  <c r="O159" i="11"/>
  <c r="AD159" i="11"/>
  <c r="AC159" i="11"/>
  <c r="AB159" i="11"/>
  <c r="AC160" i="11"/>
  <c r="N160" i="11"/>
  <c r="J160" i="11"/>
  <c r="K160" i="11"/>
  <c r="AE160" i="11"/>
  <c r="O160" i="11" s="1"/>
  <c r="AD160" i="11"/>
  <c r="AB160" i="11"/>
  <c r="N161" i="11"/>
  <c r="AC161" i="11"/>
  <c r="AE161" i="11"/>
  <c r="O161" i="11" s="1"/>
  <c r="K161" i="11"/>
  <c r="J161" i="11"/>
  <c r="AD161" i="11"/>
  <c r="AB161" i="11"/>
  <c r="L136" i="11"/>
  <c r="N136" i="11"/>
  <c r="K136" i="11"/>
  <c r="L137" i="11"/>
  <c r="K137" i="11"/>
  <c r="N137" i="11"/>
  <c r="L139" i="11"/>
  <c r="K139" i="11"/>
  <c r="N139" i="11"/>
  <c r="L142" i="11"/>
  <c r="N142" i="11"/>
  <c r="K142" i="11"/>
  <c r="N143" i="11"/>
  <c r="L143" i="11"/>
  <c r="K143" i="11"/>
  <c r="V115" i="11"/>
  <c r="T115" i="11"/>
  <c r="U115" i="11"/>
  <c r="W115" i="11"/>
  <c r="W117" i="11"/>
  <c r="U117" i="11"/>
  <c r="T117" i="11"/>
  <c r="V117" i="11"/>
  <c r="W118" i="11"/>
  <c r="V118" i="11"/>
  <c r="T118" i="11"/>
  <c r="U118" i="11"/>
  <c r="V119" i="11"/>
  <c r="W119" i="11"/>
  <c r="T119" i="11"/>
  <c r="U119" i="11"/>
  <c r="W120" i="11"/>
  <c r="T120" i="11"/>
  <c r="V120" i="11"/>
  <c r="U120" i="11"/>
  <c r="T122" i="11"/>
  <c r="V122" i="11"/>
  <c r="U122" i="11"/>
  <c r="W122" i="11"/>
  <c r="Q96" i="11"/>
  <c r="R96" i="11"/>
  <c r="Q97" i="11"/>
  <c r="R97" i="11"/>
  <c r="R98" i="11"/>
  <c r="Q98" i="11"/>
  <c r="Q99" i="11"/>
  <c r="R99" i="11"/>
  <c r="Q100" i="11"/>
  <c r="R100" i="11"/>
  <c r="Q101" i="11"/>
  <c r="R101" i="11"/>
  <c r="Q102" i="11"/>
  <c r="R102" i="11"/>
  <c r="Q103" i="11"/>
  <c r="R103" i="11"/>
  <c r="AR71" i="4"/>
  <c r="AR72" i="4"/>
  <c r="AR73" i="4"/>
  <c r="AR74" i="4"/>
  <c r="AR75" i="4"/>
  <c r="AR66" i="4"/>
  <c r="AS67" i="4"/>
  <c r="AR67" i="4"/>
  <c r="AS68" i="4"/>
  <c r="AR68" i="4"/>
  <c r="AS69" i="4"/>
  <c r="AR69" i="4"/>
  <c r="AO32" i="8"/>
  <c r="AO33" i="8"/>
  <c r="AO34" i="8"/>
  <c r="AO35" i="8"/>
  <c r="BZ36" i="8"/>
  <c r="CI36" i="8" s="1"/>
  <c r="AO37" i="8"/>
  <c r="BZ38" i="8"/>
  <c r="BZ39" i="8"/>
  <c r="CI39" i="8" s="1"/>
  <c r="AO41" i="8"/>
  <c r="BZ42" i="8"/>
  <c r="CI42" i="8" s="1"/>
  <c r="BZ43" i="8"/>
  <c r="CI43" i="8" s="1"/>
  <c r="BZ44" i="8"/>
  <c r="CI44" i="8" s="1"/>
  <c r="G110" i="19"/>
  <c r="H110" i="19" s="1"/>
  <c r="G28" i="19" s="1"/>
  <c r="H28" i="19" s="1"/>
  <c r="O37" i="12"/>
  <c r="M37" i="12" s="1"/>
  <c r="Q185" i="11"/>
  <c r="G129" i="19"/>
  <c r="H129" i="19" s="1"/>
  <c r="Q186" i="11"/>
  <c r="G130" i="19"/>
  <c r="H130" i="19" s="1"/>
  <c r="G131" i="19"/>
  <c r="H131" i="19" s="1"/>
  <c r="Q187" i="11"/>
  <c r="G124" i="19"/>
  <c r="H124" i="19" s="1"/>
  <c r="G114" i="19"/>
  <c r="H114" i="19" s="1"/>
  <c r="V129" i="11"/>
  <c r="G115" i="19"/>
  <c r="H115" i="19" s="1"/>
  <c r="W129" i="11"/>
  <c r="S124" i="11"/>
  <c r="J44" i="18"/>
  <c r="L44" i="18" s="1"/>
  <c r="S125" i="11"/>
  <c r="J45" i="18"/>
  <c r="L45" i="18" s="1"/>
  <c r="J76" i="18"/>
  <c r="L76" i="18" s="1"/>
  <c r="S126" i="11"/>
  <c r="G112" i="19"/>
  <c r="H112" i="19" s="1"/>
  <c r="G29" i="19" s="1"/>
  <c r="H29" i="19" s="1"/>
  <c r="R108" i="11"/>
  <c r="P108" i="11" s="1"/>
  <c r="P105" i="11"/>
  <c r="J72" i="18"/>
  <c r="L72" i="18" s="1"/>
  <c r="P106" i="11"/>
  <c r="K73" i="18" s="1"/>
  <c r="J73" i="18"/>
  <c r="L73" i="18" s="1"/>
  <c r="G104" i="19"/>
  <c r="H104" i="19" s="1"/>
  <c r="G26" i="19" s="1"/>
  <c r="H26" i="19" s="1"/>
  <c r="S73" i="11"/>
  <c r="G100" i="19"/>
  <c r="H100" i="19" s="1"/>
  <c r="R36" i="11"/>
  <c r="G96" i="19"/>
  <c r="H96" i="19" s="1"/>
  <c r="G23" i="19" s="1"/>
  <c r="H23" i="19" s="1"/>
  <c r="R17" i="11"/>
  <c r="P17" i="11" s="1"/>
  <c r="AO8" i="8"/>
  <c r="CO8" i="8"/>
  <c r="CJ8" i="8"/>
  <c r="CM8" i="8"/>
  <c r="AO13" i="8"/>
  <c r="CO13" i="8"/>
  <c r="CA13" i="8"/>
  <c r="CL13" i="8"/>
  <c r="AO14" i="8"/>
  <c r="CO14" i="8"/>
  <c r="CA14" i="8"/>
  <c r="CL14" i="8"/>
  <c r="AO15" i="8"/>
  <c r="CO15" i="8"/>
  <c r="CA15" i="8"/>
  <c r="CL15" i="8"/>
  <c r="AO16" i="8"/>
  <c r="CO16" i="8"/>
  <c r="CL16" i="8"/>
  <c r="CA16" i="8"/>
  <c r="AO17" i="8"/>
  <c r="CO17" i="8"/>
  <c r="CL17" i="8"/>
  <c r="CA17" i="8"/>
  <c r="AO18" i="8"/>
  <c r="CO18" i="8"/>
  <c r="CA18" i="8"/>
  <c r="CL18" i="8"/>
  <c r="AO19" i="8"/>
  <c r="CO19" i="8"/>
  <c r="CL19" i="8"/>
  <c r="CA19" i="8"/>
  <c r="AO20" i="8"/>
  <c r="CO20" i="8"/>
  <c r="CA20" i="8"/>
  <c r="CL20" i="8"/>
  <c r="AO21" i="8"/>
  <c r="CO21" i="8"/>
  <c r="CL21" i="8"/>
  <c r="CA21" i="8"/>
  <c r="AO22" i="8"/>
  <c r="CO22" i="8"/>
  <c r="CL22" i="8"/>
  <c r="CA22" i="8"/>
  <c r="AO26" i="8"/>
  <c r="CO26" i="8"/>
  <c r="CA26" i="8"/>
  <c r="CL26" i="8"/>
  <c r="CA32" i="8"/>
  <c r="CL32" i="8"/>
  <c r="CL33" i="8"/>
  <c r="CA33" i="8"/>
  <c r="CA34" i="8"/>
  <c r="CL34" i="8"/>
  <c r="CL35" i="8"/>
  <c r="CA35" i="8"/>
  <c r="CA37" i="8"/>
  <c r="CL37" i="8"/>
  <c r="AO38" i="8"/>
  <c r="CO38" i="8"/>
  <c r="CL38" i="8"/>
  <c r="CA38" i="8"/>
  <c r="CJ38" i="8" s="1"/>
  <c r="CA40" i="8"/>
  <c r="CL40" i="8"/>
  <c r="AO40" i="8"/>
  <c r="CO40" i="8"/>
  <c r="W383" i="20"/>
  <c r="W386" i="20"/>
  <c r="W288" i="20"/>
  <c r="W294" i="20"/>
  <c r="W296" i="20"/>
  <c r="W297" i="20"/>
  <c r="W298" i="20"/>
  <c r="W304" i="20"/>
  <c r="R304" i="20"/>
  <c r="Q304" i="20"/>
  <c r="M260" i="20"/>
  <c r="AP71" i="4"/>
  <c r="M261" i="20"/>
  <c r="AP72" i="4"/>
  <c r="V399" i="20"/>
  <c r="V400" i="20"/>
  <c r="V401" i="20"/>
  <c r="V402" i="20"/>
  <c r="V403" i="20"/>
  <c r="V258" i="20"/>
  <c r="V260" i="20"/>
  <c r="V261" i="20"/>
  <c r="V263" i="20"/>
  <c r="V99" i="20"/>
  <c r="V100" i="20"/>
  <c r="V102" i="20"/>
  <c r="V103" i="20"/>
  <c r="V105" i="20"/>
  <c r="V106" i="20"/>
  <c r="V107" i="20"/>
  <c r="V108" i="20"/>
  <c r="V118" i="20"/>
  <c r="BJ73" i="8"/>
  <c r="BJ70" i="8"/>
  <c r="BJ65" i="8"/>
  <c r="BJ61" i="8"/>
  <c r="BJ55" i="8"/>
  <c r="BJ53" i="8"/>
  <c r="BJ51" i="8"/>
  <c r="BJ50" i="8"/>
  <c r="BJ94" i="8"/>
  <c r="BJ93" i="8"/>
  <c r="V383" i="20"/>
  <c r="BJ91" i="8"/>
  <c r="BJ90" i="8"/>
  <c r="BJ89" i="8"/>
  <c r="BJ88" i="8"/>
  <c r="BJ87" i="8"/>
  <c r="BJ86" i="8"/>
  <c r="BJ85" i="8"/>
  <c r="BJ83" i="8"/>
  <c r="BJ82" i="8"/>
  <c r="BJ81" i="8"/>
  <c r="BJ80" i="8"/>
  <c r="BJ79" i="8"/>
  <c r="BJ78" i="8"/>
  <c r="BJ75" i="8"/>
  <c r="BJ71" i="8"/>
  <c r="BJ68" i="8"/>
  <c r="BJ62" i="8"/>
  <c r="BJ59" i="8"/>
  <c r="BJ56" i="8"/>
  <c r="BJ54" i="8"/>
  <c r="BJ52" i="8"/>
  <c r="BJ95" i="8"/>
  <c r="BJ76" i="8"/>
  <c r="BJ72" i="8"/>
  <c r="BJ92" i="8"/>
  <c r="BJ64" i="8"/>
  <c r="BJ60" i="8"/>
  <c r="BJ57" i="8"/>
  <c r="BJ96" i="8"/>
  <c r="V36" i="20"/>
  <c r="X147" i="11"/>
  <c r="J80" i="18"/>
  <c r="J81" i="18" s="1"/>
  <c r="X145" i="11"/>
  <c r="V37" i="20"/>
  <c r="BK49" i="8" s="1"/>
  <c r="V40" i="20"/>
  <c r="V42" i="20"/>
  <c r="V43" i="20"/>
  <c r="V44" i="20"/>
  <c r="V46" i="20"/>
  <c r="V49" i="20"/>
  <c r="V386" i="20"/>
  <c r="V388" i="20"/>
  <c r="V390" i="20"/>
  <c r="V391" i="20"/>
  <c r="V395" i="20"/>
  <c r="V396" i="20"/>
  <c r="V397" i="20"/>
  <c r="V398" i="20"/>
  <c r="BJ69" i="8"/>
  <c r="CI38" i="8" l="1"/>
  <c r="G30" i="19"/>
  <c r="H30" i="19" s="1"/>
  <c r="AE26" i="8"/>
  <c r="AD26" i="8"/>
  <c r="AE28" i="8"/>
  <c r="AD28" i="8"/>
  <c r="AD29" i="8"/>
  <c r="AE29" i="8"/>
  <c r="AD30" i="8"/>
  <c r="AE30" i="8"/>
  <c r="AD32" i="8"/>
  <c r="AE32" i="8"/>
  <c r="AE33" i="8"/>
  <c r="AD33" i="8"/>
  <c r="AE35" i="8"/>
  <c r="AD35" i="8"/>
  <c r="AE36" i="8"/>
  <c r="AD36" i="8"/>
  <c r="AD37" i="8"/>
  <c r="AE37" i="8"/>
  <c r="AD38" i="8"/>
  <c r="AE38" i="8"/>
  <c r="AE40" i="8"/>
  <c r="AD40" i="8"/>
  <c r="AD41" i="8"/>
  <c r="AE41" i="8"/>
  <c r="BF71" i="4"/>
  <c r="BG71" i="4"/>
  <c r="BC71" i="4"/>
  <c r="BB71" i="4"/>
  <c r="BC72" i="4"/>
  <c r="BG72" i="4"/>
  <c r="BB72" i="4"/>
  <c r="BF72" i="4"/>
  <c r="BH72" i="4" s="1"/>
  <c r="BC73" i="4"/>
  <c r="BF73" i="4"/>
  <c r="BG73" i="4"/>
  <c r="BB73" i="4"/>
  <c r="R263" i="20"/>
  <c r="Q263" i="20"/>
  <c r="BB74" i="4"/>
  <c r="BF74" i="4"/>
  <c r="BC74" i="4"/>
  <c r="BG74" i="4"/>
  <c r="BC75" i="4"/>
  <c r="BB75" i="4"/>
  <c r="BF75" i="4"/>
  <c r="BG75" i="4"/>
  <c r="BB76" i="4"/>
  <c r="BC76" i="4"/>
  <c r="BG76" i="4"/>
  <c r="BF76" i="4"/>
  <c r="BH76" i="4" s="1"/>
  <c r="BB77" i="4"/>
  <c r="BC77" i="4"/>
  <c r="BF77" i="4"/>
  <c r="BG77" i="4"/>
  <c r="BG78" i="4"/>
  <c r="BC78" i="4"/>
  <c r="BF78" i="4"/>
  <c r="BH78" i="4" s="1"/>
  <c r="BB78" i="4"/>
  <c r="BB66" i="4"/>
  <c r="BC66" i="4"/>
  <c r="BG66" i="4" s="1"/>
  <c r="BF66" i="4"/>
  <c r="BC67" i="4"/>
  <c r="BG67" i="4"/>
  <c r="BB67" i="4"/>
  <c r="BF67" i="4"/>
  <c r="BH67" i="4" s="1"/>
  <c r="BG68" i="4"/>
  <c r="BB68" i="4"/>
  <c r="BC68" i="4"/>
  <c r="BF68" i="4"/>
  <c r="BH68" i="4" s="1"/>
  <c r="BF69" i="4"/>
  <c r="BB69" i="4"/>
  <c r="BC69" i="4"/>
  <c r="BG69" i="4"/>
  <c r="BB5" i="4"/>
  <c r="BF5" i="4"/>
  <c r="BC5" i="4"/>
  <c r="BG5" i="4"/>
  <c r="BC6" i="4"/>
  <c r="BG6" i="4"/>
  <c r="BF6" i="4"/>
  <c r="BH6" i="4" s="1"/>
  <c r="BB6" i="4"/>
  <c r="BC7" i="4"/>
  <c r="BB7" i="4"/>
  <c r="BF7" i="4"/>
  <c r="BG7" i="4"/>
  <c r="BG8" i="4"/>
  <c r="BC8" i="4"/>
  <c r="BF8" i="4"/>
  <c r="BH8" i="4" s="1"/>
  <c r="BB8" i="4"/>
  <c r="BF9" i="4"/>
  <c r="BB9" i="4"/>
  <c r="BC9" i="4"/>
  <c r="BG9" i="4"/>
  <c r="BB10" i="4"/>
  <c r="BC10" i="4"/>
  <c r="BF10" i="4"/>
  <c r="BG10" i="4"/>
  <c r="BC11" i="4"/>
  <c r="BF11" i="4"/>
  <c r="BB11" i="4"/>
  <c r="BG11" i="4"/>
  <c r="BC12" i="4"/>
  <c r="BB12" i="4"/>
  <c r="BG12" i="4"/>
  <c r="BF12" i="4"/>
  <c r="BH12" i="4" s="1"/>
  <c r="BF13" i="4"/>
  <c r="BB13" i="4"/>
  <c r="BG13" i="4"/>
  <c r="BC13" i="4"/>
  <c r="BC14" i="4"/>
  <c r="BB14" i="4"/>
  <c r="BG14" i="4"/>
  <c r="BF14" i="4"/>
  <c r="BH14" i="4" s="1"/>
  <c r="BF15" i="4"/>
  <c r="BB15" i="4"/>
  <c r="BC15" i="4"/>
  <c r="BG15" i="4"/>
  <c r="BC16" i="4"/>
  <c r="BF16" i="4"/>
  <c r="BG16" i="4"/>
  <c r="BB16" i="4"/>
  <c r="BF17" i="4"/>
  <c r="BG17" i="4"/>
  <c r="BB17" i="4"/>
  <c r="BC17" i="4"/>
  <c r="BF18" i="4"/>
  <c r="BG18" i="4"/>
  <c r="BB18" i="4"/>
  <c r="BC18" i="4"/>
  <c r="BC19" i="4"/>
  <c r="BF19" i="4"/>
  <c r="BB19" i="4"/>
  <c r="BG19" i="4"/>
  <c r="BG20" i="4"/>
  <c r="BF20" i="4"/>
  <c r="BH20" i="4" s="1"/>
  <c r="BB20" i="4"/>
  <c r="BC20" i="4"/>
  <c r="BB21" i="4"/>
  <c r="BC21" i="4"/>
  <c r="BF21" i="4"/>
  <c r="BG21" i="4"/>
  <c r="BC22" i="4"/>
  <c r="BG22" i="4"/>
  <c r="BB22" i="4"/>
  <c r="BF22" i="4"/>
  <c r="BH22" i="4" s="1"/>
  <c r="BB23" i="4"/>
  <c r="BC23" i="4"/>
  <c r="BF23" i="4"/>
  <c r="BG23" i="4"/>
  <c r="BB24" i="4"/>
  <c r="BF24" i="4"/>
  <c r="BG24" i="4"/>
  <c r="BC24" i="4"/>
  <c r="BB25" i="4"/>
  <c r="BG25" i="4"/>
  <c r="BF25" i="4"/>
  <c r="BH25" i="4" s="1"/>
  <c r="BC25" i="4"/>
  <c r="BG26" i="4"/>
  <c r="BB26" i="4"/>
  <c r="BC26" i="4"/>
  <c r="BF26" i="4"/>
  <c r="BH26" i="4" s="1"/>
  <c r="BB27" i="4"/>
  <c r="BG27" i="4"/>
  <c r="BF27" i="4"/>
  <c r="BH27" i="4" s="1"/>
  <c r="BC27" i="4"/>
  <c r="BF28" i="4"/>
  <c r="BC28" i="4"/>
  <c r="BG28" i="4"/>
  <c r="BB28" i="4"/>
  <c r="BC29" i="4"/>
  <c r="BF29" i="4"/>
  <c r="BB29" i="4"/>
  <c r="BG29" i="4"/>
  <c r="BB30" i="4"/>
  <c r="BC30" i="4"/>
  <c r="BF30" i="4"/>
  <c r="BG30" i="4"/>
  <c r="BG31" i="4"/>
  <c r="BB31" i="4"/>
  <c r="BC31" i="4"/>
  <c r="BF31" i="4"/>
  <c r="BH31" i="4" s="1"/>
  <c r="BC32" i="4"/>
  <c r="BB32" i="4"/>
  <c r="BF32" i="4"/>
  <c r="BG32" i="4"/>
  <c r="BF33" i="4"/>
  <c r="BB33" i="4"/>
  <c r="BC33" i="4"/>
  <c r="BG33" i="4"/>
  <c r="BB34" i="4"/>
  <c r="BC34" i="4"/>
  <c r="BG34" i="4"/>
  <c r="BF34" i="4"/>
  <c r="BH34" i="4" s="1"/>
  <c r="BB35" i="4"/>
  <c r="BG35" i="4"/>
  <c r="BC35" i="4"/>
  <c r="BF35" i="4"/>
  <c r="BH35" i="4" s="1"/>
  <c r="BG36" i="4"/>
  <c r="BB36" i="4"/>
  <c r="BF36" i="4"/>
  <c r="BH36" i="4" s="1"/>
  <c r="BC36" i="4"/>
  <c r="BC37" i="4"/>
  <c r="BG37" i="4"/>
  <c r="BF37" i="4"/>
  <c r="BH37" i="4" s="1"/>
  <c r="BB37" i="4"/>
  <c r="BC38" i="4"/>
  <c r="BB38" i="4"/>
  <c r="BF38" i="4"/>
  <c r="BG38" i="4"/>
  <c r="BC39" i="4"/>
  <c r="BB39" i="4"/>
  <c r="BF39" i="4"/>
  <c r="BG39" i="4"/>
  <c r="BC40" i="4"/>
  <c r="BB40" i="4"/>
  <c r="BF40" i="4"/>
  <c r="BG40" i="4"/>
  <c r="BC41" i="4"/>
  <c r="BG41" i="4"/>
  <c r="BB41" i="4"/>
  <c r="BF41" i="4"/>
  <c r="BH41" i="4" s="1"/>
  <c r="BC42" i="4"/>
  <c r="BG42" i="4"/>
  <c r="BB42" i="4"/>
  <c r="BF42" i="4"/>
  <c r="BH42" i="4" s="1"/>
  <c r="BC43" i="4"/>
  <c r="BG43" i="4"/>
  <c r="BB43" i="4"/>
  <c r="BF43" i="4"/>
  <c r="BH43" i="4" s="1"/>
  <c r="BB44" i="4"/>
  <c r="BC44" i="4"/>
  <c r="BG44" i="4"/>
  <c r="BF44" i="4"/>
  <c r="BH44" i="4" s="1"/>
  <c r="BC45" i="4"/>
  <c r="BG45" i="4"/>
  <c r="BB45" i="4"/>
  <c r="BF45" i="4"/>
  <c r="BH45" i="4" s="1"/>
  <c r="BC46" i="4"/>
  <c r="BF46" i="4"/>
  <c r="BG46" i="4"/>
  <c r="BB46" i="4"/>
  <c r="BG47" i="4"/>
  <c r="BB47" i="4"/>
  <c r="BF47" i="4"/>
  <c r="BH47" i="4" s="1"/>
  <c r="BC47" i="4"/>
  <c r="BB48" i="4"/>
  <c r="BC48" i="4"/>
  <c r="BF48" i="4"/>
  <c r="BG48" i="4"/>
  <c r="BB49" i="4"/>
  <c r="BF49" i="4"/>
  <c r="BG49" i="4"/>
  <c r="BC49" i="4"/>
  <c r="BB50" i="4"/>
  <c r="BC50" i="4"/>
  <c r="BF50" i="4"/>
  <c r="BG50" i="4"/>
  <c r="BF51" i="4"/>
  <c r="BG51" i="4"/>
  <c r="BB51" i="4"/>
  <c r="BC51" i="4"/>
  <c r="BC52" i="4"/>
  <c r="BF52" i="4"/>
  <c r="BG52" i="4"/>
  <c r="BB52" i="4"/>
  <c r="BB53" i="4"/>
  <c r="BF53" i="4"/>
  <c r="BG53" i="4"/>
  <c r="BC53" i="4"/>
  <c r="BC54" i="4"/>
  <c r="BG54" i="4"/>
  <c r="BB54" i="4"/>
  <c r="BF54" i="4"/>
  <c r="BH54" i="4" s="1"/>
  <c r="BB55" i="4"/>
  <c r="BF55" i="4"/>
  <c r="BC55" i="4"/>
  <c r="BG55" i="4"/>
  <c r="BC56" i="4"/>
  <c r="BG56" i="4"/>
  <c r="BB56" i="4"/>
  <c r="BF56" i="4"/>
  <c r="BH56" i="4" s="1"/>
  <c r="BC57" i="4"/>
  <c r="BB57" i="4"/>
  <c r="BF57" i="4"/>
  <c r="BG57" i="4"/>
  <c r="BC58" i="4"/>
  <c r="BF58" i="4"/>
  <c r="BG58" i="4"/>
  <c r="BB58" i="4"/>
  <c r="BB59" i="4"/>
  <c r="BF59" i="4"/>
  <c r="BC59" i="4"/>
  <c r="BG59" i="4"/>
  <c r="BF60" i="4"/>
  <c r="BC60" i="4"/>
  <c r="BB60" i="4"/>
  <c r="BG60" i="4"/>
  <c r="BC61" i="4"/>
  <c r="BF61" i="4"/>
  <c r="BB61" i="4"/>
  <c r="BG61" i="4"/>
  <c r="BB62" i="4"/>
  <c r="BG62" i="4"/>
  <c r="BF62" i="4"/>
  <c r="BH62" i="4" s="1"/>
  <c r="BC62" i="4"/>
  <c r="BF63" i="4"/>
  <c r="BC63" i="4"/>
  <c r="BB63" i="4"/>
  <c r="BG63" i="4"/>
  <c r="BG64" i="4"/>
  <c r="BC64" i="4"/>
  <c r="BF64" i="4"/>
  <c r="BH64" i="4" s="1"/>
  <c r="BB64" i="4"/>
  <c r="R99" i="20"/>
  <c r="Q99" i="20"/>
  <c r="R100" i="20"/>
  <c r="Q100" i="20"/>
  <c r="R56" i="20"/>
  <c r="Q56" i="20"/>
  <c r="R57" i="20"/>
  <c r="Q57" i="20"/>
  <c r="R58" i="20"/>
  <c r="Q58" i="20"/>
  <c r="R36" i="20"/>
  <c r="Q36" i="20"/>
  <c r="R37" i="20"/>
  <c r="AI49" i="8" s="1"/>
  <c r="Q37" i="20"/>
  <c r="AH49" i="8" s="1"/>
  <c r="BG76" i="8"/>
  <c r="BH76" i="8" s="1"/>
  <c r="BI76" i="8" s="1"/>
  <c r="AK76" i="8"/>
  <c r="AJ76" i="8"/>
  <c r="BF76" i="8"/>
  <c r="BE76" i="8"/>
  <c r="BD76" i="8"/>
  <c r="BC76" i="8"/>
  <c r="BB76" i="8"/>
  <c r="BA76" i="8"/>
  <c r="AZ76" i="8"/>
  <c r="AY76" i="8"/>
  <c r="AX76" i="8"/>
  <c r="CN76" i="8" s="1"/>
  <c r="AW76" i="8"/>
  <c r="BG71" i="8"/>
  <c r="BH71" i="8" s="1"/>
  <c r="BI71" i="8" s="1"/>
  <c r="AK71" i="8"/>
  <c r="BF71" i="8"/>
  <c r="BE71" i="8"/>
  <c r="BD71" i="8"/>
  <c r="BC71" i="8"/>
  <c r="AJ71" i="8"/>
  <c r="BB71" i="8"/>
  <c r="BA71" i="8"/>
  <c r="AZ71" i="8"/>
  <c r="AY71" i="8"/>
  <c r="AX71" i="8"/>
  <c r="CN71" i="8" s="1"/>
  <c r="AW71" i="8"/>
  <c r="AK63" i="8"/>
  <c r="BF63" i="8"/>
  <c r="BE63" i="8"/>
  <c r="BD63" i="8"/>
  <c r="BC63" i="8"/>
  <c r="AJ63" i="8"/>
  <c r="BB63" i="8"/>
  <c r="BA63" i="8"/>
  <c r="AZ63" i="8"/>
  <c r="AY63" i="8"/>
  <c r="AX63" i="8"/>
  <c r="CN63" i="8" s="1"/>
  <c r="AW63" i="8"/>
  <c r="BV96" i="8"/>
  <c r="BG96" i="8"/>
  <c r="BH96" i="8" s="1"/>
  <c r="BI96" i="8" s="1"/>
  <c r="AK96" i="8"/>
  <c r="AJ96" i="8"/>
  <c r="BF96" i="8"/>
  <c r="BE96" i="8"/>
  <c r="BD96" i="8"/>
  <c r="BC96" i="8"/>
  <c r="BB96" i="8"/>
  <c r="BA96" i="8"/>
  <c r="AZ96" i="8"/>
  <c r="AY96" i="8"/>
  <c r="AX96" i="8"/>
  <c r="CN96" i="8" s="1"/>
  <c r="AW96" i="8"/>
  <c r="BG85" i="8"/>
  <c r="BH85" i="8" s="1"/>
  <c r="BI85" i="8" s="1"/>
  <c r="AK85" i="8"/>
  <c r="AJ85" i="8"/>
  <c r="BF85" i="8"/>
  <c r="BE85" i="8"/>
  <c r="BD85" i="8"/>
  <c r="BC85" i="8"/>
  <c r="BB85" i="8"/>
  <c r="BA85" i="8"/>
  <c r="AZ85" i="8"/>
  <c r="AY85" i="8"/>
  <c r="AX85" i="8"/>
  <c r="CN85" i="8" s="1"/>
  <c r="AW85" i="8"/>
  <c r="BG80" i="8"/>
  <c r="BH80" i="8" s="1"/>
  <c r="BI80" i="8" s="1"/>
  <c r="AK80" i="8"/>
  <c r="AJ80" i="8"/>
  <c r="BF80" i="8"/>
  <c r="BE80" i="8"/>
  <c r="BD80" i="8"/>
  <c r="BC80" i="8"/>
  <c r="BB80" i="8"/>
  <c r="BA80" i="8"/>
  <c r="AZ80" i="8"/>
  <c r="AY80" i="8"/>
  <c r="AX80" i="8"/>
  <c r="CN80" i="8" s="1"/>
  <c r="AW80" i="8"/>
  <c r="BG69" i="8"/>
  <c r="BH69" i="8" s="1"/>
  <c r="BI69" i="8" s="1"/>
  <c r="AK69" i="8"/>
  <c r="BF69" i="8"/>
  <c r="BE69" i="8"/>
  <c r="BD69" i="8"/>
  <c r="BC69" i="8"/>
  <c r="AJ69" i="8"/>
  <c r="BB69" i="8"/>
  <c r="BA69" i="8"/>
  <c r="AZ69" i="8"/>
  <c r="AY69" i="8"/>
  <c r="AX69" i="8"/>
  <c r="CN69" i="8" s="1"/>
  <c r="AW69" i="8"/>
  <c r="BG61" i="8"/>
  <c r="BH61" i="8" s="1"/>
  <c r="BI61" i="8" s="1"/>
  <c r="AK61" i="8"/>
  <c r="BF61" i="8"/>
  <c r="BE61" i="8"/>
  <c r="BD61" i="8"/>
  <c r="BC61" i="8"/>
  <c r="AJ61" i="8"/>
  <c r="BB61" i="8"/>
  <c r="BA61" i="8"/>
  <c r="AZ61" i="8"/>
  <c r="AY61" i="8"/>
  <c r="AX61" i="8"/>
  <c r="CN61" i="8" s="1"/>
  <c r="AW61" i="8"/>
  <c r="BG55" i="8"/>
  <c r="BH55" i="8" s="1"/>
  <c r="BI55" i="8" s="1"/>
  <c r="AK55" i="8"/>
  <c r="AJ55" i="8"/>
  <c r="BF55" i="8"/>
  <c r="BE55" i="8"/>
  <c r="BD55" i="8"/>
  <c r="BC55" i="8"/>
  <c r="BB55" i="8"/>
  <c r="BA55" i="8"/>
  <c r="AZ55" i="8"/>
  <c r="AY55" i="8"/>
  <c r="AX55" i="8"/>
  <c r="CN55" i="8" s="1"/>
  <c r="AW55" i="8"/>
  <c r="BG47" i="8"/>
  <c r="BH47" i="8" s="1"/>
  <c r="BI47" i="8" s="1"/>
  <c r="AK47" i="8"/>
  <c r="AJ47" i="8"/>
  <c r="BF47" i="8"/>
  <c r="BE47" i="8"/>
  <c r="BD47" i="8"/>
  <c r="BC47" i="8"/>
  <c r="BB47" i="8"/>
  <c r="BA47" i="8"/>
  <c r="BU47" i="8" s="1"/>
  <c r="AZ47" i="8"/>
  <c r="AY47" i="8"/>
  <c r="AX47" i="8"/>
  <c r="CN47" i="8" s="1"/>
  <c r="AW47" i="8"/>
  <c r="BG92" i="8"/>
  <c r="BH92" i="8" s="1"/>
  <c r="BI92" i="8" s="1"/>
  <c r="AK92" i="8"/>
  <c r="AJ92" i="8"/>
  <c r="BF92" i="8"/>
  <c r="BE92" i="8"/>
  <c r="BD92" i="8"/>
  <c r="BC92" i="8"/>
  <c r="BB92" i="8"/>
  <c r="BA92" i="8"/>
  <c r="AZ92" i="8"/>
  <c r="AY92" i="8"/>
  <c r="AX92" i="8"/>
  <c r="CN92" i="8" s="1"/>
  <c r="AW92" i="8"/>
  <c r="BG86" i="8"/>
  <c r="BH86" i="8" s="1"/>
  <c r="BI86" i="8" s="1"/>
  <c r="AK86" i="8"/>
  <c r="AJ86" i="8"/>
  <c r="BF86" i="8"/>
  <c r="BE86" i="8"/>
  <c r="BD86" i="8"/>
  <c r="BC86" i="8"/>
  <c r="BB86" i="8"/>
  <c r="BA86" i="8"/>
  <c r="AZ86" i="8"/>
  <c r="AY86" i="8"/>
  <c r="AX86" i="8"/>
  <c r="CN86" i="8" s="1"/>
  <c r="AW86" i="8"/>
  <c r="BG73" i="8"/>
  <c r="BH73" i="8" s="1"/>
  <c r="BI73" i="8" s="1"/>
  <c r="AK73" i="8"/>
  <c r="BF73" i="8"/>
  <c r="BE73" i="8"/>
  <c r="BD73" i="8"/>
  <c r="BC73" i="8"/>
  <c r="AJ73" i="8"/>
  <c r="BB73" i="8"/>
  <c r="BA73" i="8"/>
  <c r="BU73" i="8" s="1"/>
  <c r="AZ73" i="8"/>
  <c r="AY73" i="8"/>
  <c r="AX73" i="8"/>
  <c r="CN73" i="8" s="1"/>
  <c r="AW73" i="8"/>
  <c r="BV73" i="8"/>
  <c r="AK67" i="8"/>
  <c r="BF67" i="8"/>
  <c r="BE67" i="8"/>
  <c r="BD67" i="8"/>
  <c r="BC67" i="8"/>
  <c r="AJ67" i="8"/>
  <c r="BB67" i="8"/>
  <c r="BA67" i="8"/>
  <c r="AZ67" i="8"/>
  <c r="AY67" i="8"/>
  <c r="AX67" i="8"/>
  <c r="CN67" i="8" s="1"/>
  <c r="AW67" i="8"/>
  <c r="BG60" i="8"/>
  <c r="BH60" i="8" s="1"/>
  <c r="BI60" i="8" s="1"/>
  <c r="AK60" i="8"/>
  <c r="AJ60" i="8"/>
  <c r="BF60" i="8"/>
  <c r="BE60" i="8"/>
  <c r="BD60" i="8"/>
  <c r="BC60" i="8"/>
  <c r="BB60" i="8"/>
  <c r="BA60" i="8"/>
  <c r="AZ60" i="8"/>
  <c r="AY60" i="8"/>
  <c r="AX60" i="8"/>
  <c r="CN60" i="8" s="1"/>
  <c r="AW60" i="8"/>
  <c r="BG49" i="8"/>
  <c r="BH49" i="8" s="1"/>
  <c r="BI49" i="8" s="1"/>
  <c r="AK49" i="8"/>
  <c r="AJ49" i="8"/>
  <c r="BF49" i="8"/>
  <c r="BE49" i="8"/>
  <c r="BD49" i="8"/>
  <c r="BC49" i="8"/>
  <c r="BB49" i="8"/>
  <c r="BZ49" i="8" s="1"/>
  <c r="BA49" i="8"/>
  <c r="BU49" i="8" s="1"/>
  <c r="AZ49" i="8"/>
  <c r="AY49" i="8"/>
  <c r="AX49" i="8"/>
  <c r="CN49" i="8" s="1"/>
  <c r="AW49" i="8"/>
  <c r="BV49" i="8" s="1"/>
  <c r="BG88" i="8"/>
  <c r="BH88" i="8" s="1"/>
  <c r="BI88" i="8" s="1"/>
  <c r="BF88" i="8"/>
  <c r="BE88" i="8"/>
  <c r="BD88" i="8"/>
  <c r="BC88" i="8"/>
  <c r="BB88" i="8"/>
  <c r="BA88" i="8"/>
  <c r="BU88" i="8" s="1"/>
  <c r="AZ88" i="8"/>
  <c r="AY88" i="8"/>
  <c r="AX88" i="8"/>
  <c r="CN88" i="8" s="1"/>
  <c r="AW88" i="8"/>
  <c r="BG83" i="8"/>
  <c r="BH83" i="8" s="1"/>
  <c r="BI83" i="8" s="1"/>
  <c r="AK83" i="8"/>
  <c r="AJ83" i="8"/>
  <c r="BF83" i="8"/>
  <c r="BE83" i="8"/>
  <c r="BD83" i="8"/>
  <c r="BC83" i="8"/>
  <c r="BB83" i="8"/>
  <c r="BA83" i="8"/>
  <c r="AZ83" i="8"/>
  <c r="AY83" i="8"/>
  <c r="AX83" i="8"/>
  <c r="CN83" i="8" s="1"/>
  <c r="AW83" i="8"/>
  <c r="BG65" i="8"/>
  <c r="BH65" i="8" s="1"/>
  <c r="BI65" i="8" s="1"/>
  <c r="AK65" i="8"/>
  <c r="BF65" i="8"/>
  <c r="BE65" i="8"/>
  <c r="BD65" i="8"/>
  <c r="BC65" i="8"/>
  <c r="AJ65" i="8"/>
  <c r="BB65" i="8"/>
  <c r="BA65" i="8"/>
  <c r="AZ65" i="8"/>
  <c r="AY65" i="8"/>
  <c r="AX65" i="8"/>
  <c r="CN65" i="8" s="1"/>
  <c r="AW65" i="8"/>
  <c r="BG59" i="8"/>
  <c r="BH59" i="8" s="1"/>
  <c r="BI59" i="8" s="1"/>
  <c r="AK59" i="8"/>
  <c r="AJ59" i="8"/>
  <c r="BF59" i="8"/>
  <c r="BE59" i="8"/>
  <c r="BD59" i="8"/>
  <c r="BC59" i="8"/>
  <c r="BB59" i="8"/>
  <c r="BA59" i="8"/>
  <c r="AZ59" i="8"/>
  <c r="AY59" i="8"/>
  <c r="AX59" i="8"/>
  <c r="CN59" i="8" s="1"/>
  <c r="AW59" i="8"/>
  <c r="BG53" i="8"/>
  <c r="BH53" i="8" s="1"/>
  <c r="BI53" i="8" s="1"/>
  <c r="AK53" i="8"/>
  <c r="AJ53" i="8"/>
  <c r="BF53" i="8"/>
  <c r="BE53" i="8"/>
  <c r="BD53" i="8"/>
  <c r="BC53" i="8"/>
  <c r="BB53" i="8"/>
  <c r="BA53" i="8"/>
  <c r="AZ53" i="8"/>
  <c r="AY53" i="8"/>
  <c r="AX53" i="8"/>
  <c r="CN53" i="8" s="1"/>
  <c r="AW53" i="8"/>
  <c r="BG46" i="8"/>
  <c r="BH46" i="8" s="1"/>
  <c r="BI46" i="8" s="1"/>
  <c r="AK46" i="8"/>
  <c r="AJ46" i="8"/>
  <c r="BF46" i="8"/>
  <c r="BE46" i="8"/>
  <c r="BD46" i="8"/>
  <c r="BC46" i="8"/>
  <c r="BB46" i="8"/>
  <c r="BA46" i="8"/>
  <c r="BU46" i="8" s="1"/>
  <c r="AZ46" i="8"/>
  <c r="AY46" i="8"/>
  <c r="AX46" i="8"/>
  <c r="CN46" i="8" s="1"/>
  <c r="AW46" i="8"/>
  <c r="BG90" i="8"/>
  <c r="BH90" i="8" s="1"/>
  <c r="BI90" i="8" s="1"/>
  <c r="AK90" i="8"/>
  <c r="AJ90" i="8"/>
  <c r="BF90" i="8"/>
  <c r="BE90" i="8"/>
  <c r="BD90" i="8"/>
  <c r="BC90" i="8"/>
  <c r="BB90" i="8"/>
  <c r="BA90" i="8"/>
  <c r="AZ90" i="8"/>
  <c r="AY90" i="8"/>
  <c r="AX90" i="8"/>
  <c r="CN90" i="8" s="1"/>
  <c r="AW90" i="8"/>
  <c r="BG75" i="8"/>
  <c r="BH75" i="8" s="1"/>
  <c r="BI75" i="8" s="1"/>
  <c r="AK75" i="8"/>
  <c r="AJ75" i="8"/>
  <c r="BF75" i="8"/>
  <c r="BE75" i="8"/>
  <c r="BD75" i="8"/>
  <c r="BC75" i="8"/>
  <c r="BB75" i="8"/>
  <c r="BA75" i="8"/>
  <c r="AZ75" i="8"/>
  <c r="AY75" i="8"/>
  <c r="AX75" i="8"/>
  <c r="CN75" i="8" s="1"/>
  <c r="AW75" i="8"/>
  <c r="BG64" i="8"/>
  <c r="BH64" i="8" s="1"/>
  <c r="BI64" i="8" s="1"/>
  <c r="AK64" i="8"/>
  <c r="AJ64" i="8"/>
  <c r="BF64" i="8"/>
  <c r="BE64" i="8"/>
  <c r="BD64" i="8"/>
  <c r="BC64" i="8"/>
  <c r="BB64" i="8"/>
  <c r="BA64" i="8"/>
  <c r="AZ64" i="8"/>
  <c r="AY64" i="8"/>
  <c r="AX64" i="8"/>
  <c r="CN64" i="8" s="1"/>
  <c r="AW64" i="8"/>
  <c r="BG57" i="8"/>
  <c r="BH57" i="8" s="1"/>
  <c r="BI57" i="8" s="1"/>
  <c r="AK57" i="8"/>
  <c r="AJ57" i="8"/>
  <c r="BF57" i="8"/>
  <c r="BE57" i="8"/>
  <c r="BD57" i="8"/>
  <c r="BC57" i="8"/>
  <c r="BB57" i="8"/>
  <c r="BA57" i="8"/>
  <c r="AZ57" i="8"/>
  <c r="AY57" i="8"/>
  <c r="AX57" i="8"/>
  <c r="CN57" i="8" s="1"/>
  <c r="AW57" i="8"/>
  <c r="BG51" i="8"/>
  <c r="BH51" i="8" s="1"/>
  <c r="BI51" i="8" s="1"/>
  <c r="AK51" i="8"/>
  <c r="AJ51" i="8"/>
  <c r="BF51" i="8"/>
  <c r="BE51" i="8"/>
  <c r="BD51" i="8"/>
  <c r="BC51" i="8"/>
  <c r="BB51" i="8"/>
  <c r="BA51" i="8"/>
  <c r="AZ51" i="8"/>
  <c r="AY51" i="8"/>
  <c r="AX51" i="8"/>
  <c r="CN51" i="8" s="1"/>
  <c r="AW51" i="8"/>
  <c r="BG93" i="8"/>
  <c r="BH93" i="8" s="1"/>
  <c r="BI93" i="8" s="1"/>
  <c r="AK93" i="8"/>
  <c r="AJ93" i="8"/>
  <c r="BF93" i="8"/>
  <c r="BE93" i="8"/>
  <c r="BD93" i="8"/>
  <c r="BC93" i="8"/>
  <c r="BB93" i="8"/>
  <c r="BA93" i="8"/>
  <c r="AZ93" i="8"/>
  <c r="AY93" i="8"/>
  <c r="AX93" i="8"/>
  <c r="CN93" i="8" s="1"/>
  <c r="AW93" i="8"/>
  <c r="BG72" i="8"/>
  <c r="BH72" i="8" s="1"/>
  <c r="BI72" i="8" s="1"/>
  <c r="AK72" i="8"/>
  <c r="AJ72" i="8"/>
  <c r="BF72" i="8"/>
  <c r="BE72" i="8"/>
  <c r="BD72" i="8"/>
  <c r="BC72" i="8"/>
  <c r="BB72" i="8"/>
  <c r="BA72" i="8"/>
  <c r="AZ72" i="8"/>
  <c r="AY72" i="8"/>
  <c r="AX72" i="8"/>
  <c r="CN72" i="8" s="1"/>
  <c r="AW72" i="8"/>
  <c r="AK66" i="8"/>
  <c r="AJ66" i="8"/>
  <c r="BF66" i="8"/>
  <c r="BE66" i="8"/>
  <c r="BD66" i="8"/>
  <c r="BC66" i="8"/>
  <c r="BB66" i="8"/>
  <c r="BA66" i="8"/>
  <c r="AZ66" i="8"/>
  <c r="AY66" i="8"/>
  <c r="AX66" i="8"/>
  <c r="CN66" i="8" s="1"/>
  <c r="AW66" i="8"/>
  <c r="BG58" i="8"/>
  <c r="BH58" i="8" s="1"/>
  <c r="BI58" i="8" s="1"/>
  <c r="AK58" i="8"/>
  <c r="AJ58" i="8"/>
  <c r="BF58" i="8"/>
  <c r="BE58" i="8"/>
  <c r="BD58" i="8"/>
  <c r="BC58" i="8"/>
  <c r="BB58" i="8"/>
  <c r="BA58" i="8"/>
  <c r="BU58" i="8" s="1"/>
  <c r="AZ58" i="8"/>
  <c r="AY58" i="8"/>
  <c r="AX58" i="8"/>
  <c r="CN58" i="8" s="1"/>
  <c r="AW58" i="8"/>
  <c r="BG52" i="8"/>
  <c r="BH52" i="8" s="1"/>
  <c r="BI52" i="8" s="1"/>
  <c r="AK52" i="8"/>
  <c r="AJ52" i="8"/>
  <c r="BF52" i="8"/>
  <c r="BE52" i="8"/>
  <c r="BD52" i="8"/>
  <c r="BC52" i="8"/>
  <c r="BB52" i="8"/>
  <c r="BA52" i="8"/>
  <c r="BU52" i="8" s="1"/>
  <c r="AZ52" i="8"/>
  <c r="AY52" i="8"/>
  <c r="AX52" i="8"/>
  <c r="CN52" i="8" s="1"/>
  <c r="AW52" i="8"/>
  <c r="BG95" i="8"/>
  <c r="BH95" i="8" s="1"/>
  <c r="BI95" i="8" s="1"/>
  <c r="AK95" i="8"/>
  <c r="AJ95" i="8"/>
  <c r="BF95" i="8"/>
  <c r="BE95" i="8"/>
  <c r="BD95" i="8"/>
  <c r="BC95" i="8"/>
  <c r="BB95" i="8"/>
  <c r="BA95" i="8"/>
  <c r="AZ95" i="8"/>
  <c r="AY95" i="8"/>
  <c r="AX95" i="8"/>
  <c r="CN95" i="8" s="1"/>
  <c r="AW95" i="8"/>
  <c r="BG89" i="8"/>
  <c r="BH89" i="8" s="1"/>
  <c r="BI89" i="8" s="1"/>
  <c r="BF89" i="8"/>
  <c r="BE89" i="8"/>
  <c r="BD89" i="8"/>
  <c r="BC89" i="8"/>
  <c r="BB89" i="8"/>
  <c r="BA89" i="8"/>
  <c r="AZ89" i="8"/>
  <c r="AY89" i="8"/>
  <c r="AX89" i="8"/>
  <c r="CN89" i="8" s="1"/>
  <c r="AW89" i="8"/>
  <c r="BF84" i="8"/>
  <c r="BE84" i="8"/>
  <c r="BD84" i="8"/>
  <c r="BC84" i="8"/>
  <c r="BB84" i="8"/>
  <c r="BA84" i="8"/>
  <c r="AZ84" i="8"/>
  <c r="AY84" i="8"/>
  <c r="AX84" i="8"/>
  <c r="CN84" i="8" s="1"/>
  <c r="AW84" i="8"/>
  <c r="BG79" i="8"/>
  <c r="BH79" i="8" s="1"/>
  <c r="BI79" i="8" s="1"/>
  <c r="AK79" i="8"/>
  <c r="AJ79" i="8"/>
  <c r="BF79" i="8"/>
  <c r="BE79" i="8"/>
  <c r="BD79" i="8"/>
  <c r="BC79" i="8"/>
  <c r="BB79" i="8"/>
  <c r="BA79" i="8"/>
  <c r="AZ79" i="8"/>
  <c r="AY79" i="8"/>
  <c r="AX79" i="8"/>
  <c r="CN79" i="8" s="1"/>
  <c r="AW79" i="8"/>
  <c r="BG70" i="8"/>
  <c r="BH70" i="8" s="1"/>
  <c r="BI70" i="8" s="1"/>
  <c r="AK70" i="8"/>
  <c r="AJ70" i="8"/>
  <c r="BF70" i="8"/>
  <c r="BE70" i="8"/>
  <c r="BD70" i="8"/>
  <c r="BC70" i="8"/>
  <c r="BB70" i="8"/>
  <c r="BA70" i="8"/>
  <c r="BU70" i="8" s="1"/>
  <c r="AZ70" i="8"/>
  <c r="AY70" i="8"/>
  <c r="AX70" i="8"/>
  <c r="CN70" i="8" s="1"/>
  <c r="AW70" i="8"/>
  <c r="BG62" i="8"/>
  <c r="BH62" i="8" s="1"/>
  <c r="BI62" i="8" s="1"/>
  <c r="AK62" i="8"/>
  <c r="AJ62" i="8"/>
  <c r="BF62" i="8"/>
  <c r="BE62" i="8"/>
  <c r="BD62" i="8"/>
  <c r="BC62" i="8"/>
  <c r="BB62" i="8"/>
  <c r="BA62" i="8"/>
  <c r="AZ62" i="8"/>
  <c r="AY62" i="8"/>
  <c r="AX62" i="8"/>
  <c r="CN62" i="8" s="1"/>
  <c r="AW62" i="8"/>
  <c r="BG54" i="8"/>
  <c r="BH54" i="8" s="1"/>
  <c r="BI54" i="8" s="1"/>
  <c r="AK54" i="8"/>
  <c r="AJ54" i="8"/>
  <c r="BF54" i="8"/>
  <c r="BE54" i="8"/>
  <c r="BD54" i="8"/>
  <c r="BC54" i="8"/>
  <c r="BB54" i="8"/>
  <c r="BA54" i="8"/>
  <c r="AZ54" i="8"/>
  <c r="AY54" i="8"/>
  <c r="AX54" i="8"/>
  <c r="CN54" i="8" s="1"/>
  <c r="AW54" i="8"/>
  <c r="AK48" i="8"/>
  <c r="AJ48" i="8"/>
  <c r="BF48" i="8"/>
  <c r="BE48" i="8"/>
  <c r="BD48" i="8"/>
  <c r="BC48" i="8"/>
  <c r="BB48" i="8"/>
  <c r="BA48" i="8"/>
  <c r="AZ48" i="8"/>
  <c r="AY48" i="8"/>
  <c r="AX48" i="8"/>
  <c r="CN48" i="8" s="1"/>
  <c r="AW48" i="8"/>
  <c r="BG94" i="8"/>
  <c r="BH94" i="8" s="1"/>
  <c r="BI94" i="8" s="1"/>
  <c r="AK94" i="8"/>
  <c r="AJ94" i="8"/>
  <c r="BF94" i="8"/>
  <c r="BE94" i="8"/>
  <c r="BD94" i="8"/>
  <c r="BC94" i="8"/>
  <c r="BB94" i="8"/>
  <c r="BA94" i="8"/>
  <c r="AZ94" i="8"/>
  <c r="AY94" i="8"/>
  <c r="AX94" i="8"/>
  <c r="CN94" i="8" s="1"/>
  <c r="AW94" i="8"/>
  <c r="BG87" i="8"/>
  <c r="BH87" i="8" s="1"/>
  <c r="BI87" i="8" s="1"/>
  <c r="BF87" i="8"/>
  <c r="BE87" i="8"/>
  <c r="BD87" i="8"/>
  <c r="BC87" i="8"/>
  <c r="BB87" i="8"/>
  <c r="BA87" i="8"/>
  <c r="AZ87" i="8"/>
  <c r="AY87" i="8"/>
  <c r="AX87" i="8"/>
  <c r="CN87" i="8" s="1"/>
  <c r="AW87" i="8"/>
  <c r="BG81" i="8"/>
  <c r="BH81" i="8" s="1"/>
  <c r="BI81" i="8" s="1"/>
  <c r="AK81" i="8"/>
  <c r="AJ81" i="8"/>
  <c r="BF81" i="8"/>
  <c r="BE81" i="8"/>
  <c r="BD81" i="8"/>
  <c r="BC81" i="8"/>
  <c r="BB81" i="8"/>
  <c r="BA81" i="8"/>
  <c r="AZ81" i="8"/>
  <c r="AY81" i="8"/>
  <c r="AX81" i="8"/>
  <c r="CN81" i="8" s="1"/>
  <c r="AW81" i="8"/>
  <c r="BG78" i="8"/>
  <c r="BH78" i="8" s="1"/>
  <c r="BI78" i="8" s="1"/>
  <c r="BF78" i="8"/>
  <c r="BE78" i="8"/>
  <c r="BD78" i="8"/>
  <c r="BC78" i="8"/>
  <c r="BB78" i="8"/>
  <c r="BA78" i="8"/>
  <c r="AZ78" i="8"/>
  <c r="AY78" i="8"/>
  <c r="AX78" i="8"/>
  <c r="CN78" i="8" s="1"/>
  <c r="AW78" i="8"/>
  <c r="AK74" i="8"/>
  <c r="BF74" i="8"/>
  <c r="BE74" i="8"/>
  <c r="BD74" i="8"/>
  <c r="BC74" i="8"/>
  <c r="AJ74" i="8"/>
  <c r="BB74" i="8"/>
  <c r="BA74" i="8"/>
  <c r="AZ74" i="8"/>
  <c r="AY74" i="8"/>
  <c r="AX74" i="8"/>
  <c r="CN74" i="8" s="1"/>
  <c r="AW74" i="8"/>
  <c r="BG68" i="8"/>
  <c r="BH68" i="8" s="1"/>
  <c r="BI68" i="8" s="1"/>
  <c r="AK68" i="8"/>
  <c r="AJ68" i="8"/>
  <c r="BF68" i="8"/>
  <c r="BE68" i="8"/>
  <c r="BD68" i="8"/>
  <c r="BC68" i="8"/>
  <c r="BB68" i="8"/>
  <c r="BA68" i="8"/>
  <c r="AZ68" i="8"/>
  <c r="AY68" i="8"/>
  <c r="AX68" i="8"/>
  <c r="CN68" i="8" s="1"/>
  <c r="AW68" i="8"/>
  <c r="BG56" i="8"/>
  <c r="BH56" i="8" s="1"/>
  <c r="BI56" i="8" s="1"/>
  <c r="AK56" i="8"/>
  <c r="AJ56" i="8"/>
  <c r="BF56" i="8"/>
  <c r="BE56" i="8"/>
  <c r="BD56" i="8"/>
  <c r="BC56" i="8"/>
  <c r="BB56" i="8"/>
  <c r="BA56" i="8"/>
  <c r="AZ56" i="8"/>
  <c r="AY56" i="8"/>
  <c r="AX56" i="8"/>
  <c r="CN56" i="8" s="1"/>
  <c r="AW56" i="8"/>
  <c r="BG50" i="8"/>
  <c r="BH50" i="8" s="1"/>
  <c r="BI50" i="8" s="1"/>
  <c r="AK50" i="8"/>
  <c r="AJ50" i="8"/>
  <c r="BF50" i="8"/>
  <c r="BE50" i="8"/>
  <c r="BD50" i="8"/>
  <c r="BC50" i="8"/>
  <c r="BB50" i="8"/>
  <c r="BA50" i="8"/>
  <c r="AZ50" i="8"/>
  <c r="AY50" i="8"/>
  <c r="AX50" i="8"/>
  <c r="CN50" i="8" s="1"/>
  <c r="AW50" i="8"/>
  <c r="BG91" i="8"/>
  <c r="BH91" i="8" s="1"/>
  <c r="BI91" i="8" s="1"/>
  <c r="AK91" i="8"/>
  <c r="AJ91" i="8"/>
  <c r="BF91" i="8"/>
  <c r="BE91" i="8"/>
  <c r="BD91" i="8"/>
  <c r="BC91" i="8"/>
  <c r="BB91" i="8"/>
  <c r="BA91" i="8"/>
  <c r="AZ91" i="8"/>
  <c r="AY91" i="8"/>
  <c r="AX91" i="8"/>
  <c r="CN91" i="8" s="1"/>
  <c r="AW91" i="8"/>
  <c r="BG82" i="8"/>
  <c r="BH82" i="8" s="1"/>
  <c r="BI82" i="8" s="1"/>
  <c r="AK82" i="8"/>
  <c r="AJ82" i="8"/>
  <c r="BF82" i="8"/>
  <c r="BE82" i="8"/>
  <c r="BD82" i="8"/>
  <c r="BC82" i="8"/>
  <c r="BB82" i="8"/>
  <c r="BA82" i="8"/>
  <c r="AZ82" i="8"/>
  <c r="AY82" i="8"/>
  <c r="AX82" i="8"/>
  <c r="CN82" i="8" s="1"/>
  <c r="AW82" i="8"/>
  <c r="AB95" i="8"/>
  <c r="G93" i="19" s="1"/>
  <c r="H93" i="19" s="1"/>
  <c r="AA95" i="8"/>
  <c r="Z95" i="8"/>
  <c r="CK95" i="8" s="1"/>
  <c r="AN95" i="8"/>
  <c r="X95" i="8"/>
  <c r="U95" i="8"/>
  <c r="T95" i="8"/>
  <c r="CG95" i="8"/>
  <c r="CF95" i="8"/>
  <c r="CD95" i="8"/>
  <c r="W95" i="8" s="1"/>
  <c r="CC95" i="8"/>
  <c r="V95" i="8" s="1"/>
  <c r="CB95" i="8"/>
  <c r="BY95" i="8"/>
  <c r="K44" i="18"/>
  <c r="K43" i="18"/>
  <c r="K47" i="18"/>
  <c r="K45" i="18"/>
  <c r="K46" i="18"/>
  <c r="K75" i="18"/>
  <c r="K76" i="18"/>
  <c r="K72" i="18"/>
  <c r="K74" i="18"/>
  <c r="P36" i="11"/>
  <c r="G99" i="19"/>
  <c r="H99" i="19" s="1"/>
  <c r="G24" i="19" s="1"/>
  <c r="H24" i="19" s="1"/>
  <c r="CI13" i="8"/>
  <c r="CJ13" i="8"/>
  <c r="CI14" i="8"/>
  <c r="CJ14" i="8"/>
  <c r="CI15" i="8"/>
  <c r="CJ15" i="8"/>
  <c r="CI16" i="8"/>
  <c r="CJ16" i="8"/>
  <c r="CI17" i="8"/>
  <c r="CJ17" i="8"/>
  <c r="CI18" i="8"/>
  <c r="CJ18" i="8"/>
  <c r="CI19" i="8"/>
  <c r="CJ19" i="8"/>
  <c r="CI20" i="8"/>
  <c r="CJ20" i="8"/>
  <c r="CI21" i="8"/>
  <c r="CJ21" i="8"/>
  <c r="CI22" i="8"/>
  <c r="CJ22" i="8"/>
  <c r="CI26" i="8"/>
  <c r="CJ26" i="8"/>
  <c r="CI32" i="8"/>
  <c r="CJ32" i="8"/>
  <c r="CI33" i="8"/>
  <c r="CJ33" i="8"/>
  <c r="CI34" i="8"/>
  <c r="CJ34" i="8"/>
  <c r="CI35" i="8"/>
  <c r="CJ35" i="8"/>
  <c r="CI37" i="8"/>
  <c r="CJ37" i="8"/>
  <c r="CI40" i="8"/>
  <c r="CJ40" i="8"/>
  <c r="R260" i="20"/>
  <c r="Q260" i="20"/>
  <c r="W260" i="20"/>
  <c r="R261" i="20"/>
  <c r="Q261" i="20"/>
  <c r="W261" i="20"/>
  <c r="BK73" i="8"/>
  <c r="BL73" i="8"/>
  <c r="BM73" i="8"/>
  <c r="BN73" i="8"/>
  <c r="BO73" i="8"/>
  <c r="BP73" i="8"/>
  <c r="BQ73" i="8"/>
  <c r="BR73" i="8"/>
  <c r="BS73" i="8"/>
  <c r="BT73" i="8"/>
  <c r="AH73" i="8"/>
  <c r="AI73" i="8"/>
  <c r="BK70" i="8"/>
  <c r="BV70" i="8" s="1"/>
  <c r="BL70" i="8"/>
  <c r="BM70" i="8"/>
  <c r="BN70" i="8"/>
  <c r="BO70" i="8"/>
  <c r="BP70" i="8"/>
  <c r="BQ70" i="8"/>
  <c r="BR70" i="8"/>
  <c r="BS70" i="8"/>
  <c r="BT70" i="8"/>
  <c r="AH70" i="8"/>
  <c r="AI70" i="8"/>
  <c r="BK65" i="8"/>
  <c r="BL65" i="8"/>
  <c r="BM65" i="8"/>
  <c r="BN65" i="8"/>
  <c r="BO65" i="8"/>
  <c r="BP65" i="8"/>
  <c r="BQ65" i="8"/>
  <c r="BR65" i="8"/>
  <c r="BS65" i="8"/>
  <c r="BT65" i="8"/>
  <c r="BU65" i="8"/>
  <c r="AI65" i="8"/>
  <c r="AH65" i="8"/>
  <c r="BK61" i="8"/>
  <c r="BV61" i="8" s="1"/>
  <c r="BL61" i="8"/>
  <c r="BM61" i="8"/>
  <c r="BN61" i="8"/>
  <c r="BO61" i="8"/>
  <c r="BP61" i="8"/>
  <c r="BZ61" i="8" s="1"/>
  <c r="BQ61" i="8"/>
  <c r="BR61" i="8"/>
  <c r="BS61" i="8"/>
  <c r="BT61" i="8"/>
  <c r="BU61" i="8"/>
  <c r="AH61" i="8"/>
  <c r="AI61" i="8"/>
  <c r="BK55" i="8"/>
  <c r="BV55" i="8" s="1"/>
  <c r="BL55" i="8"/>
  <c r="BM55" i="8"/>
  <c r="BN55" i="8"/>
  <c r="BO55" i="8"/>
  <c r="BP55" i="8"/>
  <c r="BZ55" i="8" s="1"/>
  <c r="BQ55" i="8"/>
  <c r="BR55" i="8"/>
  <c r="BS55" i="8"/>
  <c r="BT55" i="8"/>
  <c r="BU55" i="8"/>
  <c r="AH55" i="8"/>
  <c r="AI55" i="8"/>
  <c r="BK53" i="8"/>
  <c r="BV53" i="8" s="1"/>
  <c r="BL53" i="8"/>
  <c r="BM53" i="8"/>
  <c r="BN53" i="8"/>
  <c r="BO53" i="8"/>
  <c r="BP53" i="8"/>
  <c r="BZ53" i="8" s="1"/>
  <c r="BQ53" i="8"/>
  <c r="BR53" i="8"/>
  <c r="BS53" i="8"/>
  <c r="BT53" i="8"/>
  <c r="BU53" i="8"/>
  <c r="AH53" i="8"/>
  <c r="AI53" i="8"/>
  <c r="BK51" i="8"/>
  <c r="BV51" i="8" s="1"/>
  <c r="BL51" i="8"/>
  <c r="BM51" i="8"/>
  <c r="BN51" i="8"/>
  <c r="BO51" i="8"/>
  <c r="BP51" i="8"/>
  <c r="BZ51" i="8" s="1"/>
  <c r="BQ51" i="8"/>
  <c r="BR51" i="8"/>
  <c r="BS51" i="8"/>
  <c r="BT51" i="8"/>
  <c r="BU51" i="8"/>
  <c r="AI51" i="8"/>
  <c r="AH51" i="8"/>
  <c r="BK50" i="8"/>
  <c r="BV50" i="8" s="1"/>
  <c r="BL50" i="8"/>
  <c r="BM50" i="8"/>
  <c r="BN50" i="8"/>
  <c r="BO50" i="8"/>
  <c r="BP50" i="8"/>
  <c r="BZ50" i="8" s="1"/>
  <c r="BQ50" i="8"/>
  <c r="BR50" i="8"/>
  <c r="BS50" i="8"/>
  <c r="BT50" i="8"/>
  <c r="BU50" i="8"/>
  <c r="AH50" i="8"/>
  <c r="AI50" i="8"/>
  <c r="BK94" i="8"/>
  <c r="BV94" i="8" s="1"/>
  <c r="BL94" i="8"/>
  <c r="BM94" i="8"/>
  <c r="BN94" i="8"/>
  <c r="BO94" i="8"/>
  <c r="BP94" i="8"/>
  <c r="BZ94" i="8" s="1"/>
  <c r="BQ94" i="8"/>
  <c r="BR94" i="8"/>
  <c r="BS94" i="8"/>
  <c r="BT94" i="8"/>
  <c r="BU94" i="8"/>
  <c r="AH94" i="8"/>
  <c r="AI94" i="8"/>
  <c r="BK93" i="8"/>
  <c r="BV93" i="8" s="1"/>
  <c r="BL93" i="8"/>
  <c r="BM93" i="8"/>
  <c r="BN93" i="8"/>
  <c r="BO93" i="8"/>
  <c r="BP93" i="8"/>
  <c r="BZ93" i="8" s="1"/>
  <c r="BQ93" i="8"/>
  <c r="BR93" i="8"/>
  <c r="BS93" i="8"/>
  <c r="BT93" i="8"/>
  <c r="BU93" i="8"/>
  <c r="AH93" i="8"/>
  <c r="AI93" i="8"/>
  <c r="BK91" i="8"/>
  <c r="BV91" i="8" s="1"/>
  <c r="BL91" i="8"/>
  <c r="BM91" i="8"/>
  <c r="BN91" i="8"/>
  <c r="BO91" i="8"/>
  <c r="BP91" i="8"/>
  <c r="BZ91" i="8" s="1"/>
  <c r="BQ91" i="8"/>
  <c r="BR91" i="8"/>
  <c r="BS91" i="8"/>
  <c r="BT91" i="8"/>
  <c r="AH91" i="8"/>
  <c r="AI91" i="8"/>
  <c r="BK90" i="8"/>
  <c r="BV90" i="8" s="1"/>
  <c r="BL90" i="8"/>
  <c r="BM90" i="8"/>
  <c r="BN90" i="8"/>
  <c r="BO90" i="8"/>
  <c r="BP90" i="8"/>
  <c r="BZ90" i="8" s="1"/>
  <c r="BQ90" i="8"/>
  <c r="BR90" i="8"/>
  <c r="BS90" i="8"/>
  <c r="BT90" i="8"/>
  <c r="BU90" i="8"/>
  <c r="AH90" i="8"/>
  <c r="AI90" i="8"/>
  <c r="BK89" i="8"/>
  <c r="BV89" i="8" s="1"/>
  <c r="BL89" i="8"/>
  <c r="BM89" i="8"/>
  <c r="BN89" i="8"/>
  <c r="BO89" i="8"/>
  <c r="BP89" i="8"/>
  <c r="BZ89" i="8" s="1"/>
  <c r="BQ89" i="8"/>
  <c r="BR89" i="8"/>
  <c r="BS89" i="8"/>
  <c r="BT89" i="8"/>
  <c r="BU89" i="8"/>
  <c r="AH89" i="8"/>
  <c r="AI89" i="8"/>
  <c r="BK88" i="8"/>
  <c r="BV88" i="8" s="1"/>
  <c r="BL88" i="8"/>
  <c r="BM88" i="8"/>
  <c r="BN88" i="8"/>
  <c r="BO88" i="8"/>
  <c r="BP88" i="8"/>
  <c r="BQ88" i="8"/>
  <c r="BR88" i="8"/>
  <c r="BS88" i="8"/>
  <c r="BT88" i="8"/>
  <c r="AH88" i="8"/>
  <c r="AI88" i="8"/>
  <c r="BK87" i="8"/>
  <c r="BL87" i="8"/>
  <c r="BM87" i="8"/>
  <c r="BN87" i="8"/>
  <c r="BO87" i="8"/>
  <c r="BP87" i="8"/>
  <c r="BQ87" i="8"/>
  <c r="BR87" i="8"/>
  <c r="BS87" i="8"/>
  <c r="BT87" i="8"/>
  <c r="BU87" i="8"/>
  <c r="AH87" i="8"/>
  <c r="AI87" i="8"/>
  <c r="BK86" i="8"/>
  <c r="BV86" i="8" s="1"/>
  <c r="BL86" i="8"/>
  <c r="BM86" i="8"/>
  <c r="BN86" i="8"/>
  <c r="BO86" i="8"/>
  <c r="BP86" i="8"/>
  <c r="BZ86" i="8" s="1"/>
  <c r="BQ86" i="8"/>
  <c r="BR86" i="8"/>
  <c r="BS86" i="8"/>
  <c r="BT86" i="8"/>
  <c r="BU86" i="8"/>
  <c r="AH86" i="8"/>
  <c r="AI86" i="8"/>
  <c r="BK85" i="8"/>
  <c r="BV85" i="8" s="1"/>
  <c r="BL85" i="8"/>
  <c r="BM85" i="8"/>
  <c r="BN85" i="8"/>
  <c r="BO85" i="8"/>
  <c r="BP85" i="8"/>
  <c r="BZ85" i="8" s="1"/>
  <c r="BQ85" i="8"/>
  <c r="BR85" i="8"/>
  <c r="BS85" i="8"/>
  <c r="BT85" i="8"/>
  <c r="BU85" i="8"/>
  <c r="AH85" i="8"/>
  <c r="AI85" i="8"/>
  <c r="BK83" i="8"/>
  <c r="BV83" i="8" s="1"/>
  <c r="BL83" i="8"/>
  <c r="BM83" i="8"/>
  <c r="BN83" i="8"/>
  <c r="BO83" i="8"/>
  <c r="BP83" i="8"/>
  <c r="BZ83" i="8" s="1"/>
  <c r="BQ83" i="8"/>
  <c r="BR83" i="8"/>
  <c r="BS83" i="8"/>
  <c r="BT83" i="8"/>
  <c r="BU83" i="8"/>
  <c r="AH83" i="8"/>
  <c r="AI83" i="8"/>
  <c r="BK82" i="8"/>
  <c r="BV82" i="8" s="1"/>
  <c r="BL82" i="8"/>
  <c r="BM82" i="8"/>
  <c r="BN82" i="8"/>
  <c r="BO82" i="8"/>
  <c r="BP82" i="8"/>
  <c r="BZ82" i="8" s="1"/>
  <c r="BQ82" i="8"/>
  <c r="BR82" i="8"/>
  <c r="BS82" i="8"/>
  <c r="BT82" i="8"/>
  <c r="BU82" i="8"/>
  <c r="AH82" i="8"/>
  <c r="AI82" i="8"/>
  <c r="BK81" i="8"/>
  <c r="BV81" i="8" s="1"/>
  <c r="BL81" i="8"/>
  <c r="BM81" i="8"/>
  <c r="BN81" i="8"/>
  <c r="BO81" i="8"/>
  <c r="BP81" i="8"/>
  <c r="BZ81" i="8" s="1"/>
  <c r="BQ81" i="8"/>
  <c r="BR81" i="8"/>
  <c r="BS81" i="8"/>
  <c r="BT81" i="8"/>
  <c r="BU81" i="8"/>
  <c r="AH81" i="8"/>
  <c r="AI81" i="8"/>
  <c r="BK80" i="8"/>
  <c r="BV80" i="8" s="1"/>
  <c r="BL80" i="8"/>
  <c r="BM80" i="8"/>
  <c r="BN80" i="8"/>
  <c r="BO80" i="8"/>
  <c r="BP80" i="8"/>
  <c r="BZ80" i="8" s="1"/>
  <c r="BQ80" i="8"/>
  <c r="BR80" i="8"/>
  <c r="BS80" i="8"/>
  <c r="BT80" i="8"/>
  <c r="BU80" i="8"/>
  <c r="AI80" i="8"/>
  <c r="AH80" i="8"/>
  <c r="BK79" i="8"/>
  <c r="BV79" i="8" s="1"/>
  <c r="BL79" i="8"/>
  <c r="BM79" i="8"/>
  <c r="BN79" i="8"/>
  <c r="BO79" i="8"/>
  <c r="BP79" i="8"/>
  <c r="BZ79" i="8" s="1"/>
  <c r="BQ79" i="8"/>
  <c r="BR79" i="8"/>
  <c r="BS79" i="8"/>
  <c r="BT79" i="8"/>
  <c r="BU79" i="8"/>
  <c r="AH79" i="8"/>
  <c r="AI79" i="8"/>
  <c r="BK78" i="8"/>
  <c r="BV78" i="8" s="1"/>
  <c r="BL78" i="8"/>
  <c r="BM78" i="8"/>
  <c r="BN78" i="8"/>
  <c r="BO78" i="8"/>
  <c r="BP78" i="8"/>
  <c r="BZ78" i="8" s="1"/>
  <c r="BQ78" i="8"/>
  <c r="BU78" i="8" s="1"/>
  <c r="BR78" i="8"/>
  <c r="BS78" i="8"/>
  <c r="BT78" i="8"/>
  <c r="AH78" i="8"/>
  <c r="AI78" i="8"/>
  <c r="BK75" i="8"/>
  <c r="BV75" i="8" s="1"/>
  <c r="BL75" i="8"/>
  <c r="BM75" i="8"/>
  <c r="BN75" i="8"/>
  <c r="BO75" i="8"/>
  <c r="BP75" i="8"/>
  <c r="BZ75" i="8" s="1"/>
  <c r="BQ75" i="8"/>
  <c r="BR75" i="8"/>
  <c r="BS75" i="8"/>
  <c r="BT75" i="8"/>
  <c r="BU75" i="8"/>
  <c r="AH75" i="8"/>
  <c r="AI75" i="8"/>
  <c r="BK71" i="8"/>
  <c r="BV71" i="8" s="1"/>
  <c r="BL71" i="8"/>
  <c r="BM71" i="8"/>
  <c r="BN71" i="8"/>
  <c r="BO71" i="8"/>
  <c r="BP71" i="8"/>
  <c r="BZ71" i="8" s="1"/>
  <c r="BQ71" i="8"/>
  <c r="BR71" i="8"/>
  <c r="BS71" i="8"/>
  <c r="BT71" i="8"/>
  <c r="BU71" i="8"/>
  <c r="AI71" i="8"/>
  <c r="AH71" i="8"/>
  <c r="BK68" i="8"/>
  <c r="BV68" i="8" s="1"/>
  <c r="BL68" i="8"/>
  <c r="BM68" i="8"/>
  <c r="BN68" i="8"/>
  <c r="BO68" i="8"/>
  <c r="BP68" i="8"/>
  <c r="BZ68" i="8" s="1"/>
  <c r="BQ68" i="8"/>
  <c r="BR68" i="8"/>
  <c r="BS68" i="8"/>
  <c r="BT68" i="8"/>
  <c r="BU68" i="8"/>
  <c r="AH68" i="8"/>
  <c r="AI68" i="8"/>
  <c r="BK62" i="8"/>
  <c r="BV62" i="8" s="1"/>
  <c r="BL62" i="8"/>
  <c r="BM62" i="8"/>
  <c r="BN62" i="8"/>
  <c r="BO62" i="8"/>
  <c r="BP62" i="8"/>
  <c r="BZ62" i="8" s="1"/>
  <c r="BQ62" i="8"/>
  <c r="BR62" i="8"/>
  <c r="BS62" i="8"/>
  <c r="BT62" i="8"/>
  <c r="BU62" i="8"/>
  <c r="AH62" i="8"/>
  <c r="AI62" i="8"/>
  <c r="BK59" i="8"/>
  <c r="BV59" i="8" s="1"/>
  <c r="BL59" i="8"/>
  <c r="BM59" i="8"/>
  <c r="BN59" i="8"/>
  <c r="BO59" i="8"/>
  <c r="BU59" i="8" s="1"/>
  <c r="BP59" i="8"/>
  <c r="BZ59" i="8" s="1"/>
  <c r="BQ59" i="8"/>
  <c r="BR59" i="8"/>
  <c r="BS59" i="8"/>
  <c r="BT59" i="8"/>
  <c r="AH59" i="8"/>
  <c r="AI59" i="8"/>
  <c r="BK56" i="8"/>
  <c r="BL56" i="8"/>
  <c r="BM56" i="8"/>
  <c r="BN56" i="8"/>
  <c r="BO56" i="8"/>
  <c r="BP56" i="8"/>
  <c r="BQ56" i="8"/>
  <c r="BR56" i="8"/>
  <c r="BS56" i="8"/>
  <c r="BT56" i="8"/>
  <c r="AH56" i="8"/>
  <c r="AI56" i="8"/>
  <c r="BK54" i="8"/>
  <c r="BV54" i="8" s="1"/>
  <c r="BL54" i="8"/>
  <c r="BM54" i="8"/>
  <c r="BN54" i="8"/>
  <c r="BO54" i="8"/>
  <c r="BU54" i="8" s="1"/>
  <c r="BP54" i="8"/>
  <c r="BZ54" i="8" s="1"/>
  <c r="BQ54" i="8"/>
  <c r="BR54" i="8"/>
  <c r="BS54" i="8"/>
  <c r="BT54" i="8"/>
  <c r="AH54" i="8"/>
  <c r="AI54" i="8"/>
  <c r="BK52" i="8"/>
  <c r="BL52" i="8"/>
  <c r="BM52" i="8"/>
  <c r="BN52" i="8"/>
  <c r="BO52" i="8"/>
  <c r="BP52" i="8"/>
  <c r="BQ52" i="8"/>
  <c r="BR52" i="8"/>
  <c r="BS52" i="8"/>
  <c r="BT52" i="8"/>
  <c r="BK95" i="8"/>
  <c r="BL95" i="8"/>
  <c r="BM95" i="8"/>
  <c r="BN95" i="8"/>
  <c r="BO95" i="8"/>
  <c r="BP95" i="8"/>
  <c r="BQ95" i="8"/>
  <c r="BR95" i="8"/>
  <c r="BS95" i="8"/>
  <c r="BT95" i="8"/>
  <c r="BU95" i="8"/>
  <c r="AH95" i="8"/>
  <c r="AI95" i="8"/>
  <c r="BK76" i="8"/>
  <c r="BV76" i="8" s="1"/>
  <c r="BL76" i="8"/>
  <c r="BM76" i="8"/>
  <c r="BN76" i="8"/>
  <c r="BO76" i="8"/>
  <c r="BP76" i="8"/>
  <c r="BZ76" i="8" s="1"/>
  <c r="BQ76" i="8"/>
  <c r="BR76" i="8"/>
  <c r="BS76" i="8"/>
  <c r="BT76" i="8"/>
  <c r="BU76" i="8"/>
  <c r="AH76" i="8"/>
  <c r="AI76" i="8"/>
  <c r="BK72" i="8"/>
  <c r="BV72" i="8" s="1"/>
  <c r="BL72" i="8"/>
  <c r="BM72" i="8"/>
  <c r="BN72" i="8"/>
  <c r="BO72" i="8"/>
  <c r="BP72" i="8"/>
  <c r="BZ72" i="8" s="1"/>
  <c r="BQ72" i="8"/>
  <c r="BR72" i="8"/>
  <c r="BS72" i="8"/>
  <c r="BT72" i="8"/>
  <c r="BU72" i="8"/>
  <c r="AH72" i="8"/>
  <c r="AI72" i="8"/>
  <c r="BK92" i="8"/>
  <c r="BV92" i="8" s="1"/>
  <c r="BL92" i="8"/>
  <c r="BM92" i="8"/>
  <c r="BN92" i="8"/>
  <c r="BO92" i="8"/>
  <c r="BP92" i="8"/>
  <c r="BZ92" i="8" s="1"/>
  <c r="BQ92" i="8"/>
  <c r="BR92" i="8"/>
  <c r="BS92" i="8"/>
  <c r="BT92" i="8"/>
  <c r="BU92" i="8"/>
  <c r="AH92" i="8"/>
  <c r="AI92" i="8"/>
  <c r="BK64" i="8"/>
  <c r="BV64" i="8" s="1"/>
  <c r="BL64" i="8"/>
  <c r="BM64" i="8"/>
  <c r="BN64" i="8"/>
  <c r="BO64" i="8"/>
  <c r="BP64" i="8"/>
  <c r="BZ64" i="8" s="1"/>
  <c r="BQ64" i="8"/>
  <c r="BR64" i="8"/>
  <c r="BS64" i="8"/>
  <c r="BT64" i="8"/>
  <c r="BU64" i="8"/>
  <c r="AH64" i="8"/>
  <c r="AI64" i="8"/>
  <c r="BK60" i="8"/>
  <c r="BV60" i="8" s="1"/>
  <c r="BL60" i="8"/>
  <c r="BM60" i="8"/>
  <c r="BN60" i="8"/>
  <c r="BO60" i="8"/>
  <c r="BP60" i="8"/>
  <c r="BZ60" i="8" s="1"/>
  <c r="BQ60" i="8"/>
  <c r="BR60" i="8"/>
  <c r="BS60" i="8"/>
  <c r="BT60" i="8"/>
  <c r="BU60" i="8"/>
  <c r="AH60" i="8"/>
  <c r="AI60" i="8"/>
  <c r="BK57" i="8"/>
  <c r="BV57" i="8" s="1"/>
  <c r="BL57" i="8"/>
  <c r="BM57" i="8"/>
  <c r="BN57" i="8"/>
  <c r="BO57" i="8"/>
  <c r="BP57" i="8"/>
  <c r="BZ57" i="8" s="1"/>
  <c r="BQ57" i="8"/>
  <c r="BR57" i="8"/>
  <c r="BS57" i="8"/>
  <c r="BT57" i="8"/>
  <c r="BU57" i="8"/>
  <c r="AH57" i="8"/>
  <c r="AI57" i="8"/>
  <c r="BK96" i="8"/>
  <c r="BL96" i="8"/>
  <c r="BM96" i="8"/>
  <c r="BN96" i="8"/>
  <c r="BO96" i="8"/>
  <c r="BP96" i="8"/>
  <c r="BZ96" i="8" s="1"/>
  <c r="BQ96" i="8"/>
  <c r="BR96" i="8"/>
  <c r="BS96" i="8"/>
  <c r="BT96" i="8"/>
  <c r="BU96" i="8"/>
  <c r="AH96" i="8"/>
  <c r="AI96" i="8"/>
  <c r="Z147" i="11"/>
  <c r="AD147" i="11" s="1"/>
  <c r="AB147" i="11"/>
  <c r="AA147" i="11"/>
  <c r="AJ147" i="11" s="1"/>
  <c r="AI147" i="11"/>
  <c r="Y147" i="11"/>
  <c r="Y145" i="11"/>
  <c r="Z145" i="11"/>
  <c r="AD145" i="11" s="1"/>
  <c r="AI145" i="11"/>
  <c r="AB145" i="11"/>
  <c r="AA145" i="11"/>
  <c r="AJ145" i="11" s="1"/>
  <c r="BK69" i="8"/>
  <c r="BV69" i="8" s="1"/>
  <c r="BL69" i="8"/>
  <c r="BM69" i="8"/>
  <c r="BN69" i="8"/>
  <c r="BO69" i="8"/>
  <c r="BP69" i="8"/>
  <c r="BZ69" i="8" s="1"/>
  <c r="BQ69" i="8"/>
  <c r="BR69" i="8"/>
  <c r="BS69" i="8"/>
  <c r="BT69" i="8"/>
  <c r="BU69" i="8"/>
  <c r="AI69" i="8"/>
  <c r="AH69" i="8"/>
  <c r="G34" i="19"/>
  <c r="H34" i="19" s="1"/>
  <c r="S129" i="11"/>
  <c r="R383" i="20"/>
  <c r="AI52" i="8" s="1"/>
  <c r="Q383" i="20"/>
  <c r="AH52" i="8" s="1"/>
  <c r="R386" i="20"/>
  <c r="Q386" i="20"/>
  <c r="R288" i="20"/>
  <c r="AK78" i="8" s="1"/>
  <c r="Q288" i="20"/>
  <c r="AJ78" i="8" s="1"/>
  <c r="Q294" i="20"/>
  <c r="AJ84" i="8" s="1"/>
  <c r="R294" i="20"/>
  <c r="AK84" i="8" s="1"/>
  <c r="Q296" i="20"/>
  <c r="AJ87" i="8" s="1"/>
  <c r="R296" i="20"/>
  <c r="AK87" i="8" s="1"/>
  <c r="R297" i="20"/>
  <c r="AK88" i="8" s="1"/>
  <c r="Q297" i="20"/>
  <c r="AJ88" i="8" s="1"/>
  <c r="Q298" i="20"/>
  <c r="AJ89" i="8" s="1"/>
  <c r="R298" i="20"/>
  <c r="AK89" i="8" s="1"/>
  <c r="N260" i="20"/>
  <c r="X260" i="20" s="1"/>
  <c r="AS71" i="4"/>
  <c r="N261" i="20"/>
  <c r="X261" i="20" s="1"/>
  <c r="AS72" i="4"/>
  <c r="N262" i="20"/>
  <c r="X262" i="20" s="1"/>
  <c r="AS73" i="4"/>
  <c r="N263" i="20"/>
  <c r="X263" i="20" s="1"/>
  <c r="AS74" i="4"/>
  <c r="N264" i="20"/>
  <c r="X264" i="20" s="1"/>
  <c r="AS75" i="4"/>
  <c r="Q264" i="20"/>
  <c r="R264" i="20"/>
  <c r="N255" i="20"/>
  <c r="X255" i="20" s="1"/>
  <c r="AS66" i="4"/>
  <c r="BG84" i="8" s="1"/>
  <c r="BH84" i="8" s="1"/>
  <c r="BI84" i="8" s="1"/>
  <c r="AG84" i="8" s="1"/>
  <c r="BJ84" i="8" s="1"/>
  <c r="X36" i="20"/>
  <c r="BR47" i="8"/>
  <c r="BR58" i="8"/>
  <c r="BR46" i="8"/>
  <c r="BP58" i="8"/>
  <c r="BZ58" i="8" s="1"/>
  <c r="BP47" i="8"/>
  <c r="BZ47" i="8" s="1"/>
  <c r="BP46" i="8"/>
  <c r="BZ46" i="8" s="1"/>
  <c r="X37" i="20"/>
  <c r="BR49" i="8"/>
  <c r="BK46" i="8"/>
  <c r="BV46" i="8" s="1"/>
  <c r="BK47" i="8"/>
  <c r="BV47" i="8" s="1"/>
  <c r="BK58" i="8"/>
  <c r="BV58" i="8" s="1"/>
  <c r="BH66" i="4" l="1"/>
  <c r="CO95" i="8"/>
  <c r="BH40" i="4"/>
  <c r="BG63" i="8"/>
  <c r="BH63" i="8" s="1"/>
  <c r="BI63" i="8" s="1"/>
  <c r="AG63" i="8" s="1"/>
  <c r="BG67" i="8"/>
  <c r="BH67" i="8" s="1"/>
  <c r="BI67" i="8" s="1"/>
  <c r="AG67" i="8" s="1"/>
  <c r="BG66" i="8"/>
  <c r="BH66" i="8" s="1"/>
  <c r="BI66" i="8" s="1"/>
  <c r="AG66" i="8" s="1"/>
  <c r="BJ66" i="8" s="1"/>
  <c r="BG48" i="8"/>
  <c r="BH48" i="8" s="1"/>
  <c r="BI48" i="8" s="1"/>
  <c r="AG48" i="8" s="1"/>
  <c r="BG74" i="8"/>
  <c r="BH74" i="8" s="1"/>
  <c r="BI74" i="8" s="1"/>
  <c r="AG74" i="8" s="1"/>
  <c r="BJ74" i="8" s="1"/>
  <c r="BU56" i="8"/>
  <c r="BV56" i="8"/>
  <c r="BU91" i="8"/>
  <c r="BZ70" i="8"/>
  <c r="BV65" i="8"/>
  <c r="BZ65" i="8"/>
  <c r="BZ88" i="8"/>
  <c r="BV87" i="8"/>
  <c r="BZ87" i="8"/>
  <c r="BV52" i="8"/>
  <c r="BZ52" i="8"/>
  <c r="BZ95" i="8"/>
  <c r="AI46" i="8"/>
  <c r="AI47" i="8"/>
  <c r="AI58" i="8"/>
  <c r="AH46" i="8"/>
  <c r="AH47" i="8"/>
  <c r="AH58" i="8"/>
  <c r="Y76" i="8"/>
  <c r="BX76" i="8"/>
  <c r="AO76" i="8" s="1"/>
  <c r="BW76" i="8"/>
  <c r="BW71" i="8"/>
  <c r="BX71" i="8"/>
  <c r="Y71" i="8"/>
  <c r="AO71" i="8"/>
  <c r="Y63" i="8"/>
  <c r="BW96" i="8"/>
  <c r="BX96" i="8"/>
  <c r="Y96" i="8"/>
  <c r="AO96" i="8"/>
  <c r="BW85" i="8"/>
  <c r="BX85" i="8"/>
  <c r="Y85" i="8"/>
  <c r="AO85" i="8"/>
  <c r="BW80" i="8"/>
  <c r="BX80" i="8"/>
  <c r="Y80" i="8"/>
  <c r="AO80" i="8"/>
  <c r="BW69" i="8"/>
  <c r="BX69" i="8"/>
  <c r="Y69" i="8"/>
  <c r="AO69" i="8"/>
  <c r="BW61" i="8"/>
  <c r="BX61" i="8"/>
  <c r="Y61" i="8"/>
  <c r="AO61" i="8"/>
  <c r="BW55" i="8"/>
  <c r="BX55" i="8"/>
  <c r="Y55" i="8"/>
  <c r="J23" i="18" s="1"/>
  <c r="L23" i="18" s="1"/>
  <c r="AO55" i="8"/>
  <c r="BW47" i="8"/>
  <c r="BX47" i="8"/>
  <c r="Y47" i="8"/>
  <c r="AO47" i="8"/>
  <c r="BW92" i="8"/>
  <c r="BX92" i="8"/>
  <c r="Y92" i="8"/>
  <c r="AO92" i="8"/>
  <c r="BW86" i="8"/>
  <c r="BX86" i="8"/>
  <c r="Y86" i="8"/>
  <c r="AO86" i="8"/>
  <c r="Y73" i="8"/>
  <c r="BX73" i="8"/>
  <c r="AO73" i="8" s="1"/>
  <c r="BW73" i="8"/>
  <c r="Y67" i="8"/>
  <c r="BW60" i="8"/>
  <c r="BX60" i="8"/>
  <c r="AO60" i="8" s="1"/>
  <c r="Y60" i="8"/>
  <c r="BW49" i="8"/>
  <c r="BX49" i="8"/>
  <c r="AO49" i="8" s="1"/>
  <c r="Y49" i="8"/>
  <c r="BW88" i="8"/>
  <c r="BX88" i="8"/>
  <c r="AO88" i="8" s="1"/>
  <c r="Y88" i="8"/>
  <c r="BW83" i="8"/>
  <c r="BX83" i="8"/>
  <c r="AO83" i="8" s="1"/>
  <c r="Y83" i="8"/>
  <c r="Y65" i="8"/>
  <c r="BW59" i="8"/>
  <c r="BX59" i="8"/>
  <c r="AO59" i="8" s="1"/>
  <c r="Y59" i="8"/>
  <c r="BW53" i="8"/>
  <c r="BX53" i="8"/>
  <c r="AO53" i="8" s="1"/>
  <c r="Y53" i="8"/>
  <c r="BW46" i="8"/>
  <c r="BX46" i="8"/>
  <c r="AO46" i="8"/>
  <c r="Y46" i="8"/>
  <c r="BW90" i="8"/>
  <c r="BX90" i="8"/>
  <c r="Y90" i="8"/>
  <c r="AO90" i="8"/>
  <c r="Y75" i="8"/>
  <c r="BX75" i="8"/>
  <c r="AO75" i="8" s="1"/>
  <c r="BW75" i="8"/>
  <c r="BW64" i="8"/>
  <c r="BX64" i="8"/>
  <c r="AO64" i="8"/>
  <c r="Y64" i="8"/>
  <c r="BW57" i="8"/>
  <c r="BX57" i="8"/>
  <c r="Y57" i="8"/>
  <c r="AO57" i="8"/>
  <c r="BW51" i="8"/>
  <c r="BX51" i="8"/>
  <c r="Y51" i="8"/>
  <c r="AO51" i="8"/>
  <c r="BW93" i="8"/>
  <c r="BX93" i="8"/>
  <c r="AO93" i="8"/>
  <c r="Y93" i="8"/>
  <c r="Y72" i="8"/>
  <c r="BX72" i="8"/>
  <c r="AO72" i="8" s="1"/>
  <c r="BW72" i="8"/>
  <c r="Y66" i="8"/>
  <c r="BW58" i="8"/>
  <c r="BX58" i="8"/>
  <c r="AO58" i="8" s="1"/>
  <c r="Y58" i="8"/>
  <c r="Y52" i="8"/>
  <c r="AO95" i="8"/>
  <c r="Y95" i="8"/>
  <c r="BW89" i="8"/>
  <c r="BX89" i="8"/>
  <c r="AO89" i="8" s="1"/>
  <c r="Y89" i="8"/>
  <c r="AI84" i="8"/>
  <c r="AH84" i="8"/>
  <c r="G66" i="19" s="1"/>
  <c r="H66" i="19" s="1"/>
  <c r="BT84" i="8"/>
  <c r="BS84" i="8"/>
  <c r="BR84" i="8"/>
  <c r="BQ84" i="8"/>
  <c r="BP84" i="8"/>
  <c r="BZ84" i="8" s="1"/>
  <c r="BO84" i="8"/>
  <c r="BU84" i="8" s="1"/>
  <c r="BN84" i="8"/>
  <c r="BM84" i="8"/>
  <c r="BL84" i="8"/>
  <c r="BK84" i="8"/>
  <c r="BV84" i="8" s="1"/>
  <c r="Y84" i="8"/>
  <c r="BW79" i="8"/>
  <c r="BX79" i="8"/>
  <c r="AO79" i="8"/>
  <c r="Y79" i="8"/>
  <c r="BW70" i="8"/>
  <c r="BX70" i="8"/>
  <c r="AO70" i="8" s="1"/>
  <c r="Y70" i="8"/>
  <c r="BW62" i="8"/>
  <c r="BX62" i="8"/>
  <c r="Y62" i="8"/>
  <c r="AO62" i="8"/>
  <c r="BW54" i="8"/>
  <c r="BX54" i="8"/>
  <c r="AO54" i="8"/>
  <c r="Y54" i="8"/>
  <c r="Y48" i="8"/>
  <c r="BW94" i="8"/>
  <c r="BX94" i="8"/>
  <c r="Y94" i="8"/>
  <c r="AO94" i="8"/>
  <c r="Y87" i="8"/>
  <c r="BW81" i="8"/>
  <c r="BX81" i="8"/>
  <c r="AO81" i="8"/>
  <c r="Y81" i="8"/>
  <c r="BW78" i="8"/>
  <c r="BX78" i="8"/>
  <c r="Y78" i="8"/>
  <c r="AO78" i="8"/>
  <c r="Y74" i="8"/>
  <c r="BW68" i="8"/>
  <c r="BX68" i="8"/>
  <c r="AO68" i="8" s="1"/>
  <c r="Y68" i="8"/>
  <c r="Y56" i="8"/>
  <c r="BW50" i="8"/>
  <c r="BX50" i="8"/>
  <c r="AO50" i="8" s="1"/>
  <c r="Y50" i="8"/>
  <c r="BW91" i="8"/>
  <c r="BX91" i="8"/>
  <c r="AO91" i="8" s="1"/>
  <c r="Y91" i="8"/>
  <c r="BW82" i="8"/>
  <c r="BX82" i="8"/>
  <c r="AO82" i="8" s="1"/>
  <c r="Y82" i="8"/>
  <c r="CH95" i="8"/>
  <c r="AD95" i="8"/>
  <c r="AE95" i="8"/>
  <c r="AB163" i="11"/>
  <c r="AD163" i="11" s="1"/>
  <c r="N163" i="11" s="1"/>
  <c r="AE163" i="11" s="1"/>
  <c r="AC164" i="11"/>
  <c r="N164" i="11" s="1"/>
  <c r="AE164" i="11" s="1"/>
  <c r="AC163" i="11"/>
  <c r="AB164" i="11"/>
  <c r="AD164" i="11" s="1"/>
  <c r="BH71" i="4"/>
  <c r="BH73" i="4"/>
  <c r="BH74" i="4"/>
  <c r="BI74" i="4" s="1"/>
  <c r="BH75" i="4"/>
  <c r="BI75" i="4" s="1"/>
  <c r="BK75" i="4" s="1"/>
  <c r="BL75" i="4" s="1"/>
  <c r="BH77" i="4"/>
  <c r="BH69" i="4"/>
  <c r="BH5" i="4"/>
  <c r="BH7" i="4"/>
  <c r="BH9" i="4"/>
  <c r="BH10" i="4"/>
  <c r="BH11" i="4"/>
  <c r="BH13" i="4"/>
  <c r="BH15" i="4"/>
  <c r="BH16" i="4"/>
  <c r="BH17" i="4"/>
  <c r="BH18" i="4"/>
  <c r="BH19" i="4"/>
  <c r="BH21" i="4"/>
  <c r="BH23" i="4"/>
  <c r="BH24" i="4"/>
  <c r="BH28" i="4"/>
  <c r="BH29" i="4"/>
  <c r="BH30" i="4"/>
  <c r="BH32" i="4"/>
  <c r="BH33" i="4"/>
  <c r="BH38" i="4"/>
  <c r="BH39" i="4"/>
  <c r="BH46" i="4"/>
  <c r="BH48" i="4"/>
  <c r="BH49" i="4"/>
  <c r="BH50" i="4"/>
  <c r="BH51" i="4"/>
  <c r="BH52" i="4"/>
  <c r="BH53" i="4"/>
  <c r="BH55" i="4"/>
  <c r="BH57" i="4"/>
  <c r="BH58" i="4"/>
  <c r="BH59" i="4"/>
  <c r="BH60" i="4"/>
  <c r="BH61" i="4"/>
  <c r="BH63" i="4"/>
  <c r="BZ73" i="8"/>
  <c r="BZ56" i="8"/>
  <c r="CM95" i="8"/>
  <c r="CL95" i="8"/>
  <c r="CA95" i="8"/>
  <c r="J32" i="18" l="1"/>
  <c r="L32" i="18" s="1"/>
  <c r="BJ63" i="8"/>
  <c r="J54" i="18"/>
  <c r="L54" i="18" s="1"/>
  <c r="BJ67" i="8"/>
  <c r="BO66" i="8"/>
  <c r="BN66" i="8"/>
  <c r="BM66" i="8"/>
  <c r="BL66" i="8"/>
  <c r="BK66" i="8"/>
  <c r="BV66" i="8" s="1"/>
  <c r="AI66" i="8"/>
  <c r="AH66" i="8"/>
  <c r="BT66" i="8"/>
  <c r="BS66" i="8"/>
  <c r="BR66" i="8"/>
  <c r="BQ66" i="8"/>
  <c r="BP66" i="8"/>
  <c r="BZ66" i="8" s="1"/>
  <c r="J12" i="18"/>
  <c r="L12" i="18" s="1"/>
  <c r="BJ48" i="8"/>
  <c r="BP74" i="8"/>
  <c r="BZ74" i="8" s="1"/>
  <c r="BO74" i="8"/>
  <c r="BN74" i="8"/>
  <c r="BM74" i="8"/>
  <c r="BL74" i="8"/>
  <c r="BK74" i="8"/>
  <c r="BV74" i="8" s="1"/>
  <c r="AI74" i="8"/>
  <c r="AH74" i="8"/>
  <c r="BU74" i="8"/>
  <c r="BT74" i="8"/>
  <c r="BS74" i="8"/>
  <c r="BR74" i="8"/>
  <c r="BQ74" i="8"/>
  <c r="BW56" i="8"/>
  <c r="BX56" i="8"/>
  <c r="BW65" i="8"/>
  <c r="BX65" i="8"/>
  <c r="BW87" i="8"/>
  <c r="BX87" i="8"/>
  <c r="BW52" i="8"/>
  <c r="BX52" i="8"/>
  <c r="X76" i="8"/>
  <c r="AN76" i="8"/>
  <c r="AA76" i="8"/>
  <c r="CO76" i="8"/>
  <c r="CL76" i="8"/>
  <c r="CG76" i="8"/>
  <c r="CF76" i="8"/>
  <c r="CD76" i="8"/>
  <c r="W76" i="8" s="1"/>
  <c r="CC76" i="8"/>
  <c r="V76" i="8" s="1"/>
  <c r="CB76" i="8"/>
  <c r="CA76" i="8"/>
  <c r="CI76" i="8" s="1"/>
  <c r="BY76" i="8"/>
  <c r="AA71" i="8"/>
  <c r="AN71" i="8"/>
  <c r="X71" i="8"/>
  <c r="U71" i="8"/>
  <c r="CO71" i="8"/>
  <c r="CL71" i="8"/>
  <c r="CG71" i="8"/>
  <c r="CF71" i="8"/>
  <c r="CD71" i="8"/>
  <c r="W71" i="8" s="1"/>
  <c r="J63" i="18" s="1"/>
  <c r="L63" i="18" s="1"/>
  <c r="CC71" i="8"/>
  <c r="CB71" i="8"/>
  <c r="CA71" i="8"/>
  <c r="CI71" i="8" s="1"/>
  <c r="BY71" i="8"/>
  <c r="AI63" i="8"/>
  <c r="AH63" i="8"/>
  <c r="BT63" i="8"/>
  <c r="BS63" i="8"/>
  <c r="BR63" i="8"/>
  <c r="BQ63" i="8"/>
  <c r="BP63" i="8"/>
  <c r="BZ63" i="8" s="1"/>
  <c r="BO63" i="8"/>
  <c r="BU63" i="8" s="1"/>
  <c r="BN63" i="8"/>
  <c r="BM63" i="8"/>
  <c r="BL63" i="8"/>
  <c r="BK63" i="8"/>
  <c r="BV63" i="8" s="1"/>
  <c r="Z96" i="8"/>
  <c r="CK96" i="8" s="1"/>
  <c r="X96" i="8"/>
  <c r="T96" i="8"/>
  <c r="AN96" i="8"/>
  <c r="AB96" i="8"/>
  <c r="AA96" i="8"/>
  <c r="U96" i="8"/>
  <c r="G94" i="19" s="1"/>
  <c r="H94" i="19" s="1"/>
  <c r="G22" i="19" s="1"/>
  <c r="H22" i="19" s="1"/>
  <c r="CO96" i="8"/>
  <c r="CL96" i="8"/>
  <c r="CG96" i="8"/>
  <c r="CF96" i="8"/>
  <c r="CD96" i="8"/>
  <c r="W96" i="8" s="1"/>
  <c r="CC96" i="8"/>
  <c r="V96" i="8" s="1"/>
  <c r="CB96" i="8"/>
  <c r="CA96" i="8"/>
  <c r="CI96" i="8" s="1"/>
  <c r="BY96" i="8"/>
  <c r="AA85" i="8"/>
  <c r="AN85" i="8"/>
  <c r="X85" i="8"/>
  <c r="G73" i="19" s="1"/>
  <c r="H73" i="19" s="1"/>
  <c r="CL85" i="8"/>
  <c r="CO85" i="8"/>
  <c r="CG85" i="8"/>
  <c r="CF85" i="8"/>
  <c r="CD85" i="8"/>
  <c r="W85" i="8" s="1"/>
  <c r="CC85" i="8"/>
  <c r="V85" i="8" s="1"/>
  <c r="CB85" i="8"/>
  <c r="CA85" i="8"/>
  <c r="CI85" i="8" s="1"/>
  <c r="BY85" i="8"/>
  <c r="AN80" i="8"/>
  <c r="AA80" i="8"/>
  <c r="X80" i="8"/>
  <c r="G49" i="19" s="1"/>
  <c r="H49" i="19" s="1"/>
  <c r="CL80" i="8"/>
  <c r="CO80" i="8"/>
  <c r="CG80" i="8"/>
  <c r="CF80" i="8"/>
  <c r="CD80" i="8"/>
  <c r="W80" i="8" s="1"/>
  <c r="CC80" i="8"/>
  <c r="V80" i="8" s="1"/>
  <c r="CB80" i="8"/>
  <c r="CA80" i="8"/>
  <c r="CI80" i="8" s="1"/>
  <c r="BY80" i="8"/>
  <c r="AA69" i="8"/>
  <c r="U69" i="8"/>
  <c r="CO69" i="8"/>
  <c r="AN69" i="8"/>
  <c r="X69" i="8"/>
  <c r="CL69" i="8"/>
  <c r="CG69" i="8"/>
  <c r="CF69" i="8"/>
  <c r="CD69" i="8"/>
  <c r="W69" i="8" s="1"/>
  <c r="J60" i="18" s="1"/>
  <c r="L60" i="18" s="1"/>
  <c r="CC69" i="8"/>
  <c r="CB69" i="8"/>
  <c r="CA69" i="8"/>
  <c r="CI69" i="8" s="1"/>
  <c r="BY69" i="8"/>
  <c r="AN61" i="8"/>
  <c r="AA61" i="8"/>
  <c r="X61" i="8"/>
  <c r="CO61" i="8"/>
  <c r="CL61" i="8"/>
  <c r="CG61" i="8"/>
  <c r="CF61" i="8"/>
  <c r="CD61" i="8"/>
  <c r="W61" i="8" s="1"/>
  <c r="CC61" i="8"/>
  <c r="V61" i="8" s="1"/>
  <c r="CB61" i="8"/>
  <c r="CA61" i="8"/>
  <c r="CI61" i="8" s="1"/>
  <c r="BY61" i="8"/>
  <c r="AN55" i="8"/>
  <c r="AA55" i="8"/>
  <c r="X55" i="8"/>
  <c r="CO55" i="8"/>
  <c r="CL55" i="8"/>
  <c r="CG55" i="8"/>
  <c r="CF55" i="8"/>
  <c r="CD55" i="8"/>
  <c r="W55" i="8" s="1"/>
  <c r="CC55" i="8"/>
  <c r="V55" i="8" s="1"/>
  <c r="CB55" i="8"/>
  <c r="CA55" i="8"/>
  <c r="BY55" i="8"/>
  <c r="AN47" i="8"/>
  <c r="X47" i="8"/>
  <c r="CO47" i="8"/>
  <c r="CL47" i="8"/>
  <c r="CG47" i="8"/>
  <c r="CF47" i="8"/>
  <c r="CD47" i="8"/>
  <c r="W47" i="8" s="1"/>
  <c r="CC47" i="8"/>
  <c r="V47" i="8" s="1"/>
  <c r="CB47" i="8"/>
  <c r="CA47" i="8"/>
  <c r="CI47" i="8" s="1"/>
  <c r="BY47" i="8"/>
  <c r="Z92" i="8"/>
  <c r="CK92" i="8" s="1"/>
  <c r="T92" i="8"/>
  <c r="AN92" i="8"/>
  <c r="AB92" i="8"/>
  <c r="G90" i="19" s="1"/>
  <c r="H90" i="19" s="1"/>
  <c r="AA92" i="8"/>
  <c r="X92" i="8"/>
  <c r="U92" i="8"/>
  <c r="CL92" i="8"/>
  <c r="CO92" i="8"/>
  <c r="CG92" i="8"/>
  <c r="CF92" i="8"/>
  <c r="CD92" i="8"/>
  <c r="W92" i="8" s="1"/>
  <c r="CC92" i="8"/>
  <c r="V92" i="8" s="1"/>
  <c r="CB92" i="8"/>
  <c r="CA92" i="8"/>
  <c r="CI92" i="8" s="1"/>
  <c r="BY92" i="8"/>
  <c r="CO86" i="8"/>
  <c r="AN86" i="8"/>
  <c r="AA86" i="8"/>
  <c r="X86" i="8"/>
  <c r="CL86" i="8"/>
  <c r="CG86" i="8"/>
  <c r="CF86" i="8"/>
  <c r="CD86" i="8"/>
  <c r="W86" i="8" s="1"/>
  <c r="CC86" i="8"/>
  <c r="V86" i="8" s="1"/>
  <c r="CB86" i="8"/>
  <c r="CA86" i="8"/>
  <c r="CI86" i="8" s="1"/>
  <c r="BY86" i="8"/>
  <c r="AA73" i="8"/>
  <c r="U73" i="8"/>
  <c r="CO73" i="8"/>
  <c r="AN73" i="8"/>
  <c r="X73" i="8"/>
  <c r="CL73" i="8"/>
  <c r="CG73" i="8"/>
  <c r="CF73" i="8"/>
  <c r="CD73" i="8"/>
  <c r="W73" i="8" s="1"/>
  <c r="J66" i="18" s="1"/>
  <c r="L66" i="18" s="1"/>
  <c r="CC73" i="8"/>
  <c r="CB73" i="8"/>
  <c r="CA73" i="8"/>
  <c r="CI73" i="8" s="1"/>
  <c r="BY73" i="8"/>
  <c r="AH67" i="8"/>
  <c r="AI67" i="8"/>
  <c r="BU67" i="8"/>
  <c r="BT67" i="8"/>
  <c r="BS67" i="8"/>
  <c r="BR67" i="8"/>
  <c r="BQ67" i="8"/>
  <c r="BP67" i="8"/>
  <c r="BZ67" i="8" s="1"/>
  <c r="BO67" i="8"/>
  <c r="BN67" i="8"/>
  <c r="BM67" i="8"/>
  <c r="BL67" i="8"/>
  <c r="BK67" i="8"/>
  <c r="BV67" i="8" s="1"/>
  <c r="AA60" i="8"/>
  <c r="X60" i="8"/>
  <c r="AN60" i="8"/>
  <c r="CO60" i="8"/>
  <c r="CL60" i="8"/>
  <c r="CG60" i="8"/>
  <c r="CF60" i="8"/>
  <c r="CD60" i="8"/>
  <c r="W60" i="8" s="1"/>
  <c r="CC60" i="8"/>
  <c r="V60" i="8" s="1"/>
  <c r="CB60" i="8"/>
  <c r="CA60" i="8"/>
  <c r="CI60" i="8" s="1"/>
  <c r="BY60" i="8"/>
  <c r="AN49" i="8"/>
  <c r="AA49" i="8"/>
  <c r="X49" i="8"/>
  <c r="CO49" i="8"/>
  <c r="CL49" i="8"/>
  <c r="CG49" i="8"/>
  <c r="CF49" i="8"/>
  <c r="CD49" i="8"/>
  <c r="W49" i="8" s="1"/>
  <c r="CC49" i="8"/>
  <c r="V49" i="8" s="1"/>
  <c r="CB49" i="8"/>
  <c r="CA49" i="8"/>
  <c r="BY49" i="8"/>
  <c r="AA88" i="8"/>
  <c r="CL88" i="8"/>
  <c r="AN88" i="8"/>
  <c r="X88" i="8"/>
  <c r="G81" i="19" s="1"/>
  <c r="H81" i="19" s="1"/>
  <c r="CO88" i="8"/>
  <c r="CG88" i="8"/>
  <c r="CF88" i="8"/>
  <c r="CD88" i="8"/>
  <c r="W88" i="8" s="1"/>
  <c r="CC88" i="8"/>
  <c r="V88" i="8" s="1"/>
  <c r="CB88" i="8"/>
  <c r="CA88" i="8"/>
  <c r="BY88" i="8"/>
  <c r="U83" i="8"/>
  <c r="CL83" i="8"/>
  <c r="AN83" i="8"/>
  <c r="AA83" i="8"/>
  <c r="X83" i="8"/>
  <c r="G63" i="19" s="1"/>
  <c r="H63" i="19" s="1"/>
  <c r="CO83" i="8"/>
  <c r="CG83" i="8"/>
  <c r="CF83" i="8"/>
  <c r="CD83" i="8"/>
  <c r="W83" i="8" s="1"/>
  <c r="G62" i="19" s="1"/>
  <c r="H62" i="19" s="1"/>
  <c r="CC83" i="8"/>
  <c r="CB83" i="8"/>
  <c r="CA83" i="8"/>
  <c r="CI83" i="8" s="1"/>
  <c r="BY83" i="8"/>
  <c r="AN59" i="8"/>
  <c r="AA59" i="8"/>
  <c r="X59" i="8"/>
  <c r="CO59" i="8"/>
  <c r="CL59" i="8"/>
  <c r="CG59" i="8"/>
  <c r="CF59" i="8"/>
  <c r="CD59" i="8"/>
  <c r="W59" i="8" s="1"/>
  <c r="CC59" i="8"/>
  <c r="V59" i="8" s="1"/>
  <c r="CB59" i="8"/>
  <c r="CA59" i="8"/>
  <c r="BY59" i="8"/>
  <c r="CO53" i="8"/>
  <c r="AN53" i="8"/>
  <c r="AA53" i="8"/>
  <c r="X53" i="8"/>
  <c r="CL53" i="8"/>
  <c r="CG53" i="8"/>
  <c r="CF53" i="8"/>
  <c r="CD53" i="8"/>
  <c r="W53" i="8" s="1"/>
  <c r="CC53" i="8"/>
  <c r="V53" i="8" s="1"/>
  <c r="CB53" i="8"/>
  <c r="CA53" i="8"/>
  <c r="BY53" i="8"/>
  <c r="AA46" i="8"/>
  <c r="AN46" i="8"/>
  <c r="X46" i="8"/>
  <c r="CO46" i="8"/>
  <c r="CL46" i="8"/>
  <c r="CG46" i="8"/>
  <c r="CF46" i="8"/>
  <c r="CD46" i="8"/>
  <c r="W46" i="8" s="1"/>
  <c r="CC46" i="8"/>
  <c r="V46" i="8" s="1"/>
  <c r="CB46" i="8"/>
  <c r="CA46" i="8"/>
  <c r="BY46" i="8"/>
  <c r="AN90" i="8"/>
  <c r="AA90" i="8"/>
  <c r="X90" i="8"/>
  <c r="CO90" i="8"/>
  <c r="CL90" i="8"/>
  <c r="CG90" i="8"/>
  <c r="CF90" i="8"/>
  <c r="CD90" i="8"/>
  <c r="W90" i="8" s="1"/>
  <c r="CC90" i="8"/>
  <c r="V90" i="8" s="1"/>
  <c r="CB90" i="8"/>
  <c r="CA90" i="8"/>
  <c r="CI90" i="8" s="1"/>
  <c r="BY90" i="8"/>
  <c r="AA75" i="8"/>
  <c r="AN75" i="8"/>
  <c r="X75" i="8"/>
  <c r="CO75" i="8"/>
  <c r="CL75" i="8"/>
  <c r="CG75" i="8"/>
  <c r="CF75" i="8"/>
  <c r="CD75" i="8"/>
  <c r="W75" i="8" s="1"/>
  <c r="CC75" i="8"/>
  <c r="V75" i="8" s="1"/>
  <c r="CB75" i="8"/>
  <c r="CA75" i="8"/>
  <c r="CI75" i="8" s="1"/>
  <c r="BY75" i="8"/>
  <c r="AA64" i="8"/>
  <c r="X64" i="8"/>
  <c r="J35" i="18" s="1"/>
  <c r="L35" i="18" s="1"/>
  <c r="AN64" i="8"/>
  <c r="CO64" i="8"/>
  <c r="CL64" i="8"/>
  <c r="CG64" i="8"/>
  <c r="CF64" i="8"/>
  <c r="CD64" i="8"/>
  <c r="W64" i="8" s="1"/>
  <c r="CC64" i="8"/>
  <c r="V64" i="8" s="1"/>
  <c r="CB64" i="8"/>
  <c r="CA64" i="8"/>
  <c r="BY64" i="8"/>
  <c r="AN57" i="8"/>
  <c r="AA57" i="8"/>
  <c r="X57" i="8"/>
  <c r="CO57" i="8"/>
  <c r="CL57" i="8"/>
  <c r="CG57" i="8"/>
  <c r="CF57" i="8"/>
  <c r="CD57" i="8"/>
  <c r="W57" i="8" s="1"/>
  <c r="CC57" i="8"/>
  <c r="V57" i="8" s="1"/>
  <c r="CB57" i="8"/>
  <c r="CA57" i="8"/>
  <c r="BY57" i="8"/>
  <c r="AN51" i="8"/>
  <c r="AA51" i="8"/>
  <c r="X51" i="8"/>
  <c r="CO51" i="8"/>
  <c r="CL51" i="8"/>
  <c r="CG51" i="8"/>
  <c r="CF51" i="8"/>
  <c r="CD51" i="8"/>
  <c r="W51" i="8" s="1"/>
  <c r="CC51" i="8"/>
  <c r="V51" i="8" s="1"/>
  <c r="CB51" i="8"/>
  <c r="CA51" i="8"/>
  <c r="BY51" i="8"/>
  <c r="AB93" i="8"/>
  <c r="G91" i="19" s="1"/>
  <c r="H91" i="19" s="1"/>
  <c r="AA93" i="8"/>
  <c r="U93" i="8"/>
  <c r="AN93" i="8"/>
  <c r="Z93" i="8"/>
  <c r="CK93" i="8" s="1"/>
  <c r="X93" i="8"/>
  <c r="T93" i="8"/>
  <c r="CO93" i="8"/>
  <c r="CL93" i="8"/>
  <c r="CG93" i="8"/>
  <c r="CF93" i="8"/>
  <c r="CD93" i="8"/>
  <c r="W93" i="8" s="1"/>
  <c r="CC93" i="8"/>
  <c r="V93" i="8" s="1"/>
  <c r="CB93" i="8"/>
  <c r="CA93" i="8"/>
  <c r="CI93" i="8" s="1"/>
  <c r="BY93" i="8"/>
  <c r="X72" i="8"/>
  <c r="AN72" i="8"/>
  <c r="AA72" i="8"/>
  <c r="CO72" i="8"/>
  <c r="CL72" i="8"/>
  <c r="CG72" i="8"/>
  <c r="CF72" i="8"/>
  <c r="CD72" i="8"/>
  <c r="W72" i="8" s="1"/>
  <c r="CC72" i="8"/>
  <c r="V72" i="8" s="1"/>
  <c r="CB72" i="8"/>
  <c r="CA72" i="8"/>
  <c r="CI72" i="8" s="1"/>
  <c r="BY72" i="8"/>
  <c r="AA58" i="8"/>
  <c r="X58" i="8"/>
  <c r="AN58" i="8"/>
  <c r="CO58" i="8"/>
  <c r="CL58" i="8"/>
  <c r="CG58" i="8"/>
  <c r="CF58" i="8"/>
  <c r="CD58" i="8"/>
  <c r="W58" i="8" s="1"/>
  <c r="CC58" i="8"/>
  <c r="V58" i="8" s="1"/>
  <c r="CB58" i="8"/>
  <c r="CA58" i="8"/>
  <c r="BY58" i="8"/>
  <c r="AN89" i="8"/>
  <c r="AA89" i="8"/>
  <c r="X89" i="8"/>
  <c r="G85" i="19" s="1"/>
  <c r="H85" i="19" s="1"/>
  <c r="CL89" i="8"/>
  <c r="CO89" i="8"/>
  <c r="CG89" i="8"/>
  <c r="CF89" i="8"/>
  <c r="CD89" i="8"/>
  <c r="W89" i="8" s="1"/>
  <c r="CC89" i="8"/>
  <c r="V89" i="8" s="1"/>
  <c r="CB89" i="8"/>
  <c r="CA89" i="8"/>
  <c r="BY89" i="8"/>
  <c r="BX84" i="8"/>
  <c r="BW84" i="8"/>
  <c r="CO79" i="8"/>
  <c r="CL79" i="8"/>
  <c r="AN79" i="8"/>
  <c r="X79" i="8"/>
  <c r="G44" i="19" s="1"/>
  <c r="H44" i="19" s="1"/>
  <c r="CG79" i="8"/>
  <c r="CF79" i="8"/>
  <c r="CD79" i="8"/>
  <c r="W79" i="8" s="1"/>
  <c r="CC79" i="8"/>
  <c r="V79" i="8" s="1"/>
  <c r="CB79" i="8"/>
  <c r="CA79" i="8"/>
  <c r="CI79" i="8" s="1"/>
  <c r="BY79" i="8"/>
  <c r="X70" i="8"/>
  <c r="AN70" i="8"/>
  <c r="AA70" i="8"/>
  <c r="CO70" i="8"/>
  <c r="CL70" i="8"/>
  <c r="CG70" i="8"/>
  <c r="CF70" i="8"/>
  <c r="CD70" i="8"/>
  <c r="W70" i="8" s="1"/>
  <c r="CC70" i="8"/>
  <c r="V70" i="8" s="1"/>
  <c r="CB70" i="8"/>
  <c r="CA70" i="8"/>
  <c r="CI70" i="8" s="1"/>
  <c r="BY70" i="8"/>
  <c r="AA62" i="8"/>
  <c r="X62" i="8"/>
  <c r="AN62" i="8"/>
  <c r="CO62" i="8"/>
  <c r="CL62" i="8"/>
  <c r="CG62" i="8"/>
  <c r="CF62" i="8"/>
  <c r="CD62" i="8"/>
  <c r="W62" i="8" s="1"/>
  <c r="CC62" i="8"/>
  <c r="V62" i="8" s="1"/>
  <c r="CB62" i="8"/>
  <c r="CA62" i="8"/>
  <c r="CI62" i="8" s="1"/>
  <c r="BY62" i="8"/>
  <c r="AA54" i="8"/>
  <c r="X54" i="8"/>
  <c r="AN54" i="8"/>
  <c r="CO54" i="8"/>
  <c r="CL54" i="8"/>
  <c r="CG54" i="8"/>
  <c r="CF54" i="8"/>
  <c r="CD54" i="8"/>
  <c r="W54" i="8" s="1"/>
  <c r="CC54" i="8"/>
  <c r="V54" i="8" s="1"/>
  <c r="CB54" i="8"/>
  <c r="CA54" i="8"/>
  <c r="BY54" i="8"/>
  <c r="X94" i="8"/>
  <c r="U94" i="8"/>
  <c r="T94" i="8"/>
  <c r="AN94" i="8"/>
  <c r="AB94" i="8"/>
  <c r="G92" i="19" s="1"/>
  <c r="H92" i="19" s="1"/>
  <c r="AA94" i="8"/>
  <c r="Z94" i="8"/>
  <c r="CK94" i="8" s="1"/>
  <c r="CO94" i="8"/>
  <c r="CL94" i="8"/>
  <c r="CG94" i="8"/>
  <c r="CF94" i="8"/>
  <c r="CD94" i="8"/>
  <c r="W94" i="8" s="1"/>
  <c r="CC94" i="8"/>
  <c r="V94" i="8" s="1"/>
  <c r="CB94" i="8"/>
  <c r="CA94" i="8"/>
  <c r="CI94" i="8" s="1"/>
  <c r="BY94" i="8"/>
  <c r="AA81" i="8"/>
  <c r="AN81" i="8"/>
  <c r="X81" i="8"/>
  <c r="G53" i="19" s="1"/>
  <c r="H53" i="19" s="1"/>
  <c r="CO81" i="8"/>
  <c r="CL81" i="8"/>
  <c r="CG81" i="8"/>
  <c r="CF81" i="8"/>
  <c r="CD81" i="8"/>
  <c r="W81" i="8" s="1"/>
  <c r="CC81" i="8"/>
  <c r="V81" i="8" s="1"/>
  <c r="CB81" i="8"/>
  <c r="CA81" i="8"/>
  <c r="CI81" i="8" s="1"/>
  <c r="BY81" i="8"/>
  <c r="AN78" i="8"/>
  <c r="AA78" i="8"/>
  <c r="X78" i="8"/>
  <c r="G40" i="19" s="1"/>
  <c r="H40" i="19" s="1"/>
  <c r="CL78" i="8"/>
  <c r="CO78" i="8"/>
  <c r="CG78" i="8"/>
  <c r="CF78" i="8"/>
  <c r="CD78" i="8"/>
  <c r="W78" i="8" s="1"/>
  <c r="CC78" i="8"/>
  <c r="V78" i="8" s="1"/>
  <c r="CB78" i="8"/>
  <c r="CA78" i="8"/>
  <c r="BY78" i="8"/>
  <c r="AA68" i="8"/>
  <c r="X68" i="8"/>
  <c r="AN68" i="8"/>
  <c r="CO68" i="8"/>
  <c r="CL68" i="8"/>
  <c r="CG68" i="8"/>
  <c r="CF68" i="8"/>
  <c r="CD68" i="8"/>
  <c r="W68" i="8" s="1"/>
  <c r="CC68" i="8"/>
  <c r="V68" i="8" s="1"/>
  <c r="CB68" i="8"/>
  <c r="Z68" i="8" s="1"/>
  <c r="CK68" i="8" s="1"/>
  <c r="CA68" i="8"/>
  <c r="CI68" i="8" s="1"/>
  <c r="BY68" i="8"/>
  <c r="AA50" i="8"/>
  <c r="X50" i="8"/>
  <c r="AN50" i="8"/>
  <c r="CO50" i="8"/>
  <c r="CL50" i="8"/>
  <c r="CG50" i="8"/>
  <c r="CF50" i="8"/>
  <c r="CD50" i="8"/>
  <c r="W50" i="8" s="1"/>
  <c r="CC50" i="8"/>
  <c r="V50" i="8" s="1"/>
  <c r="CB50" i="8"/>
  <c r="CA50" i="8"/>
  <c r="BY50" i="8"/>
  <c r="AA91" i="8"/>
  <c r="X91" i="8"/>
  <c r="CL91" i="8"/>
  <c r="AN91" i="8"/>
  <c r="CO91" i="8"/>
  <c r="CG91" i="8"/>
  <c r="CF91" i="8"/>
  <c r="CD91" i="8"/>
  <c r="W91" i="8" s="1"/>
  <c r="CC91" i="8"/>
  <c r="V91" i="8" s="1"/>
  <c r="CB91" i="8"/>
  <c r="CA91" i="8"/>
  <c r="CI91" i="8" s="1"/>
  <c r="BY91" i="8"/>
  <c r="AA82" i="8"/>
  <c r="AN82" i="8"/>
  <c r="X82" i="8"/>
  <c r="G58" i="19" s="1"/>
  <c r="H58" i="19" s="1"/>
  <c r="U82" i="8"/>
  <c r="CO82" i="8"/>
  <c r="CL82" i="8"/>
  <c r="CG82" i="8"/>
  <c r="CF82" i="8"/>
  <c r="CD82" i="8"/>
  <c r="W82" i="8" s="1"/>
  <c r="G57" i="19" s="1"/>
  <c r="H57" i="19" s="1"/>
  <c r="CC82" i="8"/>
  <c r="CB82" i="8"/>
  <c r="CA82" i="8"/>
  <c r="CI82" i="8" s="1"/>
  <c r="BY82" i="8"/>
  <c r="P163" i="11"/>
  <c r="G127" i="19" s="1"/>
  <c r="H127" i="19" s="1"/>
  <c r="Q163" i="11"/>
  <c r="O163" i="11"/>
  <c r="O164" i="11"/>
  <c r="P164" i="11"/>
  <c r="Q164" i="11"/>
  <c r="BK74" i="4"/>
  <c r="BL74" i="4" s="1"/>
  <c r="AE138" i="11"/>
  <c r="AE141" i="11"/>
  <c r="AE145" i="11"/>
  <c r="AF145" i="11" s="1"/>
  <c r="AE139" i="11"/>
  <c r="AE137" i="11"/>
  <c r="AE147" i="11"/>
  <c r="AF147" i="11" s="1"/>
  <c r="AE140" i="11"/>
  <c r="AE142" i="11"/>
  <c r="AE136" i="11"/>
  <c r="AE143" i="11"/>
  <c r="CI95" i="8"/>
  <c r="CJ95" i="8"/>
  <c r="AC95" i="8" s="1"/>
  <c r="BW74" i="8" l="1"/>
  <c r="BX74" i="8"/>
  <c r="BU66" i="8"/>
  <c r="BX66" i="8"/>
  <c r="BW66" i="8"/>
  <c r="BP48" i="8"/>
  <c r="BZ48" i="8" s="1"/>
  <c r="BQ48" i="8"/>
  <c r="BR48" i="8"/>
  <c r="BS48" i="8"/>
  <c r="BT48" i="8"/>
  <c r="AI48" i="8"/>
  <c r="BL48" i="8"/>
  <c r="BK48" i="8"/>
  <c r="BV48" i="8" s="1"/>
  <c r="BM48" i="8"/>
  <c r="BN48" i="8"/>
  <c r="AH48" i="8"/>
  <c r="BO48" i="8"/>
  <c r="BU48" i="8" s="1"/>
  <c r="AO56" i="8"/>
  <c r="X56" i="8"/>
  <c r="CO56" i="8"/>
  <c r="CL56" i="8"/>
  <c r="CG56" i="8"/>
  <c r="CF56" i="8"/>
  <c r="CD56" i="8"/>
  <c r="W56" i="8" s="1"/>
  <c r="CC56" i="8"/>
  <c r="V56" i="8" s="1"/>
  <c r="CB56" i="8"/>
  <c r="CA56" i="8"/>
  <c r="BY56" i="8"/>
  <c r="AN56" i="8"/>
  <c r="AA56" i="8"/>
  <c r="AO65" i="8"/>
  <c r="AN65" i="8"/>
  <c r="AA65" i="8"/>
  <c r="X65" i="8"/>
  <c r="CO65" i="8"/>
  <c r="CL65" i="8"/>
  <c r="CG65" i="8"/>
  <c r="CF65" i="8"/>
  <c r="CD65" i="8"/>
  <c r="W65" i="8" s="1"/>
  <c r="CB65" i="8"/>
  <c r="CA65" i="8"/>
  <c r="CI65" i="8" s="1"/>
  <c r="BY65" i="8"/>
  <c r="CC65" i="8"/>
  <c r="V65" i="8" s="1"/>
  <c r="AO87" i="8"/>
  <c r="CG87" i="8"/>
  <c r="CC87" i="8"/>
  <c r="V87" i="8" s="1"/>
  <c r="CB87" i="8"/>
  <c r="CA87" i="8"/>
  <c r="BY87" i="8"/>
  <c r="X87" i="8"/>
  <c r="G77" i="19" s="1"/>
  <c r="H77" i="19" s="1"/>
  <c r="CF87" i="8"/>
  <c r="AA87" i="8"/>
  <c r="AN87" i="8"/>
  <c r="CD87" i="8"/>
  <c r="W87" i="8" s="1"/>
  <c r="CO87" i="8"/>
  <c r="CL87" i="8"/>
  <c r="AO52" i="8"/>
  <c r="AA52" i="8"/>
  <c r="CA52" i="8"/>
  <c r="BY52" i="8"/>
  <c r="CC52" i="8"/>
  <c r="V52" i="8" s="1"/>
  <c r="CD52" i="8"/>
  <c r="W52" i="8" s="1"/>
  <c r="CF52" i="8"/>
  <c r="CB52" i="8"/>
  <c r="CM52" i="8" s="1"/>
  <c r="CO52" i="8"/>
  <c r="CG52" i="8"/>
  <c r="AN52" i="8"/>
  <c r="X52" i="8"/>
  <c r="CL52" i="8"/>
  <c r="CI64" i="8"/>
  <c r="Z64" i="8"/>
  <c r="CK64" i="8" s="1"/>
  <c r="T64" i="8"/>
  <c r="U64" i="8"/>
  <c r="J34" i="18" s="1"/>
  <c r="L34" i="18" s="1"/>
  <c r="CH76" i="8"/>
  <c r="AE76" i="8"/>
  <c r="AD76" i="8"/>
  <c r="CH71" i="8"/>
  <c r="AD71" i="8"/>
  <c r="AE71" i="8"/>
  <c r="BX63" i="8"/>
  <c r="BW63" i="8"/>
  <c r="CH96" i="8"/>
  <c r="AD96" i="8"/>
  <c r="AE96" i="8"/>
  <c r="CH85" i="8"/>
  <c r="AD85" i="8"/>
  <c r="AE85" i="8"/>
  <c r="CH80" i="8"/>
  <c r="AD80" i="8"/>
  <c r="AE80" i="8"/>
  <c r="CH69" i="8"/>
  <c r="AD69" i="8"/>
  <c r="AE69" i="8"/>
  <c r="CH61" i="8"/>
  <c r="AD61" i="8"/>
  <c r="AE61" i="8"/>
  <c r="CH55" i="8"/>
  <c r="AD55" i="8"/>
  <c r="AE55" i="8"/>
  <c r="CH47" i="8"/>
  <c r="AD47" i="8"/>
  <c r="AE47" i="8"/>
  <c r="CH92" i="8"/>
  <c r="AD92" i="8"/>
  <c r="AE92" i="8"/>
  <c r="CH86" i="8"/>
  <c r="AD86" i="8"/>
  <c r="AE86" i="8"/>
  <c r="CH73" i="8"/>
  <c r="AD73" i="8"/>
  <c r="T73" i="8" s="1"/>
  <c r="AE73" i="8"/>
  <c r="BX67" i="8"/>
  <c r="BW67" i="8"/>
  <c r="CH60" i="8"/>
  <c r="AD60" i="8"/>
  <c r="AE60" i="8"/>
  <c r="CH49" i="8"/>
  <c r="AD49" i="8"/>
  <c r="AE49" i="8"/>
  <c r="CH88" i="8"/>
  <c r="AD88" i="8"/>
  <c r="AE88" i="8"/>
  <c r="CH83" i="8"/>
  <c r="AD83" i="8"/>
  <c r="T83" i="8" s="1"/>
  <c r="AE83" i="8"/>
  <c r="CH59" i="8"/>
  <c r="AD59" i="8"/>
  <c r="AE59" i="8"/>
  <c r="CH53" i="8"/>
  <c r="AE53" i="8" s="1"/>
  <c r="AD53" i="8"/>
  <c r="CH46" i="8"/>
  <c r="AD46" i="8"/>
  <c r="AE46" i="8"/>
  <c r="CH90" i="8"/>
  <c r="AD90" i="8"/>
  <c r="AE90" i="8"/>
  <c r="CH75" i="8"/>
  <c r="AD75" i="8"/>
  <c r="AE75" i="8"/>
  <c r="CH64" i="8"/>
  <c r="AD64" i="8"/>
  <c r="AE64" i="8"/>
  <c r="CH57" i="8"/>
  <c r="AD57" i="8"/>
  <c r="AE57" i="8"/>
  <c r="CH51" i="8"/>
  <c r="AE51" i="8" s="1"/>
  <c r="AD51" i="8"/>
  <c r="CH93" i="8"/>
  <c r="AD93" i="8"/>
  <c r="AE93" i="8"/>
  <c r="CH72" i="8"/>
  <c r="AD72" i="8"/>
  <c r="AE72" i="8"/>
  <c r="CH58" i="8"/>
  <c r="AD58" i="8"/>
  <c r="AE58" i="8"/>
  <c r="CH52" i="8"/>
  <c r="AD52" i="8"/>
  <c r="AE52" i="8"/>
  <c r="CH89" i="8"/>
  <c r="AD89" i="8"/>
  <c r="AE89" i="8"/>
  <c r="AO84" i="8"/>
  <c r="AN84" i="8"/>
  <c r="AA84" i="8"/>
  <c r="X84" i="8"/>
  <c r="G68" i="19" s="1"/>
  <c r="H68" i="19" s="1"/>
  <c r="CL84" i="8"/>
  <c r="CO84" i="8"/>
  <c r="CG84" i="8"/>
  <c r="CF84" i="8"/>
  <c r="CD84" i="8"/>
  <c r="W84" i="8" s="1"/>
  <c r="CC84" i="8"/>
  <c r="V84" i="8" s="1"/>
  <c r="CB84" i="8"/>
  <c r="CA84" i="8"/>
  <c r="BY84" i="8"/>
  <c r="CH79" i="8"/>
  <c r="AD79" i="8"/>
  <c r="AE79" i="8"/>
  <c r="CH70" i="8"/>
  <c r="AD70" i="8"/>
  <c r="AE70" i="8"/>
  <c r="CH62" i="8"/>
  <c r="CH54" i="8"/>
  <c r="AD54" i="8"/>
  <c r="AE54" i="8"/>
  <c r="CH94" i="8"/>
  <c r="AD94" i="8"/>
  <c r="AE94" i="8"/>
  <c r="CH81" i="8"/>
  <c r="AD81" i="8"/>
  <c r="AE81" i="8"/>
  <c r="CH78" i="8"/>
  <c r="AD78" i="8"/>
  <c r="AE78" i="8"/>
  <c r="CH68" i="8"/>
  <c r="AD68" i="8"/>
  <c r="AE68" i="8"/>
  <c r="CH50" i="8"/>
  <c r="AD50" i="8" s="1"/>
  <c r="AE50" i="8"/>
  <c r="CH91" i="8"/>
  <c r="AD91" i="8"/>
  <c r="AE91" i="8"/>
  <c r="CH82" i="8"/>
  <c r="AE82" i="8"/>
  <c r="AD82" i="8"/>
  <c r="AH145" i="11"/>
  <c r="AG145" i="11"/>
  <c r="J145" i="11"/>
  <c r="K28" i="18" s="1"/>
  <c r="P145" i="11"/>
  <c r="O145" i="11"/>
  <c r="J28" i="18" s="1"/>
  <c r="L28" i="18" s="1"/>
  <c r="AH147" i="11"/>
  <c r="O147" i="11"/>
  <c r="G123" i="19" s="1"/>
  <c r="H123" i="19" s="1"/>
  <c r="P147" i="11"/>
  <c r="AG147" i="11"/>
  <c r="G20" i="19"/>
  <c r="H20" i="19" s="1"/>
  <c r="Z76" i="8"/>
  <c r="CK76" i="8" s="1"/>
  <c r="T76" i="8"/>
  <c r="K71" i="18" s="1"/>
  <c r="U76" i="8"/>
  <c r="J71" i="18" s="1"/>
  <c r="L71" i="18" s="1"/>
  <c r="CM76" i="8"/>
  <c r="CJ76" i="8"/>
  <c r="AB76" i="8"/>
  <c r="AC76" i="8"/>
  <c r="V71" i="8"/>
  <c r="J62" i="18" s="1"/>
  <c r="L62" i="18" s="1"/>
  <c r="Z71" i="8"/>
  <c r="CK71" i="8" s="1"/>
  <c r="T71" i="8"/>
  <c r="CM71" i="8"/>
  <c r="CJ71" i="8"/>
  <c r="AB71" i="8" s="1"/>
  <c r="AC71" i="8"/>
  <c r="CJ96" i="8"/>
  <c r="AC96" i="8" s="1"/>
  <c r="CM96" i="8"/>
  <c r="Z85" i="8"/>
  <c r="CK85" i="8" s="1"/>
  <c r="T85" i="8"/>
  <c r="CJ85" i="8"/>
  <c r="CM85" i="8"/>
  <c r="U85" i="8"/>
  <c r="G71" i="19" s="1"/>
  <c r="H71" i="19" s="1"/>
  <c r="T80" i="8"/>
  <c r="CM80" i="8"/>
  <c r="Z80" i="8"/>
  <c r="CJ80" i="8"/>
  <c r="U80" i="8"/>
  <c r="G48" i="19" s="1"/>
  <c r="H48" i="19" s="1"/>
  <c r="V69" i="8"/>
  <c r="J59" i="18" s="1"/>
  <c r="L59" i="18" s="1"/>
  <c r="Z69" i="8"/>
  <c r="CK69" i="8" s="1"/>
  <c r="T69" i="8"/>
  <c r="CM69" i="8"/>
  <c r="CJ69" i="8"/>
  <c r="AB69" i="8"/>
  <c r="AC69" i="8"/>
  <c r="CM61" i="8"/>
  <c r="Z61" i="8"/>
  <c r="CK61" i="8" s="1"/>
  <c r="U61" i="8"/>
  <c r="J30" i="18" s="1"/>
  <c r="L30" i="18" s="1"/>
  <c r="CJ61" i="8"/>
  <c r="T61" i="8"/>
  <c r="K30" i="18" s="1"/>
  <c r="AB61" i="8"/>
  <c r="AC61" i="8"/>
  <c r="CM55" i="8"/>
  <c r="CJ55" i="8"/>
  <c r="U55" i="8"/>
  <c r="J21" i="18" s="1"/>
  <c r="L21" i="18" s="1"/>
  <c r="Z55" i="8"/>
  <c r="CK55" i="8" s="1"/>
  <c r="T55" i="8"/>
  <c r="CI55" i="8"/>
  <c r="Z47" i="8"/>
  <c r="AA47" i="8"/>
  <c r="U47" i="8"/>
  <c r="J9" i="18" s="1"/>
  <c r="L9" i="18" s="1"/>
  <c r="CM47" i="8"/>
  <c r="CJ47" i="8"/>
  <c r="CM92" i="8"/>
  <c r="CJ92" i="8"/>
  <c r="AC92" i="8" s="1"/>
  <c r="CM86" i="8"/>
  <c r="CJ86" i="8"/>
  <c r="Z86" i="8"/>
  <c r="CK86" i="8" s="1"/>
  <c r="U86" i="8"/>
  <c r="G72" i="19" s="1"/>
  <c r="H72" i="19" s="1"/>
  <c r="T86" i="8"/>
  <c r="AB86" i="8"/>
  <c r="G75" i="19" s="1"/>
  <c r="H75" i="19" s="1"/>
  <c r="AC86" i="8"/>
  <c r="V73" i="8"/>
  <c r="J65" i="18" s="1"/>
  <c r="L65" i="18" s="1"/>
  <c r="Z73" i="8"/>
  <c r="CM73" i="8"/>
  <c r="CJ73" i="8"/>
  <c r="Z60" i="8"/>
  <c r="CK60" i="8" s="1"/>
  <c r="T60" i="8"/>
  <c r="K29" i="18" s="1"/>
  <c r="U60" i="8"/>
  <c r="J29" i="18" s="1"/>
  <c r="L29" i="18" s="1"/>
  <c r="CM60" i="8"/>
  <c r="CJ60" i="8"/>
  <c r="CM49" i="8"/>
  <c r="CJ49" i="8"/>
  <c r="T49" i="8"/>
  <c r="K14" i="18" s="1"/>
  <c r="U49" i="8"/>
  <c r="J14" i="18" s="1"/>
  <c r="L14" i="18" s="1"/>
  <c r="CI49" i="8"/>
  <c r="Z49" i="8"/>
  <c r="CK49" i="8" s="1"/>
  <c r="CM88" i="8"/>
  <c r="CJ88" i="8"/>
  <c r="CI88" i="8"/>
  <c r="U88" i="8"/>
  <c r="G80" i="19" s="1"/>
  <c r="H80" i="19" s="1"/>
  <c r="Z88" i="8"/>
  <c r="T88" i="8"/>
  <c r="V83" i="8"/>
  <c r="G61" i="19" s="1"/>
  <c r="H61" i="19" s="1"/>
  <c r="Z83" i="8"/>
  <c r="CJ83" i="8"/>
  <c r="CM83" i="8"/>
  <c r="CM59" i="8"/>
  <c r="CJ59" i="8"/>
  <c r="U59" i="8"/>
  <c r="J27" i="18" s="1"/>
  <c r="L27" i="18" s="1"/>
  <c r="Z59" i="8"/>
  <c r="CK59" i="8" s="1"/>
  <c r="T59" i="8"/>
  <c r="K27" i="18" s="1"/>
  <c r="CI59" i="8"/>
  <c r="CJ53" i="8"/>
  <c r="CM53" i="8"/>
  <c r="CI53" i="8"/>
  <c r="T53" i="8"/>
  <c r="U53" i="8"/>
  <c r="J18" i="18" s="1"/>
  <c r="L18" i="18" s="1"/>
  <c r="Z53" i="8"/>
  <c r="CM46" i="8"/>
  <c r="CJ46" i="8"/>
  <c r="U46" i="8"/>
  <c r="J7" i="18" s="1"/>
  <c r="L7" i="18" s="1"/>
  <c r="Z46" i="8"/>
  <c r="T46" i="8"/>
  <c r="CI46" i="8"/>
  <c r="Z90" i="8"/>
  <c r="CK90" i="8" s="1"/>
  <c r="T90" i="8"/>
  <c r="U90" i="8"/>
  <c r="G88" i="19" s="1"/>
  <c r="H88" i="19" s="1"/>
  <c r="CM90" i="8"/>
  <c r="CJ90" i="8"/>
  <c r="Z75" i="8"/>
  <c r="CK75" i="8" s="1"/>
  <c r="T75" i="8"/>
  <c r="K70" i="18" s="1"/>
  <c r="CJ75" i="8"/>
  <c r="CM75" i="8"/>
  <c r="U75" i="8"/>
  <c r="J70" i="18" s="1"/>
  <c r="L70" i="18" s="1"/>
  <c r="CM64" i="8"/>
  <c r="CJ64" i="8"/>
  <c r="CM57" i="8"/>
  <c r="CJ57" i="8"/>
  <c r="U57" i="8"/>
  <c r="J25" i="18" s="1"/>
  <c r="L25" i="18" s="1"/>
  <c r="T57" i="8"/>
  <c r="K25" i="18" s="1"/>
  <c r="CI57" i="8"/>
  <c r="Z57" i="8"/>
  <c r="CK57" i="8" s="1"/>
  <c r="CM51" i="8"/>
  <c r="CJ51" i="8"/>
  <c r="Z51" i="8"/>
  <c r="CK51" i="8" s="1"/>
  <c r="U51" i="8"/>
  <c r="J16" i="18" s="1"/>
  <c r="L16" i="18" s="1"/>
  <c r="T51" i="8"/>
  <c r="K16" i="18" s="1"/>
  <c r="CI51" i="8"/>
  <c r="CM93" i="8"/>
  <c r="CJ93" i="8"/>
  <c r="AC93" i="8" s="1"/>
  <c r="Z72" i="8"/>
  <c r="CK72" i="8" s="1"/>
  <c r="T72" i="8"/>
  <c r="K64" i="18" s="1"/>
  <c r="U72" i="8"/>
  <c r="J64" i="18" s="1"/>
  <c r="L64" i="18" s="1"/>
  <c r="CM72" i="8"/>
  <c r="CJ72" i="8"/>
  <c r="AB72" i="8"/>
  <c r="AC72" i="8"/>
  <c r="CJ58" i="8"/>
  <c r="CM58" i="8"/>
  <c r="Z58" i="8"/>
  <c r="CK58" i="8" s="1"/>
  <c r="CI58" i="8"/>
  <c r="T58" i="8"/>
  <c r="K26" i="18" s="1"/>
  <c r="U58" i="8"/>
  <c r="J26" i="18" s="1"/>
  <c r="L26" i="18" s="1"/>
  <c r="CM89" i="8"/>
  <c r="CJ89" i="8"/>
  <c r="Z89" i="8"/>
  <c r="CK89" i="8" s="1"/>
  <c r="U89" i="8"/>
  <c r="T89" i="8"/>
  <c r="CI89" i="8"/>
  <c r="AA79" i="8"/>
  <c r="G45" i="19" s="1"/>
  <c r="H45" i="19" s="1"/>
  <c r="Z79" i="8"/>
  <c r="U79" i="8"/>
  <c r="G43" i="19" s="1"/>
  <c r="H43" i="19" s="1"/>
  <c r="T79" i="8"/>
  <c r="CM79" i="8"/>
  <c r="CJ79" i="8"/>
  <c r="Z70" i="8"/>
  <c r="CK70" i="8" s="1"/>
  <c r="U70" i="8"/>
  <c r="J61" i="18" s="1"/>
  <c r="L61" i="18" s="1"/>
  <c r="T70" i="8"/>
  <c r="K61" i="18" s="1"/>
  <c r="CM70" i="8"/>
  <c r="CJ70" i="8"/>
  <c r="CJ62" i="8"/>
  <c r="T62" i="8"/>
  <c r="K31" i="18" s="1"/>
  <c r="Z62" i="8"/>
  <c r="CK62" i="8" s="1"/>
  <c r="U62" i="8"/>
  <c r="J31" i="18" s="1"/>
  <c r="L31" i="18" s="1"/>
  <c r="CM62" i="8"/>
  <c r="AB62" i="8"/>
  <c r="AC62" i="8"/>
  <c r="CJ54" i="8"/>
  <c r="CM54" i="8"/>
  <c r="U54" i="8"/>
  <c r="J20" i="18" s="1"/>
  <c r="L20" i="18" s="1"/>
  <c r="CI54" i="8"/>
  <c r="Z54" i="8"/>
  <c r="CK54" i="8" s="1"/>
  <c r="T54" i="8"/>
  <c r="K20" i="18" s="1"/>
  <c r="CM94" i="8"/>
  <c r="CJ94" i="8"/>
  <c r="AC94" i="8" s="1"/>
  <c r="Z81" i="8"/>
  <c r="T81" i="8"/>
  <c r="CJ81" i="8"/>
  <c r="CM81" i="8"/>
  <c r="U81" i="8"/>
  <c r="G52" i="19" s="1"/>
  <c r="H52" i="19" s="1"/>
  <c r="CM78" i="8"/>
  <c r="CJ78" i="8"/>
  <c r="U78" i="8"/>
  <c r="G39" i="19" s="1"/>
  <c r="H39" i="19" s="1"/>
  <c r="CI78" i="8"/>
  <c r="T78" i="8"/>
  <c r="Z78" i="8"/>
  <c r="T68" i="8"/>
  <c r="K58" i="18" s="1"/>
  <c r="CM68" i="8"/>
  <c r="U68" i="8"/>
  <c r="J58" i="18" s="1"/>
  <c r="L58" i="18" s="1"/>
  <c r="CJ68" i="8"/>
  <c r="CM50" i="8"/>
  <c r="CJ50" i="8"/>
  <c r="U50" i="8"/>
  <c r="J15" i="18" s="1"/>
  <c r="L15" i="18" s="1"/>
  <c r="T50" i="8"/>
  <c r="K15" i="18" s="1"/>
  <c r="CI50" i="8"/>
  <c r="Z50" i="8"/>
  <c r="CK50" i="8" s="1"/>
  <c r="U91" i="8"/>
  <c r="G89" i="19" s="1"/>
  <c r="H89" i="19" s="1"/>
  <c r="Z91" i="8"/>
  <c r="CK91" i="8" s="1"/>
  <c r="T91" i="8"/>
  <c r="CM91" i="8"/>
  <c r="CJ91" i="8"/>
  <c r="AB91" i="8" s="1"/>
  <c r="AC91" i="8"/>
  <c r="V82" i="8"/>
  <c r="G56" i="19" s="1"/>
  <c r="H56" i="19" s="1"/>
  <c r="T82" i="8"/>
  <c r="Z82" i="8"/>
  <c r="CM82" i="8"/>
  <c r="CJ82" i="8"/>
  <c r="G125" i="19"/>
  <c r="H125" i="19" s="1"/>
  <c r="I163" i="11"/>
  <c r="G126" i="19"/>
  <c r="H126" i="19" s="1"/>
  <c r="G33" i="19" s="1"/>
  <c r="H33" i="19" s="1"/>
  <c r="I164" i="11"/>
  <c r="BY74" i="8" l="1"/>
  <c r="CA74" i="8"/>
  <c r="CC74" i="8"/>
  <c r="V74" i="8" s="1"/>
  <c r="CF74" i="8"/>
  <c r="CO74" i="8"/>
  <c r="AN74" i="8"/>
  <c r="CB74" i="8"/>
  <c r="CD74" i="8"/>
  <c r="W74" i="8" s="1"/>
  <c r="CG74" i="8"/>
  <c r="CL74" i="8"/>
  <c r="AA74" i="8"/>
  <c r="X74" i="8"/>
  <c r="AO74" i="8"/>
  <c r="CJ52" i="8"/>
  <c r="K23" i="17"/>
  <c r="X66" i="8"/>
  <c r="AA66" i="8"/>
  <c r="BY66" i="8"/>
  <c r="AN66" i="8"/>
  <c r="CO66" i="8"/>
  <c r="CL66" i="8"/>
  <c r="CG66" i="8"/>
  <c r="CF66" i="8"/>
  <c r="CD66" i="8"/>
  <c r="W66" i="8" s="1"/>
  <c r="CC66" i="8"/>
  <c r="V66" i="8" s="1"/>
  <c r="CB66" i="8"/>
  <c r="CA66" i="8"/>
  <c r="CI66" i="8" s="1"/>
  <c r="AO66" i="8"/>
  <c r="BW48" i="8"/>
  <c r="BX48" i="8"/>
  <c r="CH56" i="8"/>
  <c r="AE56" i="8" s="1"/>
  <c r="AD56" i="8"/>
  <c r="CM56" i="8"/>
  <c r="CJ56" i="8"/>
  <c r="Z56" i="8"/>
  <c r="CK56" i="8" s="1"/>
  <c r="U56" i="8"/>
  <c r="J24" i="18" s="1"/>
  <c r="L24" i="18" s="1"/>
  <c r="T56" i="8"/>
  <c r="K24" i="18" s="1"/>
  <c r="CI56" i="8"/>
  <c r="CH65" i="8"/>
  <c r="AD65" i="8"/>
  <c r="AE65" i="8"/>
  <c r="U65" i="8"/>
  <c r="J37" i="18" s="1"/>
  <c r="L37" i="18" s="1"/>
  <c r="CJ65" i="8"/>
  <c r="Z65" i="8"/>
  <c r="CK65" i="8" s="1"/>
  <c r="T65" i="8"/>
  <c r="CM65" i="8"/>
  <c r="AC65" i="8"/>
  <c r="AB65" i="8"/>
  <c r="J38" i="18" s="1"/>
  <c r="L38" i="18" s="1"/>
  <c r="CJ87" i="8"/>
  <c r="CM87" i="8"/>
  <c r="CI87" i="8"/>
  <c r="Z87" i="8"/>
  <c r="U87" i="8"/>
  <c r="G76" i="19" s="1"/>
  <c r="H76" i="19" s="1"/>
  <c r="T87" i="8"/>
  <c r="CH87" i="8"/>
  <c r="CI52" i="8"/>
  <c r="T52" i="8"/>
  <c r="K17" i="18" s="1"/>
  <c r="U52" i="8"/>
  <c r="J17" i="18" s="1"/>
  <c r="L17" i="18" s="1"/>
  <c r="Z52" i="8"/>
  <c r="CK52" i="8" s="1"/>
  <c r="K36" i="18"/>
  <c r="K34" i="18"/>
  <c r="K35" i="18"/>
  <c r="AB68" i="8"/>
  <c r="AC68" i="8"/>
  <c r="J11" i="18"/>
  <c r="L11" i="18" s="1"/>
  <c r="T47" i="8"/>
  <c r="K10" i="18" s="1"/>
  <c r="K22" i="17"/>
  <c r="AO63" i="8"/>
  <c r="AN63" i="8"/>
  <c r="AA63" i="8"/>
  <c r="X63" i="8"/>
  <c r="CO63" i="8"/>
  <c r="CL63" i="8"/>
  <c r="CG63" i="8"/>
  <c r="CF63" i="8"/>
  <c r="CD63" i="8"/>
  <c r="W63" i="8" s="1"/>
  <c r="CC63" i="8"/>
  <c r="V63" i="8" s="1"/>
  <c r="CB63" i="8"/>
  <c r="CA63" i="8"/>
  <c r="CI63" i="8" s="1"/>
  <c r="BY63" i="8"/>
  <c r="AO67" i="8"/>
  <c r="U67" i="8"/>
  <c r="AN67" i="8"/>
  <c r="AA67" i="8"/>
  <c r="X67" i="8"/>
  <c r="CO67" i="8"/>
  <c r="CL67" i="8"/>
  <c r="CG67" i="8"/>
  <c r="CF67" i="8"/>
  <c r="CD67" i="8"/>
  <c r="W67" i="8" s="1"/>
  <c r="J56" i="18" s="1"/>
  <c r="L56" i="18" s="1"/>
  <c r="CC67" i="8"/>
  <c r="CB67" i="8"/>
  <c r="CA67" i="8"/>
  <c r="CI67" i="8" s="1"/>
  <c r="BY67" i="8"/>
  <c r="CH66" i="8"/>
  <c r="AD66" i="8"/>
  <c r="AE66" i="8"/>
  <c r="CH84" i="8"/>
  <c r="AE84" i="8"/>
  <c r="AD84" i="8"/>
  <c r="K21" i="17"/>
  <c r="AO48" i="8"/>
  <c r="AA48" i="8"/>
  <c r="X48" i="8"/>
  <c r="AN48" i="8"/>
  <c r="CO48" i="8"/>
  <c r="CL48" i="8"/>
  <c r="CG48" i="8"/>
  <c r="CF48" i="8"/>
  <c r="CD48" i="8"/>
  <c r="W48" i="8" s="1"/>
  <c r="CC48" i="8"/>
  <c r="V48" i="8" s="1"/>
  <c r="L145" i="11"/>
  <c r="K145" i="11"/>
  <c r="N145" i="11"/>
  <c r="K147" i="11"/>
  <c r="N147" i="11"/>
  <c r="L147" i="11"/>
  <c r="G122" i="19" s="1"/>
  <c r="H122" i="19" s="1"/>
  <c r="K62" i="18"/>
  <c r="K63" i="18"/>
  <c r="CK80" i="8"/>
  <c r="G50" i="19"/>
  <c r="H50" i="19" s="1"/>
  <c r="K59" i="18"/>
  <c r="K60" i="18"/>
  <c r="K22" i="18"/>
  <c r="K21" i="18"/>
  <c r="K23" i="18"/>
  <c r="AB55" i="8"/>
  <c r="J22" i="18" s="1"/>
  <c r="L22" i="18" s="1"/>
  <c r="AC55" i="8"/>
  <c r="CK47" i="8"/>
  <c r="J10" i="18"/>
  <c r="L10" i="18" s="1"/>
  <c r="K9" i="18"/>
  <c r="K11" i="18"/>
  <c r="K65" i="18"/>
  <c r="K66" i="18"/>
  <c r="K67" i="18"/>
  <c r="K68" i="18"/>
  <c r="CK73" i="8"/>
  <c r="J67" i="18"/>
  <c r="L67" i="18" s="1"/>
  <c r="AB49" i="8"/>
  <c r="AC49" i="8"/>
  <c r="CK88" i="8"/>
  <c r="G82" i="19"/>
  <c r="H82" i="19" s="1"/>
  <c r="CK83" i="8"/>
  <c r="G64" i="19"/>
  <c r="H64" i="19" s="1"/>
  <c r="AB59" i="8"/>
  <c r="AC59" i="8"/>
  <c r="K18" i="18"/>
  <c r="K19" i="18"/>
  <c r="CK53" i="8"/>
  <c r="J19" i="18"/>
  <c r="L19" i="18" s="1"/>
  <c r="CK46" i="8"/>
  <c r="J8" i="18"/>
  <c r="L8" i="18" s="1"/>
  <c r="K7" i="18"/>
  <c r="K8" i="18"/>
  <c r="AB46" i="8"/>
  <c r="AC46" i="8"/>
  <c r="AB57" i="8"/>
  <c r="AC57" i="8"/>
  <c r="AB51" i="8"/>
  <c r="AC51" i="8"/>
  <c r="AB58" i="8"/>
  <c r="AC58" i="8"/>
  <c r="CQ89" i="8"/>
  <c r="AF89" i="8" s="1"/>
  <c r="G86" i="19" s="1"/>
  <c r="H86" i="19" s="1"/>
  <c r="G84" i="19"/>
  <c r="H84" i="19" s="1"/>
  <c r="AB89" i="8"/>
  <c r="G87" i="19" s="1"/>
  <c r="H87" i="19" s="1"/>
  <c r="AC89" i="8"/>
  <c r="CK79" i="8"/>
  <c r="G46" i="19"/>
  <c r="H46" i="19" s="1"/>
  <c r="AB54" i="8"/>
  <c r="AC54" i="8"/>
  <c r="CK87" i="8"/>
  <c r="G78" i="19"/>
  <c r="H78" i="19" s="1"/>
  <c r="CK81" i="8"/>
  <c r="G54" i="19"/>
  <c r="H54" i="19" s="1"/>
  <c r="CK78" i="8"/>
  <c r="G41" i="19"/>
  <c r="H41" i="19" s="1"/>
  <c r="AB56" i="8"/>
  <c r="AC56" i="8"/>
  <c r="AB50" i="8"/>
  <c r="AC50" i="8"/>
  <c r="CK82" i="8"/>
  <c r="G59" i="19"/>
  <c r="H59" i="19" s="1"/>
  <c r="G19" i="19"/>
  <c r="AB60" i="8"/>
  <c r="AC60" i="8"/>
  <c r="AC90" i="8"/>
  <c r="AB90" i="8"/>
  <c r="AB75" i="8"/>
  <c r="AC75" i="8"/>
  <c r="AB64" i="8"/>
  <c r="J36" i="18" s="1"/>
  <c r="L36" i="18" s="1"/>
  <c r="AC64" i="8"/>
  <c r="Z66" i="8"/>
  <c r="CK66" i="8" s="1"/>
  <c r="T66" i="8"/>
  <c r="U66" i="8"/>
  <c r="J52" i="18" s="1"/>
  <c r="L52" i="18" s="1"/>
  <c r="CM66" i="8"/>
  <c r="CJ66" i="8"/>
  <c r="CM84" i="8"/>
  <c r="CJ84" i="8"/>
  <c r="T84" i="8"/>
  <c r="Z84" i="8"/>
  <c r="U84" i="8"/>
  <c r="G67" i="19" s="1"/>
  <c r="H67" i="19" s="1"/>
  <c r="CI84" i="8"/>
  <c r="AB70" i="8"/>
  <c r="AC70" i="8"/>
  <c r="AE62" i="8"/>
  <c r="AD62" i="8"/>
  <c r="AC85" i="8"/>
  <c r="AB85" i="8"/>
  <c r="G74" i="19" s="1"/>
  <c r="H74" i="19" s="1"/>
  <c r="G15" i="19" s="1"/>
  <c r="H15" i="19" s="1"/>
  <c r="AB82" i="8"/>
  <c r="G60" i="19" s="1"/>
  <c r="H60" i="19" s="1"/>
  <c r="AC82" i="8"/>
  <c r="CH74" i="8" l="1"/>
  <c r="CJ74" i="8"/>
  <c r="U74" i="8"/>
  <c r="J69" i="18" s="1"/>
  <c r="L69" i="18" s="1"/>
  <c r="T74" i="8"/>
  <c r="K69" i="18" s="1"/>
  <c r="Z74" i="8"/>
  <c r="CK74" i="8" s="1"/>
  <c r="CM74" i="8"/>
  <c r="AC52" i="8"/>
  <c r="AB52" i="8"/>
  <c r="CI74" i="8"/>
  <c r="G17" i="19"/>
  <c r="H17" i="19" s="1"/>
  <c r="CB48" i="8"/>
  <c r="CA48" i="8"/>
  <c r="BY48" i="8"/>
  <c r="K37" i="18"/>
  <c r="K38" i="18"/>
  <c r="AD87" i="8"/>
  <c r="AE87" i="8"/>
  <c r="AB66" i="8"/>
  <c r="J53" i="18" s="1"/>
  <c r="L53" i="18" s="1"/>
  <c r="AC66" i="8"/>
  <c r="AB88" i="8"/>
  <c r="G83" i="19" s="1"/>
  <c r="H83" i="19" s="1"/>
  <c r="AC88" i="8"/>
  <c r="CH63" i="8"/>
  <c r="AD63" i="8"/>
  <c r="AE63" i="8"/>
  <c r="CH67" i="8"/>
  <c r="AD67" i="8"/>
  <c r="AE67" i="8"/>
  <c r="CH48" i="8"/>
  <c r="AD48" i="8"/>
  <c r="AE48" i="8"/>
  <c r="J147" i="11"/>
  <c r="G121" i="19"/>
  <c r="H121" i="19" s="1"/>
  <c r="G32" i="19" s="1"/>
  <c r="H32" i="19" s="1"/>
  <c r="AC80" i="8"/>
  <c r="AB80" i="8"/>
  <c r="G51" i="19" s="1"/>
  <c r="H51" i="19" s="1"/>
  <c r="G10" i="19" s="1"/>
  <c r="H10" i="19" s="1"/>
  <c r="AB47" i="8"/>
  <c r="AC47" i="8"/>
  <c r="AC73" i="8"/>
  <c r="AB73" i="8"/>
  <c r="J68" i="18" s="1"/>
  <c r="L68" i="18" s="1"/>
  <c r="AC83" i="8"/>
  <c r="AB83" i="8"/>
  <c r="G65" i="19" s="1"/>
  <c r="H65" i="19" s="1"/>
  <c r="G13" i="19" s="1"/>
  <c r="H13" i="19" s="1"/>
  <c r="AC79" i="8"/>
  <c r="AB79" i="8"/>
  <c r="G47" i="19" s="1"/>
  <c r="H47" i="19" s="1"/>
  <c r="G9" i="19" s="1"/>
  <c r="H9" i="19" s="1"/>
  <c r="AC81" i="8"/>
  <c r="AB81" i="8"/>
  <c r="G55" i="19" s="1"/>
  <c r="H55" i="19" s="1"/>
  <c r="G11" i="19" s="1"/>
  <c r="H11" i="19" s="1"/>
  <c r="K52" i="18"/>
  <c r="K53" i="18"/>
  <c r="CK84" i="8"/>
  <c r="G69" i="19"/>
  <c r="H69" i="19" s="1"/>
  <c r="G18" i="19"/>
  <c r="H18" i="19" s="1"/>
  <c r="G12" i="19"/>
  <c r="H12" i="19" s="1"/>
  <c r="U63" i="8"/>
  <c r="J33" i="18" s="1"/>
  <c r="L33" i="18" s="1"/>
  <c r="Z63" i="8"/>
  <c r="CK63" i="8" s="1"/>
  <c r="T63" i="8"/>
  <c r="CM63" i="8"/>
  <c r="CJ63" i="8"/>
  <c r="V67" i="8"/>
  <c r="J55" i="18" s="1"/>
  <c r="L55" i="18" s="1"/>
  <c r="Z67" i="8"/>
  <c r="T67" i="8"/>
  <c r="CM67" i="8"/>
  <c r="CJ67" i="8"/>
  <c r="CM48" i="8"/>
  <c r="CJ48" i="8"/>
  <c r="U48" i="8"/>
  <c r="J13" i="18" s="1"/>
  <c r="L13" i="18" s="1"/>
  <c r="AB53" i="8"/>
  <c r="AC53" i="8"/>
  <c r="AC87" i="8"/>
  <c r="AB87" i="8"/>
  <c r="G79" i="19" s="1"/>
  <c r="H79" i="19" s="1"/>
  <c r="G16" i="19" s="1"/>
  <c r="H16" i="19" s="1"/>
  <c r="AB78" i="8"/>
  <c r="G42" i="19" s="1"/>
  <c r="H42" i="19" s="1"/>
  <c r="G8" i="19" s="1"/>
  <c r="H8" i="19" s="1"/>
  <c r="AC78" i="8"/>
  <c r="AB74" i="8" l="1"/>
  <c r="AC74" i="8"/>
  <c r="AD74" i="8"/>
  <c r="AE74" i="8"/>
  <c r="Z48" i="8"/>
  <c r="CK48" i="8" s="1"/>
  <c r="T48" i="8"/>
  <c r="CI48" i="8"/>
  <c r="K33" i="18"/>
  <c r="K32" i="18"/>
  <c r="CK67" i="8"/>
  <c r="J57" i="18"/>
  <c r="L57" i="18" s="1"/>
  <c r="C4" i="18" s="1"/>
  <c r="C13" i="1" s="1"/>
  <c r="K54" i="18"/>
  <c r="K55" i="18"/>
  <c r="K56" i="18"/>
  <c r="K57" i="18"/>
  <c r="AB84" i="8"/>
  <c r="G70" i="19" s="1"/>
  <c r="H70" i="19" s="1"/>
  <c r="G14" i="19" s="1"/>
  <c r="H14" i="19" s="1"/>
  <c r="C4" i="19" s="1"/>
  <c r="C12" i="1" s="1"/>
  <c r="AC84" i="8"/>
  <c r="AB63" i="8"/>
  <c r="L22" i="17" s="1"/>
  <c r="AC63" i="8"/>
  <c r="K12" i="18" l="1"/>
  <c r="K13" i="18"/>
  <c r="AB48" i="8"/>
  <c r="L21" i="17" s="1"/>
  <c r="AC48" i="8"/>
  <c r="AB67" i="8"/>
  <c r="L23" i="17" s="1"/>
  <c r="AC67" i="8"/>
</calcChain>
</file>

<file path=xl/sharedStrings.xml><?xml version="1.0" encoding="utf-8"?>
<sst xmlns="http://schemas.openxmlformats.org/spreadsheetml/2006/main" count="4513" uniqueCount="2120">
  <si>
    <t>Lists used by data validation (locked)</t>
  </si>
  <si>
    <t>Missing-data reason codes are the example codes proposed in Chapter 23 (not part of CALC-SPEC 1.0). Timing-statement kinds follow change register B14-13.</t>
  </si>
  <si>
    <t>Precision</t>
  </si>
  <si>
    <t>TIMESTAMP</t>
  </si>
  <si>
    <t>DATE</t>
  </si>
  <si>
    <t>MONTH</t>
  </si>
  <si>
    <t>YEAR</t>
  </si>
  <si>
    <t>RANGE</t>
  </si>
  <si>
    <t>Offset</t>
  </si>
  <si>
    <t>unknown</t>
  </si>
  <si>
    <t>-12:00</t>
  </si>
  <si>
    <t>-11:00</t>
  </si>
  <si>
    <t>-10:00</t>
  </si>
  <si>
    <t>-09:30</t>
  </si>
  <si>
    <t>-09:00</t>
  </si>
  <si>
    <t>-08:00</t>
  </si>
  <si>
    <t>-07:00</t>
  </si>
  <si>
    <t>-06:00</t>
  </si>
  <si>
    <t>-05:00</t>
  </si>
  <si>
    <t>-04:00</t>
  </si>
  <si>
    <t>-03:30</t>
  </si>
  <si>
    <t>-03:00</t>
  </si>
  <si>
    <t>-02:00</t>
  </si>
  <si>
    <t>-01:00</t>
  </si>
  <si>
    <t>+00:00</t>
  </si>
  <si>
    <t>+01:00</t>
  </si>
  <si>
    <t>+02:00</t>
  </si>
  <si>
    <t>+03:00</t>
  </si>
  <si>
    <t>+03:30</t>
  </si>
  <si>
    <t>+04:00</t>
  </si>
  <si>
    <t>+04:30</t>
  </si>
  <si>
    <t>+05:00</t>
  </si>
  <si>
    <t>+05:30</t>
  </si>
  <si>
    <t>+05:45</t>
  </si>
  <si>
    <t>+06:00</t>
  </si>
  <si>
    <t>+06:30</t>
  </si>
  <si>
    <t>+07:00</t>
  </si>
  <si>
    <t>+08:00</t>
  </si>
  <si>
    <t>+08:45</t>
  </si>
  <si>
    <t>+09:00</t>
  </si>
  <si>
    <t>+09:30</t>
  </si>
  <si>
    <t>+10:00</t>
  </si>
  <si>
    <t>+10:30</t>
  </si>
  <si>
    <t>+11:00</t>
  </si>
  <si>
    <t>+12:00</t>
  </si>
  <si>
    <t>+12:45</t>
  </si>
  <si>
    <t>+13:00</t>
  </si>
  <si>
    <t>+14:00</t>
  </si>
  <si>
    <t>AnchorType</t>
  </si>
  <si>
    <t>FIRST_ADMIN</t>
  </si>
  <si>
    <t>LAST_DOSE_BEFORE_ONSET</t>
  </si>
  <si>
    <t>DOSE_CHANGE</t>
  </si>
  <si>
    <t>RESTART</t>
  </si>
  <si>
    <t>CONCOMITANT_CHANGE</t>
  </si>
  <si>
    <t>CESSATION</t>
  </si>
  <si>
    <t>OTHER</t>
  </si>
  <si>
    <t>Mode</t>
  </si>
  <si>
    <t>C1</t>
  </si>
  <si>
    <t>C2</t>
  </si>
  <si>
    <t>C4</t>
  </si>
  <si>
    <t>TD</t>
  </si>
  <si>
    <t>inclusive</t>
  </si>
  <si>
    <t>not requested</t>
  </si>
  <si>
    <t>ReportedUnit</t>
  </si>
  <si>
    <t>minutes</t>
  </si>
  <si>
    <t>hours</t>
  </si>
  <si>
    <t>days</t>
  </si>
  <si>
    <t>calendar days</t>
  </si>
  <si>
    <t>weeks</t>
  </si>
  <si>
    <t>months</t>
  </si>
  <si>
    <t>years</t>
  </si>
  <si>
    <t>TimeUnit</t>
  </si>
  <si>
    <t>DaysOnly</t>
  </si>
  <si>
    <t>CLUnit</t>
  </si>
  <si>
    <t>L/hour</t>
  </si>
  <si>
    <t>mL/minute</t>
  </si>
  <si>
    <t>Status</t>
  </si>
  <si>
    <t>label fact</t>
  </si>
  <si>
    <t>study observation</t>
  </si>
  <si>
    <t>case measurement</t>
  </si>
  <si>
    <t>model assumption</t>
  </si>
  <si>
    <t>hypothetical example</t>
  </si>
  <si>
    <t>YesNo</t>
  </si>
  <si>
    <t>Yes</t>
  </si>
  <si>
    <t>No</t>
  </si>
  <si>
    <t>Sex</t>
  </si>
  <si>
    <t>male</t>
  </si>
  <si>
    <t>female</t>
  </si>
  <si>
    <t>not recorded</t>
  </si>
  <si>
    <t>WeightType</t>
  </si>
  <si>
    <t>actual</t>
  </si>
  <si>
    <t>ideal</t>
  </si>
  <si>
    <t>adjusted</t>
  </si>
  <si>
    <t>SCrUnit</t>
  </si>
  <si>
    <t>mg/dL</t>
  </si>
  <si>
    <t>µmol/L</t>
  </si>
  <si>
    <t>AdminKind</t>
  </si>
  <si>
    <t>DOSE</t>
  </si>
  <si>
    <t>INFUSION_SEGMENT</t>
  </si>
  <si>
    <t>RateUnit</t>
  </si>
  <si>
    <t>mg/hour</t>
  </si>
  <si>
    <t>mL/hour</t>
  </si>
  <si>
    <t>DoseUnit</t>
  </si>
  <si>
    <t>mg</t>
  </si>
  <si>
    <t>micrograms</t>
  </si>
  <si>
    <t>g</t>
  </si>
  <si>
    <t>mL</t>
  </si>
  <si>
    <t>IU</t>
  </si>
  <si>
    <t>units</t>
  </si>
  <si>
    <t>other (see regimen text)</t>
  </si>
  <si>
    <t>Role</t>
  </si>
  <si>
    <t>suspect</t>
  </si>
  <si>
    <t>concomitant</t>
  </si>
  <si>
    <t>interacting</t>
  </si>
  <si>
    <t>prophylaxis</t>
  </si>
  <si>
    <t>treatment of the event</t>
  </si>
  <si>
    <t>other</t>
  </si>
  <si>
    <t>MilestoneType</t>
  </si>
  <si>
    <t>BASELINE</t>
  </si>
  <si>
    <t>TEST</t>
  </si>
  <si>
    <t>ORGAN_FUNCTION</t>
  </si>
  <si>
    <t>CONCENTRATION</t>
  </si>
  <si>
    <t>INTERVENTION</t>
  </si>
  <si>
    <t>RECOVERY</t>
  </si>
  <si>
    <t>DIAGNOSIS</t>
  </si>
  <si>
    <t>EXPOSURE_CHANGE</t>
  </si>
  <si>
    <t>MethodB</t>
  </si>
  <si>
    <t>FIRST</t>
  </si>
  <si>
    <t>LAST</t>
  </si>
  <si>
    <t>STATED</t>
  </si>
  <si>
    <t>Fit</t>
  </si>
  <si>
    <t>compatible</t>
  </si>
  <si>
    <t>atypical but plausible</t>
  </si>
  <si>
    <t>inconsistent with the stated hypothesis</t>
  </si>
  <si>
    <t>indeterminate</t>
  </si>
  <si>
    <t>TimingType</t>
  </si>
  <si>
    <t>typical onset or latency</t>
  </si>
  <si>
    <t>risk window</t>
  </si>
  <si>
    <t>maximum or distribution reported</t>
  </si>
  <si>
    <t>monitoring or precaution window</t>
  </si>
  <si>
    <t>definitional threshold</t>
  </si>
  <si>
    <t>not a timing statement</t>
  </si>
  <si>
    <t>DocType</t>
  </si>
  <si>
    <t>USPI</t>
  </si>
  <si>
    <t>SmPC</t>
  </si>
  <si>
    <t>primary study</t>
  </si>
  <si>
    <t>MissingReason</t>
  </si>
  <si>
    <t>NOT_REPORTED</t>
  </si>
  <si>
    <t>REQUESTED</t>
  </si>
  <si>
    <t>NOT_APPLICABLE</t>
  </si>
  <si>
    <t>UNKNOWN</t>
  </si>
  <si>
    <t>HalfLifeType</t>
  </si>
  <si>
    <t>terminal elimination</t>
  </si>
  <si>
    <t>effective</t>
  </si>
  <si>
    <t>distribution</t>
  </si>
  <si>
    <t>not applicable</t>
  </si>
  <si>
    <t>MechStatus</t>
  </si>
  <si>
    <t>established</t>
  </si>
  <si>
    <t>hypothetical</t>
  </si>
  <si>
    <t>Action</t>
  </si>
  <si>
    <t>withdrawal</t>
  </si>
  <si>
    <t>dose reduction</t>
  </si>
  <si>
    <t>re-exposure</t>
  </si>
  <si>
    <t>completed before onset</t>
  </si>
  <si>
    <t>none</t>
  </si>
  <si>
    <t>Priority</t>
  </si>
  <si>
    <t>high</t>
  </si>
  <si>
    <t>medium</t>
  </si>
  <si>
    <t>low</t>
  </si>
  <si>
    <t>QueryStatus</t>
  </si>
  <si>
    <t>open</t>
  </si>
  <si>
    <t>requested</t>
  </si>
  <si>
    <t>answered</t>
  </si>
  <si>
    <t>closed</t>
  </si>
  <si>
    <t>ItemType</t>
  </si>
  <si>
    <t>alternative cause</t>
  </si>
  <si>
    <t>follow-up query</t>
  </si>
  <si>
    <t>Months</t>
  </si>
  <si>
    <t>January</t>
  </si>
  <si>
    <t>February</t>
  </si>
  <si>
    <t>March</t>
  </si>
  <si>
    <t>April</t>
  </si>
  <si>
    <t>May</t>
  </si>
  <si>
    <t>June</t>
  </si>
  <si>
    <t>July</t>
  </si>
  <si>
    <t>August</t>
  </si>
  <si>
    <t>September</t>
  </si>
  <si>
    <t>October</t>
  </si>
  <si>
    <t>November</t>
  </si>
  <si>
    <t>December</t>
  </si>
  <si>
    <t>Flags and user messages (CALC-SPEC 1.0, Section 5; shown verbatim, [input] filled in)</t>
  </si>
  <si>
    <t>E-codes block a result (no number is shown). W-codes accompany a result and must be displayed with it. I-codes annotate it.</t>
  </si>
  <si>
    <t>Code</t>
  </si>
  <si>
    <t>Type</t>
  </si>
  <si>
    <t>Raised when</t>
  </si>
  <si>
    <t>Message shown</t>
  </si>
  <si>
    <t>E_INVALID_DATE</t>
  </si>
  <si>
    <t>Error</t>
  </si>
  <si>
    <t>A date does not exist or cannot be read</t>
  </si>
  <si>
    <t>This date does not exist. Check the source, or record it as a partial date.</t>
  </si>
  <si>
    <t>E_REVERSED_BOUNDS</t>
  </si>
  <si>
    <t>A lower bound is after or above its upper bound</t>
  </si>
  <si>
    <t>The earliest value is after the latest value. Check the order of the bounds.</t>
  </si>
  <si>
    <t>E_DUPLICATE_ID</t>
  </si>
  <si>
    <t>Two records share an identifier that must be unique</t>
  </si>
  <si>
    <t>This identifier is already used in this case. Each episode needs its own ID.</t>
  </si>
  <si>
    <t>E_MISSING_LINK</t>
  </si>
  <si>
    <t>An interval is requested without a Drug_Event_Link</t>
  </si>
  <si>
    <t>Link this drug episode to this event before calculating an interval.</t>
  </si>
  <si>
    <t>E_MISSING_INPUT</t>
  </si>
  <si>
    <t>A required input is blank</t>
  </si>
  <si>
    <t>This result needs [input]. It is left blank rather than estimated.</t>
  </si>
  <si>
    <t>E_INVALID_UNIT</t>
  </si>
  <si>
    <t>A unit not listed in Section 6</t>
  </si>
  <si>
    <t>This unit is not supported here. Use one of the listed units.</t>
  </si>
  <si>
    <t>E_NONPOSITIVE_PARAMETER</t>
  </si>
  <si>
    <t>A half-life, clearance, volume, interval, rate, dose or BSA is zero or negative</t>
  </si>
  <si>
    <t>This value must be greater than zero.</t>
  </si>
  <si>
    <t>E_OUT_OF_RANGE</t>
  </si>
  <si>
    <t>Target fraction outside 0-1, negative time, or age outside 18-120</t>
  </si>
  <si>
    <t>This value is outside the range the equation accepts.</t>
  </si>
  <si>
    <t>E_APPLICABILITY_UNCONFIRMED</t>
  </si>
  <si>
    <t>The common gate is not confirmed</t>
  </si>
  <si>
    <t>Confirm the model, the half-life used, the reference time and each input's status before a result is shown.</t>
  </si>
  <si>
    <t>E_CREATININE_STABILITY_UNCONFIRMED</t>
  </si>
  <si>
    <t>Q11 without stability confirmation</t>
  </si>
  <si>
    <t>Cockcroft-Gault assumes stable creatinine. Confirm stability before an estimate is shown.</t>
  </si>
  <si>
    <t>E_OVERLAPPING_SEGMENTS</t>
  </si>
  <si>
    <t>Infusion segments overlap</t>
  </si>
  <si>
    <t>Two infusion segments overlap. Check the recorded start and stop times.</t>
  </si>
  <si>
    <t>W_TZ_UNKNOWN</t>
  </si>
  <si>
    <t>Warning</t>
  </si>
  <si>
    <t>A UTC offset is unknown</t>
  </si>
  <si>
    <t>Offset unknown: this interval uses local clock times and could be wrong across a clock change or time zone.</t>
  </si>
  <si>
    <t>W_SAME_DATE_ORDER_UNKNOWN</t>
  </si>
  <si>
    <t>Same date and no times</t>
  </si>
  <si>
    <t>Same calendar date: the order within the day is unknown.</t>
  </si>
  <si>
    <t>W_SEQUENCE_UNCERTAIN</t>
  </si>
  <si>
    <t>Bounds contain zero</t>
  </si>
  <si>
    <t>The available dates allow onset before or after this anchor. Sequence is not established.</t>
  </si>
  <si>
    <t>W_ADMIN_SAME_DATE_AS_ONSET</t>
  </si>
  <si>
    <t>The selected last dose shares the onset date without times</t>
  </si>
  <si>
    <t>This dose was on the onset date; whether it came before onset is unknown.</t>
  </si>
  <si>
    <t>W_REPORTED_TIMING_CONFLICT</t>
  </si>
  <si>
    <t>Reported timing does not overlap the computed interval</t>
  </si>
  <si>
    <t>The reported timing conflicts with the recorded dates. Both are kept; query the source.</t>
  </si>
  <si>
    <t>W_INTERVENTION_BEFORE_RECOVERY</t>
  </si>
  <si>
    <t>Treatment recorded between cessation and recovery</t>
  </si>
  <si>
    <t>Treatment was given before recovery, so recovery cannot be attributed to withdrawal alone.</t>
  </si>
  <si>
    <t>W_BIOLOGIC_MODEL_CAUTION</t>
  </si>
  <si>
    <t>Every Q7 result</t>
  </si>
  <si>
    <t>Antibody disposition can be nonlinear or time-varying; this simple model may not apply.</t>
  </si>
  <si>
    <t>W_SEX_NOT_RECORDED</t>
  </si>
  <si>
    <t>Q11 without recorded sex</t>
  </si>
  <si>
    <t>Sex not recorded: both estimates are shown.</t>
  </si>
  <si>
    <t>W_PARTIAL_BSA</t>
  </si>
  <si>
    <t>Q10 with a missing BSA</t>
  </si>
  <si>
    <t>BSA missing for some administrations: the value shown is a lower bound.</t>
  </si>
  <si>
    <t>I_TREATMENT_DAY_UNDEFINED</t>
  </si>
  <si>
    <t>Info</t>
  </si>
  <si>
    <t>C2 is negative</t>
  </si>
  <si>
    <t>No treatment-day number exists before the first dose.</t>
  </si>
  <si>
    <t>I_APPROXIMATE_NOT_COMPARED</t>
  </si>
  <si>
    <t>Reported timing has no bounds</t>
  </si>
  <si>
    <t>Approximate timing is kept as reported and not converted.</t>
  </si>
  <si>
    <t>I_SCENARIO_NOT_CI</t>
  </si>
  <si>
    <t>Every Q8 result</t>
  </si>
  <si>
    <t>Scenario range from assumed parameters, not a confidence interval.</t>
  </si>
  <si>
    <t>I_TEACHING_DEMONSTRATION</t>
  </si>
  <si>
    <t>Every Q6 result</t>
  </si>
  <si>
    <t>Teaching demonstration with hypothetical values.</t>
  </si>
  <si>
    <t>Cases: one row per case version</t>
  </si>
  <si>
    <t>Yellow cells are inputs; grey cells are locked formulas. Enter what the source says: original text, precision and bounds. Nothing is imputed (CALC-SPEC G2).</t>
  </si>
  <si>
    <t>INPUTS: one row per case version (follow-up adds a version; earlier rows stay)</t>
  </si>
  <si>
    <t>Case_ID</t>
  </si>
  <si>
    <t>Case_Version</t>
  </si>
  <si>
    <t>Received date</t>
  </si>
  <si>
    <t>Setting</t>
  </si>
  <si>
    <t>Reviewer</t>
  </si>
  <si>
    <t>Review date</t>
  </si>
  <si>
    <t>Fictional or de-identified teaching case?</t>
  </si>
  <si>
    <t>Summary</t>
  </si>
  <si>
    <t>What this version adds</t>
  </si>
  <si>
    <t>CHECKS</t>
  </si>
  <si>
    <t>Case key</t>
  </si>
  <si>
    <t>Key count</t>
  </si>
  <si>
    <t>Record check</t>
  </si>
  <si>
    <t>Check message</t>
  </si>
  <si>
    <t>Reserved, locked rows: fictional teaching cases EX-C01 (case version 2), EX-C04 (version 2) and EX-C28 (version 2), read by the Examples sheet. Copy rows to the yellow area with a new Case_ID to experiment.</t>
  </si>
  <si>
    <t>Reserved, locked rows: CALC-SPEC 1.0 verification vectors (VEC-V01 ... VEC-V27), read by the Verification sheet. They use the same column formulas as your own rows.</t>
  </si>
  <si>
    <t>Version 2 (follow-up 14 January 2026) adds Drug B, the antiseptic, pump rate, first exposure, diagnosis and tryptase sample; version 1 facts unchanged.</t>
  </si>
  <si>
    <t>EX-C01</t>
  </si>
  <si>
    <t>Hospital infusion (fictional)</t>
  </si>
  <si>
    <t>Urticaria, wheeze and hypotension 15 minutes after the start of a first Drug A infusion (Chapter 3, Section 3.7).</t>
  </si>
  <si>
    <t>Version 2 (GP letter received 20 July 2026) adds dose, last dose time, ibuprofen, creatinine series, digoxin level with sample time and IV fluids.</t>
  </si>
  <si>
    <t>EX-C04</t>
  </si>
  <si>
    <t>Primary care and emergency department (fictional)</t>
  </si>
  <si>
    <t>Nausea and symptomatic bradycardia on digoxin after renal deterioration (Chapter 11, Section 11.8; Chapter 23, Section 23.11).</t>
  </si>
  <si>
    <t>Version 2 (received 15 June 2026) adds cycle dates, serology, prophylaxis, HBV DNA monitoring, prednisolone course and B-cell/IgG results.</t>
  </si>
  <si>
    <t>EX-C28</t>
  </si>
  <si>
    <t>Hematology and hepatology (fictional)</t>
  </si>
  <si>
    <t>HBV reactivation months after completing rituximab (Chapter 20, Section 20.4; Chapter 23, Section 23.12).</t>
  </si>
  <si>
    <t>VEC-V01</t>
  </si>
  <si>
    <t>CALC-SPEC 1.0 verification vector V01 (tto_calc_test_vectors_v1.0.json)</t>
  </si>
  <si>
    <t>Vector inputs as in the JSON file</t>
  </si>
  <si>
    <t>VEC-V02</t>
  </si>
  <si>
    <t>CALC-SPEC 1.0 verification vector V02 (tto_calc_test_vectors_v1.0.json)</t>
  </si>
  <si>
    <t>VEC-V03</t>
  </si>
  <si>
    <t>CALC-SPEC 1.0 verification vector V03 (tto_calc_test_vectors_v1.0.json)</t>
  </si>
  <si>
    <t>VEC-V04</t>
  </si>
  <si>
    <t>CALC-SPEC 1.0 verification vector V04 (tto_calc_test_vectors_v1.0.json)</t>
  </si>
  <si>
    <t>VEC-V05</t>
  </si>
  <si>
    <t>CALC-SPEC 1.0 verification vector V05 (tto_calc_test_vectors_v1.0.json)</t>
  </si>
  <si>
    <t>VEC-V06</t>
  </si>
  <si>
    <t>CALC-SPEC 1.0 verification vector V06 (tto_calc_test_vectors_v1.0.json)</t>
  </si>
  <si>
    <t>VEC-V07</t>
  </si>
  <si>
    <t>CALC-SPEC 1.0 verification vector V07 (tto_calc_test_vectors_v1.0.json)</t>
  </si>
  <si>
    <t>VEC-V08</t>
  </si>
  <si>
    <t>CALC-SPEC 1.0 verification vector V08 (tto_calc_test_vectors_v1.0.json)</t>
  </si>
  <si>
    <t>VEC-V09</t>
  </si>
  <si>
    <t>CALC-SPEC 1.0 verification vector V09 (tto_calc_test_vectors_v1.0.json)</t>
  </si>
  <si>
    <t>VEC-V10</t>
  </si>
  <si>
    <t>CALC-SPEC 1.0 verification vector V10 (tto_calc_test_vectors_v1.0.json)</t>
  </si>
  <si>
    <t>VEC-V11</t>
  </si>
  <si>
    <t>CALC-SPEC 1.0 verification vector V11 (tto_calc_test_vectors_v1.0.json)</t>
  </si>
  <si>
    <t>VEC-V12</t>
  </si>
  <si>
    <t>CALC-SPEC 1.0 verification vector V12 (tto_calc_test_vectors_v1.0.json)</t>
  </si>
  <si>
    <t>V12 follow-up: onset moves from 10 to 8 May 2026</t>
  </si>
  <si>
    <t>Version 1 row is kept; version 2 is added (V12)</t>
  </si>
  <si>
    <t>VEC-V13</t>
  </si>
  <si>
    <t>CALC-SPEC 1.0 verification vector V13 (tto_calc_test_vectors_v1.0.json)</t>
  </si>
  <si>
    <t>VEC-V15</t>
  </si>
  <si>
    <t>CALC-SPEC 1.0 verification vector V15 (tto_calc_test_vectors_v1.0.json)</t>
  </si>
  <si>
    <t>VEC-V16</t>
  </si>
  <si>
    <t>CALC-SPEC 1.0 verification vector V16 (tto_calc_test_vectors_v1.0.json)</t>
  </si>
  <si>
    <t>VEC-V17</t>
  </si>
  <si>
    <t>CALC-SPEC 1.0 verification vector V17 (tto_calc_test_vectors_v1.0.json)</t>
  </si>
  <si>
    <t>VEC-V18</t>
  </si>
  <si>
    <t>CALC-SPEC 1.0 verification vector V18 (tto_calc_test_vectors_v1.0.json)</t>
  </si>
  <si>
    <t>VEC-V19</t>
  </si>
  <si>
    <t>CALC-SPEC 1.0 verification vector V19 (tto_calc_test_vectors_v1.0.json)</t>
  </si>
  <si>
    <t>VEC-V20</t>
  </si>
  <si>
    <t>CALC-SPEC 1.0 verification vector V20 (tto_calc_test_vectors_v1.0.json)</t>
  </si>
  <si>
    <t>VEC-V21</t>
  </si>
  <si>
    <t>CALC-SPEC 1.0 verification vector V21 (tto_calc_test_vectors_v1.0.json)</t>
  </si>
  <si>
    <t>VEC-V22</t>
  </si>
  <si>
    <t>CALC-SPEC 1.0 verification vector V22 (tto_calc_test_vectors_v1.0.json)</t>
  </si>
  <si>
    <t>VEC-V23</t>
  </si>
  <si>
    <t>CALC-SPEC 1.0 verification vector V23 (tto_calc_test_vectors_v1.0.json)</t>
  </si>
  <si>
    <t>VEC-V24</t>
  </si>
  <si>
    <t>CALC-SPEC 1.0 verification vector V24 (tto_calc_test_vectors_v1.0.json)</t>
  </si>
  <si>
    <t>VEC-V25</t>
  </si>
  <si>
    <t>CALC-SPEC 1.0 verification vector V25 (tto_calc_test_vectors_v1.0.json)</t>
  </si>
  <si>
    <t>VEC-V26</t>
  </si>
  <si>
    <t>CALC-SPEC 1.0 verification vector V26 (tto_calc_test_vectors_v1.0.json)</t>
  </si>
  <si>
    <t>VEC-V27</t>
  </si>
  <si>
    <t>CALC-SPEC 1.0 verification vector V27 (tto_calc_test_vectors_v1.0.json)</t>
  </si>
  <si>
    <t>Exposures: one row per exposure episode (Start, Stop and Restart are timepoints)</t>
  </si>
  <si>
    <t>INPUTS: one row per exposure episode</t>
  </si>
  <si>
    <t>Drug_ID</t>
  </si>
  <si>
    <t>Exposure_Episode_ID (timepoints: ID/START, ID/STOP, ID/RESTART)</t>
  </si>
  <si>
    <t>Product</t>
  </si>
  <si>
    <t>Route</t>
  </si>
  <si>
    <t>Dose (as reported)</t>
  </si>
  <si>
    <t>Dose unit</t>
  </si>
  <si>
    <t>Regimen (as reported)</t>
  </si>
  <si>
    <t>Missing-data reason (example codes)</t>
  </si>
  <si>
    <t>Notes</t>
  </si>
  <si>
    <t>Start (timepoint)</t>
  </si>
  <si>
    <t>Start: original text (as reported)</t>
  </si>
  <si>
    <t>Start: precision</t>
  </si>
  <si>
    <t>Start: date (TIMESTAMP, DATE)</t>
  </si>
  <si>
    <t>Start: local time hh:mm (TIMESTAMP only)</t>
  </si>
  <si>
    <t>Start: UTC offset or unknown (TIMESTAMP)</t>
  </si>
  <si>
    <t>Start: year (MONTH, YEAR)</t>
  </si>
  <si>
    <t>Start: month 1-12 (MONTH)</t>
  </si>
  <si>
    <t>Start: earliest date (RANGE)</t>
  </si>
  <si>
    <t>Start: latest date (RANGE)</t>
  </si>
  <si>
    <t>Start: source (document, record)</t>
  </si>
  <si>
    <t>Start: check (E-code)</t>
  </si>
  <si>
    <t>Start: has time (1/0)</t>
  </si>
  <si>
    <t>Start: offset known (1/0)</t>
  </si>
  <si>
    <t>Start: lower bound (date)</t>
  </si>
  <si>
    <t>Start: upper bound (date)</t>
  </si>
  <si>
    <t>Start: local clock (minutes since 1900)</t>
  </si>
  <si>
    <t>Start: UTC (minutes since 1900)</t>
  </si>
  <si>
    <t>Stop (timepoint)</t>
  </si>
  <si>
    <t>Stop: original text (as reported)</t>
  </si>
  <si>
    <t>Stop: precision</t>
  </si>
  <si>
    <t>Stop: date (TIMESTAMP, DATE)</t>
  </si>
  <si>
    <t>Stop: local time hh:mm (TIMESTAMP only)</t>
  </si>
  <si>
    <t>Stop: UTC offset or unknown (TIMESTAMP)</t>
  </si>
  <si>
    <t>Stop: year (MONTH, YEAR)</t>
  </si>
  <si>
    <t>Stop: month 1-12 (MONTH)</t>
  </si>
  <si>
    <t>Stop: earliest date (RANGE)</t>
  </si>
  <si>
    <t>Stop: latest date (RANGE)</t>
  </si>
  <si>
    <t>Stop: source (document, record)</t>
  </si>
  <si>
    <t>Stop: check (E-code)</t>
  </si>
  <si>
    <t>Stop: has time (1/0)</t>
  </si>
  <si>
    <t>Stop: offset known (1/0)</t>
  </si>
  <si>
    <t>Stop: lower bound (date)</t>
  </si>
  <si>
    <t>Stop: upper bound (date)</t>
  </si>
  <si>
    <t>Stop: local clock (minutes since 1900)</t>
  </si>
  <si>
    <t>Stop: UTC (minutes since 1900)</t>
  </si>
  <si>
    <t>Restart (timepoint)</t>
  </si>
  <si>
    <t>Restart: original text (as reported)</t>
  </si>
  <si>
    <t>Restart: precision</t>
  </si>
  <si>
    <t>Restart: date (TIMESTAMP, DATE)</t>
  </si>
  <si>
    <t>Restart: local time hh:mm (TIMESTAMP only)</t>
  </si>
  <si>
    <t>Restart: UTC offset or unknown (TIMESTAMP)</t>
  </si>
  <si>
    <t>Restart: year (MONTH, YEAR)</t>
  </si>
  <si>
    <t>Restart: month 1-12 (MONTH)</t>
  </si>
  <si>
    <t>Restart: earliest date (RANGE)</t>
  </si>
  <si>
    <t>Restart: latest date (RANGE)</t>
  </si>
  <si>
    <t>Restart: source (document, record)</t>
  </si>
  <si>
    <t>Restart: check (E-code)</t>
  </si>
  <si>
    <t>Restart: has time (1/0)</t>
  </si>
  <si>
    <t>Restart: offset known (1/0)</t>
  </si>
  <si>
    <t>Restart: lower bound (date)</t>
  </si>
  <si>
    <t>Restart: upper bound (date)</t>
  </si>
  <si>
    <t>Restart: local clock (minutes since 1900)</t>
  </si>
  <si>
    <t>Restart: UTC (minutes since 1900)</t>
  </si>
  <si>
    <t>Exposure key</t>
  </si>
  <si>
    <t>Record check (E-code)</t>
  </si>
  <si>
    <t>intravenous infusion</t>
  </si>
  <si>
    <t>EX-A</t>
  </si>
  <si>
    <t>DRUG-A</t>
  </si>
  <si>
    <t>First exposure to Drug A (version 2)</t>
  </si>
  <si>
    <t>Drug A (placeholder)</t>
  </si>
  <si>
    <t>09:00 Drug A infusion commenced</t>
  </si>
  <si>
    <t>Nursing chart; medication administration record</t>
  </si>
  <si>
    <t>Nursing chart</t>
  </si>
  <si>
    <t>09:16 infusion stopped, doctor called</t>
  </si>
  <si>
    <t>intravenous infusion, same cannula</t>
  </si>
  <si>
    <t>EX-B</t>
  </si>
  <si>
    <t>DRUG-B</t>
  </si>
  <si>
    <t>Previous courses, dates unknown (version 2)</t>
  </si>
  <si>
    <t>Drug B (placeholder)</t>
  </si>
  <si>
    <t>Drug B IV given earlier this morning via same cannula</t>
  </si>
  <si>
    <t>Follow-up, version 2</t>
  </si>
  <si>
    <t>Drug B infusion ended 08:50</t>
  </si>
  <si>
    <t>ANTISEPTIC</t>
  </si>
  <si>
    <t>EX-AS</t>
  </si>
  <si>
    <t>topical, at cannulation</t>
  </si>
  <si>
    <t>Skin antiseptic (concomitant material)</t>
  </si>
  <si>
    <t>Antiseptic applied at cannulation</t>
  </si>
  <si>
    <t>EX-DIG</t>
  </si>
  <si>
    <t>DIGOXIN</t>
  </si>
  <si>
    <t>125 micrograms each morning since 1 January 2026, dose never changed</t>
  </si>
  <si>
    <t>Digoxin tablets</t>
  </si>
  <si>
    <t>oral</t>
  </si>
  <si>
    <t>digoxin 125 micrograms each morning since 1 January 2026</t>
  </si>
  <si>
    <t>GP letter (version 2)</t>
  </si>
  <si>
    <t>Digoxin and ibuprofen withheld (5 July)</t>
  </si>
  <si>
    <t>Emergency department note</t>
  </si>
  <si>
    <t>EX-IBU</t>
  </si>
  <si>
    <t>IBUPROFEN</t>
  </si>
  <si>
    <t>400 mg three times a day for back pain</t>
  </si>
  <si>
    <t>Ibuprofen</t>
  </si>
  <si>
    <t>Bought ibuprofen ... on 26 June</t>
  </si>
  <si>
    <t>last taken 4 July</t>
  </si>
  <si>
    <t>Long term; dose unchanged since 2024</t>
  </si>
  <si>
    <t>EX-BB</t>
  </si>
  <si>
    <t>BETA-BLOCKER</t>
  </si>
  <si>
    <t>Beta-blocker (product not named)</t>
  </si>
  <si>
    <t>Start date not reported; additive AV-conduction effect (pharmacodynamic)</t>
  </si>
  <si>
    <t>intravenous</t>
  </si>
  <si>
    <t>EX-RTX</t>
  </si>
  <si>
    <t>RITUXIMAB</t>
  </si>
  <si>
    <t>R-Regimen X x 6 cycles every 21 days; doses as recorded in the source</t>
  </si>
  <si>
    <t>Rituximab (NHL)</t>
  </si>
  <si>
    <t>R-Regimen X x 6, 18/11/2024 to 03/03/2025</t>
  </si>
  <si>
    <t>Hematology summary</t>
  </si>
  <si>
    <t>last infusion 03/03/2025</t>
  </si>
  <si>
    <t>REGIMEN-X</t>
  </si>
  <si>
    <t>EX-RX</t>
  </si>
  <si>
    <t>combination chemotherapy</t>
  </si>
  <si>
    <t>Regimen X (placeholder; includes a glucocorticoid)</t>
  </si>
  <si>
    <t>same cycles as rituximab</t>
  </si>
  <si>
    <t>ANTIVIRAL-A</t>
  </si>
  <si>
    <t>EX-AVA</t>
  </si>
  <si>
    <t>Antiviral A (placeholder), prophylaxis</t>
  </si>
  <si>
    <t>Antiviral A prophylaxis 11/11/2024 to 03/09/2025</t>
  </si>
  <si>
    <t>prophylaxis to 03/09/2025</t>
  </si>
  <si>
    <t>EX-PRED</t>
  </si>
  <si>
    <t>PREDNISOLONE</t>
  </si>
  <si>
    <t>Prednisolone, 10-day oral course</t>
  </si>
  <si>
    <t>Dose not reported</t>
  </si>
  <si>
    <t>10-day oral prednisolone course 02-11/03/2026</t>
  </si>
  <si>
    <t>Hepatology letter</t>
  </si>
  <si>
    <t>EX-AVA2</t>
  </si>
  <si>
    <t>Antiviral A, treatment of the event</t>
  </si>
  <si>
    <t>Antiviral A restarted 27/05/2026</t>
  </si>
  <si>
    <t>D1</t>
  </si>
  <si>
    <t>EX1</t>
  </si>
  <si>
    <t>Vector drug</t>
  </si>
  <si>
    <t>2026-01-10T09:00-05:00</t>
  </si>
  <si>
    <t>tto_calc_test_vectors_v1.0.json V01</t>
  </si>
  <si>
    <t>2026-01-01</t>
  </si>
  <si>
    <t>tto_calc_test_vectors_v1.0.json V02</t>
  </si>
  <si>
    <t>2026-01-05</t>
  </si>
  <si>
    <t>tto_calc_test_vectors_v1.0.json V03</t>
  </si>
  <si>
    <t>2024-02-28</t>
  </si>
  <si>
    <t>tto_calc_test_vectors_v1.0.json V04</t>
  </si>
  <si>
    <t>start 1-10 January 2026</t>
  </si>
  <si>
    <t>tto_calc_test_vectors_v1.0.json V05</t>
  </si>
  <si>
    <t>tto_calc_test_vectors_v1.0.json V06</t>
  </si>
  <si>
    <t>first dose</t>
  </si>
  <si>
    <t>tto_calc_test_vectors_v1.0.json V07</t>
  </si>
  <si>
    <t>first administration</t>
  </si>
  <si>
    <t>tto_calc_test_vectors_v1.0.json V08</t>
  </si>
  <si>
    <t>stop</t>
  </si>
  <si>
    <t>restart</t>
  </si>
  <si>
    <t>2026-11-01T01:30-04:00</t>
  </si>
  <si>
    <t>tto_calc_test_vectors_v1.0.json V09</t>
  </si>
  <si>
    <t>2026-03-08T01:30 (offset unknown)</t>
  </si>
  <si>
    <t>tto_calc_test_vectors_v1.0.json V10</t>
  </si>
  <si>
    <t>dose 08:00</t>
  </si>
  <si>
    <t>tto_calc_test_vectors_v1.0.json V11</t>
  </si>
  <si>
    <t>2026-05-01</t>
  </si>
  <si>
    <t>tto_calc_test_vectors_v1.0.json V12</t>
  </si>
  <si>
    <t>first of two episodes both called EX1</t>
  </si>
  <si>
    <t>tto_calc_test_vectors_v1.0.json V13</t>
  </si>
  <si>
    <t>second episode reusing the ID EX1</t>
  </si>
  <si>
    <t>EX2</t>
  </si>
  <si>
    <t>bounds entered in reverse order</t>
  </si>
  <si>
    <t>EX3</t>
  </si>
  <si>
    <t>2026-01-15</t>
  </si>
  <si>
    <t>No start date: V15 tests reported timing only</t>
  </si>
  <si>
    <t>infusion start</t>
  </si>
  <si>
    <t>tto_calc_test_vectors_v1.0.json V25</t>
  </si>
  <si>
    <t>Administration dates not part of vector V26</t>
  </si>
  <si>
    <t>Administrations: one row per dose, administration or infusion rate segment</t>
  </si>
  <si>
    <t>INPUTS: one row per dose, administration or infusion rate segment</t>
  </si>
  <si>
    <t>Admin_ID (record ID)</t>
  </si>
  <si>
    <t>Exposure_Episode_ID</t>
  </si>
  <si>
    <t>Kind (DOSE, INFUSION_SEGMENT, OTHER)</t>
  </si>
  <si>
    <t>Dose (Q10 needs mg)</t>
  </si>
  <si>
    <t>Infusion rate (Q9 needs mg/hour)</t>
  </si>
  <si>
    <t>Rate unit</t>
  </si>
  <si>
    <t>BSA at this administration (m²)</t>
  </si>
  <si>
    <t>Administration or segment start (timepoint)</t>
  </si>
  <si>
    <t>Administration or segment start: original text (as reported)</t>
  </si>
  <si>
    <t>Administration or segment start: precision</t>
  </si>
  <si>
    <t>Administration or segment start: date (TIMESTAMP, DATE)</t>
  </si>
  <si>
    <t>Administration or segment start: local time hh:mm (TIMESTAMP only)</t>
  </si>
  <si>
    <t>Administration or segment start: UTC offset or unknown (TIMESTAMP)</t>
  </si>
  <si>
    <t>Administration or segment start: year (MONTH, YEAR)</t>
  </si>
  <si>
    <t>Administration or segment start: month 1-12 (MONTH)</t>
  </si>
  <si>
    <t>Administration or segment start: earliest date (RANGE)</t>
  </si>
  <si>
    <t>Administration or segment start: latest date (RANGE)</t>
  </si>
  <si>
    <t>Administration or segment start: source (document, record)</t>
  </si>
  <si>
    <t>Administration or segment start: check (E-code)</t>
  </si>
  <si>
    <t>Administration or segment start: has time (1/0)</t>
  </si>
  <si>
    <t>Administration or segment start: offset known (1/0)</t>
  </si>
  <si>
    <t>Administration or segment start: lower bound (date)</t>
  </si>
  <si>
    <t>Administration or segment start: upper bound (date)</t>
  </si>
  <si>
    <t>Administration or segment start: local clock (minutes since 1900)</t>
  </si>
  <si>
    <t>Administration or segment start: UTC (minutes since 1900)</t>
  </si>
  <si>
    <t>Infusion segment end (INFUSION_SEGMENT only)</t>
  </si>
  <si>
    <t>Segment end: date</t>
  </si>
  <si>
    <t>Segment end: local time hh:mm</t>
  </si>
  <si>
    <t>Segment end: UTC offset or unknown</t>
  </si>
  <si>
    <t>Segment end: source</t>
  </si>
  <si>
    <t>Segment end: check</t>
  </si>
  <si>
    <t>Segment end: local (minutes)</t>
  </si>
  <si>
    <t>Segment end: offset known</t>
  </si>
  <si>
    <t>Segment end: UTC (minutes)</t>
  </si>
  <si>
    <t>WORKING AND CHECK COLUMNS</t>
  </si>
  <si>
    <t>Administration key</t>
  </si>
  <si>
    <t>Episode key</t>
  </si>
  <si>
    <t>Exact date, no error (C5 eligible)</t>
  </si>
  <si>
    <t>Local minutes (0 if none)</t>
  </si>
  <si>
    <t>UTC minutes (0 if none)</t>
  </si>
  <si>
    <t>Date (0 if none)</t>
  </si>
  <si>
    <t>Order key (UTC, else local, else date)</t>
  </si>
  <si>
    <t>Rate (0 if none)</t>
  </si>
  <si>
    <t>Dose (0 if none)</t>
  </si>
  <si>
    <t>Has dose</t>
  </si>
  <si>
    <t>BSA (0 if none)</t>
  </si>
  <si>
    <t>Has BSA</t>
  </si>
  <si>
    <t>BSA divisor (1 if none)</t>
  </si>
  <si>
    <t>Dose / BSA, mg/m2 (0 if either is missing)</t>
  </si>
  <si>
    <t>Segment: both offsets known</t>
  </si>
  <si>
    <t>Segment start UTC</t>
  </si>
  <si>
    <t>Segment end UTC</t>
  </si>
  <si>
    <t>Segment start local</t>
  </si>
  <si>
    <t>Segment end local</t>
  </si>
  <si>
    <t>Segment start (comparison)</t>
  </si>
  <si>
    <t>Segment end (comparison)</t>
  </si>
  <si>
    <t>Overlapping segments (count)</t>
  </si>
  <si>
    <t>Segment check (Q9)</t>
  </si>
  <si>
    <t>Exposure episode exists</t>
  </si>
  <si>
    <t>ADM-A1</t>
  </si>
  <si>
    <t>Pump rate 50 mL/hour from 09:00, unchanged until the stop; drug concentration in the bag not reported</t>
  </si>
  <si>
    <t>Drug A IV, started 09:00</t>
  </si>
  <si>
    <t>Medication administration record</t>
  </si>
  <si>
    <t>stopped 09:16 (reaction)</t>
  </si>
  <si>
    <t>ADM-DIG-LAST</t>
  </si>
  <si>
    <t>Took last digoxin yesterday morning, about 08:00</t>
  </si>
  <si>
    <t>Emergency department note, 5 July 2026</t>
  </si>
  <si>
    <t>Dose as recorded in the source (not itemized)</t>
  </si>
  <si>
    <t>ADM-RTX-1</t>
  </si>
  <si>
    <t>first infusion 18/11/2024</t>
  </si>
  <si>
    <t>Intermediate cycle dates not itemized in the source</t>
  </si>
  <si>
    <t>ADM-RTX-6</t>
  </si>
  <si>
    <t>A1</t>
  </si>
  <si>
    <t>2026-03-01T08:00-05:00</t>
  </si>
  <si>
    <t>A2</t>
  </si>
  <si>
    <t>2026-03-02T08:00-05:00</t>
  </si>
  <si>
    <t>A3</t>
  </si>
  <si>
    <t>2026-03-03T08:00-05:00</t>
  </si>
  <si>
    <t>S1</t>
  </si>
  <si>
    <t>segment 1 start</t>
  </si>
  <si>
    <t>S2</t>
  </si>
  <si>
    <t>tto_calc_test_vectors_v1.0.json V25 (recorded planned stop)</t>
  </si>
  <si>
    <t>segment 2 start</t>
  </si>
  <si>
    <t>D2</t>
  </si>
  <si>
    <t>D3</t>
  </si>
  <si>
    <t>Events: one row per event episode (Onset and First detection are timepoints)</t>
  </si>
  <si>
    <t>INPUTS: one row per event episode</t>
  </si>
  <si>
    <t>Event_ID</t>
  </si>
  <si>
    <t>Episode_ID (timepoints: ID/ONSET, ID/DETECTION)</t>
  </si>
  <si>
    <t>Event term</t>
  </si>
  <si>
    <t>Baseline status</t>
  </si>
  <si>
    <t>Onset (timepoint)</t>
  </si>
  <si>
    <t>Onset: original text (as reported)</t>
  </si>
  <si>
    <t>Onset: precision</t>
  </si>
  <si>
    <t>Onset: date (TIMESTAMP, DATE)</t>
  </si>
  <si>
    <t>Onset: local time hh:mm (TIMESTAMP only)</t>
  </si>
  <si>
    <t>Onset: UTC offset or unknown (TIMESTAMP)</t>
  </si>
  <si>
    <t>Onset: year (MONTH, YEAR)</t>
  </si>
  <si>
    <t>Onset: month 1-12 (MONTH)</t>
  </si>
  <si>
    <t>Onset: earliest date (RANGE)</t>
  </si>
  <si>
    <t>Onset: latest date (RANGE)</t>
  </si>
  <si>
    <t>Onset: source (document, record)</t>
  </si>
  <si>
    <t>Onset: check (E-code)</t>
  </si>
  <si>
    <t>Onset: has time (1/0)</t>
  </si>
  <si>
    <t>Onset: offset known (1/0)</t>
  </si>
  <si>
    <t>Onset: lower bound (date)</t>
  </si>
  <si>
    <t>Onset: upper bound (date)</t>
  </si>
  <si>
    <t>Onset: local clock (minutes since 1900)</t>
  </si>
  <si>
    <t>Onset: UTC (minutes since 1900)</t>
  </si>
  <si>
    <t>First detection (timepoint)</t>
  </si>
  <si>
    <t>First detection: original text (as reported)</t>
  </si>
  <si>
    <t>First detection: precision</t>
  </si>
  <si>
    <t>First detection: date (TIMESTAMP, DATE)</t>
  </si>
  <si>
    <t>First detection: local time hh:mm (TIMESTAMP only)</t>
  </si>
  <si>
    <t>First detection: UTC offset or unknown (TIMESTAMP)</t>
  </si>
  <si>
    <t>First detection: year (MONTH, YEAR)</t>
  </si>
  <si>
    <t>First detection: month 1-12 (MONTH)</t>
  </si>
  <si>
    <t>First detection: earliest date (RANGE)</t>
  </si>
  <si>
    <t>First detection: latest date (RANGE)</t>
  </si>
  <si>
    <t>First detection: source (document, record)</t>
  </si>
  <si>
    <t>First detection: check (E-code)</t>
  </si>
  <si>
    <t>First detection: has time (1/0)</t>
  </si>
  <si>
    <t>First detection: offset known (1/0)</t>
  </si>
  <si>
    <t>First detection: lower bound (date)</t>
  </si>
  <si>
    <t>First detection: upper bound (date)</t>
  </si>
  <si>
    <t>First detection: local clock (minutes since 1900)</t>
  </si>
  <si>
    <t>First detection: UTC (minutes since 1900)</t>
  </si>
  <si>
    <t>Event key</t>
  </si>
  <si>
    <t>E1</t>
  </si>
  <si>
    <t>EV-1</t>
  </si>
  <si>
    <t>08:50 observations stable; skin clear</t>
  </si>
  <si>
    <t>Urticaria, wheeze and hypotension (acute infusion-associated reaction)</t>
  </si>
  <si>
    <t>Nursing observation chart</t>
  </si>
  <si>
    <t>09:15 pt reports itching; urticaria chest and arms; audible wheeze; BP 84/52</t>
  </si>
  <si>
    <t>Six months of tolerated treatment</t>
  </si>
  <si>
    <t>Nausea and symptomatic bradycardia</t>
  </si>
  <si>
    <t>Nausea since this morning, dizzy, pulse 38</t>
  </si>
  <si>
    <t>EV-HBV</t>
  </si>
  <si>
    <t>11/11/2024 HBsAg negative, anti-HBc positive, HBV DNA not detected</t>
  </si>
  <si>
    <t>Hepatitis B virus reactivation</t>
  </si>
  <si>
    <t>Test records M-HBV3 and M-HBV4 (hepatology letter)</t>
  </si>
  <si>
    <t>Not before the last undetectable HBV DNA (9 Feb 2026), not after the first positive (12 May 2026); reviewer-entered bounds</t>
  </si>
  <si>
    <t>12/05/2026 HBV DNA 1,850 IU/mL</t>
  </si>
  <si>
    <t>EV1</t>
  </si>
  <si>
    <t>Vector event</t>
  </si>
  <si>
    <t>2026-01-10T09:15-05:00</t>
  </si>
  <si>
    <t>2026-01-06</t>
  </si>
  <si>
    <t>2024-03-01</t>
  </si>
  <si>
    <t>2026-03-02T20:00-05:00</t>
  </si>
  <si>
    <t>2026-02-14</t>
  </si>
  <si>
    <t>2026-11-01T01:30-05:00</t>
  </si>
  <si>
    <t>2026-03-08T03:30 (offset unknown)</t>
  </si>
  <si>
    <t>onset 14:00</t>
  </si>
  <si>
    <t>onset 10 May (version 1)</t>
  </si>
  <si>
    <t>onset 8 May (follow-up, version 2)</t>
  </si>
  <si>
    <t>30 February 2026</t>
  </si>
  <si>
    <t>2026-02-30</t>
  </si>
  <si>
    <t>EV2</t>
  </si>
  <si>
    <t>2026-01-20</t>
  </si>
  <si>
    <t>No onset date: V15 tests reported timing only</t>
  </si>
  <si>
    <t>symptoms begin 09:50</t>
  </si>
  <si>
    <t>Milestones: tests, organ function, interventions, recovery and other dated records</t>
  </si>
  <si>
    <t>INPUTS: one row per test, organ-function value, intervention, recovery or other milestone</t>
  </si>
  <si>
    <t>Milestone_ID (record ID)</t>
  </si>
  <si>
    <t>Type (RECOVERY ends C7; INTERVENTION raises W_INTERVENTION_BEFORE_RECOVERY)</t>
  </si>
  <si>
    <t>Related episode (optional)</t>
  </si>
  <si>
    <t>Description</t>
  </si>
  <si>
    <t>Value</t>
  </si>
  <si>
    <t>Unit</t>
  </si>
  <si>
    <t>Reference range</t>
  </si>
  <si>
    <t>Milestone date/time (timepoint)</t>
  </si>
  <si>
    <t>Milestone date/time: original text (as reported)</t>
  </si>
  <si>
    <t>Milestone date/time: precision</t>
  </si>
  <si>
    <t>Milestone date/time: date (TIMESTAMP, DATE)</t>
  </si>
  <si>
    <t>Milestone date/time: local time hh:mm (TIMESTAMP only)</t>
  </si>
  <si>
    <t>Milestone date/time: UTC offset or unknown (TIMESTAMP)</t>
  </si>
  <si>
    <t>Milestone date/time: year (MONTH, YEAR)</t>
  </si>
  <si>
    <t>Milestone date/time: month 1-12 (MONTH)</t>
  </si>
  <si>
    <t>Milestone date/time: earliest date (RANGE)</t>
  </si>
  <si>
    <t>Milestone date/time: latest date (RANGE)</t>
  </si>
  <si>
    <t>Milestone date/time: source (document, record)</t>
  </si>
  <si>
    <t>Milestone date/time: check (E-code)</t>
  </si>
  <si>
    <t>Milestone date/time: has time (1/0)</t>
  </si>
  <si>
    <t>Milestone date/time: offset known (1/0)</t>
  </si>
  <si>
    <t>Milestone date/time: lower bound (date)</t>
  </si>
  <si>
    <t>Milestone date/time: upper bound (date)</t>
  </si>
  <si>
    <t>Milestone date/time: local clock (minutes since 1900)</t>
  </si>
  <si>
    <t>Milestone date/time: UTC (minutes since 1900)</t>
  </si>
  <si>
    <t>Milestone key</t>
  </si>
  <si>
    <t>M-BASE</t>
  </si>
  <si>
    <t>Pre-infusion observations: BP 124/78, HR 76, SpO2 98%, skin clear</t>
  </si>
  <si>
    <t>08:50 pre-infusion obs</t>
  </si>
  <si>
    <t>M-EMERG</t>
  </si>
  <si>
    <t>Emergency medicines administered (agents not given here)</t>
  </si>
  <si>
    <t>Emergency medicines administered from 09:18</t>
  </si>
  <si>
    <t>M-IMPROVE</t>
  </si>
  <si>
    <t>Wheeze settling, BP 108/70</t>
  </si>
  <si>
    <t>09:35 wheeze settling, BP 108/70</t>
  </si>
  <si>
    <t>M-DIAG</t>
  </si>
  <si>
    <t>Physician note: acute reaction during first Drug A infusion</t>
  </si>
  <si>
    <t>Physician note (version 2)</t>
  </si>
  <si>
    <t>Physician note written at 09:50</t>
  </si>
  <si>
    <t>M-TRYP</t>
  </si>
  <si>
    <t>Tryptase sample taken; result pending</t>
  </si>
  <si>
    <t>tryptase sample 10:05</t>
  </si>
  <si>
    <t>M-CR1</t>
  </si>
  <si>
    <t>Serum creatinine (baseline)</t>
  </si>
  <si>
    <t>Creatinine 1.0 mg/dL on 14 November 2025</t>
  </si>
  <si>
    <t>GP letter</t>
  </si>
  <si>
    <t>M-CR2</t>
  </si>
  <si>
    <t>Creatinine 1.0 mg/dL on 12 March 2026</t>
  </si>
  <si>
    <t>M-CR3</t>
  </si>
  <si>
    <t>First documented renal deterioration (detection, not the start of the decline)</t>
  </si>
  <si>
    <t>Seen 1 July ... creatinine 1.7</t>
  </si>
  <si>
    <t>M-CR4</t>
  </si>
  <si>
    <t>Serum creatinine at onset (still rising)</t>
  </si>
  <si>
    <t>Creatinine 2.4 mg/dL</t>
  </si>
  <si>
    <t>M-DIGC</t>
  </si>
  <si>
    <t>Serum digoxin</t>
  </si>
  <si>
    <t>Serum digoxin 2.9 ng/mL (sample 11:40; laboratory reference 0.5-2.0)</t>
  </si>
  <si>
    <t>0.5-2.0 ng/mL</t>
  </si>
  <si>
    <t>ng/mL</t>
  </si>
  <si>
    <t>M-K</t>
  </si>
  <si>
    <t>Potassium</t>
  </si>
  <si>
    <t>potassium 4.8 mmol/L</t>
  </si>
  <si>
    <t>mmol/L</t>
  </si>
  <si>
    <t>M-FLUIDS</t>
  </si>
  <si>
    <t>IV fluids, cardiac monitoring (treatments 5-8 July beyond fluids not reported)</t>
  </si>
  <si>
    <t>IV fluids, cardiac monitoring</t>
  </si>
  <si>
    <t>Nausea resolved, ventricular rate 64; creatinine 1.9</t>
  </si>
  <si>
    <t>Nausea resolved, ventricular rate 64</t>
  </si>
  <si>
    <t>Ward note, 8 July 2026</t>
  </si>
  <si>
    <t>M-HBV0</t>
  </si>
  <si>
    <t>HBsAg negative, anti-HBc positive, HBV DNA not detected</t>
  </si>
  <si>
    <t>Baseline 11/11/2024</t>
  </si>
  <si>
    <t>M-HBV1</t>
  </si>
  <si>
    <t>HBV DNA not detected</t>
  </si>
  <si>
    <t>not detected 01/09/2025</t>
  </si>
  <si>
    <t>M-HBV2</t>
  </si>
  <si>
    <t>not detected 01/12/2025</t>
  </si>
  <si>
    <t>M-HBV3</t>
  </si>
  <si>
    <t>HBV DNA not detected (last undetectable)</t>
  </si>
  <si>
    <t>not detected 09/02/2026</t>
  </si>
  <si>
    <t>M-HBV4</t>
  </si>
  <si>
    <t>HBV DNA 1,850 IU/mL (first positive), ALT 28 U/L</t>
  </si>
  <si>
    <t>IU/mL</t>
  </si>
  <si>
    <t>M-BCELL</t>
  </si>
  <si>
    <t>CD19 B cells and IgG below reference range</t>
  </si>
  <si>
    <t>CD19 B cells and IgG below reference range on 12/05/2026</t>
  </si>
  <si>
    <t>Values not reported</t>
  </si>
  <si>
    <t>M-HEP</t>
  </si>
  <si>
    <t>Biochemical hepatitis: HBV DNA 64,000 IU/mL, HBsAg positive, ALT 142 U/L (ULN 40)</t>
  </si>
  <si>
    <t>26/05/2026 HBV DNA 64,000 IU/mL, HBsAg positive, ALT 142 U/L</t>
  </si>
  <si>
    <t>ULN 40 U/L</t>
  </si>
  <si>
    <t>U/L (ALT)</t>
  </si>
  <si>
    <t>M-AV</t>
  </si>
  <si>
    <t>Antiviral A restarted</t>
  </si>
  <si>
    <t>Drug_Event_Links: pairs selected by the reviewer (an interval needs a link: E_MISSING_LINK)</t>
  </si>
  <si>
    <t>INPUTS: one row per drug-event pair the reviewer selects (no automatic pairing)</t>
  </si>
  <si>
    <t>Link_ID</t>
  </si>
  <si>
    <t>Event Episode_ID</t>
  </si>
  <si>
    <t>Reason for the pairing (required)</t>
  </si>
  <si>
    <t>Selected by</t>
  </si>
  <si>
    <t>Link key</t>
  </si>
  <si>
    <t>Event episode exists</t>
  </si>
  <si>
    <t>Suspect drug named in the report</t>
  </si>
  <si>
    <t>reviewer</t>
  </si>
  <si>
    <t>L1</t>
  </si>
  <si>
    <t>Competing exposure through the same cannula (version 2)</t>
  </si>
  <si>
    <t>L2</t>
  </si>
  <si>
    <t>Competing exposure: skin antiseptic (version 2)</t>
  </si>
  <si>
    <t>L3</t>
  </si>
  <si>
    <t>Suspect drug</t>
  </si>
  <si>
    <t>Interacting co-medication (NSAID may impair digoxin excretion)</t>
  </si>
  <si>
    <t>End of antiviral prophylaxis (concomitant change)</t>
  </si>
  <si>
    <t>Competing immunosuppressive exposure</t>
  </si>
  <si>
    <t>Concomitant chemotherapy with a glucocorticoid; same dates as rituximab</t>
  </si>
  <si>
    <t>L4</t>
  </si>
  <si>
    <t>Vector V01 pair</t>
  </si>
  <si>
    <t>Vector V02 pair</t>
  </si>
  <si>
    <t>Vector V03 pair</t>
  </si>
  <si>
    <t>Vector V04 pair</t>
  </si>
  <si>
    <t>Vector V05 pair</t>
  </si>
  <si>
    <t>Vector V06 pair</t>
  </si>
  <si>
    <t>Vector V07 pair</t>
  </si>
  <si>
    <t>Vector V08 pair</t>
  </si>
  <si>
    <t>Vector V09 pair</t>
  </si>
  <si>
    <t>Vector V10 pair</t>
  </si>
  <si>
    <t>Vector V11 pair</t>
  </si>
  <si>
    <t>Vector V15 pair</t>
  </si>
  <si>
    <t>Vector V12 pair (version 1)</t>
  </si>
  <si>
    <t>Vector V12 pair (version 2)</t>
  </si>
  <si>
    <t>Vector V13 reversed-bounds pair</t>
  </si>
  <si>
    <t>Vector V13 duplicate-ID pair</t>
  </si>
  <si>
    <t>Vector V13 invalid-date pair</t>
  </si>
  <si>
    <t>Timepoints: derived index of every dated record (locked). Use the Record_ID column as Anchor_Record_ID or End_Record_ID on Intervals.</t>
  </si>
  <si>
    <t>Exposure timepoints are Episode/START, /STOP and /RESTART; event timepoints Episode/ONSET and /DETECTION; administrations and milestones use their own IDs. Loc and UTC are minutes since 1900 (integers), used only for arithmetic.</t>
  </si>
  <si>
    <t>Key</t>
  </si>
  <si>
    <t>Record_ID</t>
  </si>
  <si>
    <t>Record_Type</t>
  </si>
  <si>
    <t>Case_Key</t>
  </si>
  <si>
    <t>Episode_ID</t>
  </si>
  <si>
    <t>Err</t>
  </si>
  <si>
    <t>HT</t>
  </si>
  <si>
    <t>OK</t>
  </si>
  <si>
    <t>Loc</t>
  </si>
  <si>
    <t>UTC</t>
  </si>
  <si>
    <t>Lo</t>
  </si>
  <si>
    <t>Hi</t>
  </si>
  <si>
    <t>ISO</t>
  </si>
  <si>
    <t>Display</t>
  </si>
  <si>
    <t>Original_Text</t>
  </si>
  <si>
    <t>Source</t>
  </si>
  <si>
    <t>Source_Location</t>
  </si>
  <si>
    <t>Dup</t>
  </si>
  <si>
    <t>Loc_n</t>
  </si>
  <si>
    <t>UTC_n</t>
  </si>
  <si>
    <t>Lo_n</t>
  </si>
  <si>
    <t>Hi_n</t>
  </si>
  <si>
    <t>Intervals: one row per selected link and anchor (C1-C7)</t>
  </si>
  <si>
    <t>Choose the link, the anchor and the rule; the row shows value, unit, sequence status and flags. Blocked rows show the E-code and no number. The workbook never picks the shortest interval and never assigns causality.</t>
  </si>
  <si>
    <t>INPUTS (yellow): one row per link and anchor</t>
  </si>
  <si>
    <t>Interval_ID (unique in the case version)</t>
  </si>
  <si>
    <t>Link_ID (Drug_Event_Links)</t>
  </si>
  <si>
    <t>Anchor_Type (C5)</t>
  </si>
  <si>
    <t>Anchor description (required for OTHER)</t>
  </si>
  <si>
    <t>Anchor_Record_ID (see Timepoints; leave blank for LAST_DOSE_BEFORE_ONSET, selected by C5)</t>
  </si>
  <si>
    <t>End-point record ID (e.g. EV-1/ONSET, EV-1/DETECTION or a RECOVERY milestone)</t>
  </si>
  <si>
    <t>Calculation mode: C1 (timestamps), C2 (dates), C4 (bounds)</t>
  </si>
  <si>
    <t>Treatment day (C3): inclusive or not requested</t>
  </si>
  <si>
    <t>Reported relative timing: text as reported (C6)</t>
  </si>
  <si>
    <t>Reported lower bound (only if stated)</t>
  </si>
  <si>
    <t>Reported upper bound (only if stated)</t>
  </si>
  <si>
    <t>Reported unit</t>
  </si>
  <si>
    <t>Source or justification for reported bounds</t>
  </si>
  <si>
    <t>C4 constraint: anchor not before (date)</t>
  </si>
  <si>
    <t>C4 constraint: anchor not after (date)</t>
  </si>
  <si>
    <t>C4 constraint source (required)</t>
  </si>
  <si>
    <t>Reviewer note</t>
  </si>
  <si>
    <t>RESULT (grey formulas, locked)</t>
  </si>
  <si>
    <t>Result (display per CALC-SPEC Section 7; E-code and no number when blocked)</t>
  </si>
  <si>
    <t>Interval_Value (unrounded; C1 minutes or C2 calendar days)</t>
  </si>
  <si>
    <t>Interval_Minimum (C4, calendar days)</t>
  </si>
  <si>
    <t>Interval_Maximum (C4, calendar days)</t>
  </si>
  <si>
    <t>Calculation_Mode (rule applied)</t>
  </si>
  <si>
    <t>Sequence_Status</t>
  </si>
  <si>
    <t>Treatment day number (C3, inclusive)</t>
  </si>
  <si>
    <t>QC_Flags (E-, W-, I-codes)</t>
  </si>
  <si>
    <t>Messages (CALC-SPEC Section 5, verbatim)</t>
  </si>
  <si>
    <t>C4 with constraint: minimum</t>
  </si>
  <si>
    <t>C4 with constraint: maximum</t>
  </si>
  <si>
    <t>Reported timing (C6): kept beside the computed value</t>
  </si>
  <si>
    <t>Anchor_Record_ID used</t>
  </si>
  <si>
    <t>Anchor (ISO 8601)</t>
  </si>
  <si>
    <t>Anchor (as recorded)</t>
  </si>
  <si>
    <t>End point (ISO 8601)</t>
  </si>
  <si>
    <t>End point (as recorded)</t>
  </si>
  <si>
    <t>Exposure_Episode_ID (from link)</t>
  </si>
  <si>
    <t>Event Episode_ID (from link)</t>
  </si>
  <si>
    <t>Assumptions</t>
  </si>
  <si>
    <t>C7 note (not a CALC-SPEC code)</t>
  </si>
  <si>
    <t>Calculation_Version</t>
  </si>
  <si>
    <t>WORKING COLUMNS (locked; shown for inspection)</t>
  </si>
  <si>
    <t>work: row empty</t>
  </si>
  <si>
    <t>work: case key</t>
  </si>
  <si>
    <t>work: interval key</t>
  </si>
  <si>
    <t>work: key count</t>
  </si>
  <si>
    <t>work: link row</t>
  </si>
  <si>
    <t>work: end-point row in Timepoints</t>
  </si>
  <si>
    <t>End point: Dup</t>
  </si>
  <si>
    <t>End point: Type</t>
  </si>
  <si>
    <t>End point: Prec</t>
  </si>
  <si>
    <t>End point: Err</t>
  </si>
  <si>
    <t>End point: HT</t>
  </si>
  <si>
    <t>End point: OK</t>
  </si>
  <si>
    <t>End point: Loc</t>
  </si>
  <si>
    <t>End point: UTC</t>
  </si>
  <si>
    <t>End point: Lo</t>
  </si>
  <si>
    <t>End point: Hi</t>
  </si>
  <si>
    <t>work: C5 latest eligible administration (sort key)</t>
  </si>
  <si>
    <t>work: C5 row</t>
  </si>
  <si>
    <t>work: C5 selected administration</t>
  </si>
  <si>
    <t>work: anchor row in Timepoints</t>
  </si>
  <si>
    <t>Anchor: Dup</t>
  </si>
  <si>
    <t>Anchor: Type</t>
  </si>
  <si>
    <t>Anchor: Prec</t>
  </si>
  <si>
    <t>Anchor: Err</t>
  </si>
  <si>
    <t>Anchor: HT</t>
  </si>
  <si>
    <t>Anchor: OK</t>
  </si>
  <si>
    <t>Anchor: Loc</t>
  </si>
  <si>
    <t>Anchor: UTC</t>
  </si>
  <si>
    <t>Anchor: Lo</t>
  </si>
  <si>
    <t>Anchor: Hi</t>
  </si>
  <si>
    <t>work: interventions between cessation and recovery (C7)</t>
  </si>
  <si>
    <t>work: link/record check</t>
  </si>
  <si>
    <t>work: missing input named</t>
  </si>
  <si>
    <t>work: blocking E-code</t>
  </si>
  <si>
    <t>work: [input] for E_MISSING_INPUT</t>
  </si>
  <si>
    <t>work: offset unknown (1/0)</t>
  </si>
  <si>
    <t>work: C1 minutes</t>
  </si>
  <si>
    <t>work: C2 calendar days</t>
  </si>
  <si>
    <t>work: C4 minimum</t>
  </si>
  <si>
    <t>work: C4 maximum</t>
  </si>
  <si>
    <t>work: constraint entered</t>
  </si>
  <si>
    <t>work: constrained anchor lower</t>
  </si>
  <si>
    <t>work: constrained anchor upper</t>
  </si>
  <si>
    <t>work: constraint check</t>
  </si>
  <si>
    <t>flag W_TZ_UNKNOWN</t>
  </si>
  <si>
    <t>flag W_SAME_DATE_ORDER_UNKNOWN</t>
  </si>
  <si>
    <t>flag W_SEQUENCE_UNCERTAIN</t>
  </si>
  <si>
    <t>flag W_ADMIN_SAME_DATE_AS_ONSET</t>
  </si>
  <si>
    <t>flag I_TREATMENT_DAY_UNDEFINED</t>
  </si>
  <si>
    <t>C7 recovery interval (CESSATION to RECOVERY)</t>
  </si>
  <si>
    <t>flag W_INTERVENTION_BEFORE_RECOVERY</t>
  </si>
  <si>
    <t>work: C6 unit factor (0 = not comparable)</t>
  </si>
  <si>
    <t>work: C6 result code</t>
  </si>
  <si>
    <t>EX-A/START</t>
  </si>
  <si>
    <t>I01</t>
  </si>
  <si>
    <t>EV-1/ONSET</t>
  </si>
  <si>
    <t>I02</t>
  </si>
  <si>
    <t>Date-level result; C1 decides the order because both times are known</t>
  </si>
  <si>
    <t>I03</t>
  </si>
  <si>
    <t>The infusion running at onset; its 09:16 end belongs to the chronology, not the anchor</t>
  </si>
  <si>
    <t>EX-B/START</t>
  </si>
  <si>
    <t>I04</t>
  </si>
  <si>
    <t>Drug B infusion start</t>
  </si>
  <si>
    <t>EX-B/STOP</t>
  </si>
  <si>
    <t>I05</t>
  </si>
  <si>
    <t>End of Drug B infusion</t>
  </si>
  <si>
    <t>EX-AS/START</t>
  </si>
  <si>
    <t>I06</t>
  </si>
  <si>
    <t>Skin antiseptic at cannulation (topical exposure)</t>
  </si>
  <si>
    <t>I07</t>
  </si>
  <si>
    <t>Baseline observations (last documented normal status)</t>
  </si>
  <si>
    <t>EX-A/STOP</t>
  </si>
  <si>
    <t>I08</t>
  </si>
  <si>
    <t>Exposure continued 1 minute after onset</t>
  </si>
  <si>
    <t>I09</t>
  </si>
  <si>
    <t>Start of emergency treatment</t>
  </si>
  <si>
    <t>I10</t>
  </si>
  <si>
    <t>Recovery interval (C7); Chapter 17</t>
  </si>
  <si>
    <t>I11</t>
  </si>
  <si>
    <t>I12</t>
  </si>
  <si>
    <t>Onset of the reaction</t>
  </si>
  <si>
    <t>I13</t>
  </si>
  <si>
    <t>Duration of the Drug A infusion</t>
  </si>
  <si>
    <t>I14</t>
  </si>
  <si>
    <t>Tryptase sampling time relative to onset</t>
  </si>
  <si>
    <t>EX-DIG/START</t>
  </si>
  <si>
    <t>EX-IBU/START</t>
  </si>
  <si>
    <t>Start of ibuprofen</t>
  </si>
  <si>
    <t>Last dose before the concentration sample</t>
  </si>
  <si>
    <t>Sample time after the last dose (sampling advice LANOXIN US 2.5)</t>
  </si>
  <si>
    <t>EX-DIG/STOP</t>
  </si>
  <si>
    <t>Recovery interval (C7); IV fluids recorded, ibuprofen stopped the same day</t>
  </si>
  <si>
    <t>EV-HBV/DETECTION</t>
  </si>
  <si>
    <t>fourteen months after the last dose</t>
  </si>
  <si>
    <t>Reporter comment kept as reported; months are not converted</t>
  </si>
  <si>
    <t>EV-HBV/ONSET</t>
  </si>
  <si>
    <t>EX-RTX/START</t>
  </si>
  <si>
    <t>EX-AVA/STOP</t>
  </si>
  <si>
    <t>End of Antiviral A prophylaxis</t>
  </si>
  <si>
    <t>EX-PRED/START</t>
  </si>
  <si>
    <t>Start of prednisolone course</t>
  </si>
  <si>
    <t>Biochemical hepatitis milestone</t>
  </si>
  <si>
    <t>Last undetectable HBV DNA</t>
  </si>
  <si>
    <t>Width of the detection window</t>
  </si>
  <si>
    <t>Last rituximab infusion</t>
  </si>
  <si>
    <t>Prophylaxis stopped after the last infusion</t>
  </si>
  <si>
    <t>EX1/START</t>
  </si>
  <si>
    <t>I1</t>
  </si>
  <si>
    <t>EV1/ONSET</t>
  </si>
  <si>
    <t>EX1/RESTART</t>
  </si>
  <si>
    <t>I2</t>
  </si>
  <si>
    <t>Bounds stated in the vector</t>
  </si>
  <si>
    <t>two hours after the dose</t>
  </si>
  <si>
    <t>EX3/START</t>
  </si>
  <si>
    <t>I-DATE</t>
  </si>
  <si>
    <t>EX2/START</t>
  </si>
  <si>
    <t>I-BOUNDS</t>
  </si>
  <si>
    <t>EV2/ONSET</t>
  </si>
  <si>
    <t>I-IDS</t>
  </si>
  <si>
    <t>L9</t>
  </si>
  <si>
    <t>I-LINK</t>
  </si>
  <si>
    <t>Pair D1 x E1 has no Drug_Event_Links row</t>
  </si>
  <si>
    <t>about one month after starting</t>
  </si>
  <si>
    <t>PK_Exercises: gated basic PK arithmetic (Q1-Q5, Q7-Q11). Run only what the case question needs.</t>
  </si>
  <si>
    <t>Every result is gated, carries its Parameter_Set with each input's status, and shows the CALC-SPEC mandatory text. These results describe exposure under a stated model; they never decide causality and are not dosing advice.</t>
  </si>
  <si>
    <t>Q1 Elimination and fractional persistence</t>
  </si>
  <si>
    <t>Mandatory text and formula are shown on every result row. Common gate: confirm the model, the parameter used, the reference time and each input's Parameter_Status (Q9, Q10 and Q11 have their own checks).</t>
  </si>
  <si>
    <t>INPUTS</t>
  </si>
  <si>
    <t>Calc_ID</t>
  </si>
  <si>
    <t>Question this calculation answers</t>
  </si>
  <si>
    <t>COMMON GATE (CALC-SPEC Section 4)</t>
  </si>
  <si>
    <t>Gate 1: simple model applies (one compartment, linear first-order, constant parameters)? Yes/No</t>
  </si>
  <si>
    <t>Gate 2: half-life or parameter used, with type, population and source</t>
  </si>
  <si>
    <t>Gate 3: reference time (what the result is a fraction of, and when)</t>
  </si>
  <si>
    <t>Gate 4: each input's Parameter_Status recorded and confirmed? Yes/No</t>
  </si>
  <si>
    <t>INPUTS (same time unit)</t>
  </si>
  <si>
    <t>Time unit (minutes, hours, days)</t>
  </si>
  <si>
    <t>t_half (in Time_Unit)</t>
  </si>
  <si>
    <t>t_half status</t>
  </si>
  <si>
    <t>t_half source (document, version, section)</t>
  </si>
  <si>
    <t>t, time since reference (in Time_Unit)</t>
  </si>
  <si>
    <t>t status</t>
  </si>
  <si>
    <t>t source (document, version, section)</t>
  </si>
  <si>
    <t>RESULT</t>
  </si>
  <si>
    <t>Result (display: percent to 3 significant figures)</t>
  </si>
  <si>
    <t>Fraction remaining (unrounded)</t>
  </si>
  <si>
    <t>Percent remaining (unrounded)</t>
  </si>
  <si>
    <t>k (per Time_Unit, unrounded)</t>
  </si>
  <si>
    <t>k (per hour, unrounded)</t>
  </si>
  <si>
    <t>QC_Flags</t>
  </si>
  <si>
    <t>Messages (verbatim)</t>
  </si>
  <si>
    <t>Parameter_Set (value, unit, status, source)</t>
  </si>
  <si>
    <t>Assumptions (gate confirmations)</t>
  </si>
  <si>
    <t>Mandatory text (CALC-SPEC)</t>
  </si>
  <si>
    <t>Formula in words</t>
  </si>
  <si>
    <t>WORKING</t>
  </si>
  <si>
    <t>work: key</t>
  </si>
  <si>
    <t>work: [input]</t>
  </si>
  <si>
    <t>work: result shown (1/0)</t>
  </si>
  <si>
    <t>Q1-V16</t>
  </si>
  <si>
    <t>Vector V16</t>
  </si>
  <si>
    <t>Hypothetical teaching value from the vector file</t>
  </si>
  <si>
    <t>Reference amount at time zero</t>
  </si>
  <si>
    <t>V15 V16</t>
  </si>
  <si>
    <t>Q1-V24a</t>
  </si>
  <si>
    <t>Vector V24, case 1: half-life 0</t>
  </si>
  <si>
    <t>V15 V24</t>
  </si>
  <si>
    <t>Q1-V24b</t>
  </si>
  <si>
    <t>Vector V24, case 2: unit fortnights</t>
  </si>
  <si>
    <t>fortnights</t>
  </si>
  <si>
    <t>Q1-V24c</t>
  </si>
  <si>
    <t>Vector V24, case 3: gate unconfirmed</t>
  </si>
  <si>
    <t>Q2 Time to approach steady state</t>
  </si>
  <si>
    <t>Target fraction f of steady state (0 &lt; f &lt; 1)</t>
  </si>
  <si>
    <t>f_target status</t>
  </si>
  <si>
    <t>f_target source (document, version, section)</t>
  </si>
  <si>
    <t>Result (display)</t>
  </si>
  <si>
    <t>Half-lives needed n (unrounded)</t>
  </si>
  <si>
    <t>Time to reach f (in Time_Unit, unrounded)</t>
  </si>
  <si>
    <t>Q2-V17</t>
  </si>
  <si>
    <t>Vector V17</t>
  </si>
  <si>
    <t>V15 V17</t>
  </si>
  <si>
    <t>Q3 Accumulation during regular dosing</t>
  </si>
  <si>
    <t>Dosing interval tau (in Time_Unit)</t>
  </si>
  <si>
    <t>tau status</t>
  </si>
  <si>
    <t>tau source (document, version, section)</t>
  </si>
  <si>
    <t>Result (display: 2 decimals)</t>
  </si>
  <si>
    <t>Accumulation factor R (unrounded)</t>
  </si>
  <si>
    <t>Q3-V18</t>
  </si>
  <si>
    <t>Vector V18</t>
  </si>
  <si>
    <t>V15 V18</t>
  </si>
  <si>
    <t>Q4 A change in clearance</t>
  </si>
  <si>
    <t>Clearance unit (L/hour or mL/minute; same for both)</t>
  </si>
  <si>
    <t>Clearance before</t>
  </si>
  <si>
    <t>CL_before status</t>
  </si>
  <si>
    <t>CL_before source (document, version, section)</t>
  </si>
  <si>
    <t>Clearance after</t>
  </si>
  <si>
    <t>CL_after status</t>
  </si>
  <si>
    <t>CL_after source (document, version, section)</t>
  </si>
  <si>
    <t>Apparent volume V (L), optional</t>
  </si>
  <si>
    <t>V_L status</t>
  </si>
  <si>
    <t>V_L source (document, version, section)</t>
  </si>
  <si>
    <t>Result (display: ratios 2 decimals)</t>
  </si>
  <si>
    <t>Half-life ratio after/before (unrounded)</t>
  </si>
  <si>
    <t>Average Css ratio after/before (unrounded)</t>
  </si>
  <si>
    <t>t_half before, hours (needs V)</t>
  </si>
  <si>
    <t>t_half after, hours (needs V)</t>
  </si>
  <si>
    <t>Q4-C04-half-fe0.5</t>
  </si>
  <si>
    <t>Renal elimination halved, fe 0.5: CL_after/CL_before = 0.5 + 0.5 x 0.5 = 0.75 (Chapter 11, Worked exercise 11.2)</t>
  </si>
  <si>
    <t>Relative total clearance (baseline = 1, entered on the L/hour scale; only the ratio is used); fe 0.5-0.7 from healthy volunteers given IV digoxin [LANOXIN US 12.3]</t>
  </si>
  <si>
    <t>Eventual average steady state after the renal change</t>
  </si>
  <si>
    <t>Chapter 11, Worked exercise 11.2</t>
  </si>
  <si>
    <t>Q4-C04-half-fe0.7</t>
  </si>
  <si>
    <t>Renal elimination halved, fe 0.7: 0.3 + 0.7 x 0.5 = 0.65</t>
  </si>
  <si>
    <t>Q4-C04-quarter-fe0.5</t>
  </si>
  <si>
    <t>Renal elimination at a quarter, fe 0.5: 0.625</t>
  </si>
  <si>
    <t>Q4-C04-quarter-fe0.7</t>
  </si>
  <si>
    <t>Renal elimination at a quarter, fe 0.7: 0.475</t>
  </si>
  <si>
    <t>Q4-V19</t>
  </si>
  <si>
    <t>Vector V19</t>
  </si>
  <si>
    <t>Hypothetical clearances from the vector file</t>
  </si>
  <si>
    <t>Eventual average steady state</t>
  </si>
  <si>
    <t>V15 V19</t>
  </si>
  <si>
    <t>Q5 Parent and metabolite persistence</t>
  </si>
  <si>
    <t>Parent t_half</t>
  </si>
  <si>
    <t>Parent_t_half status</t>
  </si>
  <si>
    <t>Parent_t_half source (document, version, section)</t>
  </si>
  <si>
    <t>Metabolite t_half</t>
  </si>
  <si>
    <t>Metabolite_t_half status</t>
  </si>
  <si>
    <t>Metabolite_t_half source (document, version, section)</t>
  </si>
  <si>
    <t>t, time since reference</t>
  </si>
  <si>
    <t>Result (display; no sum is calculated)</t>
  </si>
  <si>
    <t>Parent percent remaining (unrounded)</t>
  </si>
  <si>
    <t>Metabolite percent remaining (unrounded)</t>
  </si>
  <si>
    <t>Q5-V20</t>
  </si>
  <si>
    <t>Vector V20</t>
  </si>
  <si>
    <t>V15 V20</t>
  </si>
  <si>
    <t>Q7 Long persistence of a monoclonal antibody (always W_BIOLOGIC_MODEL_CAUTION)</t>
  </si>
  <si>
    <t>Time unit (days only for Q7)</t>
  </si>
  <si>
    <t>t_half (days)</t>
  </si>
  <si>
    <t>t (days since reference)</t>
  </si>
  <si>
    <t>Q7-C28-435</t>
  </si>
  <si>
    <t>Exposure persistence at the first positive test, 435 days after the last infusion (median half-life)</t>
  </si>
  <si>
    <t>Rituximab terminal half-life, NHL patients, median 22 days (range 6.1-52) [RITUXAN US 12.3]; label fact for a population, not this patient</t>
  </si>
  <si>
    <t>Post-infusion concentration after the last infusion (3 March 2025)</t>
  </si>
  <si>
    <t>RITUXAN US 12.3 (NHL, median)</t>
  </si>
  <si>
    <t>Intervals I01</t>
  </si>
  <si>
    <t>Q7-C28-343</t>
  </si>
  <si>
    <t>At the earliest possible onset, 343 days (median half-life)</t>
  </si>
  <si>
    <t>Intervals I02 (minimum)</t>
  </si>
  <si>
    <t>Q7-V22</t>
  </si>
  <si>
    <t>Vector V22</t>
  </si>
  <si>
    <t>V15 V22</t>
  </si>
  <si>
    <t>Q8 Parameter uncertainty and scenarios (a range, never a midpoint or confidence interval)</t>
  </si>
  <si>
    <t>Lower t_half</t>
  </si>
  <si>
    <t>t_half_lower status</t>
  </si>
  <si>
    <t>t_half_lower source (document, version, section)</t>
  </si>
  <si>
    <t>Upper t_half</t>
  </si>
  <si>
    <t>t_half_upper status</t>
  </si>
  <si>
    <t>t_half_upper source (document, version, section)</t>
  </si>
  <si>
    <t>Result: scenario range (never a midpoint or confidence interval)</t>
  </si>
  <si>
    <t>Fraction at lower t_half (unrounded)</t>
  </si>
  <si>
    <t>Fraction at upper t_half (unrounded)</t>
  </si>
  <si>
    <t>Percent at lower t_half (unrounded)</t>
  </si>
  <si>
    <t>Percent at upper t_half (unrounded)</t>
  </si>
  <si>
    <t>Q8-C04-normal</t>
  </si>
  <si>
    <t>Fraction remaining at the documented improvement, normal renal function half-lives (Chapter 23, Section 23.11)</t>
  </si>
  <si>
    <t>Terminal elimination half-life 1.5-2 days, healthy volunteers with normal renal function [LANOXIN US 12.3]; not the patient's population</t>
  </si>
  <si>
    <t>Concentration when digoxin was withheld on 5 July 2026; no further doses; t = 3 days to the improvement on 8 July</t>
  </si>
  <si>
    <t>LANOXIN US 12.3</t>
  </si>
  <si>
    <t>Intervals I06 (5 to 8 July)</t>
  </si>
  <si>
    <t>Q8-C04-anuric</t>
  </si>
  <si>
    <t>Same, anuric-patient half-lives</t>
  </si>
  <si>
    <t>Terminal elimination half-life 3.5-5 days, anuric patients [LANOXIN US 12.3]; not the patient's population</t>
  </si>
  <si>
    <t>Q8-C28-435</t>
  </si>
  <si>
    <t>Labeled NHL half-life range at the first positive test (435 days)</t>
  </si>
  <si>
    <t>RITUXAN US 12.3 (NHL range)</t>
  </si>
  <si>
    <t>Q8-C28-343</t>
  </si>
  <si>
    <t>Labeled NHL half-life range at the earliest possible onset (343 days)</t>
  </si>
  <si>
    <t>Q8-V23</t>
  </si>
  <si>
    <t>Vector V23</t>
  </si>
  <si>
    <t>V15 V23</t>
  </si>
  <si>
    <t>Q9 Dose received before onset during an infusion (rate segments from Administrations)</t>
  </si>
  <si>
    <t>INPUTS (no common gate; segment checks)</t>
  </si>
  <si>
    <t>Exposure_Episode_ID (rate segments on Administrations)</t>
  </si>
  <si>
    <t>Onset record ID (timestamp, e.g. EV-1/ONSET)</t>
  </si>
  <si>
    <t>Planned dose (mg), optional</t>
  </si>
  <si>
    <t>Planned_Dose_mg status</t>
  </si>
  <si>
    <t>Planned_Dose_mg source (document, version, section)</t>
  </si>
  <si>
    <t>Result (display: mg 1 decimal)</t>
  </si>
  <si>
    <t>Amount infused before onset, mg (unrounded)</t>
  </si>
  <si>
    <t>Percent of planned dose (unrounded)</t>
  </si>
  <si>
    <t>Segments used</t>
  </si>
  <si>
    <t>Time basis</t>
  </si>
  <si>
    <t>work: episode key</t>
  </si>
  <si>
    <t>work: onset row</t>
  </si>
  <si>
    <t>work: onset has time</t>
  </si>
  <si>
    <t>work: onset offset known</t>
  </si>
  <si>
    <t>work: onset local minutes</t>
  </si>
  <si>
    <t>work: onset UTC minutes</t>
  </si>
  <si>
    <t>work: segments in episode</t>
  </si>
  <si>
    <t>work: all offsets known</t>
  </si>
  <si>
    <t>work: first segment problem</t>
  </si>
  <si>
    <t>work: amount (UTC basis)</t>
  </si>
  <si>
    <t>work: amount (local basis)</t>
  </si>
  <si>
    <t>Q9-C01</t>
  </si>
  <si>
    <t>Amount of Drug A infused before onset (pump rate recorded in mL/hour only)</t>
  </si>
  <si>
    <t>Q9-V25</t>
  </si>
  <si>
    <t>Vector V25</t>
  </si>
  <si>
    <t>V15 V25</t>
  </si>
  <si>
    <t>Q10 Cumulative dose normalized to body surface area (doses and BSA from Administrations)</t>
  </si>
  <si>
    <t>INPUTS (Method A is the default)</t>
  </si>
  <si>
    <t>Exposure_Episode_ID (doses and BSA on Administrations)</t>
  </si>
  <si>
    <t>Method B on request: FIRST, LAST or STATED BSA (blank = not requested)</t>
  </si>
  <si>
    <t>Method B stated BSA (m²)</t>
  </si>
  <si>
    <t>Method B BSA source</t>
  </si>
  <si>
    <t>Result (display: mg/m2 1 decimal, method named)</t>
  </si>
  <si>
    <t>Method A, mg/m2 (unrounded; lower bound if W_PARTIAL_BSA)</t>
  </si>
  <si>
    <t>Total dose, mg</t>
  </si>
  <si>
    <t>Administrations with a dose</t>
  </si>
  <si>
    <t>Administrations with a BSA</t>
  </si>
  <si>
    <t>Method B BSA used (m2)</t>
  </si>
  <si>
    <t>Method B, mg/m2 (unrounded)</t>
  </si>
  <si>
    <t>work: first administration key</t>
  </si>
  <si>
    <t>work: last administration key</t>
  </si>
  <si>
    <t>work: first administration row</t>
  </si>
  <si>
    <t>work: Method B check</t>
  </si>
  <si>
    <t>Q10-V26-first</t>
  </si>
  <si>
    <t>Vector V26, Method B with the first BSA</t>
  </si>
  <si>
    <t>BSA at the first administration</t>
  </si>
  <si>
    <t>Q10-V26-last</t>
  </si>
  <si>
    <t>Vector V26, Method B with the last BSA</t>
  </si>
  <si>
    <t>BSA at the last administration</t>
  </si>
  <si>
    <t>Q11 Estimated renal function (Cockcroft-Gault) with the creatinine-stability gate</t>
  </si>
  <si>
    <t>GATE (Q11)</t>
  </si>
  <si>
    <t>Gate: serum creatinine stable at this time? Yes/No</t>
  </si>
  <si>
    <t>Basis for stability (values and dates)</t>
  </si>
  <si>
    <t>Age (years, 18-120)</t>
  </si>
  <si>
    <t>Age status</t>
  </si>
  <si>
    <t>Weight (kg)</t>
  </si>
  <si>
    <t>Weight type</t>
  </si>
  <si>
    <t>Weight status</t>
  </si>
  <si>
    <t>Serum creatinine</t>
  </si>
  <si>
    <t>Creatinine unit (mg/dL or µmol/L)</t>
  </si>
  <si>
    <t>Creatinine status</t>
  </si>
  <si>
    <t>Creatinine source (record, date)</t>
  </si>
  <si>
    <t>Sex as recorded</t>
  </si>
  <si>
    <t>Result (display: whole mL/minute)</t>
  </si>
  <si>
    <t>Creatinine, mg/dL (unrounded)</t>
  </si>
  <si>
    <t>CrCl for recorded sex, mL/minute (unrounded)</t>
  </si>
  <si>
    <t>If sex not recorded: female estimate (unrounded)</t>
  </si>
  <si>
    <t>If sex not recorded: male estimate (unrounded)</t>
  </si>
  <si>
    <t>Q11-C04-baseline</t>
  </si>
  <si>
    <t>Estimated renal function at baseline (March 2026)</t>
  </si>
  <si>
    <t>1.0 mg/dL on 14 November 2025 and 12 March 2026 (two equal values four months apart)</t>
  </si>
  <si>
    <t>M-CR2, 12 March 2026</t>
  </si>
  <si>
    <t>Q11-C04-1Jul</t>
  </si>
  <si>
    <t>Estimated renal function on 1 July 2026</t>
  </si>
  <si>
    <t>Creatinine rising during a documented deterioration</t>
  </si>
  <si>
    <t>M-CR3, 1 July 2026</t>
  </si>
  <si>
    <t>Q11-C04-5Jul</t>
  </si>
  <si>
    <t>Estimated renal function on 5 July 2026</t>
  </si>
  <si>
    <t>Creatinine still rising (2.4 mg/dL)</t>
  </si>
  <si>
    <t>M-CR4, 5 July 2026</t>
  </si>
  <si>
    <t>Q11-V27a</t>
  </si>
  <si>
    <t>Vector V27, case 1</t>
  </si>
  <si>
    <t>Vector input</t>
  </si>
  <si>
    <t>Q11-V27b</t>
  </si>
  <si>
    <t>Vector V27, case 2</t>
  </si>
  <si>
    <t>Q11-V27c</t>
  </si>
  <si>
    <t>Vector V27, case 3</t>
  </si>
  <si>
    <t>Q11-V27d</t>
  </si>
  <si>
    <t>Vector V27, case 4 (sex not recorded)</t>
  </si>
  <si>
    <t>Q11-V27e</t>
  </si>
  <si>
    <t>Vector V27, case 5 (stability unconfirmed)</t>
  </si>
  <si>
    <t>Vector input: stability not confirmed</t>
  </si>
  <si>
    <t>PD_Profile: structured prompts answered in words, with sources (no formula decides biology)</t>
  </si>
  <si>
    <t>Prompts follow Stage 1 document B. Q6 below is a teaching demonstration only.</t>
  </si>
  <si>
    <t>Proposed mechanism of harm (MOA_Hypothesis)</t>
  </si>
  <si>
    <t>Established or hypothetical?</t>
  </si>
  <si>
    <t>Biological steps that could impose delay</t>
  </si>
  <si>
    <t>What the documents say about PD onset, duration and recovery (with sources)</t>
  </si>
  <si>
    <t>Measured markers in the case, with dates</t>
  </si>
  <si>
    <t>What is missing</t>
  </si>
  <si>
    <t>Expected_PD_Course (reviewer, in words)</t>
  </si>
  <si>
    <t>Loss of immune control of HBV during B-cell depletion (Stage 1 HBV profile)</t>
  </si>
  <si>
    <t>B cells depleted within 3 weeks; recovery begins about 6 months, median normal by 12 months in NHL [RITUXAN US 12.2]; up to a median of 23 months in some [MabThera EU 5.1]</t>
  </si>
  <si>
    <t>Risk follows immune suppression rather than drug concentration and can persist through B-cell depletion and recovery</t>
  </si>
  <si>
    <t>CD19 B cells and IgG below reference range on 12 May 2026 (M-BCELL)</t>
  </si>
  <si>
    <t>B-cell depletion and slow recovery; withdrawal of antiviral prophylaxis; viral replication to a detectable level</t>
  </si>
  <si>
    <t>B-cell and IgG values; earlier counts</t>
  </si>
  <si>
    <t>Q6 Biological replacement and recovery: TEACHING DEMONSTRATION (always I_TEACHING_DEMONSTRATION)</t>
  </si>
  <si>
    <t>Shown only with the teaching-demonstration switch on. Hypothetical turnover illustration; not a measured recovery curve for platelets or any other clinical target.</t>
  </si>
  <si>
    <t>GATE (Q6)</t>
  </si>
  <si>
    <t>Teaching-demonstration switch on? Yes/No</t>
  </si>
  <si>
    <t>Replacement half-time (in Time_Unit)</t>
  </si>
  <si>
    <t>Replacement_Half_Time status</t>
  </si>
  <si>
    <t>Replacement_Half_Time source (document, version, section)</t>
  </si>
  <si>
    <t>t (in Time_Unit)</t>
  </si>
  <si>
    <t>Result (teaching demonstration; percent to 3 significant figures)</t>
  </si>
  <si>
    <t>Fraction replaced (unrounded)</t>
  </si>
  <si>
    <t>Percent replaced (unrounded)</t>
  </si>
  <si>
    <t>Q6-V21</t>
  </si>
  <si>
    <t>Vector V21</t>
  </si>
  <si>
    <t>V15 V21</t>
  </si>
  <si>
    <t>Product_Dossier: one row per extracted statement (versioned; US and EU kept side by side)</t>
  </si>
  <si>
    <t>Record document, version, revision, retrieval date and section for every statement.</t>
  </si>
  <si>
    <t>Statement_ID</t>
  </si>
  <si>
    <t>Case_ID (optional)</t>
  </si>
  <si>
    <t>Product_Document_ID (e.g. LANOXIN US)</t>
  </si>
  <si>
    <t>Document type</t>
  </si>
  <si>
    <t>Jurisdiction</t>
  </si>
  <si>
    <t>Version (as printed)</t>
  </si>
  <si>
    <t>Revision date (as printed)</t>
  </si>
  <si>
    <t>Retrieval date</t>
  </si>
  <si>
    <t>Section</t>
  </si>
  <si>
    <t>Statement (extract, own words or quoted)</t>
  </si>
  <si>
    <t>Kind of timing statement (Chapter 23 proposal; only typical onset and maximum reported describe latency)</t>
  </si>
  <si>
    <t>Window built into an event definition? (never temporal evidence)</t>
  </si>
  <si>
    <t>Label_Discrepancy (US vs EU)</t>
  </si>
  <si>
    <t>Rationale</t>
  </si>
  <si>
    <t>CHECK</t>
  </si>
  <si>
    <t>Provenance check</t>
  </si>
  <si>
    <t>02/2019</t>
  </si>
  <si>
    <t>Label facts (PK)</t>
  </si>
  <si>
    <t>PD-DIG-1</t>
  </si>
  <si>
    <t>US</t>
  </si>
  <si>
    <t>First-order elimination; 50-70% of an IV dose excreted unchanged in urine (healthy volunteers); renal excretion proportional to creatinine clearance; half-life 1.5-2 days with normal renal function, 3.5-5 days in anuric patients.</t>
  </si>
  <si>
    <t>NDA 020405, supplement 15</t>
  </si>
  <si>
    <t>Digoxin</t>
  </si>
  <si>
    <t>LANOXIN US</t>
  </si>
  <si>
    <t>12.3</t>
  </si>
  <si>
    <t>PD-DIG-2</t>
  </si>
  <si>
    <t>Renal impairment: prolonged half-life and greater exposure; a longer time to reach an initial or new steady state.</t>
  </si>
  <si>
    <t>12.3; 8.6</t>
  </si>
  <si>
    <t>Label facts (event pattern)</t>
  </si>
  <si>
    <t>PD-DIG-3</t>
  </si>
  <si>
    <t>Toxicity usually associated with levels above 2 ng/mL, although symptoms may occur at lower levels; impaired renal function, low body weight, advanced age and electrolyte disturbances may predispose.</t>
  </si>
  <si>
    <t>5.3</t>
  </si>
  <si>
    <t>Sampling advice; not latency</t>
  </si>
  <si>
    <t>PD-DIG-4</t>
  </si>
  <si>
    <t>Sample just before the next scheduled dose or at least 6 hours after the last dose.</t>
  </si>
  <si>
    <t>2.5</t>
  </si>
  <si>
    <t>Timing in one region only; do not read EU silence as no timing</t>
  </si>
  <si>
    <t>12/2021</t>
  </si>
  <si>
    <t>Reported maximum, not a limit</t>
  </si>
  <si>
    <t>PD-RTX-1</t>
  </si>
  <si>
    <t>HBV reactivation has been reported up to 24 months after completion of therapy.</t>
  </si>
  <si>
    <t>BLA 103705, supplement 5467</t>
  </si>
  <si>
    <t>Rituximab</t>
  </si>
  <si>
    <t>RITUXAN US</t>
  </si>
  <si>
    <t>EU gives no timing</t>
  </si>
  <si>
    <t>Updated 6 August 2026</t>
  </si>
  <si>
    <t>Management instruction</t>
  </si>
  <si>
    <t>PD-RTX-2</t>
  </si>
  <si>
    <t>EU</t>
  </si>
  <si>
    <t>HBV screening and specialist management of seropositive patients; no timing stated for reactivation.</t>
  </si>
  <si>
    <t>EPAR product information, EMEA/H/C/000165</t>
  </si>
  <si>
    <t>MabThera EU</t>
  </si>
  <si>
    <t>4.4</t>
  </si>
  <si>
    <t>None (EU 5.2 gives the same numbers)</t>
  </si>
  <si>
    <t>Exposure persistence</t>
  </si>
  <si>
    <t>PD-RTX-3</t>
  </si>
  <si>
    <t>NHL: terminal half-life median 22 days (range 6.1-52 days); rituximab detectable in serum 3-6 months after the last dose.</t>
  </si>
  <si>
    <t>EU 5.1 adds a longer recovery in some settings</t>
  </si>
  <si>
    <t>Pharmacodynamic recovery</t>
  </si>
  <si>
    <t>PD-RTX-4</t>
  </si>
  <si>
    <t>NHL: B-cell recovery begins about 6 months after treatment; median levels normal by 12 months.</t>
  </si>
  <si>
    <t>12.2</t>
  </si>
  <si>
    <t>Longer than the US statement</t>
  </si>
  <si>
    <t>PD-RTX-5</t>
  </si>
  <si>
    <t>B-cell recovery up to a median of 23 months after induction in some patients.</t>
  </si>
  <si>
    <t>5.1</t>
  </si>
  <si>
    <t>A window built into an event definition is never temporal evidence</t>
  </si>
  <si>
    <t>PD-RTX-6</t>
  </si>
  <si>
    <t>CLL trials defined late-onset neutropenia as starting 42 days or more after the last dose.</t>
  </si>
  <si>
    <t>6.1</t>
  </si>
  <si>
    <t>Parameter_Register: one row per parameter, with status, population and source</t>
  </si>
  <si>
    <t>A value without a population and a half-life type is not ready for use.</t>
  </si>
  <si>
    <t>Parameter_ID</t>
  </si>
  <si>
    <t>Parameter name</t>
  </si>
  <si>
    <t>Range lower</t>
  </si>
  <si>
    <t>Range upper</t>
  </si>
  <si>
    <t>Statistic (median, mean, range)</t>
  </si>
  <si>
    <t>Half-life type</t>
  </si>
  <si>
    <t>Population</t>
  </si>
  <si>
    <t>Regimen</t>
  </si>
  <si>
    <t>Parameter_Status</t>
  </si>
  <si>
    <t>Source document</t>
  </si>
  <si>
    <t>Version</t>
  </si>
  <si>
    <t>Missing-data reason</t>
  </si>
  <si>
    <t>Ready for use?</t>
  </si>
  <si>
    <t>PR-DIG-1</t>
  </si>
  <si>
    <t>Revised 02/2019</t>
  </si>
  <si>
    <t>Healthy volunteers with normal renal function</t>
  </si>
  <si>
    <t>Terminal elimination half-life</t>
  </si>
  <si>
    <t>range</t>
  </si>
  <si>
    <t>PR-DIG-2</t>
  </si>
  <si>
    <t>Anuric patients</t>
  </si>
  <si>
    <t>PR-DIG-3</t>
  </si>
  <si>
    <t>fraction</t>
  </si>
  <si>
    <t>Healthy volunteers, intravenous dose</t>
  </si>
  <si>
    <t>Fraction of an IV dose excreted unchanged in urine</t>
  </si>
  <si>
    <t>PR-RTX-1</t>
  </si>
  <si>
    <t>Revised 12/2021</t>
  </si>
  <si>
    <t>Patients with NHL</t>
  </si>
  <si>
    <t>Terminal half-life (NHL)</t>
  </si>
  <si>
    <t>median (range)</t>
  </si>
  <si>
    <t>PR-RTX-2</t>
  </si>
  <si>
    <t>Patients with CLL</t>
  </si>
  <si>
    <t>Terminal half-life (CLL)</t>
  </si>
  <si>
    <t>median (US) / mean (EU), range</t>
  </si>
  <si>
    <t>Temporal_Profile: expected course versus observed course, per drug-event pair</t>
  </si>
  <si>
    <t>Reviewer layer: judgments in words, each with a rationale and sources. No formula writes to these columns (CALC-SPEC G8).</t>
  </si>
  <si>
    <t>MOA_Hypothesis</t>
  </si>
  <si>
    <t>Expected_Exposure_Course</t>
  </si>
  <si>
    <t>Expected_PD_Course</t>
  </si>
  <si>
    <t>Clinical_Latency_Evidence (with sources)</t>
  </si>
  <si>
    <t>Observed_Course (read from Intervals, never retyped)</t>
  </si>
  <si>
    <t>Interval_IDs cited</t>
  </si>
  <si>
    <t>Temporal_Fit_Rationale</t>
  </si>
  <si>
    <t>Onset 4 calendar days after the first documented renal deterioration and 9 after ibuprofen started, with a well-timed level above 2 ng/mL</t>
  </si>
  <si>
    <t>Concentration-related toxicity after reduced renal clearance at an unchanged dose</t>
  </si>
  <si>
    <t>Exposure rises over days at a rate set by the lengthening half-life after clearance falls [LANOXIN US 12.3; 8.6]</t>
  </si>
  <si>
    <t>No fixed latency; toxicity can appear during long, previously tolerated treatment when clearance falls</t>
  </si>
  <si>
    <t>Nausea and bradycardia follow concentration; beta-blocker adds AV-conduction effect [LANOXIN US 5.3; 7.3]</t>
  </si>
  <si>
    <t>See Intervals I01-I06</t>
  </si>
  <si>
    <t>I01; I02; I03; I05; I06</t>
  </si>
  <si>
    <t>Onset bounded 343 to 435 calendar days after the last infusion, within the reported period, with B cells and IgG still low at detection</t>
  </si>
  <si>
    <t>Loss of immune control during B-cell depletion (hypothesis)</t>
  </si>
  <si>
    <t>Exposure negligible within months after the last infusion [RITUXAN US 12.3]</t>
  </si>
  <si>
    <t>Reactivation reported up to 24 months after completion [RITUXAN US 5.3]; EU gives no timing</t>
  </si>
  <si>
    <t>B-cell depletion persists; recovery from about 6 months, may take a year or more</t>
  </si>
  <si>
    <t>See Intervals I01-I11</t>
  </si>
  <si>
    <t>I01; I02; I05; I06; I08</t>
  </si>
  <si>
    <t>Biology_Review: the reviewer's judgment of biological fit (four options; none is a relatedness category)</t>
  </si>
  <si>
    <t>Biological_Fit (reviewer judgment; never set by a formula)</t>
  </si>
  <si>
    <t>Rationale (required)</t>
  </si>
  <si>
    <t>Alternative defensible reading</t>
  </si>
  <si>
    <t>Check</t>
  </si>
  <si>
    <t>More weight to Drug B: previous courses, exposure ended 25 minutes before onset through the same cannula.</t>
  </si>
  <si>
    <t>A 15-minute interval is compatible with an acute infusion-associated reaction; the timing does not identify which exposure (Drug A, Drug B and the antiseptic all preceded onset by an hour or less).</t>
  </si>
  <si>
    <t>On case version 1 alone: compatible, with increased exposure plausible rather than supported, until the level and creatinine series are known.</t>
  </si>
  <si>
    <t>Onset followed documented renal deterioration during unchanged dosing, with a well-timed digoxin level above 2 ng/mL; prior tolerance does not exclude increased exposure after a clearance change (Chapter 11).</t>
  </si>
  <si>
    <t>Treat the end of prophylaxis as the most informative anchor: reactivation after withdrawal of prophylaxis during persistent B-cell depletion.</t>
  </si>
  <si>
    <t>Exposure persistence is negligible on every labeled half-life; anti-HBc positive at baseline; B cells and IgG still low at detection; detection falls within the period for which the US label reports cases.</t>
  </si>
  <si>
    <t>Dechallenge_Rechallenge: actions, responses and every intervention in between</t>
  </si>
  <si>
    <t>Action record (timepoint ID)</t>
  </si>
  <si>
    <t>Response milestone ID</t>
  </si>
  <si>
    <t>Recovery interval (Intervals, C7)</t>
  </si>
  <si>
    <t>Interventions between action and response</t>
  </si>
  <si>
    <t>Interventions status (recorded / none recorded, unknown)</t>
  </si>
  <si>
    <t>Confounding</t>
  </si>
  <si>
    <t>Dechallenge_Rationale</t>
  </si>
  <si>
    <t>Improvement followed both cessation and emergency treatment</t>
  </si>
  <si>
    <t>recorded</t>
  </si>
  <si>
    <t>Emergency medicines from 09:18 (M-EMERG)</t>
  </si>
  <si>
    <t>Recovery cannot be attributed to withdrawal alone (W_INTERVENTION_BEFORE_RECOVERY); Chapter 17</t>
  </si>
  <si>
    <t>Renal function recovering; ibuprofen stopped</t>
  </si>
  <si>
    <t>recorded; other treatments 5-8 July not reported</t>
  </si>
  <si>
    <t>IV fluids and cardiac monitoring (M-FLUIDS); ibuprofen withheld the same day</t>
  </si>
  <si>
    <t>Not clearly positive: improvement coincided with fluids, the end of ibuprofen and renal recovery</t>
  </si>
  <si>
    <t>EX-RTX/STOP</t>
  </si>
  <si>
    <t>Therapy was completed before onset; no dechallenge applies</t>
  </si>
  <si>
    <t>Alternatives_Followup: competing explanations and targeted queries</t>
  </si>
  <si>
    <t>Item type</t>
  </si>
  <si>
    <t>Description (competing cause or query)</t>
  </si>
  <si>
    <t>Timing evidence</t>
  </si>
  <si>
    <t>Alternative_Cause_Assessment</t>
  </si>
  <si>
    <t>Query recipient</t>
  </si>
  <si>
    <t>Followup_Priority</t>
  </si>
  <si>
    <t>EXPORT</t>
  </si>
  <si>
    <t>Export-safe description (CSV formula-injection escape)</t>
  </si>
  <si>
    <t>Reaction to Drug B (same cannula; previous courses)</t>
  </si>
  <si>
    <t>Ended 25 minutes before onset (I05)</t>
  </si>
  <si>
    <t>Timing cannot separate it from Drug A</t>
  </si>
  <si>
    <t>Reporting hospital</t>
  </si>
  <si>
    <t>Tryptase result; emergency medicines with doses and times; Drug A concentration in the bag; earlier Drug B courses</t>
  </si>
  <si>
    <t>Bradycardia from the unchanged beta-blocker, made more likely by dehydration</t>
  </si>
  <si>
    <t>Dose unchanged since 2024</t>
  </si>
  <si>
    <t>Explains susceptibility better than timing</t>
  </si>
  <si>
    <t>GP and hospital</t>
  </si>
  <si>
    <t>Creatinine values between March and July; magnesium, calcium, thyroid function; earlier ECGs; full treatment record 5-8 July</t>
  </si>
  <si>
    <t>Prednisolone course 2-11 March 2026</t>
  </si>
  <si>
    <t>Onset bounds -21 to 71 calendar days (I08)</t>
  </si>
  <si>
    <t>Sequence uncertain; possible contributor</t>
  </si>
  <si>
    <t>Hematology</t>
  </si>
  <si>
    <t>Planned length of prophylaxis and why it stopped; prednisolone dose; lymphoma relapse or further treatment</t>
  </si>
  <si>
    <t>Assessment_QC: narrative, method, unresolved issues (the formal causality assessment remains a human assessment)</t>
  </si>
  <si>
    <t>Narrative (reviewer)</t>
  </si>
  <si>
    <t>Formal method used (e.g. WHO-UMC)</t>
  </si>
  <si>
    <t>Method result (entered by the assessor; never calculated)</t>
  </si>
  <si>
    <t>Unresolved issues</t>
  </si>
  <si>
    <t>Case version printed in the summary</t>
  </si>
  <si>
    <t>Interval rows for this case version</t>
  </si>
  <si>
    <t>Interval rows with an E-code (query each)</t>
  </si>
  <si>
    <t>Interval rows with a W-code (print with result)</t>
  </si>
  <si>
    <t>Export-safe narrative (CSV escape)</t>
  </si>
  <si>
    <t>Urticaria, wheeze and hypotension began at 09:15, 15 minutes after the start of the first Drug A infusion and 25 minutes after the end of a Drug B infusion through the same cannula (C1; UTC-05:00). Improvement followed both cessation and emergency treatment.</t>
  </si>
  <si>
    <t>2</t>
  </si>
  <si>
    <t>Tryptase result; emergency medicines; Drug A concentration; Drug B history</t>
  </si>
  <si>
    <t>not entered (example)</t>
  </si>
  <si>
    <t>Nausea and symptomatic bradycardia began on 5 July 2026, 185 calendar days after digoxin was started at an unchanged dose, 4 calendar days after renal deterioration was first documented and 9 after ibuprofen was started.</t>
  </si>
  <si>
    <t>Creatinine series; electrolytes; ECG history; treatments 5-8 July</t>
  </si>
  <si>
    <t>HBV DNA was first detected on 12 May 2026, 435 calendar days after the last rituximab infusion; virological reactivation began between 343 and 435 days after the last infusion (C4).</t>
  </si>
  <si>
    <t>Prophylaxis plan; prednisolone dose; relapse or further treatment</t>
  </si>
  <si>
    <t>Examples: fictional teaching cases worked through the sheets</t>
  </si>
  <si>
    <t>Cases EX-C01 (Chapter 3, Section 3.7, version 2), EX-C04 (Chapter 11, Section 11.8, version 2) and EX-C28 (Chapter 20, Section 20.4, version 2) are entered in the reserved blue rows of the input sheets with the home chapters' dates, times and values. Each check below reads the workbook's own result and compares it, rounded as the chapter states it, with the chapter's number. All cases and dates are fictional.</t>
  </si>
  <si>
    <t>#</t>
  </si>
  <si>
    <t>Case</t>
  </si>
  <si>
    <t>Home chapter</t>
  </si>
  <si>
    <t>Item</t>
  </si>
  <si>
    <t>Workbook row (sheet: key)</t>
  </si>
  <si>
    <t>Chapter states</t>
  </si>
  <si>
    <t>Expected</t>
  </si>
  <si>
    <t>Digits</t>
  </si>
  <si>
    <t>Workbook value (unrounded)</t>
  </si>
  <si>
    <t>Workbook display</t>
  </si>
  <si>
    <t>Match</t>
  </si>
  <si>
    <t>Ch 3, 3.7 (Table 8)</t>
  </si>
  <si>
    <t>Drug A start to onset, FIRST_ADMIN (C1)</t>
  </si>
  <si>
    <t>Intervals: EX-C01|2|I01 / Interval_Value</t>
  </si>
  <si>
    <t>15 minutes</t>
  </si>
  <si>
    <t>num</t>
  </si>
  <si>
    <t>Ch 3, 3.7</t>
  </si>
  <si>
    <t>Sequence of I01</t>
  </si>
  <si>
    <t>Intervals: EX-C01|2|I01 / Sequence_Status</t>
  </si>
  <si>
    <t>AFTER</t>
  </si>
  <si>
    <t>text</t>
  </si>
  <si>
    <t>Same pair, calendar-date difference (C2)</t>
  </si>
  <si>
    <t>Intervals: EX-C01|2|I02 / Interval_Value</t>
  </si>
  <si>
    <t>0 calendar days</t>
  </si>
  <si>
    <t>C2 order decided by C1</t>
  </si>
  <si>
    <t>Intervals: EX-C01|2|I02 / Sequence_Status</t>
  </si>
  <si>
    <t>order decided by C1 (AFTER)</t>
  </si>
  <si>
    <t>Ch 3, 3.7 (Calculations)</t>
  </si>
  <si>
    <t>Treatment Day under the inclusive convention</t>
  </si>
  <si>
    <t>Intervals: EX-C01|2|I02 / Treatment_Day</t>
  </si>
  <si>
    <t>Treatment Day 1</t>
  </si>
  <si>
    <t>Ch 3, 3.7 (Question 3)</t>
  </si>
  <si>
    <t>LAST_DOSE_BEFORE_ONSET selects the 09:00 infusion</t>
  </si>
  <si>
    <t>Intervals: EX-C01|2|I03 / Anchor_Record_ID_Used</t>
  </si>
  <si>
    <t>infusion started 09:00</t>
  </si>
  <si>
    <t>Ch 3, 3.7 (Question 2)</t>
  </si>
  <si>
    <t>LAST_DOSE_BEFORE_ONSET to onset (C1)</t>
  </si>
  <si>
    <t>Intervals: EX-C01|2|I03 / Interval_Value</t>
  </si>
  <si>
    <t>Ch 3, 3.7 (Table 5)</t>
  </si>
  <si>
    <t>Drug B infusion start to onset</t>
  </si>
  <si>
    <t>Intervals: EX-C01|2|I04 / Interval_Value</t>
  </si>
  <si>
    <t>55 minutes</t>
  </si>
  <si>
    <t>Drug B infusion end to onset</t>
  </si>
  <si>
    <t>Intervals: EX-C01|2|I05 / Interval_Value</t>
  </si>
  <si>
    <t>25 minutes</t>
  </si>
  <si>
    <t>Skin antiseptic to onset</t>
  </si>
  <si>
    <t>Intervals: EX-C01|2|I06 / Interval_Value</t>
  </si>
  <si>
    <t>60 minutes</t>
  </si>
  <si>
    <t>Baseline observations to onset</t>
  </si>
  <si>
    <t>Intervals: EX-C01|2|I07 / Interval_Value</t>
  </si>
  <si>
    <t>Drug A stopped (CESSATION) to onset</t>
  </si>
  <si>
    <t>Intervals: EX-C01|2|I08 / Interval_Value</t>
  </si>
  <si>
    <t>-1 minute</t>
  </si>
  <si>
    <t>Sequence: the stop came after onset</t>
  </si>
  <si>
    <t>Intervals: EX-C01|2|I08 / Sequence_Status</t>
  </si>
  <si>
    <t>exposure continued 1 minute after onset</t>
  </si>
  <si>
    <t>BEFORE</t>
  </si>
  <si>
    <t>Emergency treatment to onset</t>
  </si>
  <si>
    <t>Intervals: EX-C01|2|I09 / Interval_Value</t>
  </si>
  <si>
    <t>-3 minutes</t>
  </si>
  <si>
    <t>Recovery: stop to improvement (C7 with C1)</t>
  </si>
  <si>
    <t>Intervals: EX-C01|2|I10 / Interval_Value</t>
  </si>
  <si>
    <t>19 minutes</t>
  </si>
  <si>
    <t>Recovery row raises W_INTERVENTION_BEFORE_RECOVERY</t>
  </si>
  <si>
    <t>Intervals: EX-C01|2|I10 / QC_Flags</t>
  </si>
  <si>
    <t>contains</t>
  </si>
  <si>
    <t>Recovery row labeled C7</t>
  </si>
  <si>
    <t>Intervals: EX-C01|2|I10 / Calculation_Mode_Used</t>
  </si>
  <si>
    <t>C1 (C7)</t>
  </si>
  <si>
    <t>C7 (C1)</t>
  </si>
  <si>
    <t>Emergency treatment to improvement</t>
  </si>
  <si>
    <t>Intervals: EX-C01|2|I11 / Interval_Value</t>
  </si>
  <si>
    <t>17 minutes</t>
  </si>
  <si>
    <t>Onset to improvement</t>
  </si>
  <si>
    <t>Intervals: EX-C01|2|I12 / Interval_Value</t>
  </si>
  <si>
    <t>20 minutes</t>
  </si>
  <si>
    <t>Drug A ran 09:00 to 09:16</t>
  </si>
  <si>
    <t>Intervals: EX-C01|2|I13 / Interval_Value</t>
  </si>
  <si>
    <t>16 minutes</t>
  </si>
  <si>
    <t>Ch 3, 3.7 (Biological reasoning)</t>
  </si>
  <si>
    <t>Tryptase sample after onset</t>
  </si>
  <si>
    <t>Intervals: EX-C01|2|I14 / Interval_Value</t>
  </si>
  <si>
    <t>50 minutes</t>
  </si>
  <si>
    <t>Amount infused (Q9): rate only in mL/hour, not calculable</t>
  </si>
  <si>
    <t>PK_Exercises (Q9): EX-C01|2|Q9-C01 / QC_Flags</t>
  </si>
  <si>
    <t>not calculable from the available information</t>
  </si>
  <si>
    <t>Ch 11, 11.8 (Q1)</t>
  </si>
  <si>
    <t>Digoxin start to onset, FIRST_ADMIN (C2)</t>
  </si>
  <si>
    <t>Intervals: EX-C04|2|I01 / Interval_Value</t>
  </si>
  <si>
    <t>185 calendar days</t>
  </si>
  <si>
    <t>First documented renal deterioration to onset</t>
  </si>
  <si>
    <t>Intervals: EX-C04|2|I02 / Interval_Value</t>
  </si>
  <si>
    <t>4 calendar days</t>
  </si>
  <si>
    <t>Ibuprofen start (CONCOMITANT_CHANGE) to onset</t>
  </si>
  <si>
    <t>Intervals: EX-C04|2|I03 / Interval_Value</t>
  </si>
  <si>
    <t>9 calendar days</t>
  </si>
  <si>
    <t>Ch 23, 23.11 (version 2)</t>
  </si>
  <si>
    <t>LAST_DOSE_BEFORE_ONSET selects the 4 July dose</t>
  </si>
  <si>
    <t>Intervals: EX-C04|2|I04 / Anchor_Record_ID_Used</t>
  </si>
  <si>
    <t>last dose about 08:00 on 4 July</t>
  </si>
  <si>
    <t>Last dose before onset to onset (C2)</t>
  </si>
  <si>
    <t>Intervals: EX-C04|2|I04 / Interval_Value</t>
  </si>
  <si>
    <t>1 calendar day</t>
  </si>
  <si>
    <t>Ch 11, 11.8 (Calculations)</t>
  </si>
  <si>
    <t>Last dose to digoxin sample (C1, local clock)</t>
  </si>
  <si>
    <t>Intervals: EX-C04|2|I05 / Interval_Value</t>
  </si>
  <si>
    <t>1,660 minutes</t>
  </si>
  <si>
    <t>Unit of the sample interval</t>
  </si>
  <si>
    <t>Intervals: EX-C04|2|I05 / Unit</t>
  </si>
  <si>
    <t>minutes, local clock</t>
  </si>
  <si>
    <t>minutes (local clock)</t>
  </si>
  <si>
    <t>Sample interval raises W_TZ_UNKNOWN</t>
  </si>
  <si>
    <t>Intervals: EX-C04|2|I05 / QC_Flags</t>
  </si>
  <si>
    <t>Ch 11, 11.8 (Q5)</t>
  </si>
  <si>
    <t>Withholding to improvement (C7 with C2)</t>
  </si>
  <si>
    <t>Intervals: EX-C04|2|I06 / Interval_Value</t>
  </si>
  <si>
    <t>3 calendar days</t>
  </si>
  <si>
    <t>Intervals: EX-C04|2|I06 / QC_Flags</t>
  </si>
  <si>
    <t>Q11 at baseline, displayed</t>
  </si>
  <si>
    <t>PK_Exercises (Q11): EX-C04|2|Q11-C04-baseline / CrCl_mL_min</t>
  </si>
  <si>
    <t>40 mL/minute</t>
  </si>
  <si>
    <t>Q11 at baseline, unrounded</t>
  </si>
  <si>
    <t>unrounded 40.399</t>
  </si>
  <si>
    <t>Q11 on 1 July is blocked</t>
  </si>
  <si>
    <t>PK_Exercises (Q11): EX-C04|2|Q11-C04-1Jul / QC_Flags</t>
  </si>
  <si>
    <t>Q11 on 5 July is blocked</t>
  </si>
  <si>
    <t>PK_Exercises (Q11): EX-C04|2|Q11-C04-5Jul / QC_Flags</t>
  </si>
  <si>
    <t>Ch 23, 23.11 (Q8)</t>
  </si>
  <si>
    <t>Normal renal function, t_half 1.5 days: percent remaining</t>
  </si>
  <si>
    <t>PK_Exercises (Q8): EX-C04|2|Q8-C04-normal / Percent_at_Lower</t>
  </si>
  <si>
    <t>25.0%</t>
  </si>
  <si>
    <t>Normal renal function, t_half 2 days</t>
  </si>
  <si>
    <t>PK_Exercises (Q8): EX-C04|2|Q8-C04-normal / Percent_at_Upper</t>
  </si>
  <si>
    <t>35.4%</t>
  </si>
  <si>
    <t>Anuric, t_half 3.5 days</t>
  </si>
  <si>
    <t>PK_Exercises (Q8): EX-C04|2|Q8-C04-anuric / Percent_at_Lower</t>
  </si>
  <si>
    <t>55.2%</t>
  </si>
  <si>
    <t>Anuric, t_half 5 days</t>
  </si>
  <si>
    <t>PK_Exercises (Q8): EX-C04|2|Q8-C04-anuric / Percent_at_Upper</t>
  </si>
  <si>
    <t>66.0%</t>
  </si>
  <si>
    <t>Q8 rows carry I_SCENARIO_NOT_CI</t>
  </si>
  <si>
    <t>PK_Exercises (Q8): EX-C04|2|Q8-C04-normal / QC_Flags</t>
  </si>
  <si>
    <t>Ch 11, Worked exercise 11.2 (Q4)</t>
  </si>
  <si>
    <t>Renal elimination halved, fe 0.5: ratio</t>
  </si>
  <si>
    <t>PK_Exercises (Q4): EX-C04|2|Q4-C04-half-fe0.5 / Css_Ratio</t>
  </si>
  <si>
    <t>1.33</t>
  </si>
  <si>
    <t>Renal elimination halved, fe 0.7: ratio</t>
  </si>
  <si>
    <t>PK_Exercises (Q4): EX-C04|2|Q4-C04-half-fe0.7 / Css_Ratio</t>
  </si>
  <si>
    <t>1.54</t>
  </si>
  <si>
    <t>Renal elimination at a quarter, fe 0.5: ratio</t>
  </si>
  <si>
    <t>PK_Exercises (Q4): EX-C04|2|Q4-C04-quarter-fe0.5 / Css_Ratio</t>
  </si>
  <si>
    <t>1.60</t>
  </si>
  <si>
    <t>Renal elimination at a quarter, fe 0.7: ratio</t>
  </si>
  <si>
    <t>PK_Exercises (Q4): EX-C04|2|Q4-C04-quarter-fe0.7 / Css_Ratio</t>
  </si>
  <si>
    <t>2.11</t>
  </si>
  <si>
    <t>Ch 20, 20.4 (Question 2)</t>
  </si>
  <si>
    <t>Last infusion to first positive test (C2)</t>
  </si>
  <si>
    <t>Intervals: EX-C28|2|I01 / Interval_Value</t>
  </si>
  <si>
    <t>435 calendar days</t>
  </si>
  <si>
    <t>Ch 20, 20.4 (Question 3)</t>
  </si>
  <si>
    <t>Reporter's fourteen months kept, not converted</t>
  </si>
  <si>
    <t>Intervals: EX-C28|2|I01 / QC_Flags</t>
  </si>
  <si>
    <t>Ch 20, 20.4 (Question 1-2)</t>
  </si>
  <si>
    <t>LAST_DOSE_BEFORE_ONSET selects 3 March 2025</t>
  </si>
  <si>
    <t>Intervals: EX-C28|2|I02 / Anchor_Record_ID_Used</t>
  </si>
  <si>
    <t>last infusion 3 March 2025</t>
  </si>
  <si>
    <t>Last infusion to onset bounds: minimum (C4)</t>
  </si>
  <si>
    <t>Intervals: EX-C28|2|I02 / Interval_Minimum</t>
  </si>
  <si>
    <t>343</t>
  </si>
  <si>
    <t>Last infusion to onset bounds: maximum (C4)</t>
  </si>
  <si>
    <t>Intervals: EX-C28|2|I02 / Interval_Maximum</t>
  </si>
  <si>
    <t>435</t>
  </si>
  <si>
    <t>Sequence of the bounded interval</t>
  </si>
  <si>
    <t>Intervals: EX-C28|2|I02 / Sequence_Status</t>
  </si>
  <si>
    <t>First infusion to first positive test</t>
  </si>
  <si>
    <t>Intervals: EX-C28|2|I03 / Interval_Value</t>
  </si>
  <si>
    <t>540 calendar days</t>
  </si>
  <si>
    <t>Ch 23, 23.12</t>
  </si>
  <si>
    <t>First infusion to onset bounds: minimum</t>
  </si>
  <si>
    <t>Intervals: EX-C28|2|I04 / Interval_Minimum</t>
  </si>
  <si>
    <t>448</t>
  </si>
  <si>
    <t>First infusion to onset bounds: maximum</t>
  </si>
  <si>
    <t>Intervals: EX-C28|2|I04 / Interval_Maximum</t>
  </si>
  <si>
    <t>540</t>
  </si>
  <si>
    <t>End of prophylaxis to first positive test</t>
  </si>
  <si>
    <t>Intervals: EX-C28|2|I05 / Interval_Value</t>
  </si>
  <si>
    <t>251 days</t>
  </si>
  <si>
    <t>End of prophylaxis to onset bounds: minimum</t>
  </si>
  <si>
    <t>Intervals: EX-C28|2|I06 / Interval_Minimum</t>
  </si>
  <si>
    <t>159</t>
  </si>
  <si>
    <t>End of prophylaxis to onset bounds: maximum</t>
  </si>
  <si>
    <t>Intervals: EX-C28|2|I06 / Interval_Maximum</t>
  </si>
  <si>
    <t>251</t>
  </si>
  <si>
    <t>Prednisolone start to first positive test</t>
  </si>
  <si>
    <t>Intervals: EX-C28|2|I07 / Interval_Value</t>
  </si>
  <si>
    <t>71 days</t>
  </si>
  <si>
    <t>Prednisolone start to onset bounds: minimum</t>
  </si>
  <si>
    <t>Intervals: EX-C28|2|I08 / Interval_Minimum</t>
  </si>
  <si>
    <t>-21</t>
  </si>
  <si>
    <t>Prednisolone start to onset bounds: maximum</t>
  </si>
  <si>
    <t>Intervals: EX-C28|2|I08 / Interval_Maximum</t>
  </si>
  <si>
    <t>71</t>
  </si>
  <si>
    <t>Prednisolone row: SEQUENCE_UNCERTAIN</t>
  </si>
  <si>
    <t>Intervals: EX-C28|2|I08 / Sequence_Status</t>
  </si>
  <si>
    <t>SEQUENCE_UNCERTAIN</t>
  </si>
  <si>
    <t>Prednisolone row raises W_SEQUENCE_UNCERTAIN</t>
  </si>
  <si>
    <t>Intervals: EX-C28|2|I08 / QC_Flags</t>
  </si>
  <si>
    <t>Last infusion to biochemical hepatitis (26 May)</t>
  </si>
  <si>
    <t>Intervals: EX-C28|2|I09 / Interval_Value</t>
  </si>
  <si>
    <t>449 days</t>
  </si>
  <si>
    <t>Ch 20, 20.4 (Question 1)</t>
  </si>
  <si>
    <t>Tests 92 calendar days apart</t>
  </si>
  <si>
    <t>Intervals: EX-C28|2|I10 / Interval_Value</t>
  </si>
  <si>
    <t>92 calendar days</t>
  </si>
  <si>
    <t>Ch 20, 20.4 (Table 9)</t>
  </si>
  <si>
    <t>Intervals: EX-C28|2|I11 / Interval_Value</t>
  </si>
  <si>
    <t>184 days</t>
  </si>
  <si>
    <t>Ch 23, 23.12 (Q7)</t>
  </si>
  <si>
    <t>Median t_half 22 days at 435 days: percent remaining</t>
  </si>
  <si>
    <t>PK_Exercises (Q7): EX-C28|2|Q7-C28-435 / Percent_Remaining</t>
  </si>
  <si>
    <t>0.000112%</t>
  </si>
  <si>
    <t>Median t_half 22 days at 343 days</t>
  </si>
  <si>
    <t>PK_Exercises (Q7): EX-C28|2|Q7-C28-343 / Percent_Remaining</t>
  </si>
  <si>
    <t>0.00203%</t>
  </si>
  <si>
    <t>Q7 rows carry W_BIOLOGIC_MODEL_CAUTION</t>
  </si>
  <si>
    <t>PK_Exercises (Q7): EX-C28|2|Q7-C28-435 / QC_Flags</t>
  </si>
  <si>
    <t>Ch 23, 23.12 (Q8)</t>
  </si>
  <si>
    <t>Longest labeled t_half 52 days at 435 days</t>
  </si>
  <si>
    <t>PK_Exercises (Q8): EX-C28|2|Q8-C28-435 / Percent_at_Upper</t>
  </si>
  <si>
    <t>0.303%</t>
  </si>
  <si>
    <t>Shortest labeled t_half 6.1 days at 435 days</t>
  </si>
  <si>
    <t>PK_Exercises (Q8): EX-C28|2|Q8-C28-435 / Percent_at_Lower</t>
  </si>
  <si>
    <t>below 0.0001%</t>
  </si>
  <si>
    <t>lt</t>
  </si>
  <si>
    <t>Ch 20, 20.4 (Question 5)</t>
  </si>
  <si>
    <t>Longest labeled t_half 52 days at 343 days</t>
  </si>
  <si>
    <t>PK_Exercises (Q8): EX-C28|2|Q8-C28-343 / Percent_at_Upper</t>
  </si>
  <si>
    <t>1.03%</t>
  </si>
  <si>
    <t>Examples status:</t>
  </si>
  <si>
    <t>Outside CALC-SPEC 1.0 (shown for Chapter 20 and 23 only): 24 calendar months after the last infusion, compared by calendar date (author's convention; no CALC-SPEC rule adds calendar months).</t>
  </si>
  <si>
    <t>24 calendar months after 3 March 2025</t>
  </si>
  <si>
    <t>Calendar days from the last infusion to that date</t>
  </si>
  <si>
    <t>730 calendar days</t>
  </si>
  <si>
    <t>Verification: CALC-SPEC 1.0 vectors V01-V27 recomputed by this workbook</t>
  </si>
  <si>
    <t>Each vector is entered as a reserved, locked case (VEC-Vnn) on the production sheets and computed by the same column formulas a user's case uses. Expected values are the unrounded values of tto_calc_test_vectors_v1.0.json. Numbers are compared unrounded: relative tolerance 1E-6, or absolute 1E-9 when the expected value is zero. V12 and V14 describe behavior and are checked by inspection.</t>
  </si>
  <si>
    <t>Overall status:</t>
  </si>
  <si>
    <t>Relative tolerance</t>
  </si>
  <si>
    <t>Absolute tolerance (expected = 0)</t>
  </si>
  <si>
    <t>Source: tto_calc_test_vectors_v1.0.json (spec CALC-SPEC 1.0, 2026-10-19)</t>
  </si>
  <si>
    <t>ID</t>
  </si>
  <si>
    <t>Rule</t>
  </si>
  <si>
    <t>Where in this workbook</t>
  </si>
  <si>
    <t>Expected (JSON summary)</t>
  </si>
  <si>
    <t>Checks</t>
  </si>
  <si>
    <t>Passed</t>
  </si>
  <si>
    <t>Result</t>
  </si>
  <si>
    <t>V01</t>
  </si>
  <si>
    <t>Intervals</t>
  </si>
  <si>
    <t>numeric</t>
  </si>
  <si>
    <t>15 minutes; AFTER; no flags</t>
  </si>
  <si>
    <t>V02</t>
  </si>
  <si>
    <t>C2+C3</t>
  </si>
  <si>
    <t>5 calendar days; treatment Day 6; AFTER</t>
  </si>
  <si>
    <t>V03</t>
  </si>
  <si>
    <t>0 calendar days; SAME_DATE_ORDER_UNKNOWN; W_SAME_DATE_ORDER_UNKNOWN</t>
  </si>
  <si>
    <t>V04</t>
  </si>
  <si>
    <t>2 calendar days; AFTER</t>
  </si>
  <si>
    <t>V05</t>
  </si>
  <si>
    <t>5 to 14 calendar days; AFTER</t>
  </si>
  <si>
    <t>V06</t>
  </si>
  <si>
    <t>-5 to +4 calendar days; SEQUENCE_UNCERTAIN; W_SEQUENCE_UNCERTAIN</t>
  </si>
  <si>
    <t>V07</t>
  </si>
  <si>
    <t>C5</t>
  </si>
  <si>
    <t>Administrations, Intervals</t>
  </si>
  <si>
    <t>Anchor 2026-03-02T08:00-05:00; 720 minutes; AFTER</t>
  </si>
  <si>
    <t>V08</t>
  </si>
  <si>
    <t>Exposures, Intervals</t>
  </si>
  <si>
    <t>FIRST_ADMIN 44 and RESTART 4 calendar days, both kept</t>
  </si>
  <si>
    <t>V09</t>
  </si>
  <si>
    <t>60 minutes; AFTER</t>
  </si>
  <si>
    <t>V10</t>
  </si>
  <si>
    <t>120 minutes (local clock); W_TZ_UNKNOWN</t>
  </si>
  <si>
    <t>V11</t>
  </si>
  <si>
    <t>C6</t>
  </si>
  <si>
    <t>360 minutes; reported timing kept; W_REPORTED_TIMING_CONFLICT</t>
  </si>
  <si>
    <t>V12</t>
  </si>
  <si>
    <t>Versioning</t>
  </si>
  <si>
    <t>Cases, Intervals</t>
  </si>
  <si>
    <t>behavioral</t>
  </si>
  <si>
    <t>Version 1 (9 days) preserved; version 2 gives 7 days</t>
  </si>
  <si>
    <t>V13</t>
  </si>
  <si>
    <t>Validation</t>
  </si>
  <si>
    <t>Exposures, Events, Drug_Event_Links, Intervals</t>
  </si>
  <si>
    <t>E_INVALID_DATE, E_REVERSED_BOUNDS, E_DUPLICATE_ID, E_MISSING_LINK</t>
  </si>
  <si>
    <t>V14</t>
  </si>
  <si>
    <t>Export</t>
  </si>
  <si>
    <t>Export (outside the workbook)</t>
  </si>
  <si>
    <t>Bounds, unit, precision, links, status and flags preserved on export and re-import of V06</t>
  </si>
  <si>
    <t>V15</t>
  </si>
  <si>
    <t>No value; I_APPROXIMATE_NOT_COMPARED</t>
  </si>
  <si>
    <t>V16</t>
  </si>
  <si>
    <t>Q1</t>
  </si>
  <si>
    <t>PK_Exercises (Q1)</t>
  </si>
  <si>
    <t>0.125; k = 0.028881133 per hour</t>
  </si>
  <si>
    <t>V17</t>
  </si>
  <si>
    <t>Q2</t>
  </si>
  <si>
    <t>PK_Exercises (Q2)</t>
  </si>
  <si>
    <t>79.726274 hours; 3.321928 half-lives</t>
  </si>
  <si>
    <t>V18</t>
  </si>
  <si>
    <t>Q3</t>
  </si>
  <si>
    <t>PK_Exercises (Q3)</t>
  </si>
  <si>
    <t>V19</t>
  </si>
  <si>
    <t>Q4</t>
  </si>
  <si>
    <t>PK_Exercises (Q4)</t>
  </si>
  <si>
    <t>Half-life and average Css ratios both 2</t>
  </si>
  <si>
    <t>V20</t>
  </si>
  <si>
    <t>Q5</t>
  </si>
  <si>
    <t>PK_Exercises (Q5)</t>
  </si>
  <si>
    <t>0.390625% and 62.996052%; no sum</t>
  </si>
  <si>
    <t>V21</t>
  </si>
  <si>
    <t>Q6</t>
  </si>
  <si>
    <t>PD_Profile (Q6)</t>
  </si>
  <si>
    <t>0.75 replaced; I_TEACHING_DEMONSTRATION</t>
  </si>
  <si>
    <t>V22</t>
  </si>
  <si>
    <t>Q7</t>
  </si>
  <si>
    <t>PK_Exercises (Q7)</t>
  </si>
  <si>
    <t>0.25; W_BIOLOGIC_MODEL_CAUTION</t>
  </si>
  <si>
    <t>V23</t>
  </si>
  <si>
    <t>Q8</t>
  </si>
  <si>
    <t>PK_Exercises (Q8)</t>
  </si>
  <si>
    <t>0.0625 to 0.25; I_SCENARIO_NOT_CI</t>
  </si>
  <si>
    <t>V24</t>
  </si>
  <si>
    <t>Technical validation</t>
  </si>
  <si>
    <t>E_NONPOSITIVE_PARAMETER, E_INVALID_UNIT, E_APPLICABILITY_UNCONFIRMED</t>
  </si>
  <si>
    <t>V25</t>
  </si>
  <si>
    <t>Q9</t>
  </si>
  <si>
    <t>Administrations, PK_Exercises (Q9)</t>
  </si>
  <si>
    <t>58.333333 mg; 11.666667% of 500 mg</t>
  </si>
  <si>
    <t>V26</t>
  </si>
  <si>
    <t>Q10</t>
  </si>
  <si>
    <t>Administrations, PK_Exercises (Q10)</t>
  </si>
  <si>
    <t>164.052288 (Method A); 161.111111 / 170.588235 (Method B)</t>
  </si>
  <si>
    <t>V27</t>
  </si>
  <si>
    <t>Q11</t>
  </si>
  <si>
    <t>PK_Exercises (Q11)</t>
  </si>
  <si>
    <t>68.055556, 34.027778, female 57.847222; sex missing shows both; unconfirmed stability blocks</t>
  </si>
  <si>
    <t>Check details (one row per expected value in the JSON file)</t>
  </si>
  <si>
    <t>Vector</t>
  </si>
  <si>
    <t>What is checked</t>
  </si>
  <si>
    <t>Kind</t>
  </si>
  <si>
    <t>Workbook row (table: key / column)</t>
  </si>
  <si>
    <t>Expected (unrounded, JSON)</t>
  </si>
  <si>
    <t>Pass</t>
  </si>
  <si>
    <t>Interval_Value</t>
  </si>
  <si>
    <t>Intervals: VEC-V01|1|I1 / Interval_Value</t>
  </si>
  <si>
    <t>Intervals: VEC-V01|1|I1 / Unit</t>
  </si>
  <si>
    <t>Sequence</t>
  </si>
  <si>
    <t>Intervals: VEC-V01|1|I1 / Sequence_Status</t>
  </si>
  <si>
    <t>Flags</t>
  </si>
  <si>
    <t>flags</t>
  </si>
  <si>
    <t>Intervals: VEC-V01|1|I1 / QC_Flags</t>
  </si>
  <si>
    <t>(none)</t>
  </si>
  <si>
    <t>Intervals: VEC-V02|1|I1 / Interval_Value</t>
  </si>
  <si>
    <t>Intervals: VEC-V02|1|I1 / Unit</t>
  </si>
  <si>
    <t>Treatment day</t>
  </si>
  <si>
    <t>Intervals: VEC-V02|1|I1 / Treatment_Day</t>
  </si>
  <si>
    <t>Intervals: VEC-V02|1|I1 / Sequence_Status</t>
  </si>
  <si>
    <t>Intervals: VEC-V02|1|I1 / QC_Flags</t>
  </si>
  <si>
    <t>Intervals: VEC-V03|1|I1 / Interval_Value</t>
  </si>
  <si>
    <t>Intervals: VEC-V03|1|I1 / Unit</t>
  </si>
  <si>
    <t>Intervals: VEC-V03|1|I1 / Sequence_Status</t>
  </si>
  <si>
    <t>SAME_DATE_ORDER_UNKNOWN</t>
  </si>
  <si>
    <t>Intervals: VEC-V03|1|I1 / QC_Flags</t>
  </si>
  <si>
    <t>Intervals: VEC-V04|1|I1 / Interval_Value</t>
  </si>
  <si>
    <t>Intervals: VEC-V04|1|I1 / Unit</t>
  </si>
  <si>
    <t>Intervals: VEC-V04|1|I1 / Sequence_Status</t>
  </si>
  <si>
    <t>Intervals: VEC-V04|1|I1 / QC_Flags</t>
  </si>
  <si>
    <t>Interval_Minimum</t>
  </si>
  <si>
    <t>Intervals: VEC-V05|1|I1 / Interval_Minimum</t>
  </si>
  <si>
    <t>Interval_Maximum</t>
  </si>
  <si>
    <t>Intervals: VEC-V05|1|I1 / Interval_Maximum</t>
  </si>
  <si>
    <t>Intervals: VEC-V05|1|I1 / Unit</t>
  </si>
  <si>
    <t>Intervals: VEC-V05|1|I1 / Sequence_Status</t>
  </si>
  <si>
    <t>Intervals: VEC-V05|1|I1 / QC_Flags</t>
  </si>
  <si>
    <t>Intervals: VEC-V06|1|I1 / Interval_Minimum</t>
  </si>
  <si>
    <t>Intervals: VEC-V06|1|I1 / Interval_Maximum</t>
  </si>
  <si>
    <t>Intervals: VEC-V06|1|I1 / Unit</t>
  </si>
  <si>
    <t>Intervals: VEC-V06|1|I1 / Sequence_Status</t>
  </si>
  <si>
    <t>Intervals: VEC-V06|1|I1 / QC_Flags</t>
  </si>
  <si>
    <t>Selected anchor (ISO 8601)</t>
  </si>
  <si>
    <t>Intervals: VEC-V07|1|I1 / Anchor_ISO</t>
  </si>
  <si>
    <t>Intervals: VEC-V07|1|I1 / Interval_Value</t>
  </si>
  <si>
    <t>Intervals: VEC-V07|1|I1 / Unit</t>
  </si>
  <si>
    <t>Intervals: VEC-V07|1|I1 / Sequence_Status</t>
  </si>
  <si>
    <t>Intervals: VEC-V07|1|I1 / QC_Flags</t>
  </si>
  <si>
    <t>FIRST_ADMIN interval</t>
  </si>
  <si>
    <t>Intervals: VEC-V08|1|I1 / Interval_Value</t>
  </si>
  <si>
    <t>RESTART interval</t>
  </si>
  <si>
    <t>Intervals: VEC-V08|1|I2 / Interval_Value</t>
  </si>
  <si>
    <t>Unit (FIRST_ADMIN)</t>
  </si>
  <si>
    <t>Intervals: VEC-V08|1|I1 / Unit</t>
  </si>
  <si>
    <t>Flags (FIRST_ADMIN)</t>
  </si>
  <si>
    <t>Intervals: VEC-V08|1|I1 / QC_Flags</t>
  </si>
  <si>
    <t>Flags (RESTART)</t>
  </si>
  <si>
    <t>Intervals: VEC-V08|1|I2 / QC_Flags</t>
  </si>
  <si>
    <t>Intervals: VEC-V09|1|I1 / Interval_Value</t>
  </si>
  <si>
    <t>Intervals: VEC-V09|1|I1 / Unit</t>
  </si>
  <si>
    <t>Intervals: VEC-V09|1|I1 / Sequence_Status</t>
  </si>
  <si>
    <t>Intervals: VEC-V09|1|I1 / QC_Flags</t>
  </si>
  <si>
    <t>Intervals: VEC-V10|1|I1 / Interval_Value</t>
  </si>
  <si>
    <t>Intervals: VEC-V10|1|I1 / Unit</t>
  </si>
  <si>
    <t>Intervals: VEC-V10|1|I1 / Sequence_Status</t>
  </si>
  <si>
    <t>Intervals: VEC-V10|1|I1 / QC_Flags</t>
  </si>
  <si>
    <t>Intervals: VEC-V11|1|I1 / Interval_Value</t>
  </si>
  <si>
    <t>Intervals: VEC-V11|1|I1 / Unit</t>
  </si>
  <si>
    <t>Reported timing retained</t>
  </si>
  <si>
    <t>Intervals: VEC-V11|1|I1 / Reported_Timing_Result</t>
  </si>
  <si>
    <t>Intervals: VEC-V11|1|I1 / QC_Flags</t>
  </si>
  <si>
    <t>Version 1 kept (inspection aid)</t>
  </si>
  <si>
    <t>Intervals: VEC-V12|1|I1 / Interval_Value</t>
  </si>
  <si>
    <t>Version 2 added (inspection aid)</t>
  </si>
  <si>
    <t>Intervals: VEC-V12|2|I1 / Interval_Value</t>
  </si>
  <si>
    <t>30 February</t>
  </si>
  <si>
    <t>Intervals: VEC-V13|1|I-DATE / QC_Flags</t>
  </si>
  <si>
    <t>Reversed bounds</t>
  </si>
  <si>
    <t>Intervals: VEC-V13|1|I-BOUNDS / QC_Flags</t>
  </si>
  <si>
    <t>Duplicate episode ID EX1</t>
  </si>
  <si>
    <t>Intervals: VEC-V13|1|I-IDS / QC_Flags</t>
  </si>
  <si>
    <t>Unlinked pair</t>
  </si>
  <si>
    <t>Intervals: VEC-V13|1|I-LINK / QC_Flags</t>
  </si>
  <si>
    <t>No value</t>
  </si>
  <si>
    <t>blank</t>
  </si>
  <si>
    <t>Intervals: VEC-V15|1|I1 / Interval_Value</t>
  </si>
  <si>
    <t>(blank)</t>
  </si>
  <si>
    <t>Reported timing flag (C6)</t>
  </si>
  <si>
    <t>Intervals: VEC-V15|1|I1 / C6_Code</t>
  </si>
  <si>
    <t>Fraction remaining</t>
  </si>
  <si>
    <t>Q1: VEC-V16|1|Q1-V16 / Fraction_Remaining</t>
  </si>
  <si>
    <t>k per hour</t>
  </si>
  <si>
    <t>Q1: VEC-V16|1|Q1-V16 / k_per_hour</t>
  </si>
  <si>
    <t>Q1: VEC-V16|1|Q1-V16 / QC_Flags</t>
  </si>
  <si>
    <t>Time to fraction (hours)</t>
  </si>
  <si>
    <t>Q2: VEC-V17|1|Q2-V17 / Time_to_f</t>
  </si>
  <si>
    <t>Half-lives</t>
  </si>
  <si>
    <t>Q2: VEC-V17|1|Q2-V17 / Half_Lives</t>
  </si>
  <si>
    <t>Q2: VEC-V17|1|Q2-V17 / QC_Flags</t>
  </si>
  <si>
    <t>Accumulation factor</t>
  </si>
  <si>
    <t>Q3: VEC-V18|1|Q3-V18 / Accumulation_Factor</t>
  </si>
  <si>
    <t>Q3: VEC-V18|1|Q3-V18 / QC_Flags</t>
  </si>
  <si>
    <t>Half-life ratio</t>
  </si>
  <si>
    <t>Q4: VEC-V19|1|Q4-V19 / HalfLife_Ratio</t>
  </si>
  <si>
    <t>Average Css ratio</t>
  </si>
  <si>
    <t>Q4: VEC-V19|1|Q4-V19 / Css_Ratio</t>
  </si>
  <si>
    <t>Q4: VEC-V19|1|Q4-V19 / QC_Flags</t>
  </si>
  <si>
    <t>Parent percent remaining</t>
  </si>
  <si>
    <t>Q5: VEC-V20|1|Q5-V20 / Parent_Percent</t>
  </si>
  <si>
    <t>Metabolite percent remaining</t>
  </si>
  <si>
    <t>Q5: VEC-V20|1|Q5-V20 / Metabolite_Percent</t>
  </si>
  <si>
    <t>Q5: VEC-V20|1|Q5-V20 / QC_Flags</t>
  </si>
  <si>
    <t>Fraction replaced</t>
  </si>
  <si>
    <t>Q6 (PD_Profile): VEC-V21|1|Q6-V21 / Fraction_Replaced</t>
  </si>
  <si>
    <t>Q6 (PD_Profile): VEC-V21|1|Q6-V21 / QC_Flags</t>
  </si>
  <si>
    <t>Q7: VEC-V22|1|Q7-V22 / Fraction_Remaining</t>
  </si>
  <si>
    <t>Q7: VEC-V22|1|Q7-V22 / QC_Flags</t>
  </si>
  <si>
    <t>Fraction at lower t_half</t>
  </si>
  <si>
    <t>Q8: VEC-V23|1|Q8-V23 / Fraction_at_Lower</t>
  </si>
  <si>
    <t>Fraction at upper t_half</t>
  </si>
  <si>
    <t>Q8: VEC-V23|1|Q8-V23 / Fraction_at_Upper</t>
  </si>
  <si>
    <t>Q8: VEC-V23|1|Q8-V23 / QC_Flags</t>
  </si>
  <si>
    <t>Half-life 0</t>
  </si>
  <si>
    <t>Q1: VEC-V24|1|Q1-V24a / QC_Flags</t>
  </si>
  <si>
    <t>Unit fortnights</t>
  </si>
  <si>
    <t>Q1: VEC-V24|1|Q1-V24b / QC_Flags</t>
  </si>
  <si>
    <t>Gate unconfirmed</t>
  </si>
  <si>
    <t>Q1: VEC-V24|1|Q1-V24c / QC_Flags</t>
  </si>
  <si>
    <t>Parameter status travels into Parameter_Set (V16 row)</t>
  </si>
  <si>
    <t>Q1: VEC-V16|1|Q1-V16 / Parameter_Set</t>
  </si>
  <si>
    <t>Amount infused (mg)</t>
  </si>
  <si>
    <t>Q9: VEC-V25|1|Q9-V25 / Amount_mg</t>
  </si>
  <si>
    <t>Percent of planned dose</t>
  </si>
  <si>
    <t>Q9: VEC-V25|1|Q9-V25 / Percent_of_Planned</t>
  </si>
  <si>
    <t>Q9: VEC-V25|1|Q9-V25 / QC_Flags</t>
  </si>
  <si>
    <t>Method A (mg/m2)</t>
  </si>
  <si>
    <t>Q10: VEC-V26|1|Q10-V26-first / Method_A_mg_m2</t>
  </si>
  <si>
    <t>Method B, first BSA</t>
  </si>
  <si>
    <t>Q10: VEC-V26|1|Q10-V26-first / Method_B_mg_m2</t>
  </si>
  <si>
    <t>Method B, last BSA</t>
  </si>
  <si>
    <t>Q10: VEC-V26|1|Q10-V26-last / Method_B_mg_m2</t>
  </si>
  <si>
    <t>Q10: VEC-V26|1|Q10-V26-first / QC_Flags</t>
  </si>
  <si>
    <t>Case 1: male, 1.0 mg/dL</t>
  </si>
  <si>
    <t>Q11: VEC-V27|1|Q11-V27a / CrCl_mL_min</t>
  </si>
  <si>
    <t>Case 2: male, 2.0 mg/dL</t>
  </si>
  <si>
    <t>Q11: VEC-V27|1|Q11-V27b / CrCl_mL_min</t>
  </si>
  <si>
    <t>Case 3: female, 1.0 mg/dL</t>
  </si>
  <si>
    <t>Q11: VEC-V27|1|Q11-V27c / CrCl_mL_min</t>
  </si>
  <si>
    <t>Case 4: sex not recorded, female estimate</t>
  </si>
  <si>
    <t>Q11: VEC-V27|1|Q11-V27d / CrCl_Female_If_Sex_Not_Recorded</t>
  </si>
  <si>
    <t>Case 4: sex not recorded, male estimate</t>
  </si>
  <si>
    <t>Q11: VEC-V27|1|Q11-V27d / CrCl_Male_If_Sex_Not_Recorded</t>
  </si>
  <si>
    <t>Case 5: no estimate</t>
  </si>
  <si>
    <t>Q11: VEC-V27|1|Q11-V27e / CrCl_mL_min</t>
  </si>
  <si>
    <t>Flags case 1</t>
  </si>
  <si>
    <t>Q11: VEC-V27|1|Q11-V27a / QC_Flags</t>
  </si>
  <si>
    <t>Flags case 2</t>
  </si>
  <si>
    <t>Q11: VEC-V27|1|Q11-V27b / QC_Flags</t>
  </si>
  <si>
    <t>Flags case 3</t>
  </si>
  <si>
    <t>Q11: VEC-V27|1|Q11-V27c / QC_Flags</t>
  </si>
  <si>
    <t>Flags case 4</t>
  </si>
  <si>
    <t>Q11: VEC-V27|1|Q11-V27d / QC_Flags</t>
  </si>
  <si>
    <t>Flags case 5</t>
  </si>
  <si>
    <t>Q11: VEC-V27|1|Q11-V27e / QC_Flags</t>
  </si>
  <si>
    <t>Behavioral vectors (inspection):</t>
  </si>
  <si>
    <t>V12 Versioning: Cases holds VEC-V12 version 1 and version 2 as separate rows, and Intervals keeps both results (9 calendar days for version 1, 7 for version 2; rows VEC-V12|1|I1 and VEC-V12|2|I1). Follow-up is added as a new Case_Version; earlier rows are never overwritten.</t>
  </si>
  <si>
    <t>V14 Export and re-import: the workbook has no macros, so export is done by the user (File &gt; Save As &gt; CSV UTF-8 for a sheet, or copy the table). Inspect the V06 rows (Exposures VEC-V06 Start RANGE 1-10 January 2026 with original text; Events onset; Drug_Event_Links L1; Intervals VEC-V06|1|I1 with -5 to 4 calendar days, SEQUENCE_UNCERTAIN, W_SEQUENCE_UNCERTAIN) before export and after re-import: bounds, unit, original text and precision, link, sequence status and flags must be unchanged. Use the Export_Safe columns for free text that starts with =, +, - or @.</t>
  </si>
  <si>
    <t>Note on V15: the vector has no anchor or onset, so the interval row shows E_MISSING_INPUT and no value; the C6 check (C6_Code = I_APPROXIMATE_NOT_COMPARED) is the vector's expected flag.</t>
  </si>
  <si>
    <t>Time to Onset in Drug Safety: companion Excel workbook</t>
  </si>
  <si>
    <t>TTO Companion Tools v1.0 (CALC-SPEC 1.0)</t>
  </si>
  <si>
    <t>Companion to "Time to Onset in Drug Safety: A Technical Guide to ICSR Analysis Using Mechanism of Action, Pharmacokinetics and Pharmacodynamics" by Dr. Hafez Selim (Chapter 23, Use the Excel worksheets).</t>
  </si>
  <si>
    <t>Educational tool: read before use</t>
  </si>
  <si>
    <t>This workbook is an educational tool for training, self-study and careful desk work on individual case safety reports (ICSRs). It is NOT validated for regulated production use. It is NOT a dosing calculator and gives no dosing recommendation. It NEVER assigns causality and never produces a causality category, a probability or a statement that an event is related to a drug. Every result describes timing or exposure under the assumptions shown beside it; the formal causality assessment remains a human judgment.</t>
  </si>
  <si>
    <t>Sheet protection only prevents accidental edits; it is not a security control. The workbook contains no macros, no VBA, no external links and no network connections, so case data stay on your computer. Use fictional or de-identified data for training.</t>
  </si>
  <si>
    <t>TTO Companion Tools v1.0 (CALC-SPEC 1.0). Calculation rules: CALC-SPEC 1.0 (Stage 1 document C). Verification vectors: tto_calc_test_vectors_v1.0.json (V01-V27).</t>
  </si>
  <si>
    <t>License</t>
  </si>
  <si>
    <t>Creative Commons Attribution-NonCommercial 4.0 International (CC BY-NC 4.0), https://creativecommons.org/licenses/by-nc/4.0/</t>
  </si>
  <si>
    <t>Source and updates</t>
  </si>
  <si>
    <t>https://github.com/abdu94-hash/tto-companion-tools (the interactive calculator built on the same CALC-SPEC is at https://abdu94-hash.github.io/tto-companion-tools/)</t>
  </si>
  <si>
    <t>Verification status</t>
  </si>
  <si>
    <t>Examples status</t>
  </si>
  <si>
    <t>Tested with</t>
  </si>
  <si>
    <t>Microsoft 365 Excel for Windows (version 16.0, build 20430). Formulas use only functions available in Excel 2010 and later (no LET, LAMBDA, dynamic arrays or TEXTJOIN). Not yet verified in Excel for the web, Excel for Mac, Google Sheets or LibreOffice.</t>
  </si>
  <si>
    <t>How to use (the workup of Chapter 23)</t>
  </si>
  <si>
    <t>1. Cases</t>
  </si>
  <si>
    <t>Open a case version (Case_ID + Case_Version). Follow-up adds a new version; earlier rows stay (V12).</t>
  </si>
  <si>
    <t>2. Record the sources</t>
  </si>
  <si>
    <t>On Exposures, Administrations, Events and Milestones enter every date, time and timing statement as the source gives it: original text, precision, bounds and source. Never type 0, N/A or a typical value to make a row calculate.</t>
  </si>
  <si>
    <t>3. Drug_Event_Links</t>
  </si>
  <si>
    <t>Create the drug-event pairs you intend to compare, each with a reason. An interval without a link shows E_MISSING_LINK.</t>
  </si>
  <si>
    <t>4. Intervals</t>
  </si>
  <si>
    <t>One row per link and anchor. Pick the anchor record (see Timepoints for IDs) and the end point, and the rule: C1 (two timestamps, minutes), C2 (two exact dates, calendar days; C3 treatment day on request) or C4 (bounds). LAST_DOSE_BEFORE_ONSET is selected by C5. Reported timing (C6) sits beside the value. CESSATION to a RECOVERY milestone is a C7 recovery interval. Send a query for every E-code.</t>
  </si>
  <si>
    <t>5. Product evidence</t>
  </si>
  <si>
    <t>Product_Dossier (one row per extracted statement) and Parameter_Register (value, range, unit, population, half-life type, status, source).</t>
  </si>
  <si>
    <t>6. Technical arithmetic</t>
  </si>
  <si>
    <t>PK_Exercises (Q1-Q5, Q7-Q11) and PD_Profile (Q6 teaching demonstration). Run only what the question needs, after confirming each gate. Q8 shows a scenario range, never a midpoint or confidence interval. Q11 needs creatinine stability confirmed.</t>
  </si>
  <si>
    <t>7. Reviewer judgments</t>
  </si>
  <si>
    <t>Temporal_Profile, Biology_Review (four options, each with a rationale; none is a relatedness category), Dechallenge_Rechallenge, Alternatives_Followup.</t>
  </si>
  <si>
    <t>8. Assessment_QC</t>
  </si>
  <si>
    <t>Narrative, method, unresolved issues and the counts of blocked and flagged interval rows. To print a one-case summary, filter Case_ID on each sheet and print.</t>
  </si>
  <si>
    <t>Sheets</t>
  </si>
  <si>
    <t>Read_Me</t>
  </si>
  <si>
    <t>This page.</t>
  </si>
  <si>
    <t>Cases</t>
  </si>
  <si>
    <t>Input. One row per case version.</t>
  </si>
  <si>
    <t>Exposures</t>
  </si>
  <si>
    <t>Input. One row per exposure episode; Start, Stop and Restart are timepoints (Episode/START, /STOP, /RESTART).</t>
  </si>
  <si>
    <t>Administrations</t>
  </si>
  <si>
    <t>Input. One row per dose, administration or infusion rate segment (start, end, rate); dose and BSA for Q10.</t>
  </si>
  <si>
    <t>Events</t>
  </si>
  <si>
    <t>Input. One row per event episode; Onset and First detection are timepoints (Episode/ONSET, /DETECTION).</t>
  </si>
  <si>
    <t>Milestones</t>
  </si>
  <si>
    <t>Input. Tests, organ function, concentrations, interventions, recovery and other dated records.</t>
  </si>
  <si>
    <t>Drug_Event_Links</t>
  </si>
  <si>
    <t>Reviewer. Selected pairs with a reason (no automatic pairing).</t>
  </si>
  <si>
    <t>Derived. One row per link and anchor: value, unit, rule, sequence status, flags, messages, assumptions.</t>
  </si>
  <si>
    <t>Product_Dossier</t>
  </si>
  <si>
    <t>Input. Versioned product statements, timing-statement kind, label discrepancies.</t>
  </si>
  <si>
    <t>Parameter_Register</t>
  </si>
  <si>
    <t>Input. Parameters with status, population and source; a readiness check.</t>
  </si>
  <si>
    <t>PK_Exercises</t>
  </si>
  <si>
    <t>Derived. Q1-Q5 and Q7-Q11 with gates, Parameter_Set, mandatory text and flags.</t>
  </si>
  <si>
    <t>PD_Profile</t>
  </si>
  <si>
    <t>Reviewer prompts; Q6 teaching demonstration (switch required; always I_TEACHING_DEMONSTRATION).</t>
  </si>
  <si>
    <t>Temporal_Profile, Biology_Review, Dechallenge_Rechallenge, Alternatives_Followup, Assessment_QC</t>
  </si>
  <si>
    <t>Reviewer layer. Judgments in words, with rationales and sources.</t>
  </si>
  <si>
    <t>Examples</t>
  </si>
  <si>
    <t>Fictional teaching cases EX-C01, EX-C04 and EX-C28 checked against their home chapters.</t>
  </si>
  <si>
    <t>Verification</t>
  </si>
  <si>
    <t>All 25 numeric CALC-SPEC vectors recomputed with PASS/FAIL and an overall status; behavioral vectors V12 and V14 for inspection.</t>
  </si>
  <si>
    <t>Timepoints</t>
  </si>
  <si>
    <t>Derived index of every dated record, with ISO 8601 and display forms; use its Record_ID values on Intervals.</t>
  </si>
  <si>
    <t>Flags_Messages</t>
  </si>
  <si>
    <t>Every E-, W- and I-code with its verbatim message (CALC-SPEC Section 5).</t>
  </si>
  <si>
    <t>Lists</t>
  </si>
  <si>
    <t>Validation lists.</t>
  </si>
  <si>
    <t>Conventions</t>
  </si>
  <si>
    <t>Cells</t>
  </si>
  <si>
    <t>Yellow = input (unlocked). Grey = formula (locked). Blue rows at the bottom of a sheet are reserved and locked: they hold the fictional teaching cases and the verification vectors read by the Examples and Verification sheets. Copy them into the yellow rows with a new Case_ID to experiment.</t>
  </si>
  <si>
    <t>Date precision</t>
  </si>
  <si>
    <t>TIMESTAMP: Date, local Time and UTC offset (choose unknown if it is not recorded; C1 then uses local clock times with W_TZ_UNKNOWN). DATE: Date only, Time left blank (a date is never given a time). MONTH: Year and Month, expanded to the first and last day, leap years respected. YEAR: 1 January to 31 December. RANGE: earliest and latest dates as stated, with the source. A single date is never imputed from bounds.</t>
  </si>
  <si>
    <t>Dates and units</t>
  </si>
  <si>
    <t>Dates are displayed as day month year (10 January 2026); ISO 8601 forms are on Timepoints and Intervals. Units are in the column headers. Only the conversions of CALC-SPEC Section 6 are automatic; weeks, months and years are never converted to days.</t>
  </si>
  <si>
    <t>Precision and display</t>
  </si>
  <si>
    <t>Value columns hold unrounded results (G1). Result_Display columns round per CALC-SPEC Section 7: whole minutes, hours to 1 decimal, whole calendar days, percentages to 3 significant figures, ratios to 2 decimals, mg and mg/m2 to 1 decimal, creatinine clearance in whole mL/minute.</t>
  </si>
  <si>
    <t>E-codes block a result: the row shows the E-code and no number. W-codes are shown with the result. I-codes annotate it. Messages are verbatim from Flags_Messages; no spreadsheet error text is shown (G7).</t>
  </si>
  <si>
    <t>Protection</t>
  </si>
  <si>
    <t>Every sheet is protected without a password (Review &gt; Unprotect Sheet). Filtering is allowed. If you unprotect and change a formula, the Verification sheet no longer documents the workbook you are using.</t>
  </si>
  <si>
    <t>Export a table by copying it or saving the sheet as CSV UTF-8. Free text that starts with =, +, - or @ must be escaped (Export_Safe columns on Alternatives_Followup and Assessment_QC). Check the round trip (V14). Treatment-day numbers and analytical intervals are never written to E2B fields automatically.</t>
  </si>
  <si>
    <t>Implementation decisions (where CALC-SPEC 1.0 or Chapter 23 left a choice)</t>
  </si>
  <si>
    <t>C1 arithmetic</t>
  </si>
  <si>
    <t>Timestamps are converted to whole minutes (date x 1440 + minutes of the day, minus the UTC offset), so intervals are exact integers.</t>
  </si>
  <si>
    <t>C2 on the same date</t>
  </si>
  <si>
    <t>When both records have times, C1 decides the order; if an offset is unknown the row also carries W_TZ_UNKNOWN.</t>
  </si>
  <si>
    <t>C5 selection</t>
  </si>
  <si>
    <t>An administration is eligible when it is at or before the end point: by UTC time when both times and offsets are known, by local time when an offset is unknown, otherwise by date (for a bounded onset, on or before its earliest date). The latest eligible administration is selected.</t>
  </si>
  <si>
    <t>C6 comparison</t>
  </si>
  <si>
    <t>Reported bounds in minutes, hours or days are compared with C1 results (converted to minutes); bounds in calendar days with C2 and C4 results. Weeks, months, years and other pairings are not converted or compared (I_APPROXIMATE_NOT_COMPARED).</t>
  </si>
  <si>
    <t>C7 interventions</t>
  </si>
  <si>
    <t>An INTERVENTION milestone counts when it lies within cessation and recovery inclusive (by time when all three are timed, otherwise by date). CALC-SPEC 1.0 has no code for interventions unknown; the row shows a plain note instead.</t>
  </si>
  <si>
    <t>Q6 switch</t>
  </si>
  <si>
    <t>With the teaching-demonstration switch off, Q6 shows E_APPLICABILITY_UNCONFIRMED, as in the reference implementation.</t>
  </si>
  <si>
    <t>Q9 offsets</t>
  </si>
  <si>
    <t>If any segment or the onset has an unknown offset, local clock times are used and W_TZ_UNKNOWN is shown.</t>
  </si>
  <si>
    <t>Q10 Method B</t>
  </si>
  <si>
    <t>Method B uses the BSA recorded at the FIRST or LAST administration, or a STATED value, chosen by the user.</t>
  </si>
  <si>
    <t>Q7 unit</t>
  </si>
  <si>
    <t>Q7 accepts days only (CALC-SPEC: t_half and t in days).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</si>
</sst>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 mmmm\ yyyy"/>
    <numFmt numFmtId="165" formatCode="hh:mm"/>
  </numFmts>
  <fonts count="14" x14ac:knownFonts="1">
    <font>
      <sz val="11"/>
      <color theme="1"/>
      <name val="Aptos Narrow"/>
      <family val="2"/>
      <scheme val="minor"/>
    </font>
    <font>
      <sz val="10"/>
      <color theme="1"/>
      <name val="Calibri"/>
      <family val="2"/>
    </font>
    <font>
      <b/>
      <sz val="10"/>
      <color theme="1"/>
      <name val="Calibri"/>
      <family val="2"/>
    </font>
    <font>
      <b/>
      <sz val="13"/>
      <color theme="1"/>
      <name val="Calibri"/>
      <family val="2"/>
    </font>
    <font>
      <b/>
      <sz val="10"/>
      <color rgb="FFFFFFFF"/>
      <name val="Calibri"/>
      <family val="2"/>
    </font>
    <font>
      <b/>
      <sz val="13"/>
      <color rgb="FF1F3864"/>
      <name val="Calibri"/>
      <family val="2"/>
    </font>
    <font>
      <i/>
      <sz val="10"/>
      <color theme="1"/>
      <name val="Calibri"/>
      <family val="2"/>
    </font>
    <font>
      <b/>
      <i/>
      <sz val="10"/>
      <color theme="1"/>
      <name val="Calibri"/>
      <family val="2"/>
    </font>
    <font>
      <b/>
      <sz val="14"/>
      <color rgb="FF1F3864"/>
      <name val="Calibri"/>
      <family val="2"/>
    </font>
    <font>
      <b/>
      <sz val="12"/>
      <color theme="1"/>
      <name val="Calibri"/>
      <family val="2"/>
    </font>
    <font>
      <b/>
      <sz val="18"/>
      <color rgb="FF1F3864"/>
      <name val="Calibri"/>
      <family val="2"/>
    </font>
    <font>
      <b/>
      <sz val="13"/>
      <color rgb="FF9C0006"/>
      <name val="Calibri"/>
      <family val="2"/>
    </font>
    <font>
      <b/>
      <sz val="12"/>
      <color rgb="FF1F3864"/>
      <name val="Calibri"/>
      <family val="2"/>
    </font>
    <font>
      <u/>
      <sz val="11"/>
      <color theme="10"/>
      <name val="Aptos Narrow"/>
      <family val="2"/>
      <scheme val="minor"/>
    </font>
  </fonts>
  <fills count="9">
    <fill>
      <patternFill patternType="none"/>
    </fill>
    <fill>
      <patternFill patternType="gray125"/>
    </fill>
    <fill>
      <patternFill patternType="solid">
        <fgColor rgb="FF595959"/>
        <bgColor indexed="64"/>
      </patternFill>
    </fill>
    <fill>
      <patternFill patternType="solid">
        <fgColor rgb="FF1F4E79"/>
        <bgColor indexed="64"/>
      </patternFill>
    </fill>
    <fill>
      <patternFill patternType="solid">
        <fgColor rgb="FFDDEBF7"/>
        <bgColor indexed="64"/>
      </patternFill>
    </fill>
    <fill>
      <patternFill patternType="solid">
        <fgColor rgb="FFFFF2CC"/>
        <bgColor indexed="64"/>
      </patternFill>
    </fill>
    <fill>
      <patternFill patternType="solid">
        <fgColor rgb="FFF2F2F2"/>
        <bgColor indexed="64"/>
      </patternFill>
    </fill>
    <fill>
      <patternFill patternType="solid">
        <fgColor rgb="FFB4C6E7"/>
        <bgColor indexed="64"/>
      </patternFill>
    </fill>
    <fill>
      <patternFill patternType="solid">
        <fgColor rgb="FFFCE4D6"/>
        <bgColor indexed="64"/>
      </patternFill>
    </fill>
  </fills>
  <borders count="1">
    <border>
      <left/>
      <right/>
      <top/>
      <bottom/>
      <diagonal/>
    </border>
  </borders>
  <cellStyleXfs count="2">
    <xf numFmtId="0" fontId="0" fillId="0" borderId="0"/>
    <xf numFmtId="0" fontId="13" fillId="0" borderId="0" applyNumberFormat="0" applyFill="0" applyBorder="0" applyAlignment="0" applyProtection="0"/>
  </cellStyleXfs>
  <cellXfs count="49">
    <xf numFmtId="0" fontId="0" fillId="0" borderId="0" xfId="0"/>
    <xf numFmtId="0" fontId="1" fillId="0" borderId="0" xfId="0" applyFont="1"/>
    <xf numFmtId="0" fontId="2" fillId="0" borderId="0" xfId="0" applyFont="1"/>
    <xf numFmtId="0" fontId="3" fillId="0" borderId="0" xfId="0" applyFont="1"/>
    <xf numFmtId="49" fontId="1" fillId="0" borderId="0" xfId="0" applyNumberFormat="1" applyFont="1"/>
    <xf numFmtId="0" fontId="4" fillId="2" borderId="0" xfId="0" applyFont="1" applyFill="1"/>
    <xf numFmtId="0" fontId="5" fillId="0" borderId="0" xfId="0" applyFont="1"/>
    <xf numFmtId="0" fontId="6" fillId="0" borderId="0" xfId="0" applyFont="1"/>
    <xf numFmtId="0" fontId="4" fillId="3" borderId="0" xfId="0" applyFont="1" applyFill="1" applyAlignment="1">
      <alignment vertical="top" wrapText="1"/>
    </xf>
    <xf numFmtId="49" fontId="1" fillId="4" borderId="0" xfId="0" applyNumberFormat="1" applyFont="1" applyFill="1" applyProtection="1"/>
    <xf numFmtId="49" fontId="1" fillId="5" borderId="0" xfId="0" applyNumberFormat="1" applyFont="1" applyFill="1" applyProtection="1">
      <protection locked="0"/>
    </xf>
    <xf numFmtId="1" fontId="1" fillId="4" borderId="0" xfId="0" applyNumberFormat="1" applyFont="1" applyFill="1" applyProtection="1"/>
    <xf numFmtId="1" fontId="1" fillId="5" borderId="0" xfId="0" applyNumberFormat="1" applyFont="1" applyFill="1" applyProtection="1">
      <protection locked="0"/>
    </xf>
    <xf numFmtId="164" fontId="1" fillId="0" borderId="0" xfId="0" applyNumberFormat="1" applyFont="1"/>
    <xf numFmtId="164" fontId="1" fillId="4" borderId="0" xfId="0" applyNumberFormat="1" applyFont="1" applyFill="1" applyProtection="1"/>
    <xf numFmtId="164" fontId="1" fillId="5" borderId="0" xfId="0" applyNumberFormat="1" applyFont="1" applyFill="1" applyProtection="1">
      <protection locked="0"/>
    </xf>
    <xf numFmtId="0" fontId="1" fillId="4" borderId="0" xfId="0" applyFont="1" applyFill="1" applyProtection="1"/>
    <xf numFmtId="0" fontId="1" fillId="5" borderId="0" xfId="0" applyFont="1" applyFill="1" applyProtection="1">
      <protection locked="0"/>
    </xf>
    <xf numFmtId="0" fontId="4" fillId="2" borderId="0" xfId="0" applyFont="1" applyFill="1" applyAlignment="1">
      <alignment wrapText="1"/>
    </xf>
    <xf numFmtId="0" fontId="4" fillId="2" borderId="0" xfId="0" applyFont="1" applyFill="1" applyAlignment="1">
      <alignment vertical="top" wrapText="1"/>
    </xf>
    <xf numFmtId="0" fontId="1" fillId="6" borderId="0" xfId="0" applyFont="1" applyFill="1"/>
    <xf numFmtId="0" fontId="1" fillId="6" borderId="0" xfId="0" applyFont="1" applyFill="1" applyProtection="1"/>
    <xf numFmtId="1" fontId="1" fillId="6" borderId="0" xfId="0" applyNumberFormat="1" applyFont="1" applyFill="1" applyProtection="1"/>
    <xf numFmtId="49" fontId="1" fillId="7" borderId="0" xfId="0" applyNumberFormat="1" applyFont="1" applyFill="1" applyProtection="1"/>
    <xf numFmtId="49" fontId="7" fillId="7" borderId="0" xfId="0" applyNumberFormat="1" applyFont="1" applyFill="1" applyProtection="1"/>
    <xf numFmtId="165" fontId="1" fillId="4" borderId="0" xfId="0" applyNumberFormat="1" applyFont="1" applyFill="1" applyProtection="1"/>
    <xf numFmtId="165" fontId="1" fillId="5" borderId="0" xfId="0" applyNumberFormat="1" applyFont="1" applyFill="1" applyProtection="1">
      <protection locked="0"/>
    </xf>
    <xf numFmtId="164" fontId="1" fillId="6" borderId="0" xfId="0" applyNumberFormat="1" applyFont="1" applyFill="1"/>
    <xf numFmtId="164" fontId="1" fillId="6" borderId="0" xfId="0" applyNumberFormat="1" applyFont="1" applyFill="1" applyProtection="1"/>
    <xf numFmtId="164" fontId="1" fillId="4" borderId="0" xfId="0" quotePrefix="1" applyNumberFormat="1" applyFont="1" applyFill="1" applyProtection="1"/>
    <xf numFmtId="0" fontId="8" fillId="0" borderId="0" xfId="0" applyFont="1"/>
    <xf numFmtId="0" fontId="1" fillId="0" borderId="0" xfId="0" applyFont="1" applyAlignment="1">
      <alignment wrapText="1"/>
    </xf>
    <xf numFmtId="0" fontId="9" fillId="0" borderId="0" xfId="0" applyFont="1"/>
    <xf numFmtId="15" fontId="1" fillId="0" borderId="0" xfId="0" applyNumberFormat="1" applyFont="1"/>
    <xf numFmtId="11" fontId="1" fillId="0" borderId="0" xfId="0" applyNumberFormat="1" applyFont="1"/>
    <xf numFmtId="0" fontId="1" fillId="0" borderId="0" xfId="0" applyFont="1" applyAlignment="1">
      <alignment vertical="top"/>
    </xf>
    <xf numFmtId="0" fontId="1" fillId="0" borderId="0" xfId="0" applyFont="1" applyAlignment="1">
      <alignment vertical="top" wrapText="1"/>
    </xf>
    <xf numFmtId="0" fontId="1" fillId="0" borderId="0" xfId="0" applyNumberFormat="1" applyFont="1"/>
    <xf numFmtId="0" fontId="2" fillId="0" borderId="0" xfId="0" applyFont="1" applyAlignment="1">
      <alignment vertical="top" wrapText="1"/>
    </xf>
    <xf numFmtId="0" fontId="10" fillId="0" borderId="0" xfId="0" applyFont="1" applyAlignment="1">
      <alignment vertical="top"/>
    </xf>
    <xf numFmtId="0" fontId="3" fillId="0" borderId="0" xfId="0" applyFont="1" applyAlignment="1">
      <alignment vertical="top"/>
    </xf>
    <xf numFmtId="0" fontId="1" fillId="0" borderId="0" xfId="0" applyFont="1" applyAlignment="1">
      <alignment vertical="top" wrapText="1"/>
    </xf>
    <xf numFmtId="0" fontId="11" fillId="8" borderId="0" xfId="0" applyFont="1" applyFill="1" applyAlignment="1">
      <alignment vertical="top"/>
    </xf>
    <xf numFmtId="0" fontId="1" fillId="8" borderId="0" xfId="0" applyFont="1" applyFill="1" applyAlignment="1">
      <alignment vertical="top"/>
    </xf>
    <xf numFmtId="0" fontId="2" fillId="8" borderId="0" xfId="0" applyFont="1" applyFill="1" applyAlignment="1">
      <alignment vertical="top" wrapText="1"/>
    </xf>
    <xf numFmtId="0" fontId="1" fillId="8" borderId="0" xfId="0" applyFont="1" applyFill="1" applyAlignment="1">
      <alignment vertical="top" wrapText="1"/>
    </xf>
    <xf numFmtId="0" fontId="2" fillId="0" borderId="0" xfId="0" applyFont="1" applyAlignment="1">
      <alignment vertical="top"/>
    </xf>
    <xf numFmtId="0" fontId="12" fillId="0" borderId="0" xfId="0" applyFont="1" applyAlignment="1">
      <alignment vertical="top"/>
    </xf>
    <xf numFmtId="0" fontId="13" fillId="0" borderId="0" xfId="1" applyAlignment="1">
      <alignment vertical="top" wrapText="1"/>
    </xf>
  </cellXfs>
  <cellStyles count="2">
    <cellStyle name="Hyperlink" xfId="1" builtinId="8"/>
    <cellStyle name="Normal" xfId="0" builtinId="0"/>
  </cellStyles>
  <dxfs count="6">
    <dxf>
      <fill>
        <patternFill>
          <bgColor rgb="FFFFC7CE"/>
        </patternFill>
      </fill>
    </dxf>
    <dxf>
      <fill>
        <patternFill>
          <bgColor rgb="FFC6EFCE"/>
        </patternFill>
      </fill>
    </dxf>
    <dxf>
      <fill>
        <patternFill>
          <bgColor rgb="FFFFC7CE"/>
        </patternFill>
      </fill>
    </dxf>
    <dxf>
      <fill>
        <patternFill>
          <bgColor rgb="FFC6EFCE"/>
        </patternFill>
      </fill>
    </dxf>
    <dxf>
      <fill>
        <patternFill>
          <bgColor rgb="FFFFC7CE"/>
        </patternFill>
      </fill>
    </dxf>
    <dxf>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github.com/abdu94-hash/tto-companion-tools" TargetMode="External"/></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0E630-FD17-435E-B189-1884004785F9}">
  <sheetPr>
    <pageSetUpPr fitToPage="1"/>
  </sheetPr>
  <dimension ref="B1:C65"/>
  <sheetViews>
    <sheetView tabSelected="1" zoomScale="90" zoomScaleNormal="90" workbookViewId="0"/>
  </sheetViews>
  <sheetFormatPr defaultRowHeight="12.75" x14ac:dyDescent="0.2"/>
  <cols>
    <col min="1" max="1" width="3.7109375" style="1" customWidth="1"/>
    <col min="2" max="2" width="24.7109375" style="1" customWidth="1"/>
    <col min="3" max="3" width="110.7109375" style="1" customWidth="1"/>
    <col min="4" max="16384" width="9.140625" style="1"/>
  </cols>
  <sheetData>
    <row r="1" spans="2:3" ht="23.25" x14ac:dyDescent="0.2">
      <c r="B1" s="39" t="s">
        <v>2020</v>
      </c>
      <c r="C1" s="35"/>
    </row>
    <row r="2" spans="2:3" ht="17.25" x14ac:dyDescent="0.2">
      <c r="B2" s="40" t="s">
        <v>2021</v>
      </c>
      <c r="C2" s="35"/>
    </row>
    <row r="3" spans="2:3" ht="27.95" customHeight="1" x14ac:dyDescent="0.2">
      <c r="B3" s="41" t="s">
        <v>2022</v>
      </c>
      <c r="C3" s="41"/>
    </row>
    <row r="4" spans="2:3" x14ac:dyDescent="0.2">
      <c r="B4" s="35"/>
      <c r="C4" s="35"/>
    </row>
    <row r="5" spans="2:3" ht="17.25" x14ac:dyDescent="0.2">
      <c r="B5" s="42" t="s">
        <v>2023</v>
      </c>
      <c r="C5" s="43"/>
    </row>
    <row r="6" spans="2:3" ht="57.95" customHeight="1" x14ac:dyDescent="0.2">
      <c r="B6" s="44" t="s">
        <v>2024</v>
      </c>
      <c r="C6" s="45"/>
    </row>
    <row r="7" spans="2:3" ht="57.95" customHeight="1" x14ac:dyDescent="0.2">
      <c r="B7" s="44" t="s">
        <v>2025</v>
      </c>
      <c r="C7" s="45"/>
    </row>
    <row r="8" spans="2:3" x14ac:dyDescent="0.2">
      <c r="B8" s="35"/>
      <c r="C8" s="35"/>
    </row>
    <row r="9" spans="2:3" ht="25.5" x14ac:dyDescent="0.2">
      <c r="B9" s="38" t="s">
        <v>1386</v>
      </c>
      <c r="C9" s="36" t="s">
        <v>2026</v>
      </c>
    </row>
    <row r="10" spans="2:3" x14ac:dyDescent="0.2">
      <c r="B10" s="38" t="s">
        <v>2027</v>
      </c>
      <c r="C10" s="36" t="s">
        <v>2028</v>
      </c>
    </row>
    <row r="11" spans="2:3" ht="30" x14ac:dyDescent="0.2">
      <c r="B11" s="38" t="s">
        <v>2029</v>
      </c>
      <c r="C11" s="48" t="s">
        <v>2030</v>
      </c>
    </row>
    <row r="12" spans="2:3" x14ac:dyDescent="0.2">
      <c r="B12" s="46" t="s">
        <v>2031</v>
      </c>
      <c r="C12" s="46" t="str">
        <f>nVER_Overall</f>
        <v>PASS: all 25 numeric vectors reproduce within the JSON tolerance</v>
      </c>
    </row>
    <row r="13" spans="2:3" x14ac:dyDescent="0.2">
      <c r="B13" s="46" t="s">
        <v>2032</v>
      </c>
      <c r="C13" s="46" t="str">
        <f>nEX_Status</f>
        <v>MATCH: all 71 example checks reproduce the home chapters' numbers</v>
      </c>
    </row>
    <row r="14" spans="2:3" ht="25.5" x14ac:dyDescent="0.2">
      <c r="B14" s="38" t="s">
        <v>2033</v>
      </c>
      <c r="C14" s="36" t="s">
        <v>2034</v>
      </c>
    </row>
    <row r="15" spans="2:3" x14ac:dyDescent="0.2">
      <c r="B15" s="35"/>
      <c r="C15" s="35"/>
    </row>
    <row r="16" spans="2:3" ht="15.75" x14ac:dyDescent="0.2">
      <c r="B16" s="47" t="s">
        <v>2035</v>
      </c>
      <c r="C16" s="35"/>
    </row>
    <row r="17" spans="2:3" x14ac:dyDescent="0.2">
      <c r="B17" s="38" t="s">
        <v>2036</v>
      </c>
      <c r="C17" s="36" t="s">
        <v>2037</v>
      </c>
    </row>
    <row r="18" spans="2:3" ht="25.5" x14ac:dyDescent="0.2">
      <c r="B18" s="38" t="s">
        <v>2038</v>
      </c>
      <c r="C18" s="36" t="s">
        <v>2039</v>
      </c>
    </row>
    <row r="19" spans="2:3" x14ac:dyDescent="0.2">
      <c r="B19" s="38" t="s">
        <v>2040</v>
      </c>
      <c r="C19" s="36" t="s">
        <v>2041</v>
      </c>
    </row>
    <row r="20" spans="2:3" ht="38.25" x14ac:dyDescent="0.2">
      <c r="B20" s="38" t="s">
        <v>2042</v>
      </c>
      <c r="C20" s="36" t="s">
        <v>2043</v>
      </c>
    </row>
    <row r="21" spans="2:3" ht="25.5" x14ac:dyDescent="0.2">
      <c r="B21" s="38" t="s">
        <v>2044</v>
      </c>
      <c r="C21" s="36" t="s">
        <v>2045</v>
      </c>
    </row>
    <row r="22" spans="2:3" ht="25.5" x14ac:dyDescent="0.2">
      <c r="B22" s="38" t="s">
        <v>2046</v>
      </c>
      <c r="C22" s="36" t="s">
        <v>2047</v>
      </c>
    </row>
    <row r="23" spans="2:3" ht="25.5" x14ac:dyDescent="0.2">
      <c r="B23" s="38" t="s">
        <v>2048</v>
      </c>
      <c r="C23" s="36" t="s">
        <v>2049</v>
      </c>
    </row>
    <row r="24" spans="2:3" ht="25.5" x14ac:dyDescent="0.2">
      <c r="B24" s="38" t="s">
        <v>2050</v>
      </c>
      <c r="C24" s="36" t="s">
        <v>2051</v>
      </c>
    </row>
    <row r="25" spans="2:3" x14ac:dyDescent="0.2">
      <c r="B25" s="35"/>
      <c r="C25" s="35"/>
    </row>
    <row r="26" spans="2:3" ht="15.75" x14ac:dyDescent="0.2">
      <c r="B26" s="47" t="s">
        <v>2052</v>
      </c>
      <c r="C26" s="35"/>
    </row>
    <row r="27" spans="2:3" x14ac:dyDescent="0.2">
      <c r="B27" s="38" t="s">
        <v>2053</v>
      </c>
      <c r="C27" s="36" t="s">
        <v>2054</v>
      </c>
    </row>
    <row r="28" spans="2:3" x14ac:dyDescent="0.2">
      <c r="B28" s="38" t="s">
        <v>2055</v>
      </c>
      <c r="C28" s="36" t="s">
        <v>2056</v>
      </c>
    </row>
    <row r="29" spans="2:3" x14ac:dyDescent="0.2">
      <c r="B29" s="38" t="s">
        <v>2057</v>
      </c>
      <c r="C29" s="36" t="s">
        <v>2058</v>
      </c>
    </row>
    <row r="30" spans="2:3" x14ac:dyDescent="0.2">
      <c r="B30" s="38" t="s">
        <v>2059</v>
      </c>
      <c r="C30" s="36" t="s">
        <v>2060</v>
      </c>
    </row>
    <row r="31" spans="2:3" x14ac:dyDescent="0.2">
      <c r="B31" s="38" t="s">
        <v>2061</v>
      </c>
      <c r="C31" s="36" t="s">
        <v>2062</v>
      </c>
    </row>
    <row r="32" spans="2:3" x14ac:dyDescent="0.2">
      <c r="B32" s="38" t="s">
        <v>2063</v>
      </c>
      <c r="C32" s="36" t="s">
        <v>2064</v>
      </c>
    </row>
    <row r="33" spans="2:3" x14ac:dyDescent="0.2">
      <c r="B33" s="38" t="s">
        <v>2065</v>
      </c>
      <c r="C33" s="36" t="s">
        <v>2066</v>
      </c>
    </row>
    <row r="34" spans="2:3" x14ac:dyDescent="0.2">
      <c r="B34" s="38" t="s">
        <v>1762</v>
      </c>
      <c r="C34" s="36" t="s">
        <v>2067</v>
      </c>
    </row>
    <row r="35" spans="2:3" x14ac:dyDescent="0.2">
      <c r="B35" s="38" t="s">
        <v>2068</v>
      </c>
      <c r="C35" s="36" t="s">
        <v>2069</v>
      </c>
    </row>
    <row r="36" spans="2:3" x14ac:dyDescent="0.2">
      <c r="B36" s="38" t="s">
        <v>2070</v>
      </c>
      <c r="C36" s="36" t="s">
        <v>2071</v>
      </c>
    </row>
    <row r="37" spans="2:3" x14ac:dyDescent="0.2">
      <c r="B37" s="38" t="s">
        <v>2072</v>
      </c>
      <c r="C37" s="36" t="s">
        <v>2073</v>
      </c>
    </row>
    <row r="38" spans="2:3" x14ac:dyDescent="0.2">
      <c r="B38" s="38" t="s">
        <v>2074</v>
      </c>
      <c r="C38" s="36" t="s">
        <v>2075</v>
      </c>
    </row>
    <row r="39" spans="2:3" ht="63.75" x14ac:dyDescent="0.2">
      <c r="B39" s="38" t="s">
        <v>2076</v>
      </c>
      <c r="C39" s="36" t="s">
        <v>2077</v>
      </c>
    </row>
    <row r="40" spans="2:3" x14ac:dyDescent="0.2">
      <c r="B40" s="38" t="s">
        <v>2078</v>
      </c>
      <c r="C40" s="36" t="s">
        <v>2079</v>
      </c>
    </row>
    <row r="41" spans="2:3" x14ac:dyDescent="0.2">
      <c r="B41" s="38" t="s">
        <v>2080</v>
      </c>
      <c r="C41" s="36" t="s">
        <v>2081</v>
      </c>
    </row>
    <row r="42" spans="2:3" x14ac:dyDescent="0.2">
      <c r="B42" s="38" t="s">
        <v>2082</v>
      </c>
      <c r="C42" s="36" t="s">
        <v>2083</v>
      </c>
    </row>
    <row r="43" spans="2:3" x14ac:dyDescent="0.2">
      <c r="B43" s="38" t="s">
        <v>2084</v>
      </c>
      <c r="C43" s="36" t="s">
        <v>2085</v>
      </c>
    </row>
    <row r="44" spans="2:3" x14ac:dyDescent="0.2">
      <c r="B44" s="38" t="s">
        <v>2086</v>
      </c>
      <c r="C44" s="36" t="s">
        <v>2087</v>
      </c>
    </row>
    <row r="45" spans="2:3" x14ac:dyDescent="0.2">
      <c r="B45" s="35"/>
      <c r="C45" s="35"/>
    </row>
    <row r="46" spans="2:3" ht="15.75" x14ac:dyDescent="0.2">
      <c r="B46" s="47" t="s">
        <v>2088</v>
      </c>
      <c r="C46" s="35"/>
    </row>
    <row r="47" spans="2:3" ht="38.25" x14ac:dyDescent="0.2">
      <c r="B47" s="38" t="s">
        <v>2089</v>
      </c>
      <c r="C47" s="36" t="s">
        <v>2090</v>
      </c>
    </row>
    <row r="48" spans="2:3" ht="51" x14ac:dyDescent="0.2">
      <c r="B48" s="38" t="s">
        <v>2091</v>
      </c>
      <c r="C48" s="36" t="s">
        <v>2092</v>
      </c>
    </row>
    <row r="49" spans="2:3" ht="25.5" x14ac:dyDescent="0.2">
      <c r="B49" s="38" t="s">
        <v>2093</v>
      </c>
      <c r="C49" s="36" t="s">
        <v>2094</v>
      </c>
    </row>
    <row r="50" spans="2:3" ht="38.25" x14ac:dyDescent="0.2">
      <c r="B50" s="38" t="s">
        <v>2095</v>
      </c>
      <c r="C50" s="36" t="s">
        <v>2096</v>
      </c>
    </row>
    <row r="51" spans="2:3" ht="25.5" x14ac:dyDescent="0.2">
      <c r="B51" s="38" t="s">
        <v>1863</v>
      </c>
      <c r="C51" s="36" t="s">
        <v>2097</v>
      </c>
    </row>
    <row r="52" spans="2:3" ht="25.5" x14ac:dyDescent="0.2">
      <c r="B52" s="38" t="s">
        <v>2098</v>
      </c>
      <c r="C52" s="36" t="s">
        <v>2099</v>
      </c>
    </row>
    <row r="53" spans="2:3" ht="38.25" x14ac:dyDescent="0.2">
      <c r="B53" s="38" t="s">
        <v>1800</v>
      </c>
      <c r="C53" s="36" t="s">
        <v>2100</v>
      </c>
    </row>
    <row r="54" spans="2:3" x14ac:dyDescent="0.2">
      <c r="B54" s="35"/>
      <c r="C54" s="35"/>
    </row>
    <row r="55" spans="2:3" ht="15.75" x14ac:dyDescent="0.2">
      <c r="B55" s="47" t="s">
        <v>2101</v>
      </c>
      <c r="C55" s="35"/>
    </row>
    <row r="56" spans="2:3" x14ac:dyDescent="0.2">
      <c r="B56" s="38" t="s">
        <v>2102</v>
      </c>
      <c r="C56" s="36" t="s">
        <v>2103</v>
      </c>
    </row>
    <row r="57" spans="2:3" x14ac:dyDescent="0.2">
      <c r="B57" s="38" t="s">
        <v>2104</v>
      </c>
      <c r="C57" s="36" t="s">
        <v>2105</v>
      </c>
    </row>
    <row r="58" spans="2:3" ht="38.25" x14ac:dyDescent="0.2">
      <c r="B58" s="38" t="s">
        <v>2106</v>
      </c>
      <c r="C58" s="36" t="s">
        <v>2107</v>
      </c>
    </row>
    <row r="59" spans="2:3" ht="25.5" x14ac:dyDescent="0.2">
      <c r="B59" s="38" t="s">
        <v>2108</v>
      </c>
      <c r="C59" s="36" t="s">
        <v>2109</v>
      </c>
    </row>
    <row r="60" spans="2:3" ht="25.5" x14ac:dyDescent="0.2">
      <c r="B60" s="38" t="s">
        <v>2110</v>
      </c>
      <c r="C60" s="36" t="s">
        <v>2111</v>
      </c>
    </row>
    <row r="61" spans="2:3" x14ac:dyDescent="0.2">
      <c r="B61" s="38" t="s">
        <v>2112</v>
      </c>
      <c r="C61" s="36" t="s">
        <v>2113</v>
      </c>
    </row>
    <row r="62" spans="2:3" x14ac:dyDescent="0.2">
      <c r="B62" s="38" t="s">
        <v>2114</v>
      </c>
      <c r="C62" s="36" t="s">
        <v>2115</v>
      </c>
    </row>
    <row r="63" spans="2:3" x14ac:dyDescent="0.2">
      <c r="B63" s="38" t="s">
        <v>2116</v>
      </c>
      <c r="C63" s="36" t="s">
        <v>2117</v>
      </c>
    </row>
    <row r="64" spans="2:3" x14ac:dyDescent="0.2">
      <c r="B64" s="38" t="s">
        <v>2118</v>
      </c>
      <c r="C64" s="36" t="s">
        <v>2119</v>
      </c>
    </row>
    <row r="65" spans="2:3" x14ac:dyDescent="0.2">
      <c r="B65" s="35"/>
      <c r="C65" s="35"/>
    </row>
  </sheetData>
  <sheetProtection sheet="1" objects="1" scenarios="1" formatColumns="0" formatRows="0" autoFilter="0"/>
  <mergeCells count="4">
    <mergeCell ref="B3:C3"/>
    <mergeCell ref="B5:C5"/>
    <mergeCell ref="B6:C6"/>
    <mergeCell ref="B7:C7"/>
  </mergeCells>
  <hyperlinks>
    <hyperlink ref="C11" r:id="rId1" xr:uid="{FD956588-7391-4336-8DCF-5C708FE0407B}"/>
  </hyperlinks>
  <pageMargins left="0.7" right="0.7" top="0.75" bottom="0.75" header="0.3" footer="0.3"/>
  <pageSetup paperSize="257" scale="19" fitToHeight="0" orientation="landscape" horizontalDpi="0" verticalDpi="0" r:id="rId2"/>
  <headerFooter>
    <oddFooter>&amp;LTTO Companion Tools v1.0 (CALC-SPEC 1.0) - educational tool; not validated for regulated use; not a dosing tool; never assigns causality&amp;RPage &amp;P of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C8214-65DB-453E-996A-33F3F30CD600}">
  <dimension ref="A1:M56"/>
  <sheetViews>
    <sheetView zoomScale="90" zoomScaleNormal="90" workbookViewId="0">
      <pane xSplit="2" ySplit="4" topLeftCell="C5" activePane="bottomRight" state="frozenSplit"/>
      <selection pane="topRight" activeCell="C1" sqref="C1"/>
      <selection pane="bottomLeft" activeCell="A5" sqref="A5"/>
      <selection pane="bottomRight"/>
    </sheetView>
  </sheetViews>
  <sheetFormatPr defaultRowHeight="12.75" x14ac:dyDescent="0.2"/>
  <cols>
    <col min="1" max="1" width="11.7109375" style="1" customWidth="1"/>
    <col min="2" max="2" width="8.7109375" style="1" customWidth="1"/>
    <col min="3" max="3" width="15.7109375" style="1" customWidth="1"/>
    <col min="4" max="4" width="24.7109375" style="1" customWidth="1"/>
    <col min="5" max="5" width="14.7109375" style="1" customWidth="1"/>
    <col min="6" max="6" width="15.7109375" style="1" customWidth="1"/>
    <col min="7" max="7" width="10.7109375" style="1" customWidth="1"/>
    <col min="8" max="9" width="50.7109375" style="1" customWidth="1"/>
    <col min="10" max="10" width="12.7109375" style="1" customWidth="1"/>
    <col min="11" max="11" width="6.7109375" style="1" customWidth="1"/>
    <col min="12" max="12" width="14.7109375" style="1" customWidth="1"/>
    <col min="13" max="13" width="40.7109375" style="1" customWidth="1"/>
    <col min="14" max="16384" width="9.140625" style="1"/>
  </cols>
  <sheetData>
    <row r="1" spans="1:13" ht="17.25" x14ac:dyDescent="0.3">
      <c r="A1" s="6" t="s">
        <v>271</v>
      </c>
    </row>
    <row r="2" spans="1:13" x14ac:dyDescent="0.2">
      <c r="A2" s="7" t="s">
        <v>272</v>
      </c>
    </row>
    <row r="3" spans="1:13" x14ac:dyDescent="0.2">
      <c r="A3" s="2" t="s">
        <v>273</v>
      </c>
      <c r="J3" s="2" t="s">
        <v>283</v>
      </c>
    </row>
    <row r="4" spans="1:13" ht="66" customHeight="1" x14ac:dyDescent="0.2">
      <c r="A4" s="8" t="s">
        <v>274</v>
      </c>
      <c r="B4" s="8" t="s">
        <v>275</v>
      </c>
      <c r="C4" s="8" t="s">
        <v>276</v>
      </c>
      <c r="D4" s="8" t="s">
        <v>277</v>
      </c>
      <c r="E4" s="8" t="s">
        <v>278</v>
      </c>
      <c r="F4" s="8" t="s">
        <v>279</v>
      </c>
      <c r="G4" s="8" t="s">
        <v>280</v>
      </c>
      <c r="H4" s="8" t="s">
        <v>281</v>
      </c>
      <c r="I4" s="8" t="s">
        <v>282</v>
      </c>
      <c r="J4" s="19" t="s">
        <v>284</v>
      </c>
      <c r="K4" s="19" t="s">
        <v>285</v>
      </c>
      <c r="L4" s="19" t="s">
        <v>286</v>
      </c>
      <c r="M4" s="19" t="s">
        <v>287</v>
      </c>
    </row>
    <row r="5" spans="1:13" x14ac:dyDescent="0.2">
      <c r="A5" s="10"/>
      <c r="B5" s="12"/>
      <c r="C5" s="15"/>
      <c r="D5" s="10"/>
      <c r="E5" s="10"/>
      <c r="F5" s="15"/>
      <c r="G5" s="17"/>
      <c r="H5" s="10"/>
      <c r="I5" s="10"/>
      <c r="J5" s="21" t="str">
        <f t="shared" ref="J5:J24" si="0">IF(A5="","",A5&amp;"|"&amp;B5)</f>
        <v/>
      </c>
      <c r="K5" s="22">
        <f>IF(J5="",0,COUNTIF(nCASE_Key,J5))</f>
        <v>0</v>
      </c>
      <c r="L5" s="21" t="str">
        <f t="shared" ref="L5:L24" si="1">IF(J5="","",IF(B5="","E_MISSING_INPUT",IF(K5&gt;1,"E_DUPLICATE_ID","")))</f>
        <v/>
      </c>
      <c r="M5" s="21" t="str">
        <f>IF(L5="","",L5&amp;": "&amp;SUBSTITUTE(IFERROR(INDEX(nMSG_Text,MATCH(L5,nMSG_Code,0)),""),"[input]","a Case_Version"))</f>
        <v/>
      </c>
    </row>
    <row r="6" spans="1:13" x14ac:dyDescent="0.2">
      <c r="A6" s="10"/>
      <c r="B6" s="12"/>
      <c r="C6" s="15"/>
      <c r="D6" s="10"/>
      <c r="E6" s="10"/>
      <c r="F6" s="15"/>
      <c r="G6" s="17"/>
      <c r="H6" s="10"/>
      <c r="I6" s="10"/>
      <c r="J6" s="21" t="str">
        <f t="shared" si="0"/>
        <v/>
      </c>
      <c r="K6" s="22">
        <f>IF(J6="",0,COUNTIF(nCASE_Key,J6))</f>
        <v>0</v>
      </c>
      <c r="L6" s="21" t="str">
        <f t="shared" si="1"/>
        <v/>
      </c>
      <c r="M6" s="21" t="str">
        <f>IF(L6="","",L6&amp;": "&amp;SUBSTITUTE(IFERROR(INDEX(nMSG_Text,MATCH(L6,nMSG_Code,0)),""),"[input]","a Case_Version"))</f>
        <v/>
      </c>
    </row>
    <row r="7" spans="1:13" x14ac:dyDescent="0.2">
      <c r="A7" s="10"/>
      <c r="B7" s="12"/>
      <c r="C7" s="15"/>
      <c r="D7" s="10"/>
      <c r="E7" s="10"/>
      <c r="F7" s="15"/>
      <c r="G7" s="17"/>
      <c r="H7" s="10"/>
      <c r="I7" s="10"/>
      <c r="J7" s="21" t="str">
        <f t="shared" si="0"/>
        <v/>
      </c>
      <c r="K7" s="22">
        <f>IF(J7="",0,COUNTIF(nCASE_Key,J7))</f>
        <v>0</v>
      </c>
      <c r="L7" s="21" t="str">
        <f t="shared" si="1"/>
        <v/>
      </c>
      <c r="M7" s="21" t="str">
        <f>IF(L7="","",L7&amp;": "&amp;SUBSTITUTE(IFERROR(INDEX(nMSG_Text,MATCH(L7,nMSG_Code,0)),""),"[input]","a Case_Version"))</f>
        <v/>
      </c>
    </row>
    <row r="8" spans="1:13" x14ac:dyDescent="0.2">
      <c r="A8" s="10"/>
      <c r="B8" s="12"/>
      <c r="C8" s="15"/>
      <c r="D8" s="10"/>
      <c r="E8" s="10"/>
      <c r="F8" s="15"/>
      <c r="G8" s="17"/>
      <c r="H8" s="10"/>
      <c r="I8" s="10"/>
      <c r="J8" s="21" t="str">
        <f t="shared" si="0"/>
        <v/>
      </c>
      <c r="K8" s="22">
        <f>IF(J8="",0,COUNTIF(nCASE_Key,J8))</f>
        <v>0</v>
      </c>
      <c r="L8" s="21" t="str">
        <f t="shared" si="1"/>
        <v/>
      </c>
      <c r="M8" s="21" t="str">
        <f>IF(L8="","",L8&amp;": "&amp;SUBSTITUTE(IFERROR(INDEX(nMSG_Text,MATCH(L8,nMSG_Code,0)),""),"[input]","a Case_Version"))</f>
        <v/>
      </c>
    </row>
    <row r="9" spans="1:13" x14ac:dyDescent="0.2">
      <c r="A9" s="10"/>
      <c r="B9" s="12"/>
      <c r="C9" s="15"/>
      <c r="D9" s="10"/>
      <c r="E9" s="10"/>
      <c r="F9" s="15"/>
      <c r="G9" s="17"/>
      <c r="H9" s="10"/>
      <c r="I9" s="10"/>
      <c r="J9" s="21" t="str">
        <f t="shared" si="0"/>
        <v/>
      </c>
      <c r="K9" s="22">
        <f>IF(J9="",0,COUNTIF(nCASE_Key,J9))</f>
        <v>0</v>
      </c>
      <c r="L9" s="21" t="str">
        <f t="shared" si="1"/>
        <v/>
      </c>
      <c r="M9" s="21" t="str">
        <f>IF(L9="","",L9&amp;": "&amp;SUBSTITUTE(IFERROR(INDEX(nMSG_Text,MATCH(L9,nMSG_Code,0)),""),"[input]","a Case_Version"))</f>
        <v/>
      </c>
    </row>
    <row r="10" spans="1:13" x14ac:dyDescent="0.2">
      <c r="A10" s="10"/>
      <c r="B10" s="12"/>
      <c r="C10" s="15"/>
      <c r="D10" s="10"/>
      <c r="E10" s="10"/>
      <c r="F10" s="15"/>
      <c r="G10" s="17"/>
      <c r="H10" s="10"/>
      <c r="I10" s="10"/>
      <c r="J10" s="21" t="str">
        <f t="shared" si="0"/>
        <v/>
      </c>
      <c r="K10" s="22">
        <f>IF(J10="",0,COUNTIF(nCASE_Key,J10))</f>
        <v>0</v>
      </c>
      <c r="L10" s="21" t="str">
        <f t="shared" si="1"/>
        <v/>
      </c>
      <c r="M10" s="21" t="str">
        <f>IF(L10="","",L10&amp;": "&amp;SUBSTITUTE(IFERROR(INDEX(nMSG_Text,MATCH(L10,nMSG_Code,0)),""),"[input]","a Case_Version"))</f>
        <v/>
      </c>
    </row>
    <row r="11" spans="1:13" x14ac:dyDescent="0.2">
      <c r="A11" s="10"/>
      <c r="B11" s="12"/>
      <c r="C11" s="15"/>
      <c r="D11" s="10"/>
      <c r="E11" s="10"/>
      <c r="F11" s="15"/>
      <c r="G11" s="17"/>
      <c r="H11" s="10"/>
      <c r="I11" s="10"/>
      <c r="J11" s="21" t="str">
        <f t="shared" si="0"/>
        <v/>
      </c>
      <c r="K11" s="22">
        <f>IF(J11="",0,COUNTIF(nCASE_Key,J11))</f>
        <v>0</v>
      </c>
      <c r="L11" s="21" t="str">
        <f t="shared" si="1"/>
        <v/>
      </c>
      <c r="M11" s="21" t="str">
        <f>IF(L11="","",L11&amp;": "&amp;SUBSTITUTE(IFERROR(INDEX(nMSG_Text,MATCH(L11,nMSG_Code,0)),""),"[input]","a Case_Version"))</f>
        <v/>
      </c>
    </row>
    <row r="12" spans="1:13" x14ac:dyDescent="0.2">
      <c r="A12" s="10"/>
      <c r="B12" s="12"/>
      <c r="C12" s="15"/>
      <c r="D12" s="10"/>
      <c r="E12" s="10"/>
      <c r="F12" s="15"/>
      <c r="G12" s="17"/>
      <c r="H12" s="10"/>
      <c r="I12" s="10"/>
      <c r="J12" s="21" t="str">
        <f t="shared" si="0"/>
        <v/>
      </c>
      <c r="K12" s="22">
        <f>IF(J12="",0,COUNTIF(nCASE_Key,J12))</f>
        <v>0</v>
      </c>
      <c r="L12" s="21" t="str">
        <f t="shared" si="1"/>
        <v/>
      </c>
      <c r="M12" s="21" t="str">
        <f>IF(L12="","",L12&amp;": "&amp;SUBSTITUTE(IFERROR(INDEX(nMSG_Text,MATCH(L12,nMSG_Code,0)),""),"[input]","a Case_Version"))</f>
        <v/>
      </c>
    </row>
    <row r="13" spans="1:13" x14ac:dyDescent="0.2">
      <c r="A13" s="10"/>
      <c r="B13" s="12"/>
      <c r="C13" s="15"/>
      <c r="D13" s="10"/>
      <c r="E13" s="10"/>
      <c r="F13" s="15"/>
      <c r="G13" s="17"/>
      <c r="H13" s="10"/>
      <c r="I13" s="10"/>
      <c r="J13" s="21" t="str">
        <f t="shared" si="0"/>
        <v/>
      </c>
      <c r="K13" s="22">
        <f>IF(J13="",0,COUNTIF(nCASE_Key,J13))</f>
        <v>0</v>
      </c>
      <c r="L13" s="21" t="str">
        <f t="shared" si="1"/>
        <v/>
      </c>
      <c r="M13" s="21" t="str">
        <f>IF(L13="","",L13&amp;": "&amp;SUBSTITUTE(IFERROR(INDEX(nMSG_Text,MATCH(L13,nMSG_Code,0)),""),"[input]","a Case_Version"))</f>
        <v/>
      </c>
    </row>
    <row r="14" spans="1:13" x14ac:dyDescent="0.2">
      <c r="A14" s="10"/>
      <c r="B14" s="12"/>
      <c r="C14" s="15"/>
      <c r="D14" s="10"/>
      <c r="E14" s="10"/>
      <c r="F14" s="15"/>
      <c r="G14" s="17"/>
      <c r="H14" s="10"/>
      <c r="I14" s="10"/>
      <c r="J14" s="21" t="str">
        <f t="shared" si="0"/>
        <v/>
      </c>
      <c r="K14" s="22">
        <f>IF(J14="",0,COUNTIF(nCASE_Key,J14))</f>
        <v>0</v>
      </c>
      <c r="L14" s="21" t="str">
        <f t="shared" si="1"/>
        <v/>
      </c>
      <c r="M14" s="21" t="str">
        <f>IF(L14="","",L14&amp;": "&amp;SUBSTITUTE(IFERROR(INDEX(nMSG_Text,MATCH(L14,nMSG_Code,0)),""),"[input]","a Case_Version"))</f>
        <v/>
      </c>
    </row>
    <row r="15" spans="1:13" x14ac:dyDescent="0.2">
      <c r="A15" s="10"/>
      <c r="B15" s="12"/>
      <c r="C15" s="15"/>
      <c r="D15" s="10"/>
      <c r="E15" s="10"/>
      <c r="F15" s="15"/>
      <c r="G15" s="17"/>
      <c r="H15" s="10"/>
      <c r="I15" s="10"/>
      <c r="J15" s="21" t="str">
        <f t="shared" si="0"/>
        <v/>
      </c>
      <c r="K15" s="22">
        <f>IF(J15="",0,COUNTIF(nCASE_Key,J15))</f>
        <v>0</v>
      </c>
      <c r="L15" s="21" t="str">
        <f t="shared" si="1"/>
        <v/>
      </c>
      <c r="M15" s="21" t="str">
        <f>IF(L15="","",L15&amp;": "&amp;SUBSTITUTE(IFERROR(INDEX(nMSG_Text,MATCH(L15,nMSG_Code,0)),""),"[input]","a Case_Version"))</f>
        <v/>
      </c>
    </row>
    <row r="16" spans="1:13" x14ac:dyDescent="0.2">
      <c r="A16" s="10"/>
      <c r="B16" s="12"/>
      <c r="C16" s="15"/>
      <c r="D16" s="10"/>
      <c r="E16" s="10"/>
      <c r="F16" s="15"/>
      <c r="G16" s="17"/>
      <c r="H16" s="10"/>
      <c r="I16" s="10"/>
      <c r="J16" s="21" t="str">
        <f t="shared" si="0"/>
        <v/>
      </c>
      <c r="K16" s="22">
        <f>IF(J16="",0,COUNTIF(nCASE_Key,J16))</f>
        <v>0</v>
      </c>
      <c r="L16" s="21" t="str">
        <f t="shared" si="1"/>
        <v/>
      </c>
      <c r="M16" s="21" t="str">
        <f>IF(L16="","",L16&amp;": "&amp;SUBSTITUTE(IFERROR(INDEX(nMSG_Text,MATCH(L16,nMSG_Code,0)),""),"[input]","a Case_Version"))</f>
        <v/>
      </c>
    </row>
    <row r="17" spans="1:13" x14ac:dyDescent="0.2">
      <c r="A17" s="10"/>
      <c r="B17" s="12"/>
      <c r="C17" s="15"/>
      <c r="D17" s="10"/>
      <c r="E17" s="10"/>
      <c r="F17" s="15"/>
      <c r="G17" s="17"/>
      <c r="H17" s="10"/>
      <c r="I17" s="10"/>
      <c r="J17" s="21" t="str">
        <f t="shared" si="0"/>
        <v/>
      </c>
      <c r="K17" s="22">
        <f>IF(J17="",0,COUNTIF(nCASE_Key,J17))</f>
        <v>0</v>
      </c>
      <c r="L17" s="21" t="str">
        <f t="shared" si="1"/>
        <v/>
      </c>
      <c r="M17" s="21" t="str">
        <f>IF(L17="","",L17&amp;": "&amp;SUBSTITUTE(IFERROR(INDEX(nMSG_Text,MATCH(L17,nMSG_Code,0)),""),"[input]","a Case_Version"))</f>
        <v/>
      </c>
    </row>
    <row r="18" spans="1:13" x14ac:dyDescent="0.2">
      <c r="A18" s="10"/>
      <c r="B18" s="12"/>
      <c r="C18" s="15"/>
      <c r="D18" s="10"/>
      <c r="E18" s="10"/>
      <c r="F18" s="15"/>
      <c r="G18" s="17"/>
      <c r="H18" s="10"/>
      <c r="I18" s="10"/>
      <c r="J18" s="21" t="str">
        <f t="shared" si="0"/>
        <v/>
      </c>
      <c r="K18" s="22">
        <f>IF(J18="",0,COUNTIF(nCASE_Key,J18))</f>
        <v>0</v>
      </c>
      <c r="L18" s="21" t="str">
        <f t="shared" si="1"/>
        <v/>
      </c>
      <c r="M18" s="21" t="str">
        <f>IF(L18="","",L18&amp;": "&amp;SUBSTITUTE(IFERROR(INDEX(nMSG_Text,MATCH(L18,nMSG_Code,0)),""),"[input]","a Case_Version"))</f>
        <v/>
      </c>
    </row>
    <row r="19" spans="1:13" x14ac:dyDescent="0.2">
      <c r="A19" s="10"/>
      <c r="B19" s="12"/>
      <c r="C19" s="15"/>
      <c r="D19" s="10"/>
      <c r="E19" s="10"/>
      <c r="F19" s="15"/>
      <c r="G19" s="17"/>
      <c r="H19" s="10"/>
      <c r="I19" s="10"/>
      <c r="J19" s="21" t="str">
        <f t="shared" si="0"/>
        <v/>
      </c>
      <c r="K19" s="22">
        <f>IF(J19="",0,COUNTIF(nCASE_Key,J19))</f>
        <v>0</v>
      </c>
      <c r="L19" s="21" t="str">
        <f t="shared" si="1"/>
        <v/>
      </c>
      <c r="M19" s="21" t="str">
        <f>IF(L19="","",L19&amp;": "&amp;SUBSTITUTE(IFERROR(INDEX(nMSG_Text,MATCH(L19,nMSG_Code,0)),""),"[input]","a Case_Version"))</f>
        <v/>
      </c>
    </row>
    <row r="20" spans="1:13" x14ac:dyDescent="0.2">
      <c r="A20" s="10"/>
      <c r="B20" s="12"/>
      <c r="C20" s="15"/>
      <c r="D20" s="10"/>
      <c r="E20" s="10"/>
      <c r="F20" s="15"/>
      <c r="G20" s="17"/>
      <c r="H20" s="10"/>
      <c r="I20" s="10"/>
      <c r="J20" s="21" t="str">
        <f t="shared" si="0"/>
        <v/>
      </c>
      <c r="K20" s="22">
        <f>IF(J20="",0,COUNTIF(nCASE_Key,J20))</f>
        <v>0</v>
      </c>
      <c r="L20" s="21" t="str">
        <f t="shared" si="1"/>
        <v/>
      </c>
      <c r="M20" s="21" t="str">
        <f>IF(L20="","",L20&amp;": "&amp;SUBSTITUTE(IFERROR(INDEX(nMSG_Text,MATCH(L20,nMSG_Code,0)),""),"[input]","a Case_Version"))</f>
        <v/>
      </c>
    </row>
    <row r="21" spans="1:13" x14ac:dyDescent="0.2">
      <c r="A21" s="10"/>
      <c r="B21" s="12"/>
      <c r="C21" s="15"/>
      <c r="D21" s="10"/>
      <c r="E21" s="10"/>
      <c r="F21" s="15"/>
      <c r="G21" s="17"/>
      <c r="H21" s="10"/>
      <c r="I21" s="10"/>
      <c r="J21" s="21" t="str">
        <f t="shared" si="0"/>
        <v/>
      </c>
      <c r="K21" s="22">
        <f>IF(J21="",0,COUNTIF(nCASE_Key,J21))</f>
        <v>0</v>
      </c>
      <c r="L21" s="21" t="str">
        <f t="shared" si="1"/>
        <v/>
      </c>
      <c r="M21" s="21" t="str">
        <f>IF(L21="","",L21&amp;": "&amp;SUBSTITUTE(IFERROR(INDEX(nMSG_Text,MATCH(L21,nMSG_Code,0)),""),"[input]","a Case_Version"))</f>
        <v/>
      </c>
    </row>
    <row r="22" spans="1:13" x14ac:dyDescent="0.2">
      <c r="A22" s="10"/>
      <c r="B22" s="12"/>
      <c r="C22" s="15"/>
      <c r="D22" s="10"/>
      <c r="E22" s="10"/>
      <c r="F22" s="15"/>
      <c r="G22" s="17"/>
      <c r="H22" s="10"/>
      <c r="I22" s="10"/>
      <c r="J22" s="21" t="str">
        <f t="shared" si="0"/>
        <v/>
      </c>
      <c r="K22" s="22">
        <f>IF(J22="",0,COUNTIF(nCASE_Key,J22))</f>
        <v>0</v>
      </c>
      <c r="L22" s="21" t="str">
        <f t="shared" si="1"/>
        <v/>
      </c>
      <c r="M22" s="21" t="str">
        <f>IF(L22="","",L22&amp;": "&amp;SUBSTITUTE(IFERROR(INDEX(nMSG_Text,MATCH(L22,nMSG_Code,0)),""),"[input]","a Case_Version"))</f>
        <v/>
      </c>
    </row>
    <row r="23" spans="1:13" x14ac:dyDescent="0.2">
      <c r="A23" s="10"/>
      <c r="B23" s="12"/>
      <c r="C23" s="15"/>
      <c r="D23" s="10"/>
      <c r="E23" s="10"/>
      <c r="F23" s="15"/>
      <c r="G23" s="17"/>
      <c r="H23" s="10"/>
      <c r="I23" s="10"/>
      <c r="J23" s="21" t="str">
        <f t="shared" si="0"/>
        <v/>
      </c>
      <c r="K23" s="22">
        <f>IF(J23="",0,COUNTIF(nCASE_Key,J23))</f>
        <v>0</v>
      </c>
      <c r="L23" s="21" t="str">
        <f t="shared" si="1"/>
        <v/>
      </c>
      <c r="M23" s="21" t="str">
        <f>IF(L23="","",L23&amp;": "&amp;SUBSTITUTE(IFERROR(INDEX(nMSG_Text,MATCH(L23,nMSG_Code,0)),""),"[input]","a Case_Version"))</f>
        <v/>
      </c>
    </row>
    <row r="24" spans="1:13" x14ac:dyDescent="0.2">
      <c r="A24" s="10"/>
      <c r="B24" s="12"/>
      <c r="C24" s="15"/>
      <c r="D24" s="10"/>
      <c r="E24" s="10"/>
      <c r="F24" s="15"/>
      <c r="G24" s="17"/>
      <c r="H24" s="10"/>
      <c r="I24" s="10"/>
      <c r="J24" s="21" t="str">
        <f t="shared" si="0"/>
        <v/>
      </c>
      <c r="K24" s="22">
        <f>IF(J24="",0,COUNTIF(nCASE_Key,J24))</f>
        <v>0</v>
      </c>
      <c r="L24" s="21" t="str">
        <f t="shared" si="1"/>
        <v/>
      </c>
      <c r="M24" s="21" t="str">
        <f>IF(L24="","",L24&amp;": "&amp;SUBSTITUTE(IFERROR(INDEX(nMSG_Text,MATCH(L24,nMSG_Code,0)),""),"[input]","a Case_Version"))</f>
        <v/>
      </c>
    </row>
    <row r="25" spans="1:13" x14ac:dyDescent="0.2">
      <c r="A25" s="24" t="s">
        <v>288</v>
      </c>
      <c r="B25" s="23"/>
      <c r="C25" s="23"/>
      <c r="D25" s="23"/>
      <c r="E25" s="23"/>
      <c r="F25" s="23"/>
      <c r="G25" s="23"/>
      <c r="H25" s="23"/>
      <c r="I25" s="23"/>
      <c r="J25" s="23"/>
      <c r="K25" s="23"/>
      <c r="L25" s="23"/>
      <c r="M25" s="23"/>
    </row>
    <row r="26" spans="1:13" x14ac:dyDescent="0.2">
      <c r="A26" s="9" t="s">
        <v>291</v>
      </c>
      <c r="B26" s="11">
        <v>2</v>
      </c>
      <c r="C26" s="14">
        <v>46036</v>
      </c>
      <c r="D26" s="9" t="s">
        <v>292</v>
      </c>
      <c r="E26" s="9"/>
      <c r="F26" s="14"/>
      <c r="G26" s="16" t="s">
        <v>83</v>
      </c>
      <c r="H26" s="9" t="s">
        <v>293</v>
      </c>
      <c r="I26" s="9" t="s">
        <v>290</v>
      </c>
      <c r="J26" s="21" t="str">
        <f t="shared" ref="J26:J28" si="2">IF(A26="","",A26&amp;"|"&amp;B26)</f>
        <v>EX-C01|2</v>
      </c>
      <c r="K26" s="22">
        <f>IF(J26="",0,COUNTIF(nCASE_Key,J26))</f>
        <v>1</v>
      </c>
      <c r="L26" s="21" t="str">
        <f t="shared" ref="L26:L28" si="3">IF(J26="","",IF(B26="","E_MISSING_INPUT",IF(K26&gt;1,"E_DUPLICATE_ID","")))</f>
        <v/>
      </c>
      <c r="M26" s="21" t="str">
        <f>IF(L26="","",L26&amp;": "&amp;SUBSTITUTE(IFERROR(INDEX(nMSG_Text,MATCH(L26,nMSG_Code,0)),""),"[input]","a Case_Version"))</f>
        <v/>
      </c>
    </row>
    <row r="27" spans="1:13" x14ac:dyDescent="0.2">
      <c r="A27" s="9" t="s">
        <v>295</v>
      </c>
      <c r="B27" s="11">
        <v>2</v>
      </c>
      <c r="C27" s="14">
        <v>46223</v>
      </c>
      <c r="D27" s="9" t="s">
        <v>296</v>
      </c>
      <c r="E27" s="9"/>
      <c r="F27" s="14"/>
      <c r="G27" s="16" t="s">
        <v>83</v>
      </c>
      <c r="H27" s="9" t="s">
        <v>297</v>
      </c>
      <c r="I27" s="9" t="s">
        <v>294</v>
      </c>
      <c r="J27" s="21" t="str">
        <f t="shared" si="2"/>
        <v>EX-C04|2</v>
      </c>
      <c r="K27" s="22">
        <f>IF(J27="",0,COUNTIF(nCASE_Key,J27))</f>
        <v>1</v>
      </c>
      <c r="L27" s="21" t="str">
        <f t="shared" si="3"/>
        <v/>
      </c>
      <c r="M27" s="21" t="str">
        <f>IF(L27="","",L27&amp;": "&amp;SUBSTITUTE(IFERROR(INDEX(nMSG_Text,MATCH(L27,nMSG_Code,0)),""),"[input]","a Case_Version"))</f>
        <v/>
      </c>
    </row>
    <row r="28" spans="1:13" x14ac:dyDescent="0.2">
      <c r="A28" s="9" t="s">
        <v>299</v>
      </c>
      <c r="B28" s="11">
        <v>2</v>
      </c>
      <c r="C28" s="14">
        <v>46188</v>
      </c>
      <c r="D28" s="9" t="s">
        <v>300</v>
      </c>
      <c r="E28" s="9"/>
      <c r="F28" s="14"/>
      <c r="G28" s="16" t="s">
        <v>83</v>
      </c>
      <c r="H28" s="9" t="s">
        <v>301</v>
      </c>
      <c r="I28" s="9" t="s">
        <v>298</v>
      </c>
      <c r="J28" s="21" t="str">
        <f t="shared" si="2"/>
        <v>EX-C28|2</v>
      </c>
      <c r="K28" s="22">
        <f>IF(J28="",0,COUNTIF(nCASE_Key,J28))</f>
        <v>1</v>
      </c>
      <c r="L28" s="21" t="str">
        <f t="shared" si="3"/>
        <v/>
      </c>
      <c r="M28" s="21" t="str">
        <f>IF(L28="","",L28&amp;": "&amp;SUBSTITUTE(IFERROR(INDEX(nMSG_Text,MATCH(L28,nMSG_Code,0)),""),"[input]","a Case_Version"))</f>
        <v/>
      </c>
    </row>
    <row r="29" spans="1:13" x14ac:dyDescent="0.2">
      <c r="A29" s="24" t="s">
        <v>289</v>
      </c>
      <c r="B29" s="23"/>
      <c r="C29" s="23"/>
      <c r="D29" s="23"/>
      <c r="E29" s="23"/>
      <c r="F29" s="23"/>
      <c r="G29" s="23"/>
      <c r="H29" s="23"/>
      <c r="I29" s="23"/>
      <c r="J29" s="23"/>
      <c r="K29" s="23"/>
      <c r="L29" s="23"/>
      <c r="M29" s="23"/>
    </row>
    <row r="30" spans="1:13" x14ac:dyDescent="0.2">
      <c r="A30" s="9" t="s">
        <v>302</v>
      </c>
      <c r="B30" s="11">
        <v>1</v>
      </c>
      <c r="C30" s="14"/>
      <c r="D30" s="9"/>
      <c r="E30" s="9"/>
      <c r="F30" s="14"/>
      <c r="G30" s="16" t="s">
        <v>83</v>
      </c>
      <c r="H30" s="9" t="s">
        <v>303</v>
      </c>
      <c r="I30" s="9" t="s">
        <v>304</v>
      </c>
      <c r="J30" s="21" t="str">
        <f t="shared" ref="J30:J56" si="4">IF(A30="","",A30&amp;"|"&amp;B30)</f>
        <v>VEC-V01|1</v>
      </c>
      <c r="K30" s="22">
        <f>IF(J30="",0,COUNTIF(nCASE_Key,J30))</f>
        <v>1</v>
      </c>
      <c r="L30" s="21" t="str">
        <f t="shared" ref="L30:L56" si="5">IF(J30="","",IF(B30="","E_MISSING_INPUT",IF(K30&gt;1,"E_DUPLICATE_ID","")))</f>
        <v/>
      </c>
      <c r="M30" s="21" t="str">
        <f>IF(L30="","",L30&amp;": "&amp;SUBSTITUTE(IFERROR(INDEX(nMSG_Text,MATCH(L30,nMSG_Code,0)),""),"[input]","a Case_Version"))</f>
        <v/>
      </c>
    </row>
    <row r="31" spans="1:13" x14ac:dyDescent="0.2">
      <c r="A31" s="9" t="s">
        <v>305</v>
      </c>
      <c r="B31" s="11">
        <v>1</v>
      </c>
      <c r="C31" s="14"/>
      <c r="D31" s="9"/>
      <c r="E31" s="9"/>
      <c r="F31" s="14"/>
      <c r="G31" s="16" t="s">
        <v>83</v>
      </c>
      <c r="H31" s="9" t="s">
        <v>306</v>
      </c>
      <c r="I31" s="9" t="s">
        <v>304</v>
      </c>
      <c r="J31" s="21" t="str">
        <f t="shared" si="4"/>
        <v>VEC-V02|1</v>
      </c>
      <c r="K31" s="22">
        <f>IF(J31="",0,COUNTIF(nCASE_Key,J31))</f>
        <v>1</v>
      </c>
      <c r="L31" s="21" t="str">
        <f t="shared" si="5"/>
        <v/>
      </c>
      <c r="M31" s="21" t="str">
        <f>IF(L31="","",L31&amp;": "&amp;SUBSTITUTE(IFERROR(INDEX(nMSG_Text,MATCH(L31,nMSG_Code,0)),""),"[input]","a Case_Version"))</f>
        <v/>
      </c>
    </row>
    <row r="32" spans="1:13" x14ac:dyDescent="0.2">
      <c r="A32" s="9" t="s">
        <v>307</v>
      </c>
      <c r="B32" s="11">
        <v>1</v>
      </c>
      <c r="C32" s="14"/>
      <c r="D32" s="9"/>
      <c r="E32" s="9"/>
      <c r="F32" s="14"/>
      <c r="G32" s="16" t="s">
        <v>83</v>
      </c>
      <c r="H32" s="9" t="s">
        <v>308</v>
      </c>
      <c r="I32" s="9" t="s">
        <v>304</v>
      </c>
      <c r="J32" s="21" t="str">
        <f t="shared" si="4"/>
        <v>VEC-V03|1</v>
      </c>
      <c r="K32" s="22">
        <f>IF(J32="",0,COUNTIF(nCASE_Key,J32))</f>
        <v>1</v>
      </c>
      <c r="L32" s="21" t="str">
        <f t="shared" si="5"/>
        <v/>
      </c>
      <c r="M32" s="21" t="str">
        <f>IF(L32="","",L32&amp;": "&amp;SUBSTITUTE(IFERROR(INDEX(nMSG_Text,MATCH(L32,nMSG_Code,0)),""),"[input]","a Case_Version"))</f>
        <v/>
      </c>
    </row>
    <row r="33" spans="1:13" x14ac:dyDescent="0.2">
      <c r="A33" s="9" t="s">
        <v>309</v>
      </c>
      <c r="B33" s="11">
        <v>1</v>
      </c>
      <c r="C33" s="14"/>
      <c r="D33" s="9"/>
      <c r="E33" s="9"/>
      <c r="F33" s="14"/>
      <c r="G33" s="16" t="s">
        <v>83</v>
      </c>
      <c r="H33" s="9" t="s">
        <v>310</v>
      </c>
      <c r="I33" s="9" t="s">
        <v>304</v>
      </c>
      <c r="J33" s="21" t="str">
        <f t="shared" si="4"/>
        <v>VEC-V04|1</v>
      </c>
      <c r="K33" s="22">
        <f>IF(J33="",0,COUNTIF(nCASE_Key,J33))</f>
        <v>1</v>
      </c>
      <c r="L33" s="21" t="str">
        <f t="shared" si="5"/>
        <v/>
      </c>
      <c r="M33" s="21" t="str">
        <f>IF(L33="","",L33&amp;": "&amp;SUBSTITUTE(IFERROR(INDEX(nMSG_Text,MATCH(L33,nMSG_Code,0)),""),"[input]","a Case_Version"))</f>
        <v/>
      </c>
    </row>
    <row r="34" spans="1:13" x14ac:dyDescent="0.2">
      <c r="A34" s="9" t="s">
        <v>311</v>
      </c>
      <c r="B34" s="11">
        <v>1</v>
      </c>
      <c r="C34" s="14"/>
      <c r="D34" s="9"/>
      <c r="E34" s="9"/>
      <c r="F34" s="14"/>
      <c r="G34" s="16" t="s">
        <v>83</v>
      </c>
      <c r="H34" s="9" t="s">
        <v>312</v>
      </c>
      <c r="I34" s="9" t="s">
        <v>304</v>
      </c>
      <c r="J34" s="21" t="str">
        <f t="shared" si="4"/>
        <v>VEC-V05|1</v>
      </c>
      <c r="K34" s="22">
        <f>IF(J34="",0,COUNTIF(nCASE_Key,J34))</f>
        <v>1</v>
      </c>
      <c r="L34" s="21" t="str">
        <f t="shared" si="5"/>
        <v/>
      </c>
      <c r="M34" s="21" t="str">
        <f>IF(L34="","",L34&amp;": "&amp;SUBSTITUTE(IFERROR(INDEX(nMSG_Text,MATCH(L34,nMSG_Code,0)),""),"[input]","a Case_Version"))</f>
        <v/>
      </c>
    </row>
    <row r="35" spans="1:13" x14ac:dyDescent="0.2">
      <c r="A35" s="9" t="s">
        <v>313</v>
      </c>
      <c r="B35" s="11">
        <v>1</v>
      </c>
      <c r="C35" s="14"/>
      <c r="D35" s="9"/>
      <c r="E35" s="9"/>
      <c r="F35" s="14"/>
      <c r="G35" s="16" t="s">
        <v>83</v>
      </c>
      <c r="H35" s="9" t="s">
        <v>314</v>
      </c>
      <c r="I35" s="9" t="s">
        <v>304</v>
      </c>
      <c r="J35" s="21" t="str">
        <f t="shared" si="4"/>
        <v>VEC-V06|1</v>
      </c>
      <c r="K35" s="22">
        <f>IF(J35="",0,COUNTIF(nCASE_Key,J35))</f>
        <v>1</v>
      </c>
      <c r="L35" s="21" t="str">
        <f t="shared" si="5"/>
        <v/>
      </c>
      <c r="M35" s="21" t="str">
        <f>IF(L35="","",L35&amp;": "&amp;SUBSTITUTE(IFERROR(INDEX(nMSG_Text,MATCH(L35,nMSG_Code,0)),""),"[input]","a Case_Version"))</f>
        <v/>
      </c>
    </row>
    <row r="36" spans="1:13" x14ac:dyDescent="0.2">
      <c r="A36" s="9" t="s">
        <v>315</v>
      </c>
      <c r="B36" s="11">
        <v>1</v>
      </c>
      <c r="C36" s="14"/>
      <c r="D36" s="9"/>
      <c r="E36" s="9"/>
      <c r="F36" s="14"/>
      <c r="G36" s="16" t="s">
        <v>83</v>
      </c>
      <c r="H36" s="9" t="s">
        <v>316</v>
      </c>
      <c r="I36" s="9" t="s">
        <v>304</v>
      </c>
      <c r="J36" s="21" t="str">
        <f t="shared" si="4"/>
        <v>VEC-V07|1</v>
      </c>
      <c r="K36" s="22">
        <f>IF(J36="",0,COUNTIF(nCASE_Key,J36))</f>
        <v>1</v>
      </c>
      <c r="L36" s="21" t="str">
        <f t="shared" si="5"/>
        <v/>
      </c>
      <c r="M36" s="21" t="str">
        <f>IF(L36="","",L36&amp;": "&amp;SUBSTITUTE(IFERROR(INDEX(nMSG_Text,MATCH(L36,nMSG_Code,0)),""),"[input]","a Case_Version"))</f>
        <v/>
      </c>
    </row>
    <row r="37" spans="1:13" x14ac:dyDescent="0.2">
      <c r="A37" s="9" t="s">
        <v>317</v>
      </c>
      <c r="B37" s="11">
        <v>1</v>
      </c>
      <c r="C37" s="14"/>
      <c r="D37" s="9"/>
      <c r="E37" s="9"/>
      <c r="F37" s="14"/>
      <c r="G37" s="16" t="s">
        <v>83</v>
      </c>
      <c r="H37" s="9" t="s">
        <v>318</v>
      </c>
      <c r="I37" s="9" t="s">
        <v>304</v>
      </c>
      <c r="J37" s="21" t="str">
        <f t="shared" si="4"/>
        <v>VEC-V08|1</v>
      </c>
      <c r="K37" s="22">
        <f>IF(J37="",0,COUNTIF(nCASE_Key,J37))</f>
        <v>1</v>
      </c>
      <c r="L37" s="21" t="str">
        <f t="shared" si="5"/>
        <v/>
      </c>
      <c r="M37" s="21" t="str">
        <f>IF(L37="","",L37&amp;": "&amp;SUBSTITUTE(IFERROR(INDEX(nMSG_Text,MATCH(L37,nMSG_Code,0)),""),"[input]","a Case_Version"))</f>
        <v/>
      </c>
    </row>
    <row r="38" spans="1:13" x14ac:dyDescent="0.2">
      <c r="A38" s="9" t="s">
        <v>319</v>
      </c>
      <c r="B38" s="11">
        <v>1</v>
      </c>
      <c r="C38" s="14"/>
      <c r="D38" s="9"/>
      <c r="E38" s="9"/>
      <c r="F38" s="14"/>
      <c r="G38" s="16" t="s">
        <v>83</v>
      </c>
      <c r="H38" s="9" t="s">
        <v>320</v>
      </c>
      <c r="I38" s="9" t="s">
        <v>304</v>
      </c>
      <c r="J38" s="21" t="str">
        <f t="shared" si="4"/>
        <v>VEC-V09|1</v>
      </c>
      <c r="K38" s="22">
        <f>IF(J38="",0,COUNTIF(nCASE_Key,J38))</f>
        <v>1</v>
      </c>
      <c r="L38" s="21" t="str">
        <f t="shared" si="5"/>
        <v/>
      </c>
      <c r="M38" s="21" t="str">
        <f>IF(L38="","",L38&amp;": "&amp;SUBSTITUTE(IFERROR(INDEX(nMSG_Text,MATCH(L38,nMSG_Code,0)),""),"[input]","a Case_Version"))</f>
        <v/>
      </c>
    </row>
    <row r="39" spans="1:13" x14ac:dyDescent="0.2">
      <c r="A39" s="9" t="s">
        <v>321</v>
      </c>
      <c r="B39" s="11">
        <v>1</v>
      </c>
      <c r="C39" s="14"/>
      <c r="D39" s="9"/>
      <c r="E39" s="9"/>
      <c r="F39" s="14"/>
      <c r="G39" s="16" t="s">
        <v>83</v>
      </c>
      <c r="H39" s="9" t="s">
        <v>322</v>
      </c>
      <c r="I39" s="9" t="s">
        <v>304</v>
      </c>
      <c r="J39" s="21" t="str">
        <f t="shared" si="4"/>
        <v>VEC-V10|1</v>
      </c>
      <c r="K39" s="22">
        <f>IF(J39="",0,COUNTIF(nCASE_Key,J39))</f>
        <v>1</v>
      </c>
      <c r="L39" s="21" t="str">
        <f t="shared" si="5"/>
        <v/>
      </c>
      <c r="M39" s="21" t="str">
        <f>IF(L39="","",L39&amp;": "&amp;SUBSTITUTE(IFERROR(INDEX(nMSG_Text,MATCH(L39,nMSG_Code,0)),""),"[input]","a Case_Version"))</f>
        <v/>
      </c>
    </row>
    <row r="40" spans="1:13" x14ac:dyDescent="0.2">
      <c r="A40" s="9" t="s">
        <v>323</v>
      </c>
      <c r="B40" s="11">
        <v>1</v>
      </c>
      <c r="C40" s="14"/>
      <c r="D40" s="9"/>
      <c r="E40" s="9"/>
      <c r="F40" s="14"/>
      <c r="G40" s="16" t="s">
        <v>83</v>
      </c>
      <c r="H40" s="9" t="s">
        <v>324</v>
      </c>
      <c r="I40" s="9" t="s">
        <v>304</v>
      </c>
      <c r="J40" s="21" t="str">
        <f t="shared" si="4"/>
        <v>VEC-V11|1</v>
      </c>
      <c r="K40" s="22">
        <f>IF(J40="",0,COUNTIF(nCASE_Key,J40))</f>
        <v>1</v>
      </c>
      <c r="L40" s="21" t="str">
        <f t="shared" si="5"/>
        <v/>
      </c>
      <c r="M40" s="21" t="str">
        <f>IF(L40="","",L40&amp;": "&amp;SUBSTITUTE(IFERROR(INDEX(nMSG_Text,MATCH(L40,nMSG_Code,0)),""),"[input]","a Case_Version"))</f>
        <v/>
      </c>
    </row>
    <row r="41" spans="1:13" x14ac:dyDescent="0.2">
      <c r="A41" s="9" t="s">
        <v>325</v>
      </c>
      <c r="B41" s="11">
        <v>1</v>
      </c>
      <c r="C41" s="14"/>
      <c r="D41" s="9"/>
      <c r="E41" s="9"/>
      <c r="F41" s="14"/>
      <c r="G41" s="16" t="s">
        <v>83</v>
      </c>
      <c r="H41" s="9" t="s">
        <v>326</v>
      </c>
      <c r="I41" s="9" t="s">
        <v>304</v>
      </c>
      <c r="J41" s="21" t="str">
        <f t="shared" si="4"/>
        <v>VEC-V12|1</v>
      </c>
      <c r="K41" s="22">
        <f>IF(J41="",0,COUNTIF(nCASE_Key,J41))</f>
        <v>1</v>
      </c>
      <c r="L41" s="21" t="str">
        <f t="shared" si="5"/>
        <v/>
      </c>
      <c r="M41" s="21" t="str">
        <f>IF(L41="","",L41&amp;": "&amp;SUBSTITUTE(IFERROR(INDEX(nMSG_Text,MATCH(L41,nMSG_Code,0)),""),"[input]","a Case_Version"))</f>
        <v/>
      </c>
    </row>
    <row r="42" spans="1:13" x14ac:dyDescent="0.2">
      <c r="A42" s="9" t="s">
        <v>325</v>
      </c>
      <c r="B42" s="11">
        <v>2</v>
      </c>
      <c r="C42" s="14"/>
      <c r="D42" s="9"/>
      <c r="E42" s="9"/>
      <c r="F42" s="14"/>
      <c r="G42" s="16" t="s">
        <v>83</v>
      </c>
      <c r="H42" s="9" t="s">
        <v>327</v>
      </c>
      <c r="I42" s="9" t="s">
        <v>328</v>
      </c>
      <c r="J42" s="21" t="str">
        <f t="shared" si="4"/>
        <v>VEC-V12|2</v>
      </c>
      <c r="K42" s="22">
        <f>IF(J42="",0,COUNTIF(nCASE_Key,J42))</f>
        <v>1</v>
      </c>
      <c r="L42" s="21" t="str">
        <f t="shared" si="5"/>
        <v/>
      </c>
      <c r="M42" s="21" t="str">
        <f>IF(L42="","",L42&amp;": "&amp;SUBSTITUTE(IFERROR(INDEX(nMSG_Text,MATCH(L42,nMSG_Code,0)),""),"[input]","a Case_Version"))</f>
        <v/>
      </c>
    </row>
    <row r="43" spans="1:13" x14ac:dyDescent="0.2">
      <c r="A43" s="9" t="s">
        <v>329</v>
      </c>
      <c r="B43" s="11">
        <v>1</v>
      </c>
      <c r="C43" s="14"/>
      <c r="D43" s="9"/>
      <c r="E43" s="9"/>
      <c r="F43" s="14"/>
      <c r="G43" s="16" t="s">
        <v>83</v>
      </c>
      <c r="H43" s="9" t="s">
        <v>330</v>
      </c>
      <c r="I43" s="9" t="s">
        <v>304</v>
      </c>
      <c r="J43" s="21" t="str">
        <f t="shared" si="4"/>
        <v>VEC-V13|1</v>
      </c>
      <c r="K43" s="22">
        <f>IF(J43="",0,COUNTIF(nCASE_Key,J43))</f>
        <v>1</v>
      </c>
      <c r="L43" s="21" t="str">
        <f t="shared" si="5"/>
        <v/>
      </c>
      <c r="M43" s="21" t="str">
        <f>IF(L43="","",L43&amp;": "&amp;SUBSTITUTE(IFERROR(INDEX(nMSG_Text,MATCH(L43,nMSG_Code,0)),""),"[input]","a Case_Version"))</f>
        <v/>
      </c>
    </row>
    <row r="44" spans="1:13" x14ac:dyDescent="0.2">
      <c r="A44" s="9" t="s">
        <v>331</v>
      </c>
      <c r="B44" s="11">
        <v>1</v>
      </c>
      <c r="C44" s="14"/>
      <c r="D44" s="9"/>
      <c r="E44" s="9"/>
      <c r="F44" s="14"/>
      <c r="G44" s="16" t="s">
        <v>83</v>
      </c>
      <c r="H44" s="9" t="s">
        <v>332</v>
      </c>
      <c r="I44" s="9" t="s">
        <v>304</v>
      </c>
      <c r="J44" s="21" t="str">
        <f t="shared" si="4"/>
        <v>VEC-V15|1</v>
      </c>
      <c r="K44" s="22">
        <f>IF(J44="",0,COUNTIF(nCASE_Key,J44))</f>
        <v>1</v>
      </c>
      <c r="L44" s="21" t="str">
        <f t="shared" si="5"/>
        <v/>
      </c>
      <c r="M44" s="21" t="str">
        <f>IF(L44="","",L44&amp;": "&amp;SUBSTITUTE(IFERROR(INDEX(nMSG_Text,MATCH(L44,nMSG_Code,0)),""),"[input]","a Case_Version"))</f>
        <v/>
      </c>
    </row>
    <row r="45" spans="1:13" x14ac:dyDescent="0.2">
      <c r="A45" s="9" t="s">
        <v>333</v>
      </c>
      <c r="B45" s="11">
        <v>1</v>
      </c>
      <c r="C45" s="14"/>
      <c r="D45" s="9"/>
      <c r="E45" s="9"/>
      <c r="F45" s="14"/>
      <c r="G45" s="16" t="s">
        <v>83</v>
      </c>
      <c r="H45" s="9" t="s">
        <v>334</v>
      </c>
      <c r="I45" s="9" t="s">
        <v>304</v>
      </c>
      <c r="J45" s="21" t="str">
        <f t="shared" si="4"/>
        <v>VEC-V16|1</v>
      </c>
      <c r="K45" s="22">
        <f>IF(J45="",0,COUNTIF(nCASE_Key,J45))</f>
        <v>1</v>
      </c>
      <c r="L45" s="21" t="str">
        <f t="shared" si="5"/>
        <v/>
      </c>
      <c r="M45" s="21" t="str">
        <f>IF(L45="","",L45&amp;": "&amp;SUBSTITUTE(IFERROR(INDEX(nMSG_Text,MATCH(L45,nMSG_Code,0)),""),"[input]","a Case_Version"))</f>
        <v/>
      </c>
    </row>
    <row r="46" spans="1:13" x14ac:dyDescent="0.2">
      <c r="A46" s="9" t="s">
        <v>335</v>
      </c>
      <c r="B46" s="11">
        <v>1</v>
      </c>
      <c r="C46" s="14"/>
      <c r="D46" s="9"/>
      <c r="E46" s="9"/>
      <c r="F46" s="14"/>
      <c r="G46" s="16" t="s">
        <v>83</v>
      </c>
      <c r="H46" s="9" t="s">
        <v>336</v>
      </c>
      <c r="I46" s="9" t="s">
        <v>304</v>
      </c>
      <c r="J46" s="21" t="str">
        <f t="shared" si="4"/>
        <v>VEC-V17|1</v>
      </c>
      <c r="K46" s="22">
        <f>IF(J46="",0,COUNTIF(nCASE_Key,J46))</f>
        <v>1</v>
      </c>
      <c r="L46" s="21" t="str">
        <f t="shared" si="5"/>
        <v/>
      </c>
      <c r="M46" s="21" t="str">
        <f>IF(L46="","",L46&amp;": "&amp;SUBSTITUTE(IFERROR(INDEX(nMSG_Text,MATCH(L46,nMSG_Code,0)),""),"[input]","a Case_Version"))</f>
        <v/>
      </c>
    </row>
    <row r="47" spans="1:13" x14ac:dyDescent="0.2">
      <c r="A47" s="9" t="s">
        <v>337</v>
      </c>
      <c r="B47" s="11">
        <v>1</v>
      </c>
      <c r="C47" s="14"/>
      <c r="D47" s="9"/>
      <c r="E47" s="9"/>
      <c r="F47" s="14"/>
      <c r="G47" s="16" t="s">
        <v>83</v>
      </c>
      <c r="H47" s="9" t="s">
        <v>338</v>
      </c>
      <c r="I47" s="9" t="s">
        <v>304</v>
      </c>
      <c r="J47" s="21" t="str">
        <f t="shared" si="4"/>
        <v>VEC-V18|1</v>
      </c>
      <c r="K47" s="22">
        <f>IF(J47="",0,COUNTIF(nCASE_Key,J47))</f>
        <v>1</v>
      </c>
      <c r="L47" s="21" t="str">
        <f t="shared" si="5"/>
        <v/>
      </c>
      <c r="M47" s="21" t="str">
        <f>IF(L47="","",L47&amp;": "&amp;SUBSTITUTE(IFERROR(INDEX(nMSG_Text,MATCH(L47,nMSG_Code,0)),""),"[input]","a Case_Version"))</f>
        <v/>
      </c>
    </row>
    <row r="48" spans="1:13" x14ac:dyDescent="0.2">
      <c r="A48" s="9" t="s">
        <v>339</v>
      </c>
      <c r="B48" s="11">
        <v>1</v>
      </c>
      <c r="C48" s="14"/>
      <c r="D48" s="9"/>
      <c r="E48" s="9"/>
      <c r="F48" s="14"/>
      <c r="G48" s="16" t="s">
        <v>83</v>
      </c>
      <c r="H48" s="9" t="s">
        <v>340</v>
      </c>
      <c r="I48" s="9" t="s">
        <v>304</v>
      </c>
      <c r="J48" s="21" t="str">
        <f t="shared" si="4"/>
        <v>VEC-V19|1</v>
      </c>
      <c r="K48" s="22">
        <f>IF(J48="",0,COUNTIF(nCASE_Key,J48))</f>
        <v>1</v>
      </c>
      <c r="L48" s="21" t="str">
        <f t="shared" si="5"/>
        <v/>
      </c>
      <c r="M48" s="21" t="str">
        <f>IF(L48="","",L48&amp;": "&amp;SUBSTITUTE(IFERROR(INDEX(nMSG_Text,MATCH(L48,nMSG_Code,0)),""),"[input]","a Case_Version"))</f>
        <v/>
      </c>
    </row>
    <row r="49" spans="1:13" x14ac:dyDescent="0.2">
      <c r="A49" s="9" t="s">
        <v>341</v>
      </c>
      <c r="B49" s="11">
        <v>1</v>
      </c>
      <c r="C49" s="14"/>
      <c r="D49" s="9"/>
      <c r="E49" s="9"/>
      <c r="F49" s="14"/>
      <c r="G49" s="16" t="s">
        <v>83</v>
      </c>
      <c r="H49" s="9" t="s">
        <v>342</v>
      </c>
      <c r="I49" s="9" t="s">
        <v>304</v>
      </c>
      <c r="J49" s="21" t="str">
        <f t="shared" si="4"/>
        <v>VEC-V20|1</v>
      </c>
      <c r="K49" s="22">
        <f>IF(J49="",0,COUNTIF(nCASE_Key,J49))</f>
        <v>1</v>
      </c>
      <c r="L49" s="21" t="str">
        <f t="shared" si="5"/>
        <v/>
      </c>
      <c r="M49" s="21" t="str">
        <f>IF(L49="","",L49&amp;": "&amp;SUBSTITUTE(IFERROR(INDEX(nMSG_Text,MATCH(L49,nMSG_Code,0)),""),"[input]","a Case_Version"))</f>
        <v/>
      </c>
    </row>
    <row r="50" spans="1:13" x14ac:dyDescent="0.2">
      <c r="A50" s="9" t="s">
        <v>343</v>
      </c>
      <c r="B50" s="11">
        <v>1</v>
      </c>
      <c r="C50" s="14"/>
      <c r="D50" s="9"/>
      <c r="E50" s="9"/>
      <c r="F50" s="14"/>
      <c r="G50" s="16" t="s">
        <v>83</v>
      </c>
      <c r="H50" s="9" t="s">
        <v>344</v>
      </c>
      <c r="I50" s="9" t="s">
        <v>304</v>
      </c>
      <c r="J50" s="21" t="str">
        <f t="shared" si="4"/>
        <v>VEC-V21|1</v>
      </c>
      <c r="K50" s="22">
        <f>IF(J50="",0,COUNTIF(nCASE_Key,J50))</f>
        <v>1</v>
      </c>
      <c r="L50" s="21" t="str">
        <f t="shared" si="5"/>
        <v/>
      </c>
      <c r="M50" s="21" t="str">
        <f>IF(L50="","",L50&amp;": "&amp;SUBSTITUTE(IFERROR(INDEX(nMSG_Text,MATCH(L50,nMSG_Code,0)),""),"[input]","a Case_Version"))</f>
        <v/>
      </c>
    </row>
    <row r="51" spans="1:13" x14ac:dyDescent="0.2">
      <c r="A51" s="9" t="s">
        <v>345</v>
      </c>
      <c r="B51" s="11">
        <v>1</v>
      </c>
      <c r="C51" s="14"/>
      <c r="D51" s="9"/>
      <c r="E51" s="9"/>
      <c r="F51" s="14"/>
      <c r="G51" s="16" t="s">
        <v>83</v>
      </c>
      <c r="H51" s="9" t="s">
        <v>346</v>
      </c>
      <c r="I51" s="9" t="s">
        <v>304</v>
      </c>
      <c r="J51" s="21" t="str">
        <f t="shared" si="4"/>
        <v>VEC-V22|1</v>
      </c>
      <c r="K51" s="22">
        <f>IF(J51="",0,COUNTIF(nCASE_Key,J51))</f>
        <v>1</v>
      </c>
      <c r="L51" s="21" t="str">
        <f t="shared" si="5"/>
        <v/>
      </c>
      <c r="M51" s="21" t="str">
        <f>IF(L51="","",L51&amp;": "&amp;SUBSTITUTE(IFERROR(INDEX(nMSG_Text,MATCH(L51,nMSG_Code,0)),""),"[input]","a Case_Version"))</f>
        <v/>
      </c>
    </row>
    <row r="52" spans="1:13" x14ac:dyDescent="0.2">
      <c r="A52" s="9" t="s">
        <v>347</v>
      </c>
      <c r="B52" s="11">
        <v>1</v>
      </c>
      <c r="C52" s="14"/>
      <c r="D52" s="9"/>
      <c r="E52" s="9"/>
      <c r="F52" s="14"/>
      <c r="G52" s="16" t="s">
        <v>83</v>
      </c>
      <c r="H52" s="9" t="s">
        <v>348</v>
      </c>
      <c r="I52" s="9" t="s">
        <v>304</v>
      </c>
      <c r="J52" s="21" t="str">
        <f t="shared" si="4"/>
        <v>VEC-V23|1</v>
      </c>
      <c r="K52" s="22">
        <f>IF(J52="",0,COUNTIF(nCASE_Key,J52))</f>
        <v>1</v>
      </c>
      <c r="L52" s="21" t="str">
        <f t="shared" si="5"/>
        <v/>
      </c>
      <c r="M52" s="21" t="str">
        <f>IF(L52="","",L52&amp;": "&amp;SUBSTITUTE(IFERROR(INDEX(nMSG_Text,MATCH(L52,nMSG_Code,0)),""),"[input]","a Case_Version"))</f>
        <v/>
      </c>
    </row>
    <row r="53" spans="1:13" x14ac:dyDescent="0.2">
      <c r="A53" s="9" t="s">
        <v>349</v>
      </c>
      <c r="B53" s="11">
        <v>1</v>
      </c>
      <c r="C53" s="14"/>
      <c r="D53" s="9"/>
      <c r="E53" s="9"/>
      <c r="F53" s="14"/>
      <c r="G53" s="16" t="s">
        <v>83</v>
      </c>
      <c r="H53" s="9" t="s">
        <v>350</v>
      </c>
      <c r="I53" s="9" t="s">
        <v>304</v>
      </c>
      <c r="J53" s="21" t="str">
        <f t="shared" si="4"/>
        <v>VEC-V24|1</v>
      </c>
      <c r="K53" s="22">
        <f>IF(J53="",0,COUNTIF(nCASE_Key,J53))</f>
        <v>1</v>
      </c>
      <c r="L53" s="21" t="str">
        <f t="shared" si="5"/>
        <v/>
      </c>
      <c r="M53" s="21" t="str">
        <f>IF(L53="","",L53&amp;": "&amp;SUBSTITUTE(IFERROR(INDEX(nMSG_Text,MATCH(L53,nMSG_Code,0)),""),"[input]","a Case_Version"))</f>
        <v/>
      </c>
    </row>
    <row r="54" spans="1:13" x14ac:dyDescent="0.2">
      <c r="A54" s="9" t="s">
        <v>351</v>
      </c>
      <c r="B54" s="11">
        <v>1</v>
      </c>
      <c r="C54" s="14"/>
      <c r="D54" s="9"/>
      <c r="E54" s="9"/>
      <c r="F54" s="14"/>
      <c r="G54" s="16" t="s">
        <v>83</v>
      </c>
      <c r="H54" s="9" t="s">
        <v>352</v>
      </c>
      <c r="I54" s="9" t="s">
        <v>304</v>
      </c>
      <c r="J54" s="21" t="str">
        <f t="shared" si="4"/>
        <v>VEC-V25|1</v>
      </c>
      <c r="K54" s="22">
        <f>IF(J54="",0,COUNTIF(nCASE_Key,J54))</f>
        <v>1</v>
      </c>
      <c r="L54" s="21" t="str">
        <f t="shared" si="5"/>
        <v/>
      </c>
      <c r="M54" s="21" t="str">
        <f>IF(L54="","",L54&amp;": "&amp;SUBSTITUTE(IFERROR(INDEX(nMSG_Text,MATCH(L54,nMSG_Code,0)),""),"[input]","a Case_Version"))</f>
        <v/>
      </c>
    </row>
    <row r="55" spans="1:13" x14ac:dyDescent="0.2">
      <c r="A55" s="9" t="s">
        <v>353</v>
      </c>
      <c r="B55" s="11">
        <v>1</v>
      </c>
      <c r="C55" s="14"/>
      <c r="D55" s="9"/>
      <c r="E55" s="9"/>
      <c r="F55" s="14"/>
      <c r="G55" s="16" t="s">
        <v>83</v>
      </c>
      <c r="H55" s="9" t="s">
        <v>354</v>
      </c>
      <c r="I55" s="9" t="s">
        <v>304</v>
      </c>
      <c r="J55" s="21" t="str">
        <f t="shared" si="4"/>
        <v>VEC-V26|1</v>
      </c>
      <c r="K55" s="22">
        <f>IF(J55="",0,COUNTIF(nCASE_Key,J55))</f>
        <v>1</v>
      </c>
      <c r="L55" s="21" t="str">
        <f t="shared" si="5"/>
        <v/>
      </c>
      <c r="M55" s="21" t="str">
        <f>IF(L55="","",L55&amp;": "&amp;SUBSTITUTE(IFERROR(INDEX(nMSG_Text,MATCH(L55,nMSG_Code,0)),""),"[input]","a Case_Version"))</f>
        <v/>
      </c>
    </row>
    <row r="56" spans="1:13" x14ac:dyDescent="0.2">
      <c r="A56" s="9" t="s">
        <v>355</v>
      </c>
      <c r="B56" s="11">
        <v>1</v>
      </c>
      <c r="C56" s="14"/>
      <c r="D56" s="9"/>
      <c r="E56" s="9"/>
      <c r="F56" s="14"/>
      <c r="G56" s="16" t="s">
        <v>83</v>
      </c>
      <c r="H56" s="9" t="s">
        <v>356</v>
      </c>
      <c r="I56" s="9" t="s">
        <v>304</v>
      </c>
      <c r="J56" s="21" t="str">
        <f t="shared" si="4"/>
        <v>VEC-V27|1</v>
      </c>
      <c r="K56" s="22">
        <f>IF(J56="",0,COUNTIF(nCASE_Key,J56))</f>
        <v>1</v>
      </c>
      <c r="L56" s="21" t="str">
        <f t="shared" si="5"/>
        <v/>
      </c>
      <c r="M56" s="21" t="str">
        <f>IF(L56="","",L56&amp;": "&amp;SUBSTITUTE(IFERROR(INDEX(nMSG_Text,MATCH(L56,nMSG_Code,0)),""),"[input]","a Case_Version"))</f>
        <v/>
      </c>
    </row>
  </sheetData>
  <sheetProtection sheet="1" objects="1" scenarios="1" formatColumns="0" formatRows="0" autoFilter="0"/>
  <autoFilter ref="A4:M56" xr:uid="{8ECC8214-65DB-453E-996A-33F3F30CD600}"/>
  <dataValidations count="3">
    <dataValidation type="whole" operator="greaterThanOrEqual" allowBlank="1" showInputMessage="1" showErrorMessage="1" sqref="B5:B24" xr:uid="{C649378B-9E6C-4871-B4B2-4028864E8517}">
      <formula1>1</formula1>
    </dataValidation>
    <dataValidation type="date" allowBlank="1" showInputMessage="1" showErrorMessage="1" sqref="C5:C24 F5:F24" xr:uid="{A241D67E-1E4B-4705-8D06-69D9B2EC0633}">
      <formula1>1</formula1>
      <formula2>2958465</formula2>
    </dataValidation>
    <dataValidation type="list" allowBlank="1" showInputMessage="1" showErrorMessage="1" sqref="G5:G24" xr:uid="{D04193DC-143F-49DC-9BFC-E2D08406C229}">
      <formula1>nLIST_YesNo</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54527E-959D-433B-B4C4-3E466E5815B9}">
  <dimension ref="A1:BO67"/>
  <sheetViews>
    <sheetView zoomScale="90" zoomScaleNormal="90" workbookViewId="0">
      <pane xSplit="4" ySplit="4" topLeftCell="E5" activePane="bottomRight" state="frozenSplit"/>
      <selection pane="topRight" activeCell="E1" sqref="E1"/>
      <selection pane="bottomLeft" activeCell="A5" sqref="A5"/>
      <selection pane="bottomRight"/>
    </sheetView>
  </sheetViews>
  <sheetFormatPr defaultRowHeight="12.75" x14ac:dyDescent="0.2"/>
  <cols>
    <col min="1" max="1" width="10.7109375" style="1" customWidth="1"/>
    <col min="2" max="2" width="7.7109375" style="1" customWidth="1"/>
    <col min="3" max="4" width="11.7109375" style="1" customWidth="1"/>
    <col min="5" max="5" width="24.7109375" style="1" customWidth="1"/>
    <col min="6" max="6" width="12.7109375" style="1" customWidth="1"/>
    <col min="7" max="7" width="14.7109375" style="1" customWidth="1"/>
    <col min="8" max="8" width="8.7109375" style="1" customWidth="1"/>
    <col min="9" max="9" width="10.7109375" style="1" customWidth="1"/>
    <col min="10" max="10" width="26.7109375" style="1" customWidth="1"/>
    <col min="11" max="11" width="12.7109375" style="1" customWidth="1"/>
    <col min="12" max="12" width="22.7109375" style="1" customWidth="1"/>
    <col min="13" max="13" width="26.7109375" style="1" customWidth="1"/>
    <col min="14" max="14" width="11.7109375" style="1" customWidth="1"/>
    <col min="15" max="15" width="15.7109375" style="1" customWidth="1"/>
    <col min="16" max="17" width="9.7109375" style="1" customWidth="1"/>
    <col min="18" max="19" width="7.7109375" style="1" customWidth="1"/>
    <col min="20" max="21" width="15.7109375" style="1" customWidth="1"/>
    <col min="22" max="22" width="22.7109375" style="1" customWidth="1"/>
    <col min="23" max="23" width="12.7109375" style="1" customWidth="1"/>
    <col min="24" max="25" width="6.7109375" style="1" customWidth="1"/>
    <col min="26" max="27" width="14.7109375" style="1" customWidth="1"/>
    <col min="28" max="29" width="11.7109375" style="1" customWidth="1"/>
    <col min="30" max="30" width="26.7109375" style="1" customWidth="1"/>
    <col min="31" max="31" width="11.7109375" style="1" customWidth="1"/>
    <col min="32" max="32" width="15.7109375" style="1" customWidth="1"/>
    <col min="33" max="34" width="9.7109375" style="1" customWidth="1"/>
    <col min="35" max="36" width="7.7109375" style="1" customWidth="1"/>
    <col min="37" max="38" width="15.7109375" style="1" customWidth="1"/>
    <col min="39" max="39" width="22.7109375" style="1" customWidth="1"/>
    <col min="40" max="40" width="12.7109375" style="1" customWidth="1"/>
    <col min="41" max="42" width="6.7109375" style="1" customWidth="1"/>
    <col min="43" max="44" width="14.7109375" style="1" customWidth="1"/>
    <col min="45" max="46" width="11.7109375" style="1" customWidth="1"/>
    <col min="47" max="47" width="26.7109375" style="1" customWidth="1"/>
    <col min="48" max="48" width="11.7109375" style="1" customWidth="1"/>
    <col min="49" max="49" width="15.7109375" style="1" customWidth="1"/>
    <col min="50" max="51" width="9.7109375" style="1" customWidth="1"/>
    <col min="52" max="53" width="7.7109375" style="1" customWidth="1"/>
    <col min="54" max="55" width="15.7109375" style="1" customWidth="1"/>
    <col min="56" max="56" width="22.7109375" style="1" customWidth="1"/>
    <col min="57" max="57" width="12.7109375" style="1" customWidth="1"/>
    <col min="58" max="59" width="6.7109375" style="1" customWidth="1"/>
    <col min="60" max="61" width="14.7109375" style="1" customWidth="1"/>
    <col min="62" max="63" width="11.7109375" style="1" customWidth="1"/>
    <col min="64" max="64" width="14.7109375" style="1" customWidth="1"/>
    <col min="65" max="65" width="5.7109375" style="1" customWidth="1"/>
    <col min="66" max="66" width="14.7109375" style="1" customWidth="1"/>
    <col min="67" max="67" width="40.7109375" style="1" customWidth="1"/>
    <col min="68" max="16384" width="9.140625" style="1"/>
  </cols>
  <sheetData>
    <row r="1" spans="1:67" ht="17.25" x14ac:dyDescent="0.3">
      <c r="A1" s="6" t="s">
        <v>357</v>
      </c>
    </row>
    <row r="2" spans="1:67" x14ac:dyDescent="0.2">
      <c r="A2" s="7" t="s">
        <v>272</v>
      </c>
    </row>
    <row r="3" spans="1:67" x14ac:dyDescent="0.2">
      <c r="A3" s="2" t="s">
        <v>358</v>
      </c>
      <c r="M3" s="2" t="s">
        <v>368</v>
      </c>
      <c r="AD3" s="2" t="s">
        <v>386</v>
      </c>
      <c r="AU3" s="2" t="s">
        <v>404</v>
      </c>
      <c r="BL3" s="2" t="s">
        <v>283</v>
      </c>
    </row>
    <row r="4" spans="1:67" ht="66" customHeight="1" x14ac:dyDescent="0.2">
      <c r="A4" s="8" t="s">
        <v>274</v>
      </c>
      <c r="B4" s="8" t="s">
        <v>275</v>
      </c>
      <c r="C4" s="8" t="s">
        <v>359</v>
      </c>
      <c r="D4" s="8" t="s">
        <v>360</v>
      </c>
      <c r="E4" s="8" t="s">
        <v>361</v>
      </c>
      <c r="F4" s="8" t="s">
        <v>110</v>
      </c>
      <c r="G4" s="8" t="s">
        <v>362</v>
      </c>
      <c r="H4" s="8" t="s">
        <v>363</v>
      </c>
      <c r="I4" s="8" t="s">
        <v>364</v>
      </c>
      <c r="J4" s="8" t="s">
        <v>365</v>
      </c>
      <c r="K4" s="8" t="s">
        <v>366</v>
      </c>
      <c r="L4" s="8" t="s">
        <v>367</v>
      </c>
      <c r="M4" s="8" t="s">
        <v>369</v>
      </c>
      <c r="N4" s="8" t="s">
        <v>370</v>
      </c>
      <c r="O4" s="8" t="s">
        <v>371</v>
      </c>
      <c r="P4" s="8" t="s">
        <v>372</v>
      </c>
      <c r="Q4" s="8" t="s">
        <v>373</v>
      </c>
      <c r="R4" s="8" t="s">
        <v>374</v>
      </c>
      <c r="S4" s="8" t="s">
        <v>375</v>
      </c>
      <c r="T4" s="8" t="s">
        <v>376</v>
      </c>
      <c r="U4" s="8" t="s">
        <v>377</v>
      </c>
      <c r="V4" s="8" t="s">
        <v>378</v>
      </c>
      <c r="W4" s="19" t="s">
        <v>379</v>
      </c>
      <c r="X4" s="19" t="s">
        <v>380</v>
      </c>
      <c r="Y4" s="19" t="s">
        <v>381</v>
      </c>
      <c r="Z4" s="19" t="s">
        <v>382</v>
      </c>
      <c r="AA4" s="19" t="s">
        <v>383</v>
      </c>
      <c r="AB4" s="19" t="s">
        <v>384</v>
      </c>
      <c r="AC4" s="19" t="s">
        <v>385</v>
      </c>
      <c r="AD4" s="8" t="s">
        <v>387</v>
      </c>
      <c r="AE4" s="8" t="s">
        <v>388</v>
      </c>
      <c r="AF4" s="8" t="s">
        <v>389</v>
      </c>
      <c r="AG4" s="8" t="s">
        <v>390</v>
      </c>
      <c r="AH4" s="8" t="s">
        <v>391</v>
      </c>
      <c r="AI4" s="8" t="s">
        <v>392</v>
      </c>
      <c r="AJ4" s="8" t="s">
        <v>393</v>
      </c>
      <c r="AK4" s="8" t="s">
        <v>394</v>
      </c>
      <c r="AL4" s="8" t="s">
        <v>395</v>
      </c>
      <c r="AM4" s="8" t="s">
        <v>396</v>
      </c>
      <c r="AN4" s="19" t="s">
        <v>397</v>
      </c>
      <c r="AO4" s="19" t="s">
        <v>398</v>
      </c>
      <c r="AP4" s="19" t="s">
        <v>399</v>
      </c>
      <c r="AQ4" s="19" t="s">
        <v>400</v>
      </c>
      <c r="AR4" s="19" t="s">
        <v>401</v>
      </c>
      <c r="AS4" s="19" t="s">
        <v>402</v>
      </c>
      <c r="AT4" s="19" t="s">
        <v>403</v>
      </c>
      <c r="AU4" s="8" t="s">
        <v>405</v>
      </c>
      <c r="AV4" s="8" t="s">
        <v>406</v>
      </c>
      <c r="AW4" s="8" t="s">
        <v>407</v>
      </c>
      <c r="AX4" s="8" t="s">
        <v>408</v>
      </c>
      <c r="AY4" s="8" t="s">
        <v>409</v>
      </c>
      <c r="AZ4" s="8" t="s">
        <v>410</v>
      </c>
      <c r="BA4" s="8" t="s">
        <v>411</v>
      </c>
      <c r="BB4" s="8" t="s">
        <v>412</v>
      </c>
      <c r="BC4" s="8" t="s">
        <v>413</v>
      </c>
      <c r="BD4" s="8" t="s">
        <v>414</v>
      </c>
      <c r="BE4" s="19" t="s">
        <v>415</v>
      </c>
      <c r="BF4" s="19" t="s">
        <v>416</v>
      </c>
      <c r="BG4" s="19" t="s">
        <v>417</v>
      </c>
      <c r="BH4" s="19" t="s">
        <v>418</v>
      </c>
      <c r="BI4" s="19" t="s">
        <v>419</v>
      </c>
      <c r="BJ4" s="19" t="s">
        <v>420</v>
      </c>
      <c r="BK4" s="19" t="s">
        <v>421</v>
      </c>
      <c r="BL4" s="19" t="s">
        <v>422</v>
      </c>
      <c r="BM4" s="19" t="s">
        <v>285</v>
      </c>
      <c r="BN4" s="19" t="s">
        <v>423</v>
      </c>
      <c r="BO4" s="19" t="s">
        <v>287</v>
      </c>
    </row>
    <row r="5" spans="1:67" x14ac:dyDescent="0.2">
      <c r="A5" s="10"/>
      <c r="B5" s="12"/>
      <c r="C5" s="10"/>
      <c r="D5" s="10"/>
      <c r="E5" s="10"/>
      <c r="F5" s="17"/>
      <c r="G5" s="10"/>
      <c r="H5" s="17"/>
      <c r="I5" s="17"/>
      <c r="J5" s="10"/>
      <c r="K5" s="17"/>
      <c r="L5" s="10"/>
      <c r="M5" s="10"/>
      <c r="N5" s="17"/>
      <c r="O5" s="15"/>
      <c r="P5" s="26"/>
      <c r="Q5" s="10"/>
      <c r="R5" s="12"/>
      <c r="S5" s="12"/>
      <c r="T5" s="15"/>
      <c r="U5" s="15"/>
      <c r="V5" s="10"/>
      <c r="W5" s="21" t="str">
        <f>IF(COUNTA(N5:U5)=0,"",IF(N5="","E_MISSING_INPUT",IF(N5="TIMESTAMP",IF(OR(O5="",P5="",Q5=""),"E_MISSING_INPUT",IF(OR(NOT(ISNUMBER(O5)),NOT(ISNUMBER(P5))),"E_INVALID_DATE",IF(OR(O5&lt;&gt;INT(O5),P5&lt;0,P5&gt;=1),"E_INVALID_DATE",IF(ISNA(MATCH(Q5,nLIST_Offset,0)),"E_INVALID_UNIT","")))),IF(N5="DATE",IF(O5="","E_MISSING_INPUT",IF(NOT(ISNUMBER(O5)),"E_INVALID_DATE",IF(O5&lt;&gt;INT(O5),"E_INVALID_DATE",""))),IF(N5="MONTH",IF(OR(R5="",S5=""),"E_MISSING_INPUT",IF(OR(NOT(ISNUMBER(R5)),NOT(ISNUMBER(S5))),"E_INVALID_DATE",IF(OR(R5&lt;1900,R5&gt;9999,R5&lt;&gt;INT(R5),S5&lt;1,S5&gt;12,S5&lt;&gt;INT(S5)),"E_INVALID_DATE",""))),IF(N5="YEAR",IF(R5="","E_MISSING_INPUT",IF(NOT(ISNUMBER(R5)),"E_INVALID_DATE",IF(OR(R5&lt;1900,R5&gt;9999,R5&lt;&gt;INT(R5)),"E_INVALID_DATE",""))),IF(N5="RANGE",IF(OR(T5="",U5=""),"E_MISSING_INPUT",IF(OR(NOT(ISNUMBER(T5)),NOT(ISNUMBER(U5))),"E_INVALID_DATE",IF(OR(T5&lt;&gt;INT(T5),U5&lt;&gt;INT(U5)),"E_INVALID_DATE",IF(T5&gt;U5,"E_REVERSED_BOUNDS","")))),"E_INVALID_UNIT")))))))</f>
        <v/>
      </c>
      <c r="X5" s="22">
        <f t="shared" ref="X5:X34" si="0">IF(AND(W5="",N5="TIMESTAMP"),1,0)</f>
        <v>0</v>
      </c>
      <c r="Y5" s="22">
        <f t="shared" ref="Y5:Y34" si="1">IF(AND(X5=1,Q5&lt;&gt;"unknown"),1,0)</f>
        <v>0</v>
      </c>
      <c r="Z5" s="28" t="str">
        <f t="shared" ref="Z5:Z34" si="2">IF(OR(W5&lt;&gt;"",N5=""),"",IF(OR(N5="TIMESTAMP",N5="DATE"),O5,IF(N5="MONTH",DATE(R5,S5,1),IF(N5="YEAR",DATE(R5,1,1),T5))))</f>
        <v/>
      </c>
      <c r="AA5" s="28" t="str">
        <f t="shared" ref="AA5:AA34" si="3">IF(OR(W5&lt;&gt;"",N5=""),"",IF(OR(N5="TIMESTAMP",N5="DATE"),O5,IF(N5="MONTH",EOMONTH(DATE(R5,S5,1),0),IF(N5="YEAR",DATE(R5,12,31),U5))))</f>
        <v/>
      </c>
      <c r="AB5" s="22" t="str">
        <f t="shared" ref="AB5:AB34" si="4">IF(X5=1,O5*1440+ROUND(P5*1440,0),"")</f>
        <v/>
      </c>
      <c r="AC5" s="22" t="str">
        <f t="shared" ref="AC5:AC34" si="5">IF(Y5=1,AB5-(IF(LEFT(Q5,1)="-",-1,1)*(VALUE(MID(Q5,2,2))*60+VALUE(MID(Q5,5,2)))),"")</f>
        <v/>
      </c>
      <c r="AD5" s="10"/>
      <c r="AE5" s="17"/>
      <c r="AF5" s="15"/>
      <c r="AG5" s="26"/>
      <c r="AH5" s="10"/>
      <c r="AI5" s="12"/>
      <c r="AJ5" s="12"/>
      <c r="AK5" s="15"/>
      <c r="AL5" s="15"/>
      <c r="AM5" s="10"/>
      <c r="AN5" s="21" t="str">
        <f>IF(COUNTA(AE5:AL5)=0,"",IF(AE5="","E_MISSING_INPUT",IF(AE5="TIMESTAMP",IF(OR(AF5="",AG5="",AH5=""),"E_MISSING_INPUT",IF(OR(NOT(ISNUMBER(AF5)),NOT(ISNUMBER(AG5))),"E_INVALID_DATE",IF(OR(AF5&lt;&gt;INT(AF5),AG5&lt;0,AG5&gt;=1),"E_INVALID_DATE",IF(ISNA(MATCH(AH5,nLIST_Offset,0)),"E_INVALID_UNIT","")))),IF(AE5="DATE",IF(AF5="","E_MISSING_INPUT",IF(NOT(ISNUMBER(AF5)),"E_INVALID_DATE",IF(AF5&lt;&gt;INT(AF5),"E_INVALID_DATE",""))),IF(AE5="MONTH",IF(OR(AI5="",AJ5=""),"E_MISSING_INPUT",IF(OR(NOT(ISNUMBER(AI5)),NOT(ISNUMBER(AJ5))),"E_INVALID_DATE",IF(OR(AI5&lt;1900,AI5&gt;9999,AI5&lt;&gt;INT(AI5),AJ5&lt;1,AJ5&gt;12,AJ5&lt;&gt;INT(AJ5)),"E_INVALID_DATE",""))),IF(AE5="YEAR",IF(AI5="","E_MISSING_INPUT",IF(NOT(ISNUMBER(AI5)),"E_INVALID_DATE",IF(OR(AI5&lt;1900,AI5&gt;9999,AI5&lt;&gt;INT(AI5)),"E_INVALID_DATE",""))),IF(AE5="RANGE",IF(OR(AK5="",AL5=""),"E_MISSING_INPUT",IF(OR(NOT(ISNUMBER(AK5)),NOT(ISNUMBER(AL5))),"E_INVALID_DATE",IF(OR(AK5&lt;&gt;INT(AK5),AL5&lt;&gt;INT(AL5)),"E_INVALID_DATE",IF(AK5&gt;AL5,"E_REVERSED_BOUNDS","")))),"E_INVALID_UNIT")))))))</f>
        <v/>
      </c>
      <c r="AO5" s="22">
        <f t="shared" ref="AO5:AO34" si="6">IF(AND(AN5="",AE5="TIMESTAMP"),1,0)</f>
        <v>0</v>
      </c>
      <c r="AP5" s="22">
        <f t="shared" ref="AP5:AP34" si="7">IF(AND(AO5=1,AH5&lt;&gt;"unknown"),1,0)</f>
        <v>0</v>
      </c>
      <c r="AQ5" s="28" t="str">
        <f t="shared" ref="AQ5:AQ34" si="8">IF(OR(AN5&lt;&gt;"",AE5=""),"",IF(OR(AE5="TIMESTAMP",AE5="DATE"),AF5,IF(AE5="MONTH",DATE(AI5,AJ5,1),IF(AE5="YEAR",DATE(AI5,1,1),AK5))))</f>
        <v/>
      </c>
      <c r="AR5" s="28" t="str">
        <f t="shared" ref="AR5:AR34" si="9">IF(OR(AN5&lt;&gt;"",AE5=""),"",IF(OR(AE5="TIMESTAMP",AE5="DATE"),AF5,IF(AE5="MONTH",EOMONTH(DATE(AI5,AJ5,1),0),IF(AE5="YEAR",DATE(AI5,12,31),AL5))))</f>
        <v/>
      </c>
      <c r="AS5" s="22" t="str">
        <f t="shared" ref="AS5:AS34" si="10">IF(AO5=1,AF5*1440+ROUND(AG5*1440,0),"")</f>
        <v/>
      </c>
      <c r="AT5" s="22" t="str">
        <f t="shared" ref="AT5:AT34" si="11">IF(AP5=1,AS5-(IF(LEFT(AH5,1)="-",-1,1)*(VALUE(MID(AH5,2,2))*60+VALUE(MID(AH5,5,2)))),"")</f>
        <v/>
      </c>
      <c r="AU5" s="10"/>
      <c r="AV5" s="17"/>
      <c r="AW5" s="15"/>
      <c r="AX5" s="26"/>
      <c r="AY5" s="10"/>
      <c r="AZ5" s="12"/>
      <c r="BA5" s="12"/>
      <c r="BB5" s="15"/>
      <c r="BC5" s="15"/>
      <c r="BD5" s="10"/>
      <c r="BE5" s="21" t="str">
        <f>IF(COUNTA(AV5:BC5)=0,"",IF(AV5="","E_MISSING_INPUT",IF(AV5="TIMESTAMP",IF(OR(AW5="",AX5="",AY5=""),"E_MISSING_INPUT",IF(OR(NOT(ISNUMBER(AW5)),NOT(ISNUMBER(AX5))),"E_INVALID_DATE",IF(OR(AW5&lt;&gt;INT(AW5),AX5&lt;0,AX5&gt;=1),"E_INVALID_DATE",IF(ISNA(MATCH(AY5,nLIST_Offset,0)),"E_INVALID_UNIT","")))),IF(AV5="DATE",IF(AW5="","E_MISSING_INPUT",IF(NOT(ISNUMBER(AW5)),"E_INVALID_DATE",IF(AW5&lt;&gt;INT(AW5),"E_INVALID_DATE",""))),IF(AV5="MONTH",IF(OR(AZ5="",BA5=""),"E_MISSING_INPUT",IF(OR(NOT(ISNUMBER(AZ5)),NOT(ISNUMBER(BA5))),"E_INVALID_DATE",IF(OR(AZ5&lt;1900,AZ5&gt;9999,AZ5&lt;&gt;INT(AZ5),BA5&lt;1,BA5&gt;12,BA5&lt;&gt;INT(BA5)),"E_INVALID_DATE",""))),IF(AV5="YEAR",IF(AZ5="","E_MISSING_INPUT",IF(NOT(ISNUMBER(AZ5)),"E_INVALID_DATE",IF(OR(AZ5&lt;1900,AZ5&gt;9999,AZ5&lt;&gt;INT(AZ5)),"E_INVALID_DATE",""))),IF(AV5="RANGE",IF(OR(BB5="",BC5=""),"E_MISSING_INPUT",IF(OR(NOT(ISNUMBER(BB5)),NOT(ISNUMBER(BC5))),"E_INVALID_DATE",IF(OR(BB5&lt;&gt;INT(BB5),BC5&lt;&gt;INT(BC5)),"E_INVALID_DATE",IF(BB5&gt;BC5,"E_REVERSED_BOUNDS","")))),"E_INVALID_UNIT")))))))</f>
        <v/>
      </c>
      <c r="BF5" s="22">
        <f t="shared" ref="BF5:BF34" si="12">IF(AND(BE5="",AV5="TIMESTAMP"),1,0)</f>
        <v>0</v>
      </c>
      <c r="BG5" s="22">
        <f t="shared" ref="BG5:BG34" si="13">IF(AND(BF5=1,AY5&lt;&gt;"unknown"),1,0)</f>
        <v>0</v>
      </c>
      <c r="BH5" s="28" t="str">
        <f t="shared" ref="BH5:BH34" si="14">IF(OR(BE5&lt;&gt;"",AV5=""),"",IF(OR(AV5="TIMESTAMP",AV5="DATE"),AW5,IF(AV5="MONTH",DATE(AZ5,BA5,1),IF(AV5="YEAR",DATE(AZ5,1,1),BB5))))</f>
        <v/>
      </c>
      <c r="BI5" s="28" t="str">
        <f t="shared" ref="BI5:BI34" si="15">IF(OR(BE5&lt;&gt;"",AV5=""),"",IF(OR(AV5="TIMESTAMP",AV5="DATE"),AW5,IF(AV5="MONTH",EOMONTH(DATE(AZ5,BA5,1),0),IF(AV5="YEAR",DATE(AZ5,12,31),BC5))))</f>
        <v/>
      </c>
      <c r="BJ5" s="22" t="str">
        <f t="shared" ref="BJ5:BJ34" si="16">IF(BF5=1,AW5*1440+ROUND(AX5*1440,0),"")</f>
        <v/>
      </c>
      <c r="BK5" s="22" t="str">
        <f t="shared" ref="BK5:BK34" si="17">IF(BG5=1,BJ5-(IF(LEFT(AY5,1)="-",-1,1)*(VALUE(MID(AY5,2,2))*60+VALUE(MID(AY5,5,2)))),"")</f>
        <v/>
      </c>
      <c r="BL5" s="21" t="str">
        <f t="shared" ref="BL5:BL34" si="18">IF(D5="","",A5&amp;"|"&amp;B5&amp;"|"&amp;D5)</f>
        <v/>
      </c>
      <c r="BM5" s="22">
        <f>IF(BL5="",0,COUNTIF(nEXP_Key,BL5))</f>
        <v>0</v>
      </c>
      <c r="BN5" s="21" t="str">
        <f t="shared" ref="BN5:BN34" si="19">IF(D5="",IF(COUNTA(C5,E5,N5,O5)&gt;0,"E_MISSING_INPUT",""),IF(BM5&gt;1,"E_DUPLICATE_ID",IF(W5&lt;&gt;"",W5,IF(AN5&lt;&gt;"",AN5,BE5))))</f>
        <v/>
      </c>
      <c r="BO5" s="21" t="str">
        <f>IF(BN5="","",BN5&amp;": "&amp;SUBSTITUTE(IFERROR(INDEX(nMSG_Text,MATCH(BN5,nMSG_Code,0)),""),"[input]",IF(D5="","an Exposure_Episode_ID","the date fields required by the selected precision")))</f>
        <v/>
      </c>
    </row>
    <row r="6" spans="1:67" x14ac:dyDescent="0.2">
      <c r="A6" s="10"/>
      <c r="B6" s="12"/>
      <c r="C6" s="10"/>
      <c r="D6" s="10"/>
      <c r="E6" s="10"/>
      <c r="F6" s="17"/>
      <c r="G6" s="10"/>
      <c r="H6" s="17"/>
      <c r="I6" s="17"/>
      <c r="J6" s="10"/>
      <c r="K6" s="17"/>
      <c r="L6" s="10"/>
      <c r="M6" s="10"/>
      <c r="N6" s="17"/>
      <c r="O6" s="15"/>
      <c r="P6" s="26"/>
      <c r="Q6" s="10"/>
      <c r="R6" s="12"/>
      <c r="S6" s="12"/>
      <c r="T6" s="15"/>
      <c r="U6" s="15"/>
      <c r="V6" s="10"/>
      <c r="W6" s="21" t="str">
        <f>IF(COUNTA(N6:U6)=0,"",IF(N6="","E_MISSING_INPUT",IF(N6="TIMESTAMP",IF(OR(O6="",P6="",Q6=""),"E_MISSING_INPUT",IF(OR(NOT(ISNUMBER(O6)),NOT(ISNUMBER(P6))),"E_INVALID_DATE",IF(OR(O6&lt;&gt;INT(O6),P6&lt;0,P6&gt;=1),"E_INVALID_DATE",IF(ISNA(MATCH(Q6,nLIST_Offset,0)),"E_INVALID_UNIT","")))),IF(N6="DATE",IF(O6="","E_MISSING_INPUT",IF(NOT(ISNUMBER(O6)),"E_INVALID_DATE",IF(O6&lt;&gt;INT(O6),"E_INVALID_DATE",""))),IF(N6="MONTH",IF(OR(R6="",S6=""),"E_MISSING_INPUT",IF(OR(NOT(ISNUMBER(R6)),NOT(ISNUMBER(S6))),"E_INVALID_DATE",IF(OR(R6&lt;1900,R6&gt;9999,R6&lt;&gt;INT(R6),S6&lt;1,S6&gt;12,S6&lt;&gt;INT(S6)),"E_INVALID_DATE",""))),IF(N6="YEAR",IF(R6="","E_MISSING_INPUT",IF(NOT(ISNUMBER(R6)),"E_INVALID_DATE",IF(OR(R6&lt;1900,R6&gt;9999,R6&lt;&gt;INT(R6)),"E_INVALID_DATE",""))),IF(N6="RANGE",IF(OR(T6="",U6=""),"E_MISSING_INPUT",IF(OR(NOT(ISNUMBER(T6)),NOT(ISNUMBER(U6))),"E_INVALID_DATE",IF(OR(T6&lt;&gt;INT(T6),U6&lt;&gt;INT(U6)),"E_INVALID_DATE",IF(T6&gt;U6,"E_REVERSED_BOUNDS","")))),"E_INVALID_UNIT")))))))</f>
        <v/>
      </c>
      <c r="X6" s="22">
        <f t="shared" si="0"/>
        <v>0</v>
      </c>
      <c r="Y6" s="22">
        <f t="shared" si="1"/>
        <v>0</v>
      </c>
      <c r="Z6" s="28" t="str">
        <f t="shared" si="2"/>
        <v/>
      </c>
      <c r="AA6" s="28" t="str">
        <f t="shared" si="3"/>
        <v/>
      </c>
      <c r="AB6" s="22" t="str">
        <f t="shared" si="4"/>
        <v/>
      </c>
      <c r="AC6" s="22" t="str">
        <f t="shared" si="5"/>
        <v/>
      </c>
      <c r="AD6" s="10"/>
      <c r="AE6" s="17"/>
      <c r="AF6" s="15"/>
      <c r="AG6" s="26"/>
      <c r="AH6" s="10"/>
      <c r="AI6" s="12"/>
      <c r="AJ6" s="12"/>
      <c r="AK6" s="15"/>
      <c r="AL6" s="15"/>
      <c r="AM6" s="10"/>
      <c r="AN6" s="21" t="str">
        <f>IF(COUNTA(AE6:AL6)=0,"",IF(AE6="","E_MISSING_INPUT",IF(AE6="TIMESTAMP",IF(OR(AF6="",AG6="",AH6=""),"E_MISSING_INPUT",IF(OR(NOT(ISNUMBER(AF6)),NOT(ISNUMBER(AG6))),"E_INVALID_DATE",IF(OR(AF6&lt;&gt;INT(AF6),AG6&lt;0,AG6&gt;=1),"E_INVALID_DATE",IF(ISNA(MATCH(AH6,nLIST_Offset,0)),"E_INVALID_UNIT","")))),IF(AE6="DATE",IF(AF6="","E_MISSING_INPUT",IF(NOT(ISNUMBER(AF6)),"E_INVALID_DATE",IF(AF6&lt;&gt;INT(AF6),"E_INVALID_DATE",""))),IF(AE6="MONTH",IF(OR(AI6="",AJ6=""),"E_MISSING_INPUT",IF(OR(NOT(ISNUMBER(AI6)),NOT(ISNUMBER(AJ6))),"E_INVALID_DATE",IF(OR(AI6&lt;1900,AI6&gt;9999,AI6&lt;&gt;INT(AI6),AJ6&lt;1,AJ6&gt;12,AJ6&lt;&gt;INT(AJ6)),"E_INVALID_DATE",""))),IF(AE6="YEAR",IF(AI6="","E_MISSING_INPUT",IF(NOT(ISNUMBER(AI6)),"E_INVALID_DATE",IF(OR(AI6&lt;1900,AI6&gt;9999,AI6&lt;&gt;INT(AI6)),"E_INVALID_DATE",""))),IF(AE6="RANGE",IF(OR(AK6="",AL6=""),"E_MISSING_INPUT",IF(OR(NOT(ISNUMBER(AK6)),NOT(ISNUMBER(AL6))),"E_INVALID_DATE",IF(OR(AK6&lt;&gt;INT(AK6),AL6&lt;&gt;INT(AL6)),"E_INVALID_DATE",IF(AK6&gt;AL6,"E_REVERSED_BOUNDS","")))),"E_INVALID_UNIT")))))))</f>
        <v/>
      </c>
      <c r="AO6" s="22">
        <f t="shared" si="6"/>
        <v>0</v>
      </c>
      <c r="AP6" s="22">
        <f t="shared" si="7"/>
        <v>0</v>
      </c>
      <c r="AQ6" s="28" t="str">
        <f t="shared" si="8"/>
        <v/>
      </c>
      <c r="AR6" s="28" t="str">
        <f t="shared" si="9"/>
        <v/>
      </c>
      <c r="AS6" s="22" t="str">
        <f t="shared" si="10"/>
        <v/>
      </c>
      <c r="AT6" s="22" t="str">
        <f t="shared" si="11"/>
        <v/>
      </c>
      <c r="AU6" s="10"/>
      <c r="AV6" s="17"/>
      <c r="AW6" s="15"/>
      <c r="AX6" s="26"/>
      <c r="AY6" s="10"/>
      <c r="AZ6" s="12"/>
      <c r="BA6" s="12"/>
      <c r="BB6" s="15"/>
      <c r="BC6" s="15"/>
      <c r="BD6" s="10"/>
      <c r="BE6" s="21" t="str">
        <f>IF(COUNTA(AV6:BC6)=0,"",IF(AV6="","E_MISSING_INPUT",IF(AV6="TIMESTAMP",IF(OR(AW6="",AX6="",AY6=""),"E_MISSING_INPUT",IF(OR(NOT(ISNUMBER(AW6)),NOT(ISNUMBER(AX6))),"E_INVALID_DATE",IF(OR(AW6&lt;&gt;INT(AW6),AX6&lt;0,AX6&gt;=1),"E_INVALID_DATE",IF(ISNA(MATCH(AY6,nLIST_Offset,0)),"E_INVALID_UNIT","")))),IF(AV6="DATE",IF(AW6="","E_MISSING_INPUT",IF(NOT(ISNUMBER(AW6)),"E_INVALID_DATE",IF(AW6&lt;&gt;INT(AW6),"E_INVALID_DATE",""))),IF(AV6="MONTH",IF(OR(AZ6="",BA6=""),"E_MISSING_INPUT",IF(OR(NOT(ISNUMBER(AZ6)),NOT(ISNUMBER(BA6))),"E_INVALID_DATE",IF(OR(AZ6&lt;1900,AZ6&gt;9999,AZ6&lt;&gt;INT(AZ6),BA6&lt;1,BA6&gt;12,BA6&lt;&gt;INT(BA6)),"E_INVALID_DATE",""))),IF(AV6="YEAR",IF(AZ6="","E_MISSING_INPUT",IF(NOT(ISNUMBER(AZ6)),"E_INVALID_DATE",IF(OR(AZ6&lt;1900,AZ6&gt;9999,AZ6&lt;&gt;INT(AZ6)),"E_INVALID_DATE",""))),IF(AV6="RANGE",IF(OR(BB6="",BC6=""),"E_MISSING_INPUT",IF(OR(NOT(ISNUMBER(BB6)),NOT(ISNUMBER(BC6))),"E_INVALID_DATE",IF(OR(BB6&lt;&gt;INT(BB6),BC6&lt;&gt;INT(BC6)),"E_INVALID_DATE",IF(BB6&gt;BC6,"E_REVERSED_BOUNDS","")))),"E_INVALID_UNIT")))))))</f>
        <v/>
      </c>
      <c r="BF6" s="22">
        <f t="shared" si="12"/>
        <v>0</v>
      </c>
      <c r="BG6" s="22">
        <f t="shared" si="13"/>
        <v>0</v>
      </c>
      <c r="BH6" s="28" t="str">
        <f t="shared" si="14"/>
        <v/>
      </c>
      <c r="BI6" s="28" t="str">
        <f t="shared" si="15"/>
        <v/>
      </c>
      <c r="BJ6" s="22" t="str">
        <f t="shared" si="16"/>
        <v/>
      </c>
      <c r="BK6" s="22" t="str">
        <f t="shared" si="17"/>
        <v/>
      </c>
      <c r="BL6" s="21" t="str">
        <f t="shared" si="18"/>
        <v/>
      </c>
      <c r="BM6" s="22">
        <f>IF(BL6="",0,COUNTIF(nEXP_Key,BL6))</f>
        <v>0</v>
      </c>
      <c r="BN6" s="21" t="str">
        <f t="shared" si="19"/>
        <v/>
      </c>
      <c r="BO6" s="21" t="str">
        <f>IF(BN6="","",BN6&amp;": "&amp;SUBSTITUTE(IFERROR(INDEX(nMSG_Text,MATCH(BN6,nMSG_Code,0)),""),"[input]",IF(D6="","an Exposure_Episode_ID","the date fields required by the selected precision")))</f>
        <v/>
      </c>
    </row>
    <row r="7" spans="1:67" x14ac:dyDescent="0.2">
      <c r="A7" s="10"/>
      <c r="B7" s="12"/>
      <c r="C7" s="10"/>
      <c r="D7" s="10"/>
      <c r="E7" s="10"/>
      <c r="F7" s="17"/>
      <c r="G7" s="10"/>
      <c r="H7" s="17"/>
      <c r="I7" s="17"/>
      <c r="J7" s="10"/>
      <c r="K7" s="17"/>
      <c r="L7" s="10"/>
      <c r="M7" s="10"/>
      <c r="N7" s="17"/>
      <c r="O7" s="15"/>
      <c r="P7" s="26"/>
      <c r="Q7" s="10"/>
      <c r="R7" s="12"/>
      <c r="S7" s="12"/>
      <c r="T7" s="15"/>
      <c r="U7" s="15"/>
      <c r="V7" s="10"/>
      <c r="W7" s="21" t="str">
        <f>IF(COUNTA(N7:U7)=0,"",IF(N7="","E_MISSING_INPUT",IF(N7="TIMESTAMP",IF(OR(O7="",P7="",Q7=""),"E_MISSING_INPUT",IF(OR(NOT(ISNUMBER(O7)),NOT(ISNUMBER(P7))),"E_INVALID_DATE",IF(OR(O7&lt;&gt;INT(O7),P7&lt;0,P7&gt;=1),"E_INVALID_DATE",IF(ISNA(MATCH(Q7,nLIST_Offset,0)),"E_INVALID_UNIT","")))),IF(N7="DATE",IF(O7="","E_MISSING_INPUT",IF(NOT(ISNUMBER(O7)),"E_INVALID_DATE",IF(O7&lt;&gt;INT(O7),"E_INVALID_DATE",""))),IF(N7="MONTH",IF(OR(R7="",S7=""),"E_MISSING_INPUT",IF(OR(NOT(ISNUMBER(R7)),NOT(ISNUMBER(S7))),"E_INVALID_DATE",IF(OR(R7&lt;1900,R7&gt;9999,R7&lt;&gt;INT(R7),S7&lt;1,S7&gt;12,S7&lt;&gt;INT(S7)),"E_INVALID_DATE",""))),IF(N7="YEAR",IF(R7="","E_MISSING_INPUT",IF(NOT(ISNUMBER(R7)),"E_INVALID_DATE",IF(OR(R7&lt;1900,R7&gt;9999,R7&lt;&gt;INT(R7)),"E_INVALID_DATE",""))),IF(N7="RANGE",IF(OR(T7="",U7=""),"E_MISSING_INPUT",IF(OR(NOT(ISNUMBER(T7)),NOT(ISNUMBER(U7))),"E_INVALID_DATE",IF(OR(T7&lt;&gt;INT(T7),U7&lt;&gt;INT(U7)),"E_INVALID_DATE",IF(T7&gt;U7,"E_REVERSED_BOUNDS","")))),"E_INVALID_UNIT")))))))</f>
        <v/>
      </c>
      <c r="X7" s="22">
        <f t="shared" si="0"/>
        <v>0</v>
      </c>
      <c r="Y7" s="22">
        <f t="shared" si="1"/>
        <v>0</v>
      </c>
      <c r="Z7" s="28" t="str">
        <f t="shared" si="2"/>
        <v/>
      </c>
      <c r="AA7" s="28" t="str">
        <f t="shared" si="3"/>
        <v/>
      </c>
      <c r="AB7" s="22" t="str">
        <f t="shared" si="4"/>
        <v/>
      </c>
      <c r="AC7" s="22" t="str">
        <f t="shared" si="5"/>
        <v/>
      </c>
      <c r="AD7" s="10"/>
      <c r="AE7" s="17"/>
      <c r="AF7" s="15"/>
      <c r="AG7" s="26"/>
      <c r="AH7" s="10"/>
      <c r="AI7" s="12"/>
      <c r="AJ7" s="12"/>
      <c r="AK7" s="15"/>
      <c r="AL7" s="15"/>
      <c r="AM7" s="10"/>
      <c r="AN7" s="21" t="str">
        <f>IF(COUNTA(AE7:AL7)=0,"",IF(AE7="","E_MISSING_INPUT",IF(AE7="TIMESTAMP",IF(OR(AF7="",AG7="",AH7=""),"E_MISSING_INPUT",IF(OR(NOT(ISNUMBER(AF7)),NOT(ISNUMBER(AG7))),"E_INVALID_DATE",IF(OR(AF7&lt;&gt;INT(AF7),AG7&lt;0,AG7&gt;=1),"E_INVALID_DATE",IF(ISNA(MATCH(AH7,nLIST_Offset,0)),"E_INVALID_UNIT","")))),IF(AE7="DATE",IF(AF7="","E_MISSING_INPUT",IF(NOT(ISNUMBER(AF7)),"E_INVALID_DATE",IF(AF7&lt;&gt;INT(AF7),"E_INVALID_DATE",""))),IF(AE7="MONTH",IF(OR(AI7="",AJ7=""),"E_MISSING_INPUT",IF(OR(NOT(ISNUMBER(AI7)),NOT(ISNUMBER(AJ7))),"E_INVALID_DATE",IF(OR(AI7&lt;1900,AI7&gt;9999,AI7&lt;&gt;INT(AI7),AJ7&lt;1,AJ7&gt;12,AJ7&lt;&gt;INT(AJ7)),"E_INVALID_DATE",""))),IF(AE7="YEAR",IF(AI7="","E_MISSING_INPUT",IF(NOT(ISNUMBER(AI7)),"E_INVALID_DATE",IF(OR(AI7&lt;1900,AI7&gt;9999,AI7&lt;&gt;INT(AI7)),"E_INVALID_DATE",""))),IF(AE7="RANGE",IF(OR(AK7="",AL7=""),"E_MISSING_INPUT",IF(OR(NOT(ISNUMBER(AK7)),NOT(ISNUMBER(AL7))),"E_INVALID_DATE",IF(OR(AK7&lt;&gt;INT(AK7),AL7&lt;&gt;INT(AL7)),"E_INVALID_DATE",IF(AK7&gt;AL7,"E_REVERSED_BOUNDS","")))),"E_INVALID_UNIT")))))))</f>
        <v/>
      </c>
      <c r="AO7" s="22">
        <f t="shared" si="6"/>
        <v>0</v>
      </c>
      <c r="AP7" s="22">
        <f t="shared" si="7"/>
        <v>0</v>
      </c>
      <c r="AQ7" s="28" t="str">
        <f t="shared" si="8"/>
        <v/>
      </c>
      <c r="AR7" s="28" t="str">
        <f t="shared" si="9"/>
        <v/>
      </c>
      <c r="AS7" s="22" t="str">
        <f t="shared" si="10"/>
        <v/>
      </c>
      <c r="AT7" s="22" t="str">
        <f t="shared" si="11"/>
        <v/>
      </c>
      <c r="AU7" s="10"/>
      <c r="AV7" s="17"/>
      <c r="AW7" s="15"/>
      <c r="AX7" s="26"/>
      <c r="AY7" s="10"/>
      <c r="AZ7" s="12"/>
      <c r="BA7" s="12"/>
      <c r="BB7" s="15"/>
      <c r="BC7" s="15"/>
      <c r="BD7" s="10"/>
      <c r="BE7" s="21" t="str">
        <f>IF(COUNTA(AV7:BC7)=0,"",IF(AV7="","E_MISSING_INPUT",IF(AV7="TIMESTAMP",IF(OR(AW7="",AX7="",AY7=""),"E_MISSING_INPUT",IF(OR(NOT(ISNUMBER(AW7)),NOT(ISNUMBER(AX7))),"E_INVALID_DATE",IF(OR(AW7&lt;&gt;INT(AW7),AX7&lt;0,AX7&gt;=1),"E_INVALID_DATE",IF(ISNA(MATCH(AY7,nLIST_Offset,0)),"E_INVALID_UNIT","")))),IF(AV7="DATE",IF(AW7="","E_MISSING_INPUT",IF(NOT(ISNUMBER(AW7)),"E_INVALID_DATE",IF(AW7&lt;&gt;INT(AW7),"E_INVALID_DATE",""))),IF(AV7="MONTH",IF(OR(AZ7="",BA7=""),"E_MISSING_INPUT",IF(OR(NOT(ISNUMBER(AZ7)),NOT(ISNUMBER(BA7))),"E_INVALID_DATE",IF(OR(AZ7&lt;1900,AZ7&gt;9999,AZ7&lt;&gt;INT(AZ7),BA7&lt;1,BA7&gt;12,BA7&lt;&gt;INT(BA7)),"E_INVALID_DATE",""))),IF(AV7="YEAR",IF(AZ7="","E_MISSING_INPUT",IF(NOT(ISNUMBER(AZ7)),"E_INVALID_DATE",IF(OR(AZ7&lt;1900,AZ7&gt;9999,AZ7&lt;&gt;INT(AZ7)),"E_INVALID_DATE",""))),IF(AV7="RANGE",IF(OR(BB7="",BC7=""),"E_MISSING_INPUT",IF(OR(NOT(ISNUMBER(BB7)),NOT(ISNUMBER(BC7))),"E_INVALID_DATE",IF(OR(BB7&lt;&gt;INT(BB7),BC7&lt;&gt;INT(BC7)),"E_INVALID_DATE",IF(BB7&gt;BC7,"E_REVERSED_BOUNDS","")))),"E_INVALID_UNIT")))))))</f>
        <v/>
      </c>
      <c r="BF7" s="22">
        <f t="shared" si="12"/>
        <v>0</v>
      </c>
      <c r="BG7" s="22">
        <f t="shared" si="13"/>
        <v>0</v>
      </c>
      <c r="BH7" s="28" t="str">
        <f t="shared" si="14"/>
        <v/>
      </c>
      <c r="BI7" s="28" t="str">
        <f t="shared" si="15"/>
        <v/>
      </c>
      <c r="BJ7" s="22" t="str">
        <f t="shared" si="16"/>
        <v/>
      </c>
      <c r="BK7" s="22" t="str">
        <f t="shared" si="17"/>
        <v/>
      </c>
      <c r="BL7" s="21" t="str">
        <f t="shared" si="18"/>
        <v/>
      </c>
      <c r="BM7" s="22">
        <f>IF(BL7="",0,COUNTIF(nEXP_Key,BL7))</f>
        <v>0</v>
      </c>
      <c r="BN7" s="21" t="str">
        <f t="shared" si="19"/>
        <v/>
      </c>
      <c r="BO7" s="21" t="str">
        <f>IF(BN7="","",BN7&amp;": "&amp;SUBSTITUTE(IFERROR(INDEX(nMSG_Text,MATCH(BN7,nMSG_Code,0)),""),"[input]",IF(D7="","an Exposure_Episode_ID","the date fields required by the selected precision")))</f>
        <v/>
      </c>
    </row>
    <row r="8" spans="1:67" x14ac:dyDescent="0.2">
      <c r="A8" s="10"/>
      <c r="B8" s="12"/>
      <c r="C8" s="10"/>
      <c r="D8" s="10"/>
      <c r="E8" s="10"/>
      <c r="F8" s="17"/>
      <c r="G8" s="10"/>
      <c r="H8" s="17"/>
      <c r="I8" s="17"/>
      <c r="J8" s="10"/>
      <c r="K8" s="17"/>
      <c r="L8" s="10"/>
      <c r="M8" s="10"/>
      <c r="N8" s="17"/>
      <c r="O8" s="15"/>
      <c r="P8" s="26"/>
      <c r="Q8" s="10"/>
      <c r="R8" s="12"/>
      <c r="S8" s="12"/>
      <c r="T8" s="15"/>
      <c r="U8" s="15"/>
      <c r="V8" s="10"/>
      <c r="W8" s="21" t="str">
        <f>IF(COUNTA(N8:U8)=0,"",IF(N8="","E_MISSING_INPUT",IF(N8="TIMESTAMP",IF(OR(O8="",P8="",Q8=""),"E_MISSING_INPUT",IF(OR(NOT(ISNUMBER(O8)),NOT(ISNUMBER(P8))),"E_INVALID_DATE",IF(OR(O8&lt;&gt;INT(O8),P8&lt;0,P8&gt;=1),"E_INVALID_DATE",IF(ISNA(MATCH(Q8,nLIST_Offset,0)),"E_INVALID_UNIT","")))),IF(N8="DATE",IF(O8="","E_MISSING_INPUT",IF(NOT(ISNUMBER(O8)),"E_INVALID_DATE",IF(O8&lt;&gt;INT(O8),"E_INVALID_DATE",""))),IF(N8="MONTH",IF(OR(R8="",S8=""),"E_MISSING_INPUT",IF(OR(NOT(ISNUMBER(R8)),NOT(ISNUMBER(S8))),"E_INVALID_DATE",IF(OR(R8&lt;1900,R8&gt;9999,R8&lt;&gt;INT(R8),S8&lt;1,S8&gt;12,S8&lt;&gt;INT(S8)),"E_INVALID_DATE",""))),IF(N8="YEAR",IF(R8="","E_MISSING_INPUT",IF(NOT(ISNUMBER(R8)),"E_INVALID_DATE",IF(OR(R8&lt;1900,R8&gt;9999,R8&lt;&gt;INT(R8)),"E_INVALID_DATE",""))),IF(N8="RANGE",IF(OR(T8="",U8=""),"E_MISSING_INPUT",IF(OR(NOT(ISNUMBER(T8)),NOT(ISNUMBER(U8))),"E_INVALID_DATE",IF(OR(T8&lt;&gt;INT(T8),U8&lt;&gt;INT(U8)),"E_INVALID_DATE",IF(T8&gt;U8,"E_REVERSED_BOUNDS","")))),"E_INVALID_UNIT")))))))</f>
        <v/>
      </c>
      <c r="X8" s="22">
        <f t="shared" si="0"/>
        <v>0</v>
      </c>
      <c r="Y8" s="22">
        <f t="shared" si="1"/>
        <v>0</v>
      </c>
      <c r="Z8" s="28" t="str">
        <f t="shared" si="2"/>
        <v/>
      </c>
      <c r="AA8" s="28" t="str">
        <f t="shared" si="3"/>
        <v/>
      </c>
      <c r="AB8" s="22" t="str">
        <f t="shared" si="4"/>
        <v/>
      </c>
      <c r="AC8" s="22" t="str">
        <f t="shared" si="5"/>
        <v/>
      </c>
      <c r="AD8" s="10"/>
      <c r="AE8" s="17"/>
      <c r="AF8" s="15"/>
      <c r="AG8" s="26"/>
      <c r="AH8" s="10"/>
      <c r="AI8" s="12"/>
      <c r="AJ8" s="12"/>
      <c r="AK8" s="15"/>
      <c r="AL8" s="15"/>
      <c r="AM8" s="10"/>
      <c r="AN8" s="21" t="str">
        <f>IF(COUNTA(AE8:AL8)=0,"",IF(AE8="","E_MISSING_INPUT",IF(AE8="TIMESTAMP",IF(OR(AF8="",AG8="",AH8=""),"E_MISSING_INPUT",IF(OR(NOT(ISNUMBER(AF8)),NOT(ISNUMBER(AG8))),"E_INVALID_DATE",IF(OR(AF8&lt;&gt;INT(AF8),AG8&lt;0,AG8&gt;=1),"E_INVALID_DATE",IF(ISNA(MATCH(AH8,nLIST_Offset,0)),"E_INVALID_UNIT","")))),IF(AE8="DATE",IF(AF8="","E_MISSING_INPUT",IF(NOT(ISNUMBER(AF8)),"E_INVALID_DATE",IF(AF8&lt;&gt;INT(AF8),"E_INVALID_DATE",""))),IF(AE8="MONTH",IF(OR(AI8="",AJ8=""),"E_MISSING_INPUT",IF(OR(NOT(ISNUMBER(AI8)),NOT(ISNUMBER(AJ8))),"E_INVALID_DATE",IF(OR(AI8&lt;1900,AI8&gt;9999,AI8&lt;&gt;INT(AI8),AJ8&lt;1,AJ8&gt;12,AJ8&lt;&gt;INT(AJ8)),"E_INVALID_DATE",""))),IF(AE8="YEAR",IF(AI8="","E_MISSING_INPUT",IF(NOT(ISNUMBER(AI8)),"E_INVALID_DATE",IF(OR(AI8&lt;1900,AI8&gt;9999,AI8&lt;&gt;INT(AI8)),"E_INVALID_DATE",""))),IF(AE8="RANGE",IF(OR(AK8="",AL8=""),"E_MISSING_INPUT",IF(OR(NOT(ISNUMBER(AK8)),NOT(ISNUMBER(AL8))),"E_INVALID_DATE",IF(OR(AK8&lt;&gt;INT(AK8),AL8&lt;&gt;INT(AL8)),"E_INVALID_DATE",IF(AK8&gt;AL8,"E_REVERSED_BOUNDS","")))),"E_INVALID_UNIT")))))))</f>
        <v/>
      </c>
      <c r="AO8" s="22">
        <f t="shared" si="6"/>
        <v>0</v>
      </c>
      <c r="AP8" s="22">
        <f t="shared" si="7"/>
        <v>0</v>
      </c>
      <c r="AQ8" s="28" t="str">
        <f t="shared" si="8"/>
        <v/>
      </c>
      <c r="AR8" s="28" t="str">
        <f t="shared" si="9"/>
        <v/>
      </c>
      <c r="AS8" s="22" t="str">
        <f t="shared" si="10"/>
        <v/>
      </c>
      <c r="AT8" s="22" t="str">
        <f t="shared" si="11"/>
        <v/>
      </c>
      <c r="AU8" s="10"/>
      <c r="AV8" s="17"/>
      <c r="AW8" s="15"/>
      <c r="AX8" s="26"/>
      <c r="AY8" s="10"/>
      <c r="AZ8" s="12"/>
      <c r="BA8" s="12"/>
      <c r="BB8" s="15"/>
      <c r="BC8" s="15"/>
      <c r="BD8" s="10"/>
      <c r="BE8" s="21" t="str">
        <f>IF(COUNTA(AV8:BC8)=0,"",IF(AV8="","E_MISSING_INPUT",IF(AV8="TIMESTAMP",IF(OR(AW8="",AX8="",AY8=""),"E_MISSING_INPUT",IF(OR(NOT(ISNUMBER(AW8)),NOT(ISNUMBER(AX8))),"E_INVALID_DATE",IF(OR(AW8&lt;&gt;INT(AW8),AX8&lt;0,AX8&gt;=1),"E_INVALID_DATE",IF(ISNA(MATCH(AY8,nLIST_Offset,0)),"E_INVALID_UNIT","")))),IF(AV8="DATE",IF(AW8="","E_MISSING_INPUT",IF(NOT(ISNUMBER(AW8)),"E_INVALID_DATE",IF(AW8&lt;&gt;INT(AW8),"E_INVALID_DATE",""))),IF(AV8="MONTH",IF(OR(AZ8="",BA8=""),"E_MISSING_INPUT",IF(OR(NOT(ISNUMBER(AZ8)),NOT(ISNUMBER(BA8))),"E_INVALID_DATE",IF(OR(AZ8&lt;1900,AZ8&gt;9999,AZ8&lt;&gt;INT(AZ8),BA8&lt;1,BA8&gt;12,BA8&lt;&gt;INT(BA8)),"E_INVALID_DATE",""))),IF(AV8="YEAR",IF(AZ8="","E_MISSING_INPUT",IF(NOT(ISNUMBER(AZ8)),"E_INVALID_DATE",IF(OR(AZ8&lt;1900,AZ8&gt;9999,AZ8&lt;&gt;INT(AZ8)),"E_INVALID_DATE",""))),IF(AV8="RANGE",IF(OR(BB8="",BC8=""),"E_MISSING_INPUT",IF(OR(NOT(ISNUMBER(BB8)),NOT(ISNUMBER(BC8))),"E_INVALID_DATE",IF(OR(BB8&lt;&gt;INT(BB8),BC8&lt;&gt;INT(BC8)),"E_INVALID_DATE",IF(BB8&gt;BC8,"E_REVERSED_BOUNDS","")))),"E_INVALID_UNIT")))))))</f>
        <v/>
      </c>
      <c r="BF8" s="22">
        <f t="shared" si="12"/>
        <v>0</v>
      </c>
      <c r="BG8" s="22">
        <f t="shared" si="13"/>
        <v>0</v>
      </c>
      <c r="BH8" s="28" t="str">
        <f t="shared" si="14"/>
        <v/>
      </c>
      <c r="BI8" s="28" t="str">
        <f t="shared" si="15"/>
        <v/>
      </c>
      <c r="BJ8" s="22" t="str">
        <f t="shared" si="16"/>
        <v/>
      </c>
      <c r="BK8" s="22" t="str">
        <f t="shared" si="17"/>
        <v/>
      </c>
      <c r="BL8" s="21" t="str">
        <f t="shared" si="18"/>
        <v/>
      </c>
      <c r="BM8" s="22">
        <f>IF(BL8="",0,COUNTIF(nEXP_Key,BL8))</f>
        <v>0</v>
      </c>
      <c r="BN8" s="21" t="str">
        <f t="shared" si="19"/>
        <v/>
      </c>
      <c r="BO8" s="21" t="str">
        <f>IF(BN8="","",BN8&amp;": "&amp;SUBSTITUTE(IFERROR(INDEX(nMSG_Text,MATCH(BN8,nMSG_Code,0)),""),"[input]",IF(D8="","an Exposure_Episode_ID","the date fields required by the selected precision")))</f>
        <v/>
      </c>
    </row>
    <row r="9" spans="1:67" x14ac:dyDescent="0.2">
      <c r="A9" s="10"/>
      <c r="B9" s="12"/>
      <c r="C9" s="10"/>
      <c r="D9" s="10"/>
      <c r="E9" s="10"/>
      <c r="F9" s="17"/>
      <c r="G9" s="10"/>
      <c r="H9" s="17"/>
      <c r="I9" s="17"/>
      <c r="J9" s="10"/>
      <c r="K9" s="17"/>
      <c r="L9" s="10"/>
      <c r="M9" s="10"/>
      <c r="N9" s="17"/>
      <c r="O9" s="15"/>
      <c r="P9" s="26"/>
      <c r="Q9" s="10"/>
      <c r="R9" s="12"/>
      <c r="S9" s="12"/>
      <c r="T9" s="15"/>
      <c r="U9" s="15"/>
      <c r="V9" s="10"/>
      <c r="W9" s="21" t="str">
        <f>IF(COUNTA(N9:U9)=0,"",IF(N9="","E_MISSING_INPUT",IF(N9="TIMESTAMP",IF(OR(O9="",P9="",Q9=""),"E_MISSING_INPUT",IF(OR(NOT(ISNUMBER(O9)),NOT(ISNUMBER(P9))),"E_INVALID_DATE",IF(OR(O9&lt;&gt;INT(O9),P9&lt;0,P9&gt;=1),"E_INVALID_DATE",IF(ISNA(MATCH(Q9,nLIST_Offset,0)),"E_INVALID_UNIT","")))),IF(N9="DATE",IF(O9="","E_MISSING_INPUT",IF(NOT(ISNUMBER(O9)),"E_INVALID_DATE",IF(O9&lt;&gt;INT(O9),"E_INVALID_DATE",""))),IF(N9="MONTH",IF(OR(R9="",S9=""),"E_MISSING_INPUT",IF(OR(NOT(ISNUMBER(R9)),NOT(ISNUMBER(S9))),"E_INVALID_DATE",IF(OR(R9&lt;1900,R9&gt;9999,R9&lt;&gt;INT(R9),S9&lt;1,S9&gt;12,S9&lt;&gt;INT(S9)),"E_INVALID_DATE",""))),IF(N9="YEAR",IF(R9="","E_MISSING_INPUT",IF(NOT(ISNUMBER(R9)),"E_INVALID_DATE",IF(OR(R9&lt;1900,R9&gt;9999,R9&lt;&gt;INT(R9)),"E_INVALID_DATE",""))),IF(N9="RANGE",IF(OR(T9="",U9=""),"E_MISSING_INPUT",IF(OR(NOT(ISNUMBER(T9)),NOT(ISNUMBER(U9))),"E_INVALID_DATE",IF(OR(T9&lt;&gt;INT(T9),U9&lt;&gt;INT(U9)),"E_INVALID_DATE",IF(T9&gt;U9,"E_REVERSED_BOUNDS","")))),"E_INVALID_UNIT")))))))</f>
        <v/>
      </c>
      <c r="X9" s="22">
        <f t="shared" si="0"/>
        <v>0</v>
      </c>
      <c r="Y9" s="22">
        <f t="shared" si="1"/>
        <v>0</v>
      </c>
      <c r="Z9" s="28" t="str">
        <f t="shared" si="2"/>
        <v/>
      </c>
      <c r="AA9" s="28" t="str">
        <f t="shared" si="3"/>
        <v/>
      </c>
      <c r="AB9" s="22" t="str">
        <f t="shared" si="4"/>
        <v/>
      </c>
      <c r="AC9" s="22" t="str">
        <f t="shared" si="5"/>
        <v/>
      </c>
      <c r="AD9" s="10"/>
      <c r="AE9" s="17"/>
      <c r="AF9" s="15"/>
      <c r="AG9" s="26"/>
      <c r="AH9" s="10"/>
      <c r="AI9" s="12"/>
      <c r="AJ9" s="12"/>
      <c r="AK9" s="15"/>
      <c r="AL9" s="15"/>
      <c r="AM9" s="10"/>
      <c r="AN9" s="21" t="str">
        <f>IF(COUNTA(AE9:AL9)=0,"",IF(AE9="","E_MISSING_INPUT",IF(AE9="TIMESTAMP",IF(OR(AF9="",AG9="",AH9=""),"E_MISSING_INPUT",IF(OR(NOT(ISNUMBER(AF9)),NOT(ISNUMBER(AG9))),"E_INVALID_DATE",IF(OR(AF9&lt;&gt;INT(AF9),AG9&lt;0,AG9&gt;=1),"E_INVALID_DATE",IF(ISNA(MATCH(AH9,nLIST_Offset,0)),"E_INVALID_UNIT","")))),IF(AE9="DATE",IF(AF9="","E_MISSING_INPUT",IF(NOT(ISNUMBER(AF9)),"E_INVALID_DATE",IF(AF9&lt;&gt;INT(AF9),"E_INVALID_DATE",""))),IF(AE9="MONTH",IF(OR(AI9="",AJ9=""),"E_MISSING_INPUT",IF(OR(NOT(ISNUMBER(AI9)),NOT(ISNUMBER(AJ9))),"E_INVALID_DATE",IF(OR(AI9&lt;1900,AI9&gt;9999,AI9&lt;&gt;INT(AI9),AJ9&lt;1,AJ9&gt;12,AJ9&lt;&gt;INT(AJ9)),"E_INVALID_DATE",""))),IF(AE9="YEAR",IF(AI9="","E_MISSING_INPUT",IF(NOT(ISNUMBER(AI9)),"E_INVALID_DATE",IF(OR(AI9&lt;1900,AI9&gt;9999,AI9&lt;&gt;INT(AI9)),"E_INVALID_DATE",""))),IF(AE9="RANGE",IF(OR(AK9="",AL9=""),"E_MISSING_INPUT",IF(OR(NOT(ISNUMBER(AK9)),NOT(ISNUMBER(AL9))),"E_INVALID_DATE",IF(OR(AK9&lt;&gt;INT(AK9),AL9&lt;&gt;INT(AL9)),"E_INVALID_DATE",IF(AK9&gt;AL9,"E_REVERSED_BOUNDS","")))),"E_INVALID_UNIT")))))))</f>
        <v/>
      </c>
      <c r="AO9" s="22">
        <f t="shared" si="6"/>
        <v>0</v>
      </c>
      <c r="AP9" s="22">
        <f t="shared" si="7"/>
        <v>0</v>
      </c>
      <c r="AQ9" s="28" t="str">
        <f t="shared" si="8"/>
        <v/>
      </c>
      <c r="AR9" s="28" t="str">
        <f t="shared" si="9"/>
        <v/>
      </c>
      <c r="AS9" s="22" t="str">
        <f t="shared" si="10"/>
        <v/>
      </c>
      <c r="AT9" s="22" t="str">
        <f t="shared" si="11"/>
        <v/>
      </c>
      <c r="AU9" s="10"/>
      <c r="AV9" s="17"/>
      <c r="AW9" s="15"/>
      <c r="AX9" s="26"/>
      <c r="AY9" s="10"/>
      <c r="AZ9" s="12"/>
      <c r="BA9" s="12"/>
      <c r="BB9" s="15"/>
      <c r="BC9" s="15"/>
      <c r="BD9" s="10"/>
      <c r="BE9" s="21" t="str">
        <f>IF(COUNTA(AV9:BC9)=0,"",IF(AV9="","E_MISSING_INPUT",IF(AV9="TIMESTAMP",IF(OR(AW9="",AX9="",AY9=""),"E_MISSING_INPUT",IF(OR(NOT(ISNUMBER(AW9)),NOT(ISNUMBER(AX9))),"E_INVALID_DATE",IF(OR(AW9&lt;&gt;INT(AW9),AX9&lt;0,AX9&gt;=1),"E_INVALID_DATE",IF(ISNA(MATCH(AY9,nLIST_Offset,0)),"E_INVALID_UNIT","")))),IF(AV9="DATE",IF(AW9="","E_MISSING_INPUT",IF(NOT(ISNUMBER(AW9)),"E_INVALID_DATE",IF(AW9&lt;&gt;INT(AW9),"E_INVALID_DATE",""))),IF(AV9="MONTH",IF(OR(AZ9="",BA9=""),"E_MISSING_INPUT",IF(OR(NOT(ISNUMBER(AZ9)),NOT(ISNUMBER(BA9))),"E_INVALID_DATE",IF(OR(AZ9&lt;1900,AZ9&gt;9999,AZ9&lt;&gt;INT(AZ9),BA9&lt;1,BA9&gt;12,BA9&lt;&gt;INT(BA9)),"E_INVALID_DATE",""))),IF(AV9="YEAR",IF(AZ9="","E_MISSING_INPUT",IF(NOT(ISNUMBER(AZ9)),"E_INVALID_DATE",IF(OR(AZ9&lt;1900,AZ9&gt;9999,AZ9&lt;&gt;INT(AZ9)),"E_INVALID_DATE",""))),IF(AV9="RANGE",IF(OR(BB9="",BC9=""),"E_MISSING_INPUT",IF(OR(NOT(ISNUMBER(BB9)),NOT(ISNUMBER(BC9))),"E_INVALID_DATE",IF(OR(BB9&lt;&gt;INT(BB9),BC9&lt;&gt;INT(BC9)),"E_INVALID_DATE",IF(BB9&gt;BC9,"E_REVERSED_BOUNDS","")))),"E_INVALID_UNIT")))))))</f>
        <v/>
      </c>
      <c r="BF9" s="22">
        <f t="shared" si="12"/>
        <v>0</v>
      </c>
      <c r="BG9" s="22">
        <f t="shared" si="13"/>
        <v>0</v>
      </c>
      <c r="BH9" s="28" t="str">
        <f t="shared" si="14"/>
        <v/>
      </c>
      <c r="BI9" s="28" t="str">
        <f t="shared" si="15"/>
        <v/>
      </c>
      <c r="BJ9" s="22" t="str">
        <f t="shared" si="16"/>
        <v/>
      </c>
      <c r="BK9" s="22" t="str">
        <f t="shared" si="17"/>
        <v/>
      </c>
      <c r="BL9" s="21" t="str">
        <f t="shared" si="18"/>
        <v/>
      </c>
      <c r="BM9" s="22">
        <f>IF(BL9="",0,COUNTIF(nEXP_Key,BL9))</f>
        <v>0</v>
      </c>
      <c r="BN9" s="21" t="str">
        <f t="shared" si="19"/>
        <v/>
      </c>
      <c r="BO9" s="21" t="str">
        <f>IF(BN9="","",BN9&amp;": "&amp;SUBSTITUTE(IFERROR(INDEX(nMSG_Text,MATCH(BN9,nMSG_Code,0)),""),"[input]",IF(D9="","an Exposure_Episode_ID","the date fields required by the selected precision")))</f>
        <v/>
      </c>
    </row>
    <row r="10" spans="1:67" x14ac:dyDescent="0.2">
      <c r="A10" s="10"/>
      <c r="B10" s="12"/>
      <c r="C10" s="10"/>
      <c r="D10" s="10"/>
      <c r="E10" s="10"/>
      <c r="F10" s="17"/>
      <c r="G10" s="10"/>
      <c r="H10" s="17"/>
      <c r="I10" s="17"/>
      <c r="J10" s="10"/>
      <c r="K10" s="17"/>
      <c r="L10" s="10"/>
      <c r="M10" s="10"/>
      <c r="N10" s="17"/>
      <c r="O10" s="15"/>
      <c r="P10" s="26"/>
      <c r="Q10" s="10"/>
      <c r="R10" s="12"/>
      <c r="S10" s="12"/>
      <c r="T10" s="15"/>
      <c r="U10" s="15"/>
      <c r="V10" s="10"/>
      <c r="W10" s="21" t="str">
        <f>IF(COUNTA(N10:U10)=0,"",IF(N10="","E_MISSING_INPUT",IF(N10="TIMESTAMP",IF(OR(O10="",P10="",Q10=""),"E_MISSING_INPUT",IF(OR(NOT(ISNUMBER(O10)),NOT(ISNUMBER(P10))),"E_INVALID_DATE",IF(OR(O10&lt;&gt;INT(O10),P10&lt;0,P10&gt;=1),"E_INVALID_DATE",IF(ISNA(MATCH(Q10,nLIST_Offset,0)),"E_INVALID_UNIT","")))),IF(N10="DATE",IF(O10="","E_MISSING_INPUT",IF(NOT(ISNUMBER(O10)),"E_INVALID_DATE",IF(O10&lt;&gt;INT(O10),"E_INVALID_DATE",""))),IF(N10="MONTH",IF(OR(R10="",S10=""),"E_MISSING_INPUT",IF(OR(NOT(ISNUMBER(R10)),NOT(ISNUMBER(S10))),"E_INVALID_DATE",IF(OR(R10&lt;1900,R10&gt;9999,R10&lt;&gt;INT(R10),S10&lt;1,S10&gt;12,S10&lt;&gt;INT(S10)),"E_INVALID_DATE",""))),IF(N10="YEAR",IF(R10="","E_MISSING_INPUT",IF(NOT(ISNUMBER(R10)),"E_INVALID_DATE",IF(OR(R10&lt;1900,R10&gt;9999,R10&lt;&gt;INT(R10)),"E_INVALID_DATE",""))),IF(N10="RANGE",IF(OR(T10="",U10=""),"E_MISSING_INPUT",IF(OR(NOT(ISNUMBER(T10)),NOT(ISNUMBER(U10))),"E_INVALID_DATE",IF(OR(T10&lt;&gt;INT(T10),U10&lt;&gt;INT(U10)),"E_INVALID_DATE",IF(T10&gt;U10,"E_REVERSED_BOUNDS","")))),"E_INVALID_UNIT")))))))</f>
        <v/>
      </c>
      <c r="X10" s="22">
        <f t="shared" si="0"/>
        <v>0</v>
      </c>
      <c r="Y10" s="22">
        <f t="shared" si="1"/>
        <v>0</v>
      </c>
      <c r="Z10" s="28" t="str">
        <f t="shared" si="2"/>
        <v/>
      </c>
      <c r="AA10" s="28" t="str">
        <f t="shared" si="3"/>
        <v/>
      </c>
      <c r="AB10" s="22" t="str">
        <f t="shared" si="4"/>
        <v/>
      </c>
      <c r="AC10" s="22" t="str">
        <f t="shared" si="5"/>
        <v/>
      </c>
      <c r="AD10" s="10"/>
      <c r="AE10" s="17"/>
      <c r="AF10" s="15"/>
      <c r="AG10" s="26"/>
      <c r="AH10" s="10"/>
      <c r="AI10" s="12"/>
      <c r="AJ10" s="12"/>
      <c r="AK10" s="15"/>
      <c r="AL10" s="15"/>
      <c r="AM10" s="10"/>
      <c r="AN10" s="21" t="str">
        <f>IF(COUNTA(AE10:AL10)=0,"",IF(AE10="","E_MISSING_INPUT",IF(AE10="TIMESTAMP",IF(OR(AF10="",AG10="",AH10=""),"E_MISSING_INPUT",IF(OR(NOT(ISNUMBER(AF10)),NOT(ISNUMBER(AG10))),"E_INVALID_DATE",IF(OR(AF10&lt;&gt;INT(AF10),AG10&lt;0,AG10&gt;=1),"E_INVALID_DATE",IF(ISNA(MATCH(AH10,nLIST_Offset,0)),"E_INVALID_UNIT","")))),IF(AE10="DATE",IF(AF10="","E_MISSING_INPUT",IF(NOT(ISNUMBER(AF10)),"E_INVALID_DATE",IF(AF10&lt;&gt;INT(AF10),"E_INVALID_DATE",""))),IF(AE10="MONTH",IF(OR(AI10="",AJ10=""),"E_MISSING_INPUT",IF(OR(NOT(ISNUMBER(AI10)),NOT(ISNUMBER(AJ10))),"E_INVALID_DATE",IF(OR(AI10&lt;1900,AI10&gt;9999,AI10&lt;&gt;INT(AI10),AJ10&lt;1,AJ10&gt;12,AJ10&lt;&gt;INT(AJ10)),"E_INVALID_DATE",""))),IF(AE10="YEAR",IF(AI10="","E_MISSING_INPUT",IF(NOT(ISNUMBER(AI10)),"E_INVALID_DATE",IF(OR(AI10&lt;1900,AI10&gt;9999,AI10&lt;&gt;INT(AI10)),"E_INVALID_DATE",""))),IF(AE10="RANGE",IF(OR(AK10="",AL10=""),"E_MISSING_INPUT",IF(OR(NOT(ISNUMBER(AK10)),NOT(ISNUMBER(AL10))),"E_INVALID_DATE",IF(OR(AK10&lt;&gt;INT(AK10),AL10&lt;&gt;INT(AL10)),"E_INVALID_DATE",IF(AK10&gt;AL10,"E_REVERSED_BOUNDS","")))),"E_INVALID_UNIT")))))))</f>
        <v/>
      </c>
      <c r="AO10" s="22">
        <f t="shared" si="6"/>
        <v>0</v>
      </c>
      <c r="AP10" s="22">
        <f t="shared" si="7"/>
        <v>0</v>
      </c>
      <c r="AQ10" s="28" t="str">
        <f t="shared" si="8"/>
        <v/>
      </c>
      <c r="AR10" s="28" t="str">
        <f t="shared" si="9"/>
        <v/>
      </c>
      <c r="AS10" s="22" t="str">
        <f t="shared" si="10"/>
        <v/>
      </c>
      <c r="AT10" s="22" t="str">
        <f t="shared" si="11"/>
        <v/>
      </c>
      <c r="AU10" s="10"/>
      <c r="AV10" s="17"/>
      <c r="AW10" s="15"/>
      <c r="AX10" s="26"/>
      <c r="AY10" s="10"/>
      <c r="AZ10" s="12"/>
      <c r="BA10" s="12"/>
      <c r="BB10" s="15"/>
      <c r="BC10" s="15"/>
      <c r="BD10" s="10"/>
      <c r="BE10" s="21" t="str">
        <f>IF(COUNTA(AV10:BC10)=0,"",IF(AV10="","E_MISSING_INPUT",IF(AV10="TIMESTAMP",IF(OR(AW10="",AX10="",AY10=""),"E_MISSING_INPUT",IF(OR(NOT(ISNUMBER(AW10)),NOT(ISNUMBER(AX10))),"E_INVALID_DATE",IF(OR(AW10&lt;&gt;INT(AW10),AX10&lt;0,AX10&gt;=1),"E_INVALID_DATE",IF(ISNA(MATCH(AY10,nLIST_Offset,0)),"E_INVALID_UNIT","")))),IF(AV10="DATE",IF(AW10="","E_MISSING_INPUT",IF(NOT(ISNUMBER(AW10)),"E_INVALID_DATE",IF(AW10&lt;&gt;INT(AW10),"E_INVALID_DATE",""))),IF(AV10="MONTH",IF(OR(AZ10="",BA10=""),"E_MISSING_INPUT",IF(OR(NOT(ISNUMBER(AZ10)),NOT(ISNUMBER(BA10))),"E_INVALID_DATE",IF(OR(AZ10&lt;1900,AZ10&gt;9999,AZ10&lt;&gt;INT(AZ10),BA10&lt;1,BA10&gt;12,BA10&lt;&gt;INT(BA10)),"E_INVALID_DATE",""))),IF(AV10="YEAR",IF(AZ10="","E_MISSING_INPUT",IF(NOT(ISNUMBER(AZ10)),"E_INVALID_DATE",IF(OR(AZ10&lt;1900,AZ10&gt;9999,AZ10&lt;&gt;INT(AZ10)),"E_INVALID_DATE",""))),IF(AV10="RANGE",IF(OR(BB10="",BC10=""),"E_MISSING_INPUT",IF(OR(NOT(ISNUMBER(BB10)),NOT(ISNUMBER(BC10))),"E_INVALID_DATE",IF(OR(BB10&lt;&gt;INT(BB10),BC10&lt;&gt;INT(BC10)),"E_INVALID_DATE",IF(BB10&gt;BC10,"E_REVERSED_BOUNDS","")))),"E_INVALID_UNIT")))))))</f>
        <v/>
      </c>
      <c r="BF10" s="22">
        <f t="shared" si="12"/>
        <v>0</v>
      </c>
      <c r="BG10" s="22">
        <f t="shared" si="13"/>
        <v>0</v>
      </c>
      <c r="BH10" s="28" t="str">
        <f t="shared" si="14"/>
        <v/>
      </c>
      <c r="BI10" s="28" t="str">
        <f t="shared" si="15"/>
        <v/>
      </c>
      <c r="BJ10" s="22" t="str">
        <f t="shared" si="16"/>
        <v/>
      </c>
      <c r="BK10" s="22" t="str">
        <f t="shared" si="17"/>
        <v/>
      </c>
      <c r="BL10" s="21" t="str">
        <f t="shared" si="18"/>
        <v/>
      </c>
      <c r="BM10" s="22">
        <f>IF(BL10="",0,COUNTIF(nEXP_Key,BL10))</f>
        <v>0</v>
      </c>
      <c r="BN10" s="21" t="str">
        <f t="shared" si="19"/>
        <v/>
      </c>
      <c r="BO10" s="21" t="str">
        <f>IF(BN10="","",BN10&amp;": "&amp;SUBSTITUTE(IFERROR(INDEX(nMSG_Text,MATCH(BN10,nMSG_Code,0)),""),"[input]",IF(D10="","an Exposure_Episode_ID","the date fields required by the selected precision")))</f>
        <v/>
      </c>
    </row>
    <row r="11" spans="1:67" x14ac:dyDescent="0.2">
      <c r="A11" s="10"/>
      <c r="B11" s="12"/>
      <c r="C11" s="10"/>
      <c r="D11" s="10"/>
      <c r="E11" s="10"/>
      <c r="F11" s="17"/>
      <c r="G11" s="10"/>
      <c r="H11" s="17"/>
      <c r="I11" s="17"/>
      <c r="J11" s="10"/>
      <c r="K11" s="17"/>
      <c r="L11" s="10"/>
      <c r="M11" s="10"/>
      <c r="N11" s="17"/>
      <c r="O11" s="15"/>
      <c r="P11" s="26"/>
      <c r="Q11" s="10"/>
      <c r="R11" s="12"/>
      <c r="S11" s="12"/>
      <c r="T11" s="15"/>
      <c r="U11" s="15"/>
      <c r="V11" s="10"/>
      <c r="W11" s="21" t="str">
        <f>IF(COUNTA(N11:U11)=0,"",IF(N11="","E_MISSING_INPUT",IF(N11="TIMESTAMP",IF(OR(O11="",P11="",Q11=""),"E_MISSING_INPUT",IF(OR(NOT(ISNUMBER(O11)),NOT(ISNUMBER(P11))),"E_INVALID_DATE",IF(OR(O11&lt;&gt;INT(O11),P11&lt;0,P11&gt;=1),"E_INVALID_DATE",IF(ISNA(MATCH(Q11,nLIST_Offset,0)),"E_INVALID_UNIT","")))),IF(N11="DATE",IF(O11="","E_MISSING_INPUT",IF(NOT(ISNUMBER(O11)),"E_INVALID_DATE",IF(O11&lt;&gt;INT(O11),"E_INVALID_DATE",""))),IF(N11="MONTH",IF(OR(R11="",S11=""),"E_MISSING_INPUT",IF(OR(NOT(ISNUMBER(R11)),NOT(ISNUMBER(S11))),"E_INVALID_DATE",IF(OR(R11&lt;1900,R11&gt;9999,R11&lt;&gt;INT(R11),S11&lt;1,S11&gt;12,S11&lt;&gt;INT(S11)),"E_INVALID_DATE",""))),IF(N11="YEAR",IF(R11="","E_MISSING_INPUT",IF(NOT(ISNUMBER(R11)),"E_INVALID_DATE",IF(OR(R11&lt;1900,R11&gt;9999,R11&lt;&gt;INT(R11)),"E_INVALID_DATE",""))),IF(N11="RANGE",IF(OR(T11="",U11=""),"E_MISSING_INPUT",IF(OR(NOT(ISNUMBER(T11)),NOT(ISNUMBER(U11))),"E_INVALID_DATE",IF(OR(T11&lt;&gt;INT(T11),U11&lt;&gt;INT(U11)),"E_INVALID_DATE",IF(T11&gt;U11,"E_REVERSED_BOUNDS","")))),"E_INVALID_UNIT")))))))</f>
        <v/>
      </c>
      <c r="X11" s="22">
        <f t="shared" si="0"/>
        <v>0</v>
      </c>
      <c r="Y11" s="22">
        <f t="shared" si="1"/>
        <v>0</v>
      </c>
      <c r="Z11" s="28" t="str">
        <f t="shared" si="2"/>
        <v/>
      </c>
      <c r="AA11" s="28" t="str">
        <f t="shared" si="3"/>
        <v/>
      </c>
      <c r="AB11" s="22" t="str">
        <f t="shared" si="4"/>
        <v/>
      </c>
      <c r="AC11" s="22" t="str">
        <f t="shared" si="5"/>
        <v/>
      </c>
      <c r="AD11" s="10"/>
      <c r="AE11" s="17"/>
      <c r="AF11" s="15"/>
      <c r="AG11" s="26"/>
      <c r="AH11" s="10"/>
      <c r="AI11" s="12"/>
      <c r="AJ11" s="12"/>
      <c r="AK11" s="15"/>
      <c r="AL11" s="15"/>
      <c r="AM11" s="10"/>
      <c r="AN11" s="21" t="str">
        <f>IF(COUNTA(AE11:AL11)=0,"",IF(AE11="","E_MISSING_INPUT",IF(AE11="TIMESTAMP",IF(OR(AF11="",AG11="",AH11=""),"E_MISSING_INPUT",IF(OR(NOT(ISNUMBER(AF11)),NOT(ISNUMBER(AG11))),"E_INVALID_DATE",IF(OR(AF11&lt;&gt;INT(AF11),AG11&lt;0,AG11&gt;=1),"E_INVALID_DATE",IF(ISNA(MATCH(AH11,nLIST_Offset,0)),"E_INVALID_UNIT","")))),IF(AE11="DATE",IF(AF11="","E_MISSING_INPUT",IF(NOT(ISNUMBER(AF11)),"E_INVALID_DATE",IF(AF11&lt;&gt;INT(AF11),"E_INVALID_DATE",""))),IF(AE11="MONTH",IF(OR(AI11="",AJ11=""),"E_MISSING_INPUT",IF(OR(NOT(ISNUMBER(AI11)),NOT(ISNUMBER(AJ11))),"E_INVALID_DATE",IF(OR(AI11&lt;1900,AI11&gt;9999,AI11&lt;&gt;INT(AI11),AJ11&lt;1,AJ11&gt;12,AJ11&lt;&gt;INT(AJ11)),"E_INVALID_DATE",""))),IF(AE11="YEAR",IF(AI11="","E_MISSING_INPUT",IF(NOT(ISNUMBER(AI11)),"E_INVALID_DATE",IF(OR(AI11&lt;1900,AI11&gt;9999,AI11&lt;&gt;INT(AI11)),"E_INVALID_DATE",""))),IF(AE11="RANGE",IF(OR(AK11="",AL11=""),"E_MISSING_INPUT",IF(OR(NOT(ISNUMBER(AK11)),NOT(ISNUMBER(AL11))),"E_INVALID_DATE",IF(OR(AK11&lt;&gt;INT(AK11),AL11&lt;&gt;INT(AL11)),"E_INVALID_DATE",IF(AK11&gt;AL11,"E_REVERSED_BOUNDS","")))),"E_INVALID_UNIT")))))))</f>
        <v/>
      </c>
      <c r="AO11" s="22">
        <f t="shared" si="6"/>
        <v>0</v>
      </c>
      <c r="AP11" s="22">
        <f t="shared" si="7"/>
        <v>0</v>
      </c>
      <c r="AQ11" s="28" t="str">
        <f t="shared" si="8"/>
        <v/>
      </c>
      <c r="AR11" s="28" t="str">
        <f t="shared" si="9"/>
        <v/>
      </c>
      <c r="AS11" s="22" t="str">
        <f t="shared" si="10"/>
        <v/>
      </c>
      <c r="AT11" s="22" t="str">
        <f t="shared" si="11"/>
        <v/>
      </c>
      <c r="AU11" s="10"/>
      <c r="AV11" s="17"/>
      <c r="AW11" s="15"/>
      <c r="AX11" s="26"/>
      <c r="AY11" s="10"/>
      <c r="AZ11" s="12"/>
      <c r="BA11" s="12"/>
      <c r="BB11" s="15"/>
      <c r="BC11" s="15"/>
      <c r="BD11" s="10"/>
      <c r="BE11" s="21" t="str">
        <f>IF(COUNTA(AV11:BC11)=0,"",IF(AV11="","E_MISSING_INPUT",IF(AV11="TIMESTAMP",IF(OR(AW11="",AX11="",AY11=""),"E_MISSING_INPUT",IF(OR(NOT(ISNUMBER(AW11)),NOT(ISNUMBER(AX11))),"E_INVALID_DATE",IF(OR(AW11&lt;&gt;INT(AW11),AX11&lt;0,AX11&gt;=1),"E_INVALID_DATE",IF(ISNA(MATCH(AY11,nLIST_Offset,0)),"E_INVALID_UNIT","")))),IF(AV11="DATE",IF(AW11="","E_MISSING_INPUT",IF(NOT(ISNUMBER(AW11)),"E_INVALID_DATE",IF(AW11&lt;&gt;INT(AW11),"E_INVALID_DATE",""))),IF(AV11="MONTH",IF(OR(AZ11="",BA11=""),"E_MISSING_INPUT",IF(OR(NOT(ISNUMBER(AZ11)),NOT(ISNUMBER(BA11))),"E_INVALID_DATE",IF(OR(AZ11&lt;1900,AZ11&gt;9999,AZ11&lt;&gt;INT(AZ11),BA11&lt;1,BA11&gt;12,BA11&lt;&gt;INT(BA11)),"E_INVALID_DATE",""))),IF(AV11="YEAR",IF(AZ11="","E_MISSING_INPUT",IF(NOT(ISNUMBER(AZ11)),"E_INVALID_DATE",IF(OR(AZ11&lt;1900,AZ11&gt;9999,AZ11&lt;&gt;INT(AZ11)),"E_INVALID_DATE",""))),IF(AV11="RANGE",IF(OR(BB11="",BC11=""),"E_MISSING_INPUT",IF(OR(NOT(ISNUMBER(BB11)),NOT(ISNUMBER(BC11))),"E_INVALID_DATE",IF(OR(BB11&lt;&gt;INT(BB11),BC11&lt;&gt;INT(BC11)),"E_INVALID_DATE",IF(BB11&gt;BC11,"E_REVERSED_BOUNDS","")))),"E_INVALID_UNIT")))))))</f>
        <v/>
      </c>
      <c r="BF11" s="22">
        <f t="shared" si="12"/>
        <v>0</v>
      </c>
      <c r="BG11" s="22">
        <f t="shared" si="13"/>
        <v>0</v>
      </c>
      <c r="BH11" s="28" t="str">
        <f t="shared" si="14"/>
        <v/>
      </c>
      <c r="BI11" s="28" t="str">
        <f t="shared" si="15"/>
        <v/>
      </c>
      <c r="BJ11" s="22" t="str">
        <f t="shared" si="16"/>
        <v/>
      </c>
      <c r="BK11" s="22" t="str">
        <f t="shared" si="17"/>
        <v/>
      </c>
      <c r="BL11" s="21" t="str">
        <f t="shared" si="18"/>
        <v/>
      </c>
      <c r="BM11" s="22">
        <f>IF(BL11="",0,COUNTIF(nEXP_Key,BL11))</f>
        <v>0</v>
      </c>
      <c r="BN11" s="21" t="str">
        <f t="shared" si="19"/>
        <v/>
      </c>
      <c r="BO11" s="21" t="str">
        <f>IF(BN11="","",BN11&amp;": "&amp;SUBSTITUTE(IFERROR(INDEX(nMSG_Text,MATCH(BN11,nMSG_Code,0)),""),"[input]",IF(D11="","an Exposure_Episode_ID","the date fields required by the selected precision")))</f>
        <v/>
      </c>
    </row>
    <row r="12" spans="1:67" x14ac:dyDescent="0.2">
      <c r="A12" s="10"/>
      <c r="B12" s="12"/>
      <c r="C12" s="10"/>
      <c r="D12" s="10"/>
      <c r="E12" s="10"/>
      <c r="F12" s="17"/>
      <c r="G12" s="10"/>
      <c r="H12" s="17"/>
      <c r="I12" s="17"/>
      <c r="J12" s="10"/>
      <c r="K12" s="17"/>
      <c r="L12" s="10"/>
      <c r="M12" s="10"/>
      <c r="N12" s="17"/>
      <c r="O12" s="15"/>
      <c r="P12" s="26"/>
      <c r="Q12" s="10"/>
      <c r="R12" s="12"/>
      <c r="S12" s="12"/>
      <c r="T12" s="15"/>
      <c r="U12" s="15"/>
      <c r="V12" s="10"/>
      <c r="W12" s="21" t="str">
        <f>IF(COUNTA(N12:U12)=0,"",IF(N12="","E_MISSING_INPUT",IF(N12="TIMESTAMP",IF(OR(O12="",P12="",Q12=""),"E_MISSING_INPUT",IF(OR(NOT(ISNUMBER(O12)),NOT(ISNUMBER(P12))),"E_INVALID_DATE",IF(OR(O12&lt;&gt;INT(O12),P12&lt;0,P12&gt;=1),"E_INVALID_DATE",IF(ISNA(MATCH(Q12,nLIST_Offset,0)),"E_INVALID_UNIT","")))),IF(N12="DATE",IF(O12="","E_MISSING_INPUT",IF(NOT(ISNUMBER(O12)),"E_INVALID_DATE",IF(O12&lt;&gt;INT(O12),"E_INVALID_DATE",""))),IF(N12="MONTH",IF(OR(R12="",S12=""),"E_MISSING_INPUT",IF(OR(NOT(ISNUMBER(R12)),NOT(ISNUMBER(S12))),"E_INVALID_DATE",IF(OR(R12&lt;1900,R12&gt;9999,R12&lt;&gt;INT(R12),S12&lt;1,S12&gt;12,S12&lt;&gt;INT(S12)),"E_INVALID_DATE",""))),IF(N12="YEAR",IF(R12="","E_MISSING_INPUT",IF(NOT(ISNUMBER(R12)),"E_INVALID_DATE",IF(OR(R12&lt;1900,R12&gt;9999,R12&lt;&gt;INT(R12)),"E_INVALID_DATE",""))),IF(N12="RANGE",IF(OR(T12="",U12=""),"E_MISSING_INPUT",IF(OR(NOT(ISNUMBER(T12)),NOT(ISNUMBER(U12))),"E_INVALID_DATE",IF(OR(T12&lt;&gt;INT(T12),U12&lt;&gt;INT(U12)),"E_INVALID_DATE",IF(T12&gt;U12,"E_REVERSED_BOUNDS","")))),"E_INVALID_UNIT")))))))</f>
        <v/>
      </c>
      <c r="X12" s="22">
        <f t="shared" si="0"/>
        <v>0</v>
      </c>
      <c r="Y12" s="22">
        <f t="shared" si="1"/>
        <v>0</v>
      </c>
      <c r="Z12" s="28" t="str">
        <f t="shared" si="2"/>
        <v/>
      </c>
      <c r="AA12" s="28" t="str">
        <f t="shared" si="3"/>
        <v/>
      </c>
      <c r="AB12" s="22" t="str">
        <f t="shared" si="4"/>
        <v/>
      </c>
      <c r="AC12" s="22" t="str">
        <f t="shared" si="5"/>
        <v/>
      </c>
      <c r="AD12" s="10"/>
      <c r="AE12" s="17"/>
      <c r="AF12" s="15"/>
      <c r="AG12" s="26"/>
      <c r="AH12" s="10"/>
      <c r="AI12" s="12"/>
      <c r="AJ12" s="12"/>
      <c r="AK12" s="15"/>
      <c r="AL12" s="15"/>
      <c r="AM12" s="10"/>
      <c r="AN12" s="21" t="str">
        <f>IF(COUNTA(AE12:AL12)=0,"",IF(AE12="","E_MISSING_INPUT",IF(AE12="TIMESTAMP",IF(OR(AF12="",AG12="",AH12=""),"E_MISSING_INPUT",IF(OR(NOT(ISNUMBER(AF12)),NOT(ISNUMBER(AG12))),"E_INVALID_DATE",IF(OR(AF12&lt;&gt;INT(AF12),AG12&lt;0,AG12&gt;=1),"E_INVALID_DATE",IF(ISNA(MATCH(AH12,nLIST_Offset,0)),"E_INVALID_UNIT","")))),IF(AE12="DATE",IF(AF12="","E_MISSING_INPUT",IF(NOT(ISNUMBER(AF12)),"E_INVALID_DATE",IF(AF12&lt;&gt;INT(AF12),"E_INVALID_DATE",""))),IF(AE12="MONTH",IF(OR(AI12="",AJ12=""),"E_MISSING_INPUT",IF(OR(NOT(ISNUMBER(AI12)),NOT(ISNUMBER(AJ12))),"E_INVALID_DATE",IF(OR(AI12&lt;1900,AI12&gt;9999,AI12&lt;&gt;INT(AI12),AJ12&lt;1,AJ12&gt;12,AJ12&lt;&gt;INT(AJ12)),"E_INVALID_DATE",""))),IF(AE12="YEAR",IF(AI12="","E_MISSING_INPUT",IF(NOT(ISNUMBER(AI12)),"E_INVALID_DATE",IF(OR(AI12&lt;1900,AI12&gt;9999,AI12&lt;&gt;INT(AI12)),"E_INVALID_DATE",""))),IF(AE12="RANGE",IF(OR(AK12="",AL12=""),"E_MISSING_INPUT",IF(OR(NOT(ISNUMBER(AK12)),NOT(ISNUMBER(AL12))),"E_INVALID_DATE",IF(OR(AK12&lt;&gt;INT(AK12),AL12&lt;&gt;INT(AL12)),"E_INVALID_DATE",IF(AK12&gt;AL12,"E_REVERSED_BOUNDS","")))),"E_INVALID_UNIT")))))))</f>
        <v/>
      </c>
      <c r="AO12" s="22">
        <f t="shared" si="6"/>
        <v>0</v>
      </c>
      <c r="AP12" s="22">
        <f t="shared" si="7"/>
        <v>0</v>
      </c>
      <c r="AQ12" s="28" t="str">
        <f t="shared" si="8"/>
        <v/>
      </c>
      <c r="AR12" s="28" t="str">
        <f t="shared" si="9"/>
        <v/>
      </c>
      <c r="AS12" s="22" t="str">
        <f t="shared" si="10"/>
        <v/>
      </c>
      <c r="AT12" s="22" t="str">
        <f t="shared" si="11"/>
        <v/>
      </c>
      <c r="AU12" s="10"/>
      <c r="AV12" s="17"/>
      <c r="AW12" s="15"/>
      <c r="AX12" s="26"/>
      <c r="AY12" s="10"/>
      <c r="AZ12" s="12"/>
      <c r="BA12" s="12"/>
      <c r="BB12" s="15"/>
      <c r="BC12" s="15"/>
      <c r="BD12" s="10"/>
      <c r="BE12" s="21" t="str">
        <f>IF(COUNTA(AV12:BC12)=0,"",IF(AV12="","E_MISSING_INPUT",IF(AV12="TIMESTAMP",IF(OR(AW12="",AX12="",AY12=""),"E_MISSING_INPUT",IF(OR(NOT(ISNUMBER(AW12)),NOT(ISNUMBER(AX12))),"E_INVALID_DATE",IF(OR(AW12&lt;&gt;INT(AW12),AX12&lt;0,AX12&gt;=1),"E_INVALID_DATE",IF(ISNA(MATCH(AY12,nLIST_Offset,0)),"E_INVALID_UNIT","")))),IF(AV12="DATE",IF(AW12="","E_MISSING_INPUT",IF(NOT(ISNUMBER(AW12)),"E_INVALID_DATE",IF(AW12&lt;&gt;INT(AW12),"E_INVALID_DATE",""))),IF(AV12="MONTH",IF(OR(AZ12="",BA12=""),"E_MISSING_INPUT",IF(OR(NOT(ISNUMBER(AZ12)),NOT(ISNUMBER(BA12))),"E_INVALID_DATE",IF(OR(AZ12&lt;1900,AZ12&gt;9999,AZ12&lt;&gt;INT(AZ12),BA12&lt;1,BA12&gt;12,BA12&lt;&gt;INT(BA12)),"E_INVALID_DATE",""))),IF(AV12="YEAR",IF(AZ12="","E_MISSING_INPUT",IF(NOT(ISNUMBER(AZ12)),"E_INVALID_DATE",IF(OR(AZ12&lt;1900,AZ12&gt;9999,AZ12&lt;&gt;INT(AZ12)),"E_INVALID_DATE",""))),IF(AV12="RANGE",IF(OR(BB12="",BC12=""),"E_MISSING_INPUT",IF(OR(NOT(ISNUMBER(BB12)),NOT(ISNUMBER(BC12))),"E_INVALID_DATE",IF(OR(BB12&lt;&gt;INT(BB12),BC12&lt;&gt;INT(BC12)),"E_INVALID_DATE",IF(BB12&gt;BC12,"E_REVERSED_BOUNDS","")))),"E_INVALID_UNIT")))))))</f>
        <v/>
      </c>
      <c r="BF12" s="22">
        <f t="shared" si="12"/>
        <v>0</v>
      </c>
      <c r="BG12" s="22">
        <f t="shared" si="13"/>
        <v>0</v>
      </c>
      <c r="BH12" s="28" t="str">
        <f t="shared" si="14"/>
        <v/>
      </c>
      <c r="BI12" s="28" t="str">
        <f t="shared" si="15"/>
        <v/>
      </c>
      <c r="BJ12" s="22" t="str">
        <f t="shared" si="16"/>
        <v/>
      </c>
      <c r="BK12" s="22" t="str">
        <f t="shared" si="17"/>
        <v/>
      </c>
      <c r="BL12" s="21" t="str">
        <f t="shared" si="18"/>
        <v/>
      </c>
      <c r="BM12" s="22">
        <f>IF(BL12="",0,COUNTIF(nEXP_Key,BL12))</f>
        <v>0</v>
      </c>
      <c r="BN12" s="21" t="str">
        <f t="shared" si="19"/>
        <v/>
      </c>
      <c r="BO12" s="21" t="str">
        <f>IF(BN12="","",BN12&amp;": "&amp;SUBSTITUTE(IFERROR(INDEX(nMSG_Text,MATCH(BN12,nMSG_Code,0)),""),"[input]",IF(D12="","an Exposure_Episode_ID","the date fields required by the selected precision")))</f>
        <v/>
      </c>
    </row>
    <row r="13" spans="1:67" x14ac:dyDescent="0.2">
      <c r="A13" s="10"/>
      <c r="B13" s="12"/>
      <c r="C13" s="10"/>
      <c r="D13" s="10"/>
      <c r="E13" s="10"/>
      <c r="F13" s="17"/>
      <c r="G13" s="10"/>
      <c r="H13" s="17"/>
      <c r="I13" s="17"/>
      <c r="J13" s="10"/>
      <c r="K13" s="17"/>
      <c r="L13" s="10"/>
      <c r="M13" s="10"/>
      <c r="N13" s="17"/>
      <c r="O13" s="15"/>
      <c r="P13" s="26"/>
      <c r="Q13" s="10"/>
      <c r="R13" s="12"/>
      <c r="S13" s="12"/>
      <c r="T13" s="15"/>
      <c r="U13" s="15"/>
      <c r="V13" s="10"/>
      <c r="W13" s="21" t="str">
        <f>IF(COUNTA(N13:U13)=0,"",IF(N13="","E_MISSING_INPUT",IF(N13="TIMESTAMP",IF(OR(O13="",P13="",Q13=""),"E_MISSING_INPUT",IF(OR(NOT(ISNUMBER(O13)),NOT(ISNUMBER(P13))),"E_INVALID_DATE",IF(OR(O13&lt;&gt;INT(O13),P13&lt;0,P13&gt;=1),"E_INVALID_DATE",IF(ISNA(MATCH(Q13,nLIST_Offset,0)),"E_INVALID_UNIT","")))),IF(N13="DATE",IF(O13="","E_MISSING_INPUT",IF(NOT(ISNUMBER(O13)),"E_INVALID_DATE",IF(O13&lt;&gt;INT(O13),"E_INVALID_DATE",""))),IF(N13="MONTH",IF(OR(R13="",S13=""),"E_MISSING_INPUT",IF(OR(NOT(ISNUMBER(R13)),NOT(ISNUMBER(S13))),"E_INVALID_DATE",IF(OR(R13&lt;1900,R13&gt;9999,R13&lt;&gt;INT(R13),S13&lt;1,S13&gt;12,S13&lt;&gt;INT(S13)),"E_INVALID_DATE",""))),IF(N13="YEAR",IF(R13="","E_MISSING_INPUT",IF(NOT(ISNUMBER(R13)),"E_INVALID_DATE",IF(OR(R13&lt;1900,R13&gt;9999,R13&lt;&gt;INT(R13)),"E_INVALID_DATE",""))),IF(N13="RANGE",IF(OR(T13="",U13=""),"E_MISSING_INPUT",IF(OR(NOT(ISNUMBER(T13)),NOT(ISNUMBER(U13))),"E_INVALID_DATE",IF(OR(T13&lt;&gt;INT(T13),U13&lt;&gt;INT(U13)),"E_INVALID_DATE",IF(T13&gt;U13,"E_REVERSED_BOUNDS","")))),"E_INVALID_UNIT")))))))</f>
        <v/>
      </c>
      <c r="X13" s="22">
        <f t="shared" si="0"/>
        <v>0</v>
      </c>
      <c r="Y13" s="22">
        <f t="shared" si="1"/>
        <v>0</v>
      </c>
      <c r="Z13" s="28" t="str">
        <f t="shared" si="2"/>
        <v/>
      </c>
      <c r="AA13" s="28" t="str">
        <f t="shared" si="3"/>
        <v/>
      </c>
      <c r="AB13" s="22" t="str">
        <f t="shared" si="4"/>
        <v/>
      </c>
      <c r="AC13" s="22" t="str">
        <f t="shared" si="5"/>
        <v/>
      </c>
      <c r="AD13" s="10"/>
      <c r="AE13" s="17"/>
      <c r="AF13" s="15"/>
      <c r="AG13" s="26"/>
      <c r="AH13" s="10"/>
      <c r="AI13" s="12"/>
      <c r="AJ13" s="12"/>
      <c r="AK13" s="15"/>
      <c r="AL13" s="15"/>
      <c r="AM13" s="10"/>
      <c r="AN13" s="21" t="str">
        <f>IF(COUNTA(AE13:AL13)=0,"",IF(AE13="","E_MISSING_INPUT",IF(AE13="TIMESTAMP",IF(OR(AF13="",AG13="",AH13=""),"E_MISSING_INPUT",IF(OR(NOT(ISNUMBER(AF13)),NOT(ISNUMBER(AG13))),"E_INVALID_DATE",IF(OR(AF13&lt;&gt;INT(AF13),AG13&lt;0,AG13&gt;=1),"E_INVALID_DATE",IF(ISNA(MATCH(AH13,nLIST_Offset,0)),"E_INVALID_UNIT","")))),IF(AE13="DATE",IF(AF13="","E_MISSING_INPUT",IF(NOT(ISNUMBER(AF13)),"E_INVALID_DATE",IF(AF13&lt;&gt;INT(AF13),"E_INVALID_DATE",""))),IF(AE13="MONTH",IF(OR(AI13="",AJ13=""),"E_MISSING_INPUT",IF(OR(NOT(ISNUMBER(AI13)),NOT(ISNUMBER(AJ13))),"E_INVALID_DATE",IF(OR(AI13&lt;1900,AI13&gt;9999,AI13&lt;&gt;INT(AI13),AJ13&lt;1,AJ13&gt;12,AJ13&lt;&gt;INT(AJ13)),"E_INVALID_DATE",""))),IF(AE13="YEAR",IF(AI13="","E_MISSING_INPUT",IF(NOT(ISNUMBER(AI13)),"E_INVALID_DATE",IF(OR(AI13&lt;1900,AI13&gt;9999,AI13&lt;&gt;INT(AI13)),"E_INVALID_DATE",""))),IF(AE13="RANGE",IF(OR(AK13="",AL13=""),"E_MISSING_INPUT",IF(OR(NOT(ISNUMBER(AK13)),NOT(ISNUMBER(AL13))),"E_INVALID_DATE",IF(OR(AK13&lt;&gt;INT(AK13),AL13&lt;&gt;INT(AL13)),"E_INVALID_DATE",IF(AK13&gt;AL13,"E_REVERSED_BOUNDS","")))),"E_INVALID_UNIT")))))))</f>
        <v/>
      </c>
      <c r="AO13" s="22">
        <f t="shared" si="6"/>
        <v>0</v>
      </c>
      <c r="AP13" s="22">
        <f t="shared" si="7"/>
        <v>0</v>
      </c>
      <c r="AQ13" s="28" t="str">
        <f t="shared" si="8"/>
        <v/>
      </c>
      <c r="AR13" s="28" t="str">
        <f t="shared" si="9"/>
        <v/>
      </c>
      <c r="AS13" s="22" t="str">
        <f t="shared" si="10"/>
        <v/>
      </c>
      <c r="AT13" s="22" t="str">
        <f t="shared" si="11"/>
        <v/>
      </c>
      <c r="AU13" s="10"/>
      <c r="AV13" s="17"/>
      <c r="AW13" s="15"/>
      <c r="AX13" s="26"/>
      <c r="AY13" s="10"/>
      <c r="AZ13" s="12"/>
      <c r="BA13" s="12"/>
      <c r="BB13" s="15"/>
      <c r="BC13" s="15"/>
      <c r="BD13" s="10"/>
      <c r="BE13" s="21" t="str">
        <f>IF(COUNTA(AV13:BC13)=0,"",IF(AV13="","E_MISSING_INPUT",IF(AV13="TIMESTAMP",IF(OR(AW13="",AX13="",AY13=""),"E_MISSING_INPUT",IF(OR(NOT(ISNUMBER(AW13)),NOT(ISNUMBER(AX13))),"E_INVALID_DATE",IF(OR(AW13&lt;&gt;INT(AW13),AX13&lt;0,AX13&gt;=1),"E_INVALID_DATE",IF(ISNA(MATCH(AY13,nLIST_Offset,0)),"E_INVALID_UNIT","")))),IF(AV13="DATE",IF(AW13="","E_MISSING_INPUT",IF(NOT(ISNUMBER(AW13)),"E_INVALID_DATE",IF(AW13&lt;&gt;INT(AW13),"E_INVALID_DATE",""))),IF(AV13="MONTH",IF(OR(AZ13="",BA13=""),"E_MISSING_INPUT",IF(OR(NOT(ISNUMBER(AZ13)),NOT(ISNUMBER(BA13))),"E_INVALID_DATE",IF(OR(AZ13&lt;1900,AZ13&gt;9999,AZ13&lt;&gt;INT(AZ13),BA13&lt;1,BA13&gt;12,BA13&lt;&gt;INT(BA13)),"E_INVALID_DATE",""))),IF(AV13="YEAR",IF(AZ13="","E_MISSING_INPUT",IF(NOT(ISNUMBER(AZ13)),"E_INVALID_DATE",IF(OR(AZ13&lt;1900,AZ13&gt;9999,AZ13&lt;&gt;INT(AZ13)),"E_INVALID_DATE",""))),IF(AV13="RANGE",IF(OR(BB13="",BC13=""),"E_MISSING_INPUT",IF(OR(NOT(ISNUMBER(BB13)),NOT(ISNUMBER(BC13))),"E_INVALID_DATE",IF(OR(BB13&lt;&gt;INT(BB13),BC13&lt;&gt;INT(BC13)),"E_INVALID_DATE",IF(BB13&gt;BC13,"E_REVERSED_BOUNDS","")))),"E_INVALID_UNIT")))))))</f>
        <v/>
      </c>
      <c r="BF13" s="22">
        <f t="shared" si="12"/>
        <v>0</v>
      </c>
      <c r="BG13" s="22">
        <f t="shared" si="13"/>
        <v>0</v>
      </c>
      <c r="BH13" s="28" t="str">
        <f t="shared" si="14"/>
        <v/>
      </c>
      <c r="BI13" s="28" t="str">
        <f t="shared" si="15"/>
        <v/>
      </c>
      <c r="BJ13" s="22" t="str">
        <f t="shared" si="16"/>
        <v/>
      </c>
      <c r="BK13" s="22" t="str">
        <f t="shared" si="17"/>
        <v/>
      </c>
      <c r="BL13" s="21" t="str">
        <f t="shared" si="18"/>
        <v/>
      </c>
      <c r="BM13" s="22">
        <f>IF(BL13="",0,COUNTIF(nEXP_Key,BL13))</f>
        <v>0</v>
      </c>
      <c r="BN13" s="21" t="str">
        <f t="shared" si="19"/>
        <v/>
      </c>
      <c r="BO13" s="21" t="str">
        <f>IF(BN13="","",BN13&amp;": "&amp;SUBSTITUTE(IFERROR(INDEX(nMSG_Text,MATCH(BN13,nMSG_Code,0)),""),"[input]",IF(D13="","an Exposure_Episode_ID","the date fields required by the selected precision")))</f>
        <v/>
      </c>
    </row>
    <row r="14" spans="1:67" x14ac:dyDescent="0.2">
      <c r="A14" s="10"/>
      <c r="B14" s="12"/>
      <c r="C14" s="10"/>
      <c r="D14" s="10"/>
      <c r="E14" s="10"/>
      <c r="F14" s="17"/>
      <c r="G14" s="10"/>
      <c r="H14" s="17"/>
      <c r="I14" s="17"/>
      <c r="J14" s="10"/>
      <c r="K14" s="17"/>
      <c r="L14" s="10"/>
      <c r="M14" s="10"/>
      <c r="N14" s="17"/>
      <c r="O14" s="15"/>
      <c r="P14" s="26"/>
      <c r="Q14" s="10"/>
      <c r="R14" s="12"/>
      <c r="S14" s="12"/>
      <c r="T14" s="15"/>
      <c r="U14" s="15"/>
      <c r="V14" s="10"/>
      <c r="W14" s="21" t="str">
        <f>IF(COUNTA(N14:U14)=0,"",IF(N14="","E_MISSING_INPUT",IF(N14="TIMESTAMP",IF(OR(O14="",P14="",Q14=""),"E_MISSING_INPUT",IF(OR(NOT(ISNUMBER(O14)),NOT(ISNUMBER(P14))),"E_INVALID_DATE",IF(OR(O14&lt;&gt;INT(O14),P14&lt;0,P14&gt;=1),"E_INVALID_DATE",IF(ISNA(MATCH(Q14,nLIST_Offset,0)),"E_INVALID_UNIT","")))),IF(N14="DATE",IF(O14="","E_MISSING_INPUT",IF(NOT(ISNUMBER(O14)),"E_INVALID_DATE",IF(O14&lt;&gt;INT(O14),"E_INVALID_DATE",""))),IF(N14="MONTH",IF(OR(R14="",S14=""),"E_MISSING_INPUT",IF(OR(NOT(ISNUMBER(R14)),NOT(ISNUMBER(S14))),"E_INVALID_DATE",IF(OR(R14&lt;1900,R14&gt;9999,R14&lt;&gt;INT(R14),S14&lt;1,S14&gt;12,S14&lt;&gt;INT(S14)),"E_INVALID_DATE",""))),IF(N14="YEAR",IF(R14="","E_MISSING_INPUT",IF(NOT(ISNUMBER(R14)),"E_INVALID_DATE",IF(OR(R14&lt;1900,R14&gt;9999,R14&lt;&gt;INT(R14)),"E_INVALID_DATE",""))),IF(N14="RANGE",IF(OR(T14="",U14=""),"E_MISSING_INPUT",IF(OR(NOT(ISNUMBER(T14)),NOT(ISNUMBER(U14))),"E_INVALID_DATE",IF(OR(T14&lt;&gt;INT(T14),U14&lt;&gt;INT(U14)),"E_INVALID_DATE",IF(T14&gt;U14,"E_REVERSED_BOUNDS","")))),"E_INVALID_UNIT")))))))</f>
        <v/>
      </c>
      <c r="X14" s="22">
        <f t="shared" si="0"/>
        <v>0</v>
      </c>
      <c r="Y14" s="22">
        <f t="shared" si="1"/>
        <v>0</v>
      </c>
      <c r="Z14" s="28" t="str">
        <f t="shared" si="2"/>
        <v/>
      </c>
      <c r="AA14" s="28" t="str">
        <f t="shared" si="3"/>
        <v/>
      </c>
      <c r="AB14" s="22" t="str">
        <f t="shared" si="4"/>
        <v/>
      </c>
      <c r="AC14" s="22" t="str">
        <f t="shared" si="5"/>
        <v/>
      </c>
      <c r="AD14" s="10"/>
      <c r="AE14" s="17"/>
      <c r="AF14" s="15"/>
      <c r="AG14" s="26"/>
      <c r="AH14" s="10"/>
      <c r="AI14" s="12"/>
      <c r="AJ14" s="12"/>
      <c r="AK14" s="15"/>
      <c r="AL14" s="15"/>
      <c r="AM14" s="10"/>
      <c r="AN14" s="21" t="str">
        <f>IF(COUNTA(AE14:AL14)=0,"",IF(AE14="","E_MISSING_INPUT",IF(AE14="TIMESTAMP",IF(OR(AF14="",AG14="",AH14=""),"E_MISSING_INPUT",IF(OR(NOT(ISNUMBER(AF14)),NOT(ISNUMBER(AG14))),"E_INVALID_DATE",IF(OR(AF14&lt;&gt;INT(AF14),AG14&lt;0,AG14&gt;=1),"E_INVALID_DATE",IF(ISNA(MATCH(AH14,nLIST_Offset,0)),"E_INVALID_UNIT","")))),IF(AE14="DATE",IF(AF14="","E_MISSING_INPUT",IF(NOT(ISNUMBER(AF14)),"E_INVALID_DATE",IF(AF14&lt;&gt;INT(AF14),"E_INVALID_DATE",""))),IF(AE14="MONTH",IF(OR(AI14="",AJ14=""),"E_MISSING_INPUT",IF(OR(NOT(ISNUMBER(AI14)),NOT(ISNUMBER(AJ14))),"E_INVALID_DATE",IF(OR(AI14&lt;1900,AI14&gt;9999,AI14&lt;&gt;INT(AI14),AJ14&lt;1,AJ14&gt;12,AJ14&lt;&gt;INT(AJ14)),"E_INVALID_DATE",""))),IF(AE14="YEAR",IF(AI14="","E_MISSING_INPUT",IF(NOT(ISNUMBER(AI14)),"E_INVALID_DATE",IF(OR(AI14&lt;1900,AI14&gt;9999,AI14&lt;&gt;INT(AI14)),"E_INVALID_DATE",""))),IF(AE14="RANGE",IF(OR(AK14="",AL14=""),"E_MISSING_INPUT",IF(OR(NOT(ISNUMBER(AK14)),NOT(ISNUMBER(AL14))),"E_INVALID_DATE",IF(OR(AK14&lt;&gt;INT(AK14),AL14&lt;&gt;INT(AL14)),"E_INVALID_DATE",IF(AK14&gt;AL14,"E_REVERSED_BOUNDS","")))),"E_INVALID_UNIT")))))))</f>
        <v/>
      </c>
      <c r="AO14" s="22">
        <f t="shared" si="6"/>
        <v>0</v>
      </c>
      <c r="AP14" s="22">
        <f t="shared" si="7"/>
        <v>0</v>
      </c>
      <c r="AQ14" s="28" t="str">
        <f t="shared" si="8"/>
        <v/>
      </c>
      <c r="AR14" s="28" t="str">
        <f t="shared" si="9"/>
        <v/>
      </c>
      <c r="AS14" s="22" t="str">
        <f t="shared" si="10"/>
        <v/>
      </c>
      <c r="AT14" s="22" t="str">
        <f t="shared" si="11"/>
        <v/>
      </c>
      <c r="AU14" s="10"/>
      <c r="AV14" s="17"/>
      <c r="AW14" s="15"/>
      <c r="AX14" s="26"/>
      <c r="AY14" s="10"/>
      <c r="AZ14" s="12"/>
      <c r="BA14" s="12"/>
      <c r="BB14" s="15"/>
      <c r="BC14" s="15"/>
      <c r="BD14" s="10"/>
      <c r="BE14" s="21" t="str">
        <f>IF(COUNTA(AV14:BC14)=0,"",IF(AV14="","E_MISSING_INPUT",IF(AV14="TIMESTAMP",IF(OR(AW14="",AX14="",AY14=""),"E_MISSING_INPUT",IF(OR(NOT(ISNUMBER(AW14)),NOT(ISNUMBER(AX14))),"E_INVALID_DATE",IF(OR(AW14&lt;&gt;INT(AW14),AX14&lt;0,AX14&gt;=1),"E_INVALID_DATE",IF(ISNA(MATCH(AY14,nLIST_Offset,0)),"E_INVALID_UNIT","")))),IF(AV14="DATE",IF(AW14="","E_MISSING_INPUT",IF(NOT(ISNUMBER(AW14)),"E_INVALID_DATE",IF(AW14&lt;&gt;INT(AW14),"E_INVALID_DATE",""))),IF(AV14="MONTH",IF(OR(AZ14="",BA14=""),"E_MISSING_INPUT",IF(OR(NOT(ISNUMBER(AZ14)),NOT(ISNUMBER(BA14))),"E_INVALID_DATE",IF(OR(AZ14&lt;1900,AZ14&gt;9999,AZ14&lt;&gt;INT(AZ14),BA14&lt;1,BA14&gt;12,BA14&lt;&gt;INT(BA14)),"E_INVALID_DATE",""))),IF(AV14="YEAR",IF(AZ14="","E_MISSING_INPUT",IF(NOT(ISNUMBER(AZ14)),"E_INVALID_DATE",IF(OR(AZ14&lt;1900,AZ14&gt;9999,AZ14&lt;&gt;INT(AZ14)),"E_INVALID_DATE",""))),IF(AV14="RANGE",IF(OR(BB14="",BC14=""),"E_MISSING_INPUT",IF(OR(NOT(ISNUMBER(BB14)),NOT(ISNUMBER(BC14))),"E_INVALID_DATE",IF(OR(BB14&lt;&gt;INT(BB14),BC14&lt;&gt;INT(BC14)),"E_INVALID_DATE",IF(BB14&gt;BC14,"E_REVERSED_BOUNDS","")))),"E_INVALID_UNIT")))))))</f>
        <v/>
      </c>
      <c r="BF14" s="22">
        <f t="shared" si="12"/>
        <v>0</v>
      </c>
      <c r="BG14" s="22">
        <f t="shared" si="13"/>
        <v>0</v>
      </c>
      <c r="BH14" s="28" t="str">
        <f t="shared" si="14"/>
        <v/>
      </c>
      <c r="BI14" s="28" t="str">
        <f t="shared" si="15"/>
        <v/>
      </c>
      <c r="BJ14" s="22" t="str">
        <f t="shared" si="16"/>
        <v/>
      </c>
      <c r="BK14" s="22" t="str">
        <f t="shared" si="17"/>
        <v/>
      </c>
      <c r="BL14" s="21" t="str">
        <f t="shared" si="18"/>
        <v/>
      </c>
      <c r="BM14" s="22">
        <f>IF(BL14="",0,COUNTIF(nEXP_Key,BL14))</f>
        <v>0</v>
      </c>
      <c r="BN14" s="21" t="str">
        <f t="shared" si="19"/>
        <v/>
      </c>
      <c r="BO14" s="21" t="str">
        <f>IF(BN14="","",BN14&amp;": "&amp;SUBSTITUTE(IFERROR(INDEX(nMSG_Text,MATCH(BN14,nMSG_Code,0)),""),"[input]",IF(D14="","an Exposure_Episode_ID","the date fields required by the selected precision")))</f>
        <v/>
      </c>
    </row>
    <row r="15" spans="1:67" x14ac:dyDescent="0.2">
      <c r="A15" s="10"/>
      <c r="B15" s="12"/>
      <c r="C15" s="10"/>
      <c r="D15" s="10"/>
      <c r="E15" s="10"/>
      <c r="F15" s="17"/>
      <c r="G15" s="10"/>
      <c r="H15" s="17"/>
      <c r="I15" s="17"/>
      <c r="J15" s="10"/>
      <c r="K15" s="17"/>
      <c r="L15" s="10"/>
      <c r="M15" s="10"/>
      <c r="N15" s="17"/>
      <c r="O15" s="15"/>
      <c r="P15" s="26"/>
      <c r="Q15" s="10"/>
      <c r="R15" s="12"/>
      <c r="S15" s="12"/>
      <c r="T15" s="15"/>
      <c r="U15" s="15"/>
      <c r="V15" s="10"/>
      <c r="W15" s="21" t="str">
        <f>IF(COUNTA(N15:U15)=0,"",IF(N15="","E_MISSING_INPUT",IF(N15="TIMESTAMP",IF(OR(O15="",P15="",Q15=""),"E_MISSING_INPUT",IF(OR(NOT(ISNUMBER(O15)),NOT(ISNUMBER(P15))),"E_INVALID_DATE",IF(OR(O15&lt;&gt;INT(O15),P15&lt;0,P15&gt;=1),"E_INVALID_DATE",IF(ISNA(MATCH(Q15,nLIST_Offset,0)),"E_INVALID_UNIT","")))),IF(N15="DATE",IF(O15="","E_MISSING_INPUT",IF(NOT(ISNUMBER(O15)),"E_INVALID_DATE",IF(O15&lt;&gt;INT(O15),"E_INVALID_DATE",""))),IF(N15="MONTH",IF(OR(R15="",S15=""),"E_MISSING_INPUT",IF(OR(NOT(ISNUMBER(R15)),NOT(ISNUMBER(S15))),"E_INVALID_DATE",IF(OR(R15&lt;1900,R15&gt;9999,R15&lt;&gt;INT(R15),S15&lt;1,S15&gt;12,S15&lt;&gt;INT(S15)),"E_INVALID_DATE",""))),IF(N15="YEAR",IF(R15="","E_MISSING_INPUT",IF(NOT(ISNUMBER(R15)),"E_INVALID_DATE",IF(OR(R15&lt;1900,R15&gt;9999,R15&lt;&gt;INT(R15)),"E_INVALID_DATE",""))),IF(N15="RANGE",IF(OR(T15="",U15=""),"E_MISSING_INPUT",IF(OR(NOT(ISNUMBER(T15)),NOT(ISNUMBER(U15))),"E_INVALID_DATE",IF(OR(T15&lt;&gt;INT(T15),U15&lt;&gt;INT(U15)),"E_INVALID_DATE",IF(T15&gt;U15,"E_REVERSED_BOUNDS","")))),"E_INVALID_UNIT")))))))</f>
        <v/>
      </c>
      <c r="X15" s="22">
        <f t="shared" si="0"/>
        <v>0</v>
      </c>
      <c r="Y15" s="22">
        <f t="shared" si="1"/>
        <v>0</v>
      </c>
      <c r="Z15" s="28" t="str">
        <f t="shared" si="2"/>
        <v/>
      </c>
      <c r="AA15" s="28" t="str">
        <f t="shared" si="3"/>
        <v/>
      </c>
      <c r="AB15" s="22" t="str">
        <f t="shared" si="4"/>
        <v/>
      </c>
      <c r="AC15" s="22" t="str">
        <f t="shared" si="5"/>
        <v/>
      </c>
      <c r="AD15" s="10"/>
      <c r="AE15" s="17"/>
      <c r="AF15" s="15"/>
      <c r="AG15" s="26"/>
      <c r="AH15" s="10"/>
      <c r="AI15" s="12"/>
      <c r="AJ15" s="12"/>
      <c r="AK15" s="15"/>
      <c r="AL15" s="15"/>
      <c r="AM15" s="10"/>
      <c r="AN15" s="21" t="str">
        <f>IF(COUNTA(AE15:AL15)=0,"",IF(AE15="","E_MISSING_INPUT",IF(AE15="TIMESTAMP",IF(OR(AF15="",AG15="",AH15=""),"E_MISSING_INPUT",IF(OR(NOT(ISNUMBER(AF15)),NOT(ISNUMBER(AG15))),"E_INVALID_DATE",IF(OR(AF15&lt;&gt;INT(AF15),AG15&lt;0,AG15&gt;=1),"E_INVALID_DATE",IF(ISNA(MATCH(AH15,nLIST_Offset,0)),"E_INVALID_UNIT","")))),IF(AE15="DATE",IF(AF15="","E_MISSING_INPUT",IF(NOT(ISNUMBER(AF15)),"E_INVALID_DATE",IF(AF15&lt;&gt;INT(AF15),"E_INVALID_DATE",""))),IF(AE15="MONTH",IF(OR(AI15="",AJ15=""),"E_MISSING_INPUT",IF(OR(NOT(ISNUMBER(AI15)),NOT(ISNUMBER(AJ15))),"E_INVALID_DATE",IF(OR(AI15&lt;1900,AI15&gt;9999,AI15&lt;&gt;INT(AI15),AJ15&lt;1,AJ15&gt;12,AJ15&lt;&gt;INT(AJ15)),"E_INVALID_DATE",""))),IF(AE15="YEAR",IF(AI15="","E_MISSING_INPUT",IF(NOT(ISNUMBER(AI15)),"E_INVALID_DATE",IF(OR(AI15&lt;1900,AI15&gt;9999,AI15&lt;&gt;INT(AI15)),"E_INVALID_DATE",""))),IF(AE15="RANGE",IF(OR(AK15="",AL15=""),"E_MISSING_INPUT",IF(OR(NOT(ISNUMBER(AK15)),NOT(ISNUMBER(AL15))),"E_INVALID_DATE",IF(OR(AK15&lt;&gt;INT(AK15),AL15&lt;&gt;INT(AL15)),"E_INVALID_DATE",IF(AK15&gt;AL15,"E_REVERSED_BOUNDS","")))),"E_INVALID_UNIT")))))))</f>
        <v/>
      </c>
      <c r="AO15" s="22">
        <f t="shared" si="6"/>
        <v>0</v>
      </c>
      <c r="AP15" s="22">
        <f t="shared" si="7"/>
        <v>0</v>
      </c>
      <c r="AQ15" s="28" t="str">
        <f t="shared" si="8"/>
        <v/>
      </c>
      <c r="AR15" s="28" t="str">
        <f t="shared" si="9"/>
        <v/>
      </c>
      <c r="AS15" s="22" t="str">
        <f t="shared" si="10"/>
        <v/>
      </c>
      <c r="AT15" s="22" t="str">
        <f t="shared" si="11"/>
        <v/>
      </c>
      <c r="AU15" s="10"/>
      <c r="AV15" s="17"/>
      <c r="AW15" s="15"/>
      <c r="AX15" s="26"/>
      <c r="AY15" s="10"/>
      <c r="AZ15" s="12"/>
      <c r="BA15" s="12"/>
      <c r="BB15" s="15"/>
      <c r="BC15" s="15"/>
      <c r="BD15" s="10"/>
      <c r="BE15" s="21" t="str">
        <f>IF(COUNTA(AV15:BC15)=0,"",IF(AV15="","E_MISSING_INPUT",IF(AV15="TIMESTAMP",IF(OR(AW15="",AX15="",AY15=""),"E_MISSING_INPUT",IF(OR(NOT(ISNUMBER(AW15)),NOT(ISNUMBER(AX15))),"E_INVALID_DATE",IF(OR(AW15&lt;&gt;INT(AW15),AX15&lt;0,AX15&gt;=1),"E_INVALID_DATE",IF(ISNA(MATCH(AY15,nLIST_Offset,0)),"E_INVALID_UNIT","")))),IF(AV15="DATE",IF(AW15="","E_MISSING_INPUT",IF(NOT(ISNUMBER(AW15)),"E_INVALID_DATE",IF(AW15&lt;&gt;INT(AW15),"E_INVALID_DATE",""))),IF(AV15="MONTH",IF(OR(AZ15="",BA15=""),"E_MISSING_INPUT",IF(OR(NOT(ISNUMBER(AZ15)),NOT(ISNUMBER(BA15))),"E_INVALID_DATE",IF(OR(AZ15&lt;1900,AZ15&gt;9999,AZ15&lt;&gt;INT(AZ15),BA15&lt;1,BA15&gt;12,BA15&lt;&gt;INT(BA15)),"E_INVALID_DATE",""))),IF(AV15="YEAR",IF(AZ15="","E_MISSING_INPUT",IF(NOT(ISNUMBER(AZ15)),"E_INVALID_DATE",IF(OR(AZ15&lt;1900,AZ15&gt;9999,AZ15&lt;&gt;INT(AZ15)),"E_INVALID_DATE",""))),IF(AV15="RANGE",IF(OR(BB15="",BC15=""),"E_MISSING_INPUT",IF(OR(NOT(ISNUMBER(BB15)),NOT(ISNUMBER(BC15))),"E_INVALID_DATE",IF(OR(BB15&lt;&gt;INT(BB15),BC15&lt;&gt;INT(BC15)),"E_INVALID_DATE",IF(BB15&gt;BC15,"E_REVERSED_BOUNDS","")))),"E_INVALID_UNIT")))))))</f>
        <v/>
      </c>
      <c r="BF15" s="22">
        <f t="shared" si="12"/>
        <v>0</v>
      </c>
      <c r="BG15" s="22">
        <f t="shared" si="13"/>
        <v>0</v>
      </c>
      <c r="BH15" s="28" t="str">
        <f t="shared" si="14"/>
        <v/>
      </c>
      <c r="BI15" s="28" t="str">
        <f t="shared" si="15"/>
        <v/>
      </c>
      <c r="BJ15" s="22" t="str">
        <f t="shared" si="16"/>
        <v/>
      </c>
      <c r="BK15" s="22" t="str">
        <f t="shared" si="17"/>
        <v/>
      </c>
      <c r="BL15" s="21" t="str">
        <f t="shared" si="18"/>
        <v/>
      </c>
      <c r="BM15" s="22">
        <f>IF(BL15="",0,COUNTIF(nEXP_Key,BL15))</f>
        <v>0</v>
      </c>
      <c r="BN15" s="21" t="str">
        <f t="shared" si="19"/>
        <v/>
      </c>
      <c r="BO15" s="21" t="str">
        <f>IF(BN15="","",BN15&amp;": "&amp;SUBSTITUTE(IFERROR(INDEX(nMSG_Text,MATCH(BN15,nMSG_Code,0)),""),"[input]",IF(D15="","an Exposure_Episode_ID","the date fields required by the selected precision")))</f>
        <v/>
      </c>
    </row>
    <row r="16" spans="1:67" x14ac:dyDescent="0.2">
      <c r="A16" s="10"/>
      <c r="B16" s="12"/>
      <c r="C16" s="10"/>
      <c r="D16" s="10"/>
      <c r="E16" s="10"/>
      <c r="F16" s="17"/>
      <c r="G16" s="10"/>
      <c r="H16" s="17"/>
      <c r="I16" s="17"/>
      <c r="J16" s="10"/>
      <c r="K16" s="17"/>
      <c r="L16" s="10"/>
      <c r="M16" s="10"/>
      <c r="N16" s="17"/>
      <c r="O16" s="15"/>
      <c r="P16" s="26"/>
      <c r="Q16" s="10"/>
      <c r="R16" s="12"/>
      <c r="S16" s="12"/>
      <c r="T16" s="15"/>
      <c r="U16" s="15"/>
      <c r="V16" s="10"/>
      <c r="W16" s="21" t="str">
        <f>IF(COUNTA(N16:U16)=0,"",IF(N16="","E_MISSING_INPUT",IF(N16="TIMESTAMP",IF(OR(O16="",P16="",Q16=""),"E_MISSING_INPUT",IF(OR(NOT(ISNUMBER(O16)),NOT(ISNUMBER(P16))),"E_INVALID_DATE",IF(OR(O16&lt;&gt;INT(O16),P16&lt;0,P16&gt;=1),"E_INVALID_DATE",IF(ISNA(MATCH(Q16,nLIST_Offset,0)),"E_INVALID_UNIT","")))),IF(N16="DATE",IF(O16="","E_MISSING_INPUT",IF(NOT(ISNUMBER(O16)),"E_INVALID_DATE",IF(O16&lt;&gt;INT(O16),"E_INVALID_DATE",""))),IF(N16="MONTH",IF(OR(R16="",S16=""),"E_MISSING_INPUT",IF(OR(NOT(ISNUMBER(R16)),NOT(ISNUMBER(S16))),"E_INVALID_DATE",IF(OR(R16&lt;1900,R16&gt;9999,R16&lt;&gt;INT(R16),S16&lt;1,S16&gt;12,S16&lt;&gt;INT(S16)),"E_INVALID_DATE",""))),IF(N16="YEAR",IF(R16="","E_MISSING_INPUT",IF(NOT(ISNUMBER(R16)),"E_INVALID_DATE",IF(OR(R16&lt;1900,R16&gt;9999,R16&lt;&gt;INT(R16)),"E_INVALID_DATE",""))),IF(N16="RANGE",IF(OR(T16="",U16=""),"E_MISSING_INPUT",IF(OR(NOT(ISNUMBER(T16)),NOT(ISNUMBER(U16))),"E_INVALID_DATE",IF(OR(T16&lt;&gt;INT(T16),U16&lt;&gt;INT(U16)),"E_INVALID_DATE",IF(T16&gt;U16,"E_REVERSED_BOUNDS","")))),"E_INVALID_UNIT")))))))</f>
        <v/>
      </c>
      <c r="X16" s="22">
        <f t="shared" si="0"/>
        <v>0</v>
      </c>
      <c r="Y16" s="22">
        <f t="shared" si="1"/>
        <v>0</v>
      </c>
      <c r="Z16" s="28" t="str">
        <f t="shared" si="2"/>
        <v/>
      </c>
      <c r="AA16" s="28" t="str">
        <f t="shared" si="3"/>
        <v/>
      </c>
      <c r="AB16" s="22" t="str">
        <f t="shared" si="4"/>
        <v/>
      </c>
      <c r="AC16" s="22" t="str">
        <f t="shared" si="5"/>
        <v/>
      </c>
      <c r="AD16" s="10"/>
      <c r="AE16" s="17"/>
      <c r="AF16" s="15"/>
      <c r="AG16" s="26"/>
      <c r="AH16" s="10"/>
      <c r="AI16" s="12"/>
      <c r="AJ16" s="12"/>
      <c r="AK16" s="15"/>
      <c r="AL16" s="15"/>
      <c r="AM16" s="10"/>
      <c r="AN16" s="21" t="str">
        <f>IF(COUNTA(AE16:AL16)=0,"",IF(AE16="","E_MISSING_INPUT",IF(AE16="TIMESTAMP",IF(OR(AF16="",AG16="",AH16=""),"E_MISSING_INPUT",IF(OR(NOT(ISNUMBER(AF16)),NOT(ISNUMBER(AG16))),"E_INVALID_DATE",IF(OR(AF16&lt;&gt;INT(AF16),AG16&lt;0,AG16&gt;=1),"E_INVALID_DATE",IF(ISNA(MATCH(AH16,nLIST_Offset,0)),"E_INVALID_UNIT","")))),IF(AE16="DATE",IF(AF16="","E_MISSING_INPUT",IF(NOT(ISNUMBER(AF16)),"E_INVALID_DATE",IF(AF16&lt;&gt;INT(AF16),"E_INVALID_DATE",""))),IF(AE16="MONTH",IF(OR(AI16="",AJ16=""),"E_MISSING_INPUT",IF(OR(NOT(ISNUMBER(AI16)),NOT(ISNUMBER(AJ16))),"E_INVALID_DATE",IF(OR(AI16&lt;1900,AI16&gt;9999,AI16&lt;&gt;INT(AI16),AJ16&lt;1,AJ16&gt;12,AJ16&lt;&gt;INT(AJ16)),"E_INVALID_DATE",""))),IF(AE16="YEAR",IF(AI16="","E_MISSING_INPUT",IF(NOT(ISNUMBER(AI16)),"E_INVALID_DATE",IF(OR(AI16&lt;1900,AI16&gt;9999,AI16&lt;&gt;INT(AI16)),"E_INVALID_DATE",""))),IF(AE16="RANGE",IF(OR(AK16="",AL16=""),"E_MISSING_INPUT",IF(OR(NOT(ISNUMBER(AK16)),NOT(ISNUMBER(AL16))),"E_INVALID_DATE",IF(OR(AK16&lt;&gt;INT(AK16),AL16&lt;&gt;INT(AL16)),"E_INVALID_DATE",IF(AK16&gt;AL16,"E_REVERSED_BOUNDS","")))),"E_INVALID_UNIT")))))))</f>
        <v/>
      </c>
      <c r="AO16" s="22">
        <f t="shared" si="6"/>
        <v>0</v>
      </c>
      <c r="AP16" s="22">
        <f t="shared" si="7"/>
        <v>0</v>
      </c>
      <c r="AQ16" s="28" t="str">
        <f t="shared" si="8"/>
        <v/>
      </c>
      <c r="AR16" s="28" t="str">
        <f t="shared" si="9"/>
        <v/>
      </c>
      <c r="AS16" s="22" t="str">
        <f t="shared" si="10"/>
        <v/>
      </c>
      <c r="AT16" s="22" t="str">
        <f t="shared" si="11"/>
        <v/>
      </c>
      <c r="AU16" s="10"/>
      <c r="AV16" s="17"/>
      <c r="AW16" s="15"/>
      <c r="AX16" s="26"/>
      <c r="AY16" s="10"/>
      <c r="AZ16" s="12"/>
      <c r="BA16" s="12"/>
      <c r="BB16" s="15"/>
      <c r="BC16" s="15"/>
      <c r="BD16" s="10"/>
      <c r="BE16" s="21" t="str">
        <f>IF(COUNTA(AV16:BC16)=0,"",IF(AV16="","E_MISSING_INPUT",IF(AV16="TIMESTAMP",IF(OR(AW16="",AX16="",AY16=""),"E_MISSING_INPUT",IF(OR(NOT(ISNUMBER(AW16)),NOT(ISNUMBER(AX16))),"E_INVALID_DATE",IF(OR(AW16&lt;&gt;INT(AW16),AX16&lt;0,AX16&gt;=1),"E_INVALID_DATE",IF(ISNA(MATCH(AY16,nLIST_Offset,0)),"E_INVALID_UNIT","")))),IF(AV16="DATE",IF(AW16="","E_MISSING_INPUT",IF(NOT(ISNUMBER(AW16)),"E_INVALID_DATE",IF(AW16&lt;&gt;INT(AW16),"E_INVALID_DATE",""))),IF(AV16="MONTH",IF(OR(AZ16="",BA16=""),"E_MISSING_INPUT",IF(OR(NOT(ISNUMBER(AZ16)),NOT(ISNUMBER(BA16))),"E_INVALID_DATE",IF(OR(AZ16&lt;1900,AZ16&gt;9999,AZ16&lt;&gt;INT(AZ16),BA16&lt;1,BA16&gt;12,BA16&lt;&gt;INT(BA16)),"E_INVALID_DATE",""))),IF(AV16="YEAR",IF(AZ16="","E_MISSING_INPUT",IF(NOT(ISNUMBER(AZ16)),"E_INVALID_DATE",IF(OR(AZ16&lt;1900,AZ16&gt;9999,AZ16&lt;&gt;INT(AZ16)),"E_INVALID_DATE",""))),IF(AV16="RANGE",IF(OR(BB16="",BC16=""),"E_MISSING_INPUT",IF(OR(NOT(ISNUMBER(BB16)),NOT(ISNUMBER(BC16))),"E_INVALID_DATE",IF(OR(BB16&lt;&gt;INT(BB16),BC16&lt;&gt;INT(BC16)),"E_INVALID_DATE",IF(BB16&gt;BC16,"E_REVERSED_BOUNDS","")))),"E_INVALID_UNIT")))))))</f>
        <v/>
      </c>
      <c r="BF16" s="22">
        <f t="shared" si="12"/>
        <v>0</v>
      </c>
      <c r="BG16" s="22">
        <f t="shared" si="13"/>
        <v>0</v>
      </c>
      <c r="BH16" s="28" t="str">
        <f t="shared" si="14"/>
        <v/>
      </c>
      <c r="BI16" s="28" t="str">
        <f t="shared" si="15"/>
        <v/>
      </c>
      <c r="BJ16" s="22" t="str">
        <f t="shared" si="16"/>
        <v/>
      </c>
      <c r="BK16" s="22" t="str">
        <f t="shared" si="17"/>
        <v/>
      </c>
      <c r="BL16" s="21" t="str">
        <f t="shared" si="18"/>
        <v/>
      </c>
      <c r="BM16" s="22">
        <f>IF(BL16="",0,COUNTIF(nEXP_Key,BL16))</f>
        <v>0</v>
      </c>
      <c r="BN16" s="21" t="str">
        <f t="shared" si="19"/>
        <v/>
      </c>
      <c r="BO16" s="21" t="str">
        <f>IF(BN16="","",BN16&amp;": "&amp;SUBSTITUTE(IFERROR(INDEX(nMSG_Text,MATCH(BN16,nMSG_Code,0)),""),"[input]",IF(D16="","an Exposure_Episode_ID","the date fields required by the selected precision")))</f>
        <v/>
      </c>
    </row>
    <row r="17" spans="1:67" x14ac:dyDescent="0.2">
      <c r="A17" s="10"/>
      <c r="B17" s="12"/>
      <c r="C17" s="10"/>
      <c r="D17" s="10"/>
      <c r="E17" s="10"/>
      <c r="F17" s="17"/>
      <c r="G17" s="10"/>
      <c r="H17" s="17"/>
      <c r="I17" s="17"/>
      <c r="J17" s="10"/>
      <c r="K17" s="17"/>
      <c r="L17" s="10"/>
      <c r="M17" s="10"/>
      <c r="N17" s="17"/>
      <c r="O17" s="15"/>
      <c r="P17" s="26"/>
      <c r="Q17" s="10"/>
      <c r="R17" s="12"/>
      <c r="S17" s="12"/>
      <c r="T17" s="15"/>
      <c r="U17" s="15"/>
      <c r="V17" s="10"/>
      <c r="W17" s="21" t="str">
        <f>IF(COUNTA(N17:U17)=0,"",IF(N17="","E_MISSING_INPUT",IF(N17="TIMESTAMP",IF(OR(O17="",P17="",Q17=""),"E_MISSING_INPUT",IF(OR(NOT(ISNUMBER(O17)),NOT(ISNUMBER(P17))),"E_INVALID_DATE",IF(OR(O17&lt;&gt;INT(O17),P17&lt;0,P17&gt;=1),"E_INVALID_DATE",IF(ISNA(MATCH(Q17,nLIST_Offset,0)),"E_INVALID_UNIT","")))),IF(N17="DATE",IF(O17="","E_MISSING_INPUT",IF(NOT(ISNUMBER(O17)),"E_INVALID_DATE",IF(O17&lt;&gt;INT(O17),"E_INVALID_DATE",""))),IF(N17="MONTH",IF(OR(R17="",S17=""),"E_MISSING_INPUT",IF(OR(NOT(ISNUMBER(R17)),NOT(ISNUMBER(S17))),"E_INVALID_DATE",IF(OR(R17&lt;1900,R17&gt;9999,R17&lt;&gt;INT(R17),S17&lt;1,S17&gt;12,S17&lt;&gt;INT(S17)),"E_INVALID_DATE",""))),IF(N17="YEAR",IF(R17="","E_MISSING_INPUT",IF(NOT(ISNUMBER(R17)),"E_INVALID_DATE",IF(OR(R17&lt;1900,R17&gt;9999,R17&lt;&gt;INT(R17)),"E_INVALID_DATE",""))),IF(N17="RANGE",IF(OR(T17="",U17=""),"E_MISSING_INPUT",IF(OR(NOT(ISNUMBER(T17)),NOT(ISNUMBER(U17))),"E_INVALID_DATE",IF(OR(T17&lt;&gt;INT(T17),U17&lt;&gt;INT(U17)),"E_INVALID_DATE",IF(T17&gt;U17,"E_REVERSED_BOUNDS","")))),"E_INVALID_UNIT")))))))</f>
        <v/>
      </c>
      <c r="X17" s="22">
        <f t="shared" si="0"/>
        <v>0</v>
      </c>
      <c r="Y17" s="22">
        <f t="shared" si="1"/>
        <v>0</v>
      </c>
      <c r="Z17" s="28" t="str">
        <f t="shared" si="2"/>
        <v/>
      </c>
      <c r="AA17" s="28" t="str">
        <f t="shared" si="3"/>
        <v/>
      </c>
      <c r="AB17" s="22" t="str">
        <f t="shared" si="4"/>
        <v/>
      </c>
      <c r="AC17" s="22" t="str">
        <f t="shared" si="5"/>
        <v/>
      </c>
      <c r="AD17" s="10"/>
      <c r="AE17" s="17"/>
      <c r="AF17" s="15"/>
      <c r="AG17" s="26"/>
      <c r="AH17" s="10"/>
      <c r="AI17" s="12"/>
      <c r="AJ17" s="12"/>
      <c r="AK17" s="15"/>
      <c r="AL17" s="15"/>
      <c r="AM17" s="10"/>
      <c r="AN17" s="21" t="str">
        <f>IF(COUNTA(AE17:AL17)=0,"",IF(AE17="","E_MISSING_INPUT",IF(AE17="TIMESTAMP",IF(OR(AF17="",AG17="",AH17=""),"E_MISSING_INPUT",IF(OR(NOT(ISNUMBER(AF17)),NOT(ISNUMBER(AG17))),"E_INVALID_DATE",IF(OR(AF17&lt;&gt;INT(AF17),AG17&lt;0,AG17&gt;=1),"E_INVALID_DATE",IF(ISNA(MATCH(AH17,nLIST_Offset,0)),"E_INVALID_UNIT","")))),IF(AE17="DATE",IF(AF17="","E_MISSING_INPUT",IF(NOT(ISNUMBER(AF17)),"E_INVALID_DATE",IF(AF17&lt;&gt;INT(AF17),"E_INVALID_DATE",""))),IF(AE17="MONTH",IF(OR(AI17="",AJ17=""),"E_MISSING_INPUT",IF(OR(NOT(ISNUMBER(AI17)),NOT(ISNUMBER(AJ17))),"E_INVALID_DATE",IF(OR(AI17&lt;1900,AI17&gt;9999,AI17&lt;&gt;INT(AI17),AJ17&lt;1,AJ17&gt;12,AJ17&lt;&gt;INT(AJ17)),"E_INVALID_DATE",""))),IF(AE17="YEAR",IF(AI17="","E_MISSING_INPUT",IF(NOT(ISNUMBER(AI17)),"E_INVALID_DATE",IF(OR(AI17&lt;1900,AI17&gt;9999,AI17&lt;&gt;INT(AI17)),"E_INVALID_DATE",""))),IF(AE17="RANGE",IF(OR(AK17="",AL17=""),"E_MISSING_INPUT",IF(OR(NOT(ISNUMBER(AK17)),NOT(ISNUMBER(AL17))),"E_INVALID_DATE",IF(OR(AK17&lt;&gt;INT(AK17),AL17&lt;&gt;INT(AL17)),"E_INVALID_DATE",IF(AK17&gt;AL17,"E_REVERSED_BOUNDS","")))),"E_INVALID_UNIT")))))))</f>
        <v/>
      </c>
      <c r="AO17" s="22">
        <f t="shared" si="6"/>
        <v>0</v>
      </c>
      <c r="AP17" s="22">
        <f t="shared" si="7"/>
        <v>0</v>
      </c>
      <c r="AQ17" s="28" t="str">
        <f t="shared" si="8"/>
        <v/>
      </c>
      <c r="AR17" s="28" t="str">
        <f t="shared" si="9"/>
        <v/>
      </c>
      <c r="AS17" s="22" t="str">
        <f t="shared" si="10"/>
        <v/>
      </c>
      <c r="AT17" s="22" t="str">
        <f t="shared" si="11"/>
        <v/>
      </c>
      <c r="AU17" s="10"/>
      <c r="AV17" s="17"/>
      <c r="AW17" s="15"/>
      <c r="AX17" s="26"/>
      <c r="AY17" s="10"/>
      <c r="AZ17" s="12"/>
      <c r="BA17" s="12"/>
      <c r="BB17" s="15"/>
      <c r="BC17" s="15"/>
      <c r="BD17" s="10"/>
      <c r="BE17" s="21" t="str">
        <f>IF(COUNTA(AV17:BC17)=0,"",IF(AV17="","E_MISSING_INPUT",IF(AV17="TIMESTAMP",IF(OR(AW17="",AX17="",AY17=""),"E_MISSING_INPUT",IF(OR(NOT(ISNUMBER(AW17)),NOT(ISNUMBER(AX17))),"E_INVALID_DATE",IF(OR(AW17&lt;&gt;INT(AW17),AX17&lt;0,AX17&gt;=1),"E_INVALID_DATE",IF(ISNA(MATCH(AY17,nLIST_Offset,0)),"E_INVALID_UNIT","")))),IF(AV17="DATE",IF(AW17="","E_MISSING_INPUT",IF(NOT(ISNUMBER(AW17)),"E_INVALID_DATE",IF(AW17&lt;&gt;INT(AW17),"E_INVALID_DATE",""))),IF(AV17="MONTH",IF(OR(AZ17="",BA17=""),"E_MISSING_INPUT",IF(OR(NOT(ISNUMBER(AZ17)),NOT(ISNUMBER(BA17))),"E_INVALID_DATE",IF(OR(AZ17&lt;1900,AZ17&gt;9999,AZ17&lt;&gt;INT(AZ17),BA17&lt;1,BA17&gt;12,BA17&lt;&gt;INT(BA17)),"E_INVALID_DATE",""))),IF(AV17="YEAR",IF(AZ17="","E_MISSING_INPUT",IF(NOT(ISNUMBER(AZ17)),"E_INVALID_DATE",IF(OR(AZ17&lt;1900,AZ17&gt;9999,AZ17&lt;&gt;INT(AZ17)),"E_INVALID_DATE",""))),IF(AV17="RANGE",IF(OR(BB17="",BC17=""),"E_MISSING_INPUT",IF(OR(NOT(ISNUMBER(BB17)),NOT(ISNUMBER(BC17))),"E_INVALID_DATE",IF(OR(BB17&lt;&gt;INT(BB17),BC17&lt;&gt;INT(BC17)),"E_INVALID_DATE",IF(BB17&gt;BC17,"E_REVERSED_BOUNDS","")))),"E_INVALID_UNIT")))))))</f>
        <v/>
      </c>
      <c r="BF17" s="22">
        <f t="shared" si="12"/>
        <v>0</v>
      </c>
      <c r="BG17" s="22">
        <f t="shared" si="13"/>
        <v>0</v>
      </c>
      <c r="BH17" s="28" t="str">
        <f t="shared" si="14"/>
        <v/>
      </c>
      <c r="BI17" s="28" t="str">
        <f t="shared" si="15"/>
        <v/>
      </c>
      <c r="BJ17" s="22" t="str">
        <f t="shared" si="16"/>
        <v/>
      </c>
      <c r="BK17" s="22" t="str">
        <f t="shared" si="17"/>
        <v/>
      </c>
      <c r="BL17" s="21" t="str">
        <f t="shared" si="18"/>
        <v/>
      </c>
      <c r="BM17" s="22">
        <f>IF(BL17="",0,COUNTIF(nEXP_Key,BL17))</f>
        <v>0</v>
      </c>
      <c r="BN17" s="21" t="str">
        <f t="shared" si="19"/>
        <v/>
      </c>
      <c r="BO17" s="21" t="str">
        <f>IF(BN17="","",BN17&amp;": "&amp;SUBSTITUTE(IFERROR(INDEX(nMSG_Text,MATCH(BN17,nMSG_Code,0)),""),"[input]",IF(D17="","an Exposure_Episode_ID","the date fields required by the selected precision")))</f>
        <v/>
      </c>
    </row>
    <row r="18" spans="1:67" x14ac:dyDescent="0.2">
      <c r="A18" s="10"/>
      <c r="B18" s="12"/>
      <c r="C18" s="10"/>
      <c r="D18" s="10"/>
      <c r="E18" s="10"/>
      <c r="F18" s="17"/>
      <c r="G18" s="10"/>
      <c r="H18" s="17"/>
      <c r="I18" s="17"/>
      <c r="J18" s="10"/>
      <c r="K18" s="17"/>
      <c r="L18" s="10"/>
      <c r="M18" s="10"/>
      <c r="N18" s="17"/>
      <c r="O18" s="15"/>
      <c r="P18" s="26"/>
      <c r="Q18" s="10"/>
      <c r="R18" s="12"/>
      <c r="S18" s="12"/>
      <c r="T18" s="15"/>
      <c r="U18" s="15"/>
      <c r="V18" s="10"/>
      <c r="W18" s="21" t="str">
        <f>IF(COUNTA(N18:U18)=0,"",IF(N18="","E_MISSING_INPUT",IF(N18="TIMESTAMP",IF(OR(O18="",P18="",Q18=""),"E_MISSING_INPUT",IF(OR(NOT(ISNUMBER(O18)),NOT(ISNUMBER(P18))),"E_INVALID_DATE",IF(OR(O18&lt;&gt;INT(O18),P18&lt;0,P18&gt;=1),"E_INVALID_DATE",IF(ISNA(MATCH(Q18,nLIST_Offset,0)),"E_INVALID_UNIT","")))),IF(N18="DATE",IF(O18="","E_MISSING_INPUT",IF(NOT(ISNUMBER(O18)),"E_INVALID_DATE",IF(O18&lt;&gt;INT(O18),"E_INVALID_DATE",""))),IF(N18="MONTH",IF(OR(R18="",S18=""),"E_MISSING_INPUT",IF(OR(NOT(ISNUMBER(R18)),NOT(ISNUMBER(S18))),"E_INVALID_DATE",IF(OR(R18&lt;1900,R18&gt;9999,R18&lt;&gt;INT(R18),S18&lt;1,S18&gt;12,S18&lt;&gt;INT(S18)),"E_INVALID_DATE",""))),IF(N18="YEAR",IF(R18="","E_MISSING_INPUT",IF(NOT(ISNUMBER(R18)),"E_INVALID_DATE",IF(OR(R18&lt;1900,R18&gt;9999,R18&lt;&gt;INT(R18)),"E_INVALID_DATE",""))),IF(N18="RANGE",IF(OR(T18="",U18=""),"E_MISSING_INPUT",IF(OR(NOT(ISNUMBER(T18)),NOT(ISNUMBER(U18))),"E_INVALID_DATE",IF(OR(T18&lt;&gt;INT(T18),U18&lt;&gt;INT(U18)),"E_INVALID_DATE",IF(T18&gt;U18,"E_REVERSED_BOUNDS","")))),"E_INVALID_UNIT")))))))</f>
        <v/>
      </c>
      <c r="X18" s="22">
        <f t="shared" si="0"/>
        <v>0</v>
      </c>
      <c r="Y18" s="22">
        <f t="shared" si="1"/>
        <v>0</v>
      </c>
      <c r="Z18" s="28" t="str">
        <f t="shared" si="2"/>
        <v/>
      </c>
      <c r="AA18" s="28" t="str">
        <f t="shared" si="3"/>
        <v/>
      </c>
      <c r="AB18" s="22" t="str">
        <f t="shared" si="4"/>
        <v/>
      </c>
      <c r="AC18" s="22" t="str">
        <f t="shared" si="5"/>
        <v/>
      </c>
      <c r="AD18" s="10"/>
      <c r="AE18" s="17"/>
      <c r="AF18" s="15"/>
      <c r="AG18" s="26"/>
      <c r="AH18" s="10"/>
      <c r="AI18" s="12"/>
      <c r="AJ18" s="12"/>
      <c r="AK18" s="15"/>
      <c r="AL18" s="15"/>
      <c r="AM18" s="10"/>
      <c r="AN18" s="21" t="str">
        <f>IF(COUNTA(AE18:AL18)=0,"",IF(AE18="","E_MISSING_INPUT",IF(AE18="TIMESTAMP",IF(OR(AF18="",AG18="",AH18=""),"E_MISSING_INPUT",IF(OR(NOT(ISNUMBER(AF18)),NOT(ISNUMBER(AG18))),"E_INVALID_DATE",IF(OR(AF18&lt;&gt;INT(AF18),AG18&lt;0,AG18&gt;=1),"E_INVALID_DATE",IF(ISNA(MATCH(AH18,nLIST_Offset,0)),"E_INVALID_UNIT","")))),IF(AE18="DATE",IF(AF18="","E_MISSING_INPUT",IF(NOT(ISNUMBER(AF18)),"E_INVALID_DATE",IF(AF18&lt;&gt;INT(AF18),"E_INVALID_DATE",""))),IF(AE18="MONTH",IF(OR(AI18="",AJ18=""),"E_MISSING_INPUT",IF(OR(NOT(ISNUMBER(AI18)),NOT(ISNUMBER(AJ18))),"E_INVALID_DATE",IF(OR(AI18&lt;1900,AI18&gt;9999,AI18&lt;&gt;INT(AI18),AJ18&lt;1,AJ18&gt;12,AJ18&lt;&gt;INT(AJ18)),"E_INVALID_DATE",""))),IF(AE18="YEAR",IF(AI18="","E_MISSING_INPUT",IF(NOT(ISNUMBER(AI18)),"E_INVALID_DATE",IF(OR(AI18&lt;1900,AI18&gt;9999,AI18&lt;&gt;INT(AI18)),"E_INVALID_DATE",""))),IF(AE18="RANGE",IF(OR(AK18="",AL18=""),"E_MISSING_INPUT",IF(OR(NOT(ISNUMBER(AK18)),NOT(ISNUMBER(AL18))),"E_INVALID_DATE",IF(OR(AK18&lt;&gt;INT(AK18),AL18&lt;&gt;INT(AL18)),"E_INVALID_DATE",IF(AK18&gt;AL18,"E_REVERSED_BOUNDS","")))),"E_INVALID_UNIT")))))))</f>
        <v/>
      </c>
      <c r="AO18" s="22">
        <f t="shared" si="6"/>
        <v>0</v>
      </c>
      <c r="AP18" s="22">
        <f t="shared" si="7"/>
        <v>0</v>
      </c>
      <c r="AQ18" s="28" t="str">
        <f t="shared" si="8"/>
        <v/>
      </c>
      <c r="AR18" s="28" t="str">
        <f t="shared" si="9"/>
        <v/>
      </c>
      <c r="AS18" s="22" t="str">
        <f t="shared" si="10"/>
        <v/>
      </c>
      <c r="AT18" s="22" t="str">
        <f t="shared" si="11"/>
        <v/>
      </c>
      <c r="AU18" s="10"/>
      <c r="AV18" s="17"/>
      <c r="AW18" s="15"/>
      <c r="AX18" s="26"/>
      <c r="AY18" s="10"/>
      <c r="AZ18" s="12"/>
      <c r="BA18" s="12"/>
      <c r="BB18" s="15"/>
      <c r="BC18" s="15"/>
      <c r="BD18" s="10"/>
      <c r="BE18" s="21" t="str">
        <f>IF(COUNTA(AV18:BC18)=0,"",IF(AV18="","E_MISSING_INPUT",IF(AV18="TIMESTAMP",IF(OR(AW18="",AX18="",AY18=""),"E_MISSING_INPUT",IF(OR(NOT(ISNUMBER(AW18)),NOT(ISNUMBER(AX18))),"E_INVALID_DATE",IF(OR(AW18&lt;&gt;INT(AW18),AX18&lt;0,AX18&gt;=1),"E_INVALID_DATE",IF(ISNA(MATCH(AY18,nLIST_Offset,0)),"E_INVALID_UNIT","")))),IF(AV18="DATE",IF(AW18="","E_MISSING_INPUT",IF(NOT(ISNUMBER(AW18)),"E_INVALID_DATE",IF(AW18&lt;&gt;INT(AW18),"E_INVALID_DATE",""))),IF(AV18="MONTH",IF(OR(AZ18="",BA18=""),"E_MISSING_INPUT",IF(OR(NOT(ISNUMBER(AZ18)),NOT(ISNUMBER(BA18))),"E_INVALID_DATE",IF(OR(AZ18&lt;1900,AZ18&gt;9999,AZ18&lt;&gt;INT(AZ18),BA18&lt;1,BA18&gt;12,BA18&lt;&gt;INT(BA18)),"E_INVALID_DATE",""))),IF(AV18="YEAR",IF(AZ18="","E_MISSING_INPUT",IF(NOT(ISNUMBER(AZ18)),"E_INVALID_DATE",IF(OR(AZ18&lt;1900,AZ18&gt;9999,AZ18&lt;&gt;INT(AZ18)),"E_INVALID_DATE",""))),IF(AV18="RANGE",IF(OR(BB18="",BC18=""),"E_MISSING_INPUT",IF(OR(NOT(ISNUMBER(BB18)),NOT(ISNUMBER(BC18))),"E_INVALID_DATE",IF(OR(BB18&lt;&gt;INT(BB18),BC18&lt;&gt;INT(BC18)),"E_INVALID_DATE",IF(BB18&gt;BC18,"E_REVERSED_BOUNDS","")))),"E_INVALID_UNIT")))))))</f>
        <v/>
      </c>
      <c r="BF18" s="22">
        <f t="shared" si="12"/>
        <v>0</v>
      </c>
      <c r="BG18" s="22">
        <f t="shared" si="13"/>
        <v>0</v>
      </c>
      <c r="BH18" s="28" t="str">
        <f t="shared" si="14"/>
        <v/>
      </c>
      <c r="BI18" s="28" t="str">
        <f t="shared" si="15"/>
        <v/>
      </c>
      <c r="BJ18" s="22" t="str">
        <f t="shared" si="16"/>
        <v/>
      </c>
      <c r="BK18" s="22" t="str">
        <f t="shared" si="17"/>
        <v/>
      </c>
      <c r="BL18" s="21" t="str">
        <f t="shared" si="18"/>
        <v/>
      </c>
      <c r="BM18" s="22">
        <f>IF(BL18="",0,COUNTIF(nEXP_Key,BL18))</f>
        <v>0</v>
      </c>
      <c r="BN18" s="21" t="str">
        <f t="shared" si="19"/>
        <v/>
      </c>
      <c r="BO18" s="21" t="str">
        <f>IF(BN18="","",BN18&amp;": "&amp;SUBSTITUTE(IFERROR(INDEX(nMSG_Text,MATCH(BN18,nMSG_Code,0)),""),"[input]",IF(D18="","an Exposure_Episode_ID","the date fields required by the selected precision")))</f>
        <v/>
      </c>
    </row>
    <row r="19" spans="1:67" x14ac:dyDescent="0.2">
      <c r="A19" s="10"/>
      <c r="B19" s="12"/>
      <c r="C19" s="10"/>
      <c r="D19" s="10"/>
      <c r="E19" s="10"/>
      <c r="F19" s="17"/>
      <c r="G19" s="10"/>
      <c r="H19" s="17"/>
      <c r="I19" s="17"/>
      <c r="J19" s="10"/>
      <c r="K19" s="17"/>
      <c r="L19" s="10"/>
      <c r="M19" s="10"/>
      <c r="N19" s="17"/>
      <c r="O19" s="15"/>
      <c r="P19" s="26"/>
      <c r="Q19" s="10"/>
      <c r="R19" s="12"/>
      <c r="S19" s="12"/>
      <c r="T19" s="15"/>
      <c r="U19" s="15"/>
      <c r="V19" s="10"/>
      <c r="W19" s="21" t="str">
        <f>IF(COUNTA(N19:U19)=0,"",IF(N19="","E_MISSING_INPUT",IF(N19="TIMESTAMP",IF(OR(O19="",P19="",Q19=""),"E_MISSING_INPUT",IF(OR(NOT(ISNUMBER(O19)),NOT(ISNUMBER(P19))),"E_INVALID_DATE",IF(OR(O19&lt;&gt;INT(O19),P19&lt;0,P19&gt;=1),"E_INVALID_DATE",IF(ISNA(MATCH(Q19,nLIST_Offset,0)),"E_INVALID_UNIT","")))),IF(N19="DATE",IF(O19="","E_MISSING_INPUT",IF(NOT(ISNUMBER(O19)),"E_INVALID_DATE",IF(O19&lt;&gt;INT(O19),"E_INVALID_DATE",""))),IF(N19="MONTH",IF(OR(R19="",S19=""),"E_MISSING_INPUT",IF(OR(NOT(ISNUMBER(R19)),NOT(ISNUMBER(S19))),"E_INVALID_DATE",IF(OR(R19&lt;1900,R19&gt;9999,R19&lt;&gt;INT(R19),S19&lt;1,S19&gt;12,S19&lt;&gt;INT(S19)),"E_INVALID_DATE",""))),IF(N19="YEAR",IF(R19="","E_MISSING_INPUT",IF(NOT(ISNUMBER(R19)),"E_INVALID_DATE",IF(OR(R19&lt;1900,R19&gt;9999,R19&lt;&gt;INT(R19)),"E_INVALID_DATE",""))),IF(N19="RANGE",IF(OR(T19="",U19=""),"E_MISSING_INPUT",IF(OR(NOT(ISNUMBER(T19)),NOT(ISNUMBER(U19))),"E_INVALID_DATE",IF(OR(T19&lt;&gt;INT(T19),U19&lt;&gt;INT(U19)),"E_INVALID_DATE",IF(T19&gt;U19,"E_REVERSED_BOUNDS","")))),"E_INVALID_UNIT")))))))</f>
        <v/>
      </c>
      <c r="X19" s="22">
        <f t="shared" si="0"/>
        <v>0</v>
      </c>
      <c r="Y19" s="22">
        <f t="shared" si="1"/>
        <v>0</v>
      </c>
      <c r="Z19" s="28" t="str">
        <f t="shared" si="2"/>
        <v/>
      </c>
      <c r="AA19" s="28" t="str">
        <f t="shared" si="3"/>
        <v/>
      </c>
      <c r="AB19" s="22" t="str">
        <f t="shared" si="4"/>
        <v/>
      </c>
      <c r="AC19" s="22" t="str">
        <f t="shared" si="5"/>
        <v/>
      </c>
      <c r="AD19" s="10"/>
      <c r="AE19" s="17"/>
      <c r="AF19" s="15"/>
      <c r="AG19" s="26"/>
      <c r="AH19" s="10"/>
      <c r="AI19" s="12"/>
      <c r="AJ19" s="12"/>
      <c r="AK19" s="15"/>
      <c r="AL19" s="15"/>
      <c r="AM19" s="10"/>
      <c r="AN19" s="21" t="str">
        <f>IF(COUNTA(AE19:AL19)=0,"",IF(AE19="","E_MISSING_INPUT",IF(AE19="TIMESTAMP",IF(OR(AF19="",AG19="",AH19=""),"E_MISSING_INPUT",IF(OR(NOT(ISNUMBER(AF19)),NOT(ISNUMBER(AG19))),"E_INVALID_DATE",IF(OR(AF19&lt;&gt;INT(AF19),AG19&lt;0,AG19&gt;=1),"E_INVALID_DATE",IF(ISNA(MATCH(AH19,nLIST_Offset,0)),"E_INVALID_UNIT","")))),IF(AE19="DATE",IF(AF19="","E_MISSING_INPUT",IF(NOT(ISNUMBER(AF19)),"E_INVALID_DATE",IF(AF19&lt;&gt;INT(AF19),"E_INVALID_DATE",""))),IF(AE19="MONTH",IF(OR(AI19="",AJ19=""),"E_MISSING_INPUT",IF(OR(NOT(ISNUMBER(AI19)),NOT(ISNUMBER(AJ19))),"E_INVALID_DATE",IF(OR(AI19&lt;1900,AI19&gt;9999,AI19&lt;&gt;INT(AI19),AJ19&lt;1,AJ19&gt;12,AJ19&lt;&gt;INT(AJ19)),"E_INVALID_DATE",""))),IF(AE19="YEAR",IF(AI19="","E_MISSING_INPUT",IF(NOT(ISNUMBER(AI19)),"E_INVALID_DATE",IF(OR(AI19&lt;1900,AI19&gt;9999,AI19&lt;&gt;INT(AI19)),"E_INVALID_DATE",""))),IF(AE19="RANGE",IF(OR(AK19="",AL19=""),"E_MISSING_INPUT",IF(OR(NOT(ISNUMBER(AK19)),NOT(ISNUMBER(AL19))),"E_INVALID_DATE",IF(OR(AK19&lt;&gt;INT(AK19),AL19&lt;&gt;INT(AL19)),"E_INVALID_DATE",IF(AK19&gt;AL19,"E_REVERSED_BOUNDS","")))),"E_INVALID_UNIT")))))))</f>
        <v/>
      </c>
      <c r="AO19" s="22">
        <f t="shared" si="6"/>
        <v>0</v>
      </c>
      <c r="AP19" s="22">
        <f t="shared" si="7"/>
        <v>0</v>
      </c>
      <c r="AQ19" s="28" t="str">
        <f t="shared" si="8"/>
        <v/>
      </c>
      <c r="AR19" s="28" t="str">
        <f t="shared" si="9"/>
        <v/>
      </c>
      <c r="AS19" s="22" t="str">
        <f t="shared" si="10"/>
        <v/>
      </c>
      <c r="AT19" s="22" t="str">
        <f t="shared" si="11"/>
        <v/>
      </c>
      <c r="AU19" s="10"/>
      <c r="AV19" s="17"/>
      <c r="AW19" s="15"/>
      <c r="AX19" s="26"/>
      <c r="AY19" s="10"/>
      <c r="AZ19" s="12"/>
      <c r="BA19" s="12"/>
      <c r="BB19" s="15"/>
      <c r="BC19" s="15"/>
      <c r="BD19" s="10"/>
      <c r="BE19" s="21" t="str">
        <f>IF(COUNTA(AV19:BC19)=0,"",IF(AV19="","E_MISSING_INPUT",IF(AV19="TIMESTAMP",IF(OR(AW19="",AX19="",AY19=""),"E_MISSING_INPUT",IF(OR(NOT(ISNUMBER(AW19)),NOT(ISNUMBER(AX19))),"E_INVALID_DATE",IF(OR(AW19&lt;&gt;INT(AW19),AX19&lt;0,AX19&gt;=1),"E_INVALID_DATE",IF(ISNA(MATCH(AY19,nLIST_Offset,0)),"E_INVALID_UNIT","")))),IF(AV19="DATE",IF(AW19="","E_MISSING_INPUT",IF(NOT(ISNUMBER(AW19)),"E_INVALID_DATE",IF(AW19&lt;&gt;INT(AW19),"E_INVALID_DATE",""))),IF(AV19="MONTH",IF(OR(AZ19="",BA19=""),"E_MISSING_INPUT",IF(OR(NOT(ISNUMBER(AZ19)),NOT(ISNUMBER(BA19))),"E_INVALID_DATE",IF(OR(AZ19&lt;1900,AZ19&gt;9999,AZ19&lt;&gt;INT(AZ19),BA19&lt;1,BA19&gt;12,BA19&lt;&gt;INT(BA19)),"E_INVALID_DATE",""))),IF(AV19="YEAR",IF(AZ19="","E_MISSING_INPUT",IF(NOT(ISNUMBER(AZ19)),"E_INVALID_DATE",IF(OR(AZ19&lt;1900,AZ19&gt;9999,AZ19&lt;&gt;INT(AZ19)),"E_INVALID_DATE",""))),IF(AV19="RANGE",IF(OR(BB19="",BC19=""),"E_MISSING_INPUT",IF(OR(NOT(ISNUMBER(BB19)),NOT(ISNUMBER(BC19))),"E_INVALID_DATE",IF(OR(BB19&lt;&gt;INT(BB19),BC19&lt;&gt;INT(BC19)),"E_INVALID_DATE",IF(BB19&gt;BC19,"E_REVERSED_BOUNDS","")))),"E_INVALID_UNIT")))))))</f>
        <v/>
      </c>
      <c r="BF19" s="22">
        <f t="shared" si="12"/>
        <v>0</v>
      </c>
      <c r="BG19" s="22">
        <f t="shared" si="13"/>
        <v>0</v>
      </c>
      <c r="BH19" s="28" t="str">
        <f t="shared" si="14"/>
        <v/>
      </c>
      <c r="BI19" s="28" t="str">
        <f t="shared" si="15"/>
        <v/>
      </c>
      <c r="BJ19" s="22" t="str">
        <f t="shared" si="16"/>
        <v/>
      </c>
      <c r="BK19" s="22" t="str">
        <f t="shared" si="17"/>
        <v/>
      </c>
      <c r="BL19" s="21" t="str">
        <f t="shared" si="18"/>
        <v/>
      </c>
      <c r="BM19" s="22">
        <f>IF(BL19="",0,COUNTIF(nEXP_Key,BL19))</f>
        <v>0</v>
      </c>
      <c r="BN19" s="21" t="str">
        <f t="shared" si="19"/>
        <v/>
      </c>
      <c r="BO19" s="21" t="str">
        <f>IF(BN19="","",BN19&amp;": "&amp;SUBSTITUTE(IFERROR(INDEX(nMSG_Text,MATCH(BN19,nMSG_Code,0)),""),"[input]",IF(D19="","an Exposure_Episode_ID","the date fields required by the selected precision")))</f>
        <v/>
      </c>
    </row>
    <row r="20" spans="1:67" x14ac:dyDescent="0.2">
      <c r="A20" s="10"/>
      <c r="B20" s="12"/>
      <c r="C20" s="10"/>
      <c r="D20" s="10"/>
      <c r="E20" s="10"/>
      <c r="F20" s="17"/>
      <c r="G20" s="10"/>
      <c r="H20" s="17"/>
      <c r="I20" s="17"/>
      <c r="J20" s="10"/>
      <c r="K20" s="17"/>
      <c r="L20" s="10"/>
      <c r="M20" s="10"/>
      <c r="N20" s="17"/>
      <c r="O20" s="15"/>
      <c r="P20" s="26"/>
      <c r="Q20" s="10"/>
      <c r="R20" s="12"/>
      <c r="S20" s="12"/>
      <c r="T20" s="15"/>
      <c r="U20" s="15"/>
      <c r="V20" s="10"/>
      <c r="W20" s="21" t="str">
        <f>IF(COUNTA(N20:U20)=0,"",IF(N20="","E_MISSING_INPUT",IF(N20="TIMESTAMP",IF(OR(O20="",P20="",Q20=""),"E_MISSING_INPUT",IF(OR(NOT(ISNUMBER(O20)),NOT(ISNUMBER(P20))),"E_INVALID_DATE",IF(OR(O20&lt;&gt;INT(O20),P20&lt;0,P20&gt;=1),"E_INVALID_DATE",IF(ISNA(MATCH(Q20,nLIST_Offset,0)),"E_INVALID_UNIT","")))),IF(N20="DATE",IF(O20="","E_MISSING_INPUT",IF(NOT(ISNUMBER(O20)),"E_INVALID_DATE",IF(O20&lt;&gt;INT(O20),"E_INVALID_DATE",""))),IF(N20="MONTH",IF(OR(R20="",S20=""),"E_MISSING_INPUT",IF(OR(NOT(ISNUMBER(R20)),NOT(ISNUMBER(S20))),"E_INVALID_DATE",IF(OR(R20&lt;1900,R20&gt;9999,R20&lt;&gt;INT(R20),S20&lt;1,S20&gt;12,S20&lt;&gt;INT(S20)),"E_INVALID_DATE",""))),IF(N20="YEAR",IF(R20="","E_MISSING_INPUT",IF(NOT(ISNUMBER(R20)),"E_INVALID_DATE",IF(OR(R20&lt;1900,R20&gt;9999,R20&lt;&gt;INT(R20)),"E_INVALID_DATE",""))),IF(N20="RANGE",IF(OR(T20="",U20=""),"E_MISSING_INPUT",IF(OR(NOT(ISNUMBER(T20)),NOT(ISNUMBER(U20))),"E_INVALID_DATE",IF(OR(T20&lt;&gt;INT(T20),U20&lt;&gt;INT(U20)),"E_INVALID_DATE",IF(T20&gt;U20,"E_REVERSED_BOUNDS","")))),"E_INVALID_UNIT")))))))</f>
        <v/>
      </c>
      <c r="X20" s="22">
        <f t="shared" si="0"/>
        <v>0</v>
      </c>
      <c r="Y20" s="22">
        <f t="shared" si="1"/>
        <v>0</v>
      </c>
      <c r="Z20" s="28" t="str">
        <f t="shared" si="2"/>
        <v/>
      </c>
      <c r="AA20" s="28" t="str">
        <f t="shared" si="3"/>
        <v/>
      </c>
      <c r="AB20" s="22" t="str">
        <f t="shared" si="4"/>
        <v/>
      </c>
      <c r="AC20" s="22" t="str">
        <f t="shared" si="5"/>
        <v/>
      </c>
      <c r="AD20" s="10"/>
      <c r="AE20" s="17"/>
      <c r="AF20" s="15"/>
      <c r="AG20" s="26"/>
      <c r="AH20" s="10"/>
      <c r="AI20" s="12"/>
      <c r="AJ20" s="12"/>
      <c r="AK20" s="15"/>
      <c r="AL20" s="15"/>
      <c r="AM20" s="10"/>
      <c r="AN20" s="21" t="str">
        <f>IF(COUNTA(AE20:AL20)=0,"",IF(AE20="","E_MISSING_INPUT",IF(AE20="TIMESTAMP",IF(OR(AF20="",AG20="",AH20=""),"E_MISSING_INPUT",IF(OR(NOT(ISNUMBER(AF20)),NOT(ISNUMBER(AG20))),"E_INVALID_DATE",IF(OR(AF20&lt;&gt;INT(AF20),AG20&lt;0,AG20&gt;=1),"E_INVALID_DATE",IF(ISNA(MATCH(AH20,nLIST_Offset,0)),"E_INVALID_UNIT","")))),IF(AE20="DATE",IF(AF20="","E_MISSING_INPUT",IF(NOT(ISNUMBER(AF20)),"E_INVALID_DATE",IF(AF20&lt;&gt;INT(AF20),"E_INVALID_DATE",""))),IF(AE20="MONTH",IF(OR(AI20="",AJ20=""),"E_MISSING_INPUT",IF(OR(NOT(ISNUMBER(AI20)),NOT(ISNUMBER(AJ20))),"E_INVALID_DATE",IF(OR(AI20&lt;1900,AI20&gt;9999,AI20&lt;&gt;INT(AI20),AJ20&lt;1,AJ20&gt;12,AJ20&lt;&gt;INT(AJ20)),"E_INVALID_DATE",""))),IF(AE20="YEAR",IF(AI20="","E_MISSING_INPUT",IF(NOT(ISNUMBER(AI20)),"E_INVALID_DATE",IF(OR(AI20&lt;1900,AI20&gt;9999,AI20&lt;&gt;INT(AI20)),"E_INVALID_DATE",""))),IF(AE20="RANGE",IF(OR(AK20="",AL20=""),"E_MISSING_INPUT",IF(OR(NOT(ISNUMBER(AK20)),NOT(ISNUMBER(AL20))),"E_INVALID_DATE",IF(OR(AK20&lt;&gt;INT(AK20),AL20&lt;&gt;INT(AL20)),"E_INVALID_DATE",IF(AK20&gt;AL20,"E_REVERSED_BOUNDS","")))),"E_INVALID_UNIT")))))))</f>
        <v/>
      </c>
      <c r="AO20" s="22">
        <f t="shared" si="6"/>
        <v>0</v>
      </c>
      <c r="AP20" s="22">
        <f t="shared" si="7"/>
        <v>0</v>
      </c>
      <c r="AQ20" s="28" t="str">
        <f t="shared" si="8"/>
        <v/>
      </c>
      <c r="AR20" s="28" t="str">
        <f t="shared" si="9"/>
        <v/>
      </c>
      <c r="AS20" s="22" t="str">
        <f t="shared" si="10"/>
        <v/>
      </c>
      <c r="AT20" s="22" t="str">
        <f t="shared" si="11"/>
        <v/>
      </c>
      <c r="AU20" s="10"/>
      <c r="AV20" s="17"/>
      <c r="AW20" s="15"/>
      <c r="AX20" s="26"/>
      <c r="AY20" s="10"/>
      <c r="AZ20" s="12"/>
      <c r="BA20" s="12"/>
      <c r="BB20" s="15"/>
      <c r="BC20" s="15"/>
      <c r="BD20" s="10"/>
      <c r="BE20" s="21" t="str">
        <f>IF(COUNTA(AV20:BC20)=0,"",IF(AV20="","E_MISSING_INPUT",IF(AV20="TIMESTAMP",IF(OR(AW20="",AX20="",AY20=""),"E_MISSING_INPUT",IF(OR(NOT(ISNUMBER(AW20)),NOT(ISNUMBER(AX20))),"E_INVALID_DATE",IF(OR(AW20&lt;&gt;INT(AW20),AX20&lt;0,AX20&gt;=1),"E_INVALID_DATE",IF(ISNA(MATCH(AY20,nLIST_Offset,0)),"E_INVALID_UNIT","")))),IF(AV20="DATE",IF(AW20="","E_MISSING_INPUT",IF(NOT(ISNUMBER(AW20)),"E_INVALID_DATE",IF(AW20&lt;&gt;INT(AW20),"E_INVALID_DATE",""))),IF(AV20="MONTH",IF(OR(AZ20="",BA20=""),"E_MISSING_INPUT",IF(OR(NOT(ISNUMBER(AZ20)),NOT(ISNUMBER(BA20))),"E_INVALID_DATE",IF(OR(AZ20&lt;1900,AZ20&gt;9999,AZ20&lt;&gt;INT(AZ20),BA20&lt;1,BA20&gt;12,BA20&lt;&gt;INT(BA20)),"E_INVALID_DATE",""))),IF(AV20="YEAR",IF(AZ20="","E_MISSING_INPUT",IF(NOT(ISNUMBER(AZ20)),"E_INVALID_DATE",IF(OR(AZ20&lt;1900,AZ20&gt;9999,AZ20&lt;&gt;INT(AZ20)),"E_INVALID_DATE",""))),IF(AV20="RANGE",IF(OR(BB20="",BC20=""),"E_MISSING_INPUT",IF(OR(NOT(ISNUMBER(BB20)),NOT(ISNUMBER(BC20))),"E_INVALID_DATE",IF(OR(BB20&lt;&gt;INT(BB20),BC20&lt;&gt;INT(BC20)),"E_INVALID_DATE",IF(BB20&gt;BC20,"E_REVERSED_BOUNDS","")))),"E_INVALID_UNIT")))))))</f>
        <v/>
      </c>
      <c r="BF20" s="22">
        <f t="shared" si="12"/>
        <v>0</v>
      </c>
      <c r="BG20" s="22">
        <f t="shared" si="13"/>
        <v>0</v>
      </c>
      <c r="BH20" s="28" t="str">
        <f t="shared" si="14"/>
        <v/>
      </c>
      <c r="BI20" s="28" t="str">
        <f t="shared" si="15"/>
        <v/>
      </c>
      <c r="BJ20" s="22" t="str">
        <f t="shared" si="16"/>
        <v/>
      </c>
      <c r="BK20" s="22" t="str">
        <f t="shared" si="17"/>
        <v/>
      </c>
      <c r="BL20" s="21" t="str">
        <f t="shared" si="18"/>
        <v/>
      </c>
      <c r="BM20" s="22">
        <f>IF(BL20="",0,COUNTIF(nEXP_Key,BL20))</f>
        <v>0</v>
      </c>
      <c r="BN20" s="21" t="str">
        <f t="shared" si="19"/>
        <v/>
      </c>
      <c r="BO20" s="21" t="str">
        <f>IF(BN20="","",BN20&amp;": "&amp;SUBSTITUTE(IFERROR(INDEX(nMSG_Text,MATCH(BN20,nMSG_Code,0)),""),"[input]",IF(D20="","an Exposure_Episode_ID","the date fields required by the selected precision")))</f>
        <v/>
      </c>
    </row>
    <row r="21" spans="1:67" x14ac:dyDescent="0.2">
      <c r="A21" s="10"/>
      <c r="B21" s="12"/>
      <c r="C21" s="10"/>
      <c r="D21" s="10"/>
      <c r="E21" s="10"/>
      <c r="F21" s="17"/>
      <c r="G21" s="10"/>
      <c r="H21" s="17"/>
      <c r="I21" s="17"/>
      <c r="J21" s="10"/>
      <c r="K21" s="17"/>
      <c r="L21" s="10"/>
      <c r="M21" s="10"/>
      <c r="N21" s="17"/>
      <c r="O21" s="15"/>
      <c r="P21" s="26"/>
      <c r="Q21" s="10"/>
      <c r="R21" s="12"/>
      <c r="S21" s="12"/>
      <c r="T21" s="15"/>
      <c r="U21" s="15"/>
      <c r="V21" s="10"/>
      <c r="W21" s="21" t="str">
        <f>IF(COUNTA(N21:U21)=0,"",IF(N21="","E_MISSING_INPUT",IF(N21="TIMESTAMP",IF(OR(O21="",P21="",Q21=""),"E_MISSING_INPUT",IF(OR(NOT(ISNUMBER(O21)),NOT(ISNUMBER(P21))),"E_INVALID_DATE",IF(OR(O21&lt;&gt;INT(O21),P21&lt;0,P21&gt;=1),"E_INVALID_DATE",IF(ISNA(MATCH(Q21,nLIST_Offset,0)),"E_INVALID_UNIT","")))),IF(N21="DATE",IF(O21="","E_MISSING_INPUT",IF(NOT(ISNUMBER(O21)),"E_INVALID_DATE",IF(O21&lt;&gt;INT(O21),"E_INVALID_DATE",""))),IF(N21="MONTH",IF(OR(R21="",S21=""),"E_MISSING_INPUT",IF(OR(NOT(ISNUMBER(R21)),NOT(ISNUMBER(S21))),"E_INVALID_DATE",IF(OR(R21&lt;1900,R21&gt;9999,R21&lt;&gt;INT(R21),S21&lt;1,S21&gt;12,S21&lt;&gt;INT(S21)),"E_INVALID_DATE",""))),IF(N21="YEAR",IF(R21="","E_MISSING_INPUT",IF(NOT(ISNUMBER(R21)),"E_INVALID_DATE",IF(OR(R21&lt;1900,R21&gt;9999,R21&lt;&gt;INT(R21)),"E_INVALID_DATE",""))),IF(N21="RANGE",IF(OR(T21="",U21=""),"E_MISSING_INPUT",IF(OR(NOT(ISNUMBER(T21)),NOT(ISNUMBER(U21))),"E_INVALID_DATE",IF(OR(T21&lt;&gt;INT(T21),U21&lt;&gt;INT(U21)),"E_INVALID_DATE",IF(T21&gt;U21,"E_REVERSED_BOUNDS","")))),"E_INVALID_UNIT")))))))</f>
        <v/>
      </c>
      <c r="X21" s="22">
        <f t="shared" si="0"/>
        <v>0</v>
      </c>
      <c r="Y21" s="22">
        <f t="shared" si="1"/>
        <v>0</v>
      </c>
      <c r="Z21" s="28" t="str">
        <f t="shared" si="2"/>
        <v/>
      </c>
      <c r="AA21" s="28" t="str">
        <f t="shared" si="3"/>
        <v/>
      </c>
      <c r="AB21" s="22" t="str">
        <f t="shared" si="4"/>
        <v/>
      </c>
      <c r="AC21" s="22" t="str">
        <f t="shared" si="5"/>
        <v/>
      </c>
      <c r="AD21" s="10"/>
      <c r="AE21" s="17"/>
      <c r="AF21" s="15"/>
      <c r="AG21" s="26"/>
      <c r="AH21" s="10"/>
      <c r="AI21" s="12"/>
      <c r="AJ21" s="12"/>
      <c r="AK21" s="15"/>
      <c r="AL21" s="15"/>
      <c r="AM21" s="10"/>
      <c r="AN21" s="21" t="str">
        <f>IF(COUNTA(AE21:AL21)=0,"",IF(AE21="","E_MISSING_INPUT",IF(AE21="TIMESTAMP",IF(OR(AF21="",AG21="",AH21=""),"E_MISSING_INPUT",IF(OR(NOT(ISNUMBER(AF21)),NOT(ISNUMBER(AG21))),"E_INVALID_DATE",IF(OR(AF21&lt;&gt;INT(AF21),AG21&lt;0,AG21&gt;=1),"E_INVALID_DATE",IF(ISNA(MATCH(AH21,nLIST_Offset,0)),"E_INVALID_UNIT","")))),IF(AE21="DATE",IF(AF21="","E_MISSING_INPUT",IF(NOT(ISNUMBER(AF21)),"E_INVALID_DATE",IF(AF21&lt;&gt;INT(AF21),"E_INVALID_DATE",""))),IF(AE21="MONTH",IF(OR(AI21="",AJ21=""),"E_MISSING_INPUT",IF(OR(NOT(ISNUMBER(AI21)),NOT(ISNUMBER(AJ21))),"E_INVALID_DATE",IF(OR(AI21&lt;1900,AI21&gt;9999,AI21&lt;&gt;INT(AI21),AJ21&lt;1,AJ21&gt;12,AJ21&lt;&gt;INT(AJ21)),"E_INVALID_DATE",""))),IF(AE21="YEAR",IF(AI21="","E_MISSING_INPUT",IF(NOT(ISNUMBER(AI21)),"E_INVALID_DATE",IF(OR(AI21&lt;1900,AI21&gt;9999,AI21&lt;&gt;INT(AI21)),"E_INVALID_DATE",""))),IF(AE21="RANGE",IF(OR(AK21="",AL21=""),"E_MISSING_INPUT",IF(OR(NOT(ISNUMBER(AK21)),NOT(ISNUMBER(AL21))),"E_INVALID_DATE",IF(OR(AK21&lt;&gt;INT(AK21),AL21&lt;&gt;INT(AL21)),"E_INVALID_DATE",IF(AK21&gt;AL21,"E_REVERSED_BOUNDS","")))),"E_INVALID_UNIT")))))))</f>
        <v/>
      </c>
      <c r="AO21" s="22">
        <f t="shared" si="6"/>
        <v>0</v>
      </c>
      <c r="AP21" s="22">
        <f t="shared" si="7"/>
        <v>0</v>
      </c>
      <c r="AQ21" s="28" t="str">
        <f t="shared" si="8"/>
        <v/>
      </c>
      <c r="AR21" s="28" t="str">
        <f t="shared" si="9"/>
        <v/>
      </c>
      <c r="AS21" s="22" t="str">
        <f t="shared" si="10"/>
        <v/>
      </c>
      <c r="AT21" s="22" t="str">
        <f t="shared" si="11"/>
        <v/>
      </c>
      <c r="AU21" s="10"/>
      <c r="AV21" s="17"/>
      <c r="AW21" s="15"/>
      <c r="AX21" s="26"/>
      <c r="AY21" s="10"/>
      <c r="AZ21" s="12"/>
      <c r="BA21" s="12"/>
      <c r="BB21" s="15"/>
      <c r="BC21" s="15"/>
      <c r="BD21" s="10"/>
      <c r="BE21" s="21" t="str">
        <f>IF(COUNTA(AV21:BC21)=0,"",IF(AV21="","E_MISSING_INPUT",IF(AV21="TIMESTAMP",IF(OR(AW21="",AX21="",AY21=""),"E_MISSING_INPUT",IF(OR(NOT(ISNUMBER(AW21)),NOT(ISNUMBER(AX21))),"E_INVALID_DATE",IF(OR(AW21&lt;&gt;INT(AW21),AX21&lt;0,AX21&gt;=1),"E_INVALID_DATE",IF(ISNA(MATCH(AY21,nLIST_Offset,0)),"E_INVALID_UNIT","")))),IF(AV21="DATE",IF(AW21="","E_MISSING_INPUT",IF(NOT(ISNUMBER(AW21)),"E_INVALID_DATE",IF(AW21&lt;&gt;INT(AW21),"E_INVALID_DATE",""))),IF(AV21="MONTH",IF(OR(AZ21="",BA21=""),"E_MISSING_INPUT",IF(OR(NOT(ISNUMBER(AZ21)),NOT(ISNUMBER(BA21))),"E_INVALID_DATE",IF(OR(AZ21&lt;1900,AZ21&gt;9999,AZ21&lt;&gt;INT(AZ21),BA21&lt;1,BA21&gt;12,BA21&lt;&gt;INT(BA21)),"E_INVALID_DATE",""))),IF(AV21="YEAR",IF(AZ21="","E_MISSING_INPUT",IF(NOT(ISNUMBER(AZ21)),"E_INVALID_DATE",IF(OR(AZ21&lt;1900,AZ21&gt;9999,AZ21&lt;&gt;INT(AZ21)),"E_INVALID_DATE",""))),IF(AV21="RANGE",IF(OR(BB21="",BC21=""),"E_MISSING_INPUT",IF(OR(NOT(ISNUMBER(BB21)),NOT(ISNUMBER(BC21))),"E_INVALID_DATE",IF(OR(BB21&lt;&gt;INT(BB21),BC21&lt;&gt;INT(BC21)),"E_INVALID_DATE",IF(BB21&gt;BC21,"E_REVERSED_BOUNDS","")))),"E_INVALID_UNIT")))))))</f>
        <v/>
      </c>
      <c r="BF21" s="22">
        <f t="shared" si="12"/>
        <v>0</v>
      </c>
      <c r="BG21" s="22">
        <f t="shared" si="13"/>
        <v>0</v>
      </c>
      <c r="BH21" s="28" t="str">
        <f t="shared" si="14"/>
        <v/>
      </c>
      <c r="BI21" s="28" t="str">
        <f t="shared" si="15"/>
        <v/>
      </c>
      <c r="BJ21" s="22" t="str">
        <f t="shared" si="16"/>
        <v/>
      </c>
      <c r="BK21" s="22" t="str">
        <f t="shared" si="17"/>
        <v/>
      </c>
      <c r="BL21" s="21" t="str">
        <f t="shared" si="18"/>
        <v/>
      </c>
      <c r="BM21" s="22">
        <f>IF(BL21="",0,COUNTIF(nEXP_Key,BL21))</f>
        <v>0</v>
      </c>
      <c r="BN21" s="21" t="str">
        <f t="shared" si="19"/>
        <v/>
      </c>
      <c r="BO21" s="21" t="str">
        <f>IF(BN21="","",BN21&amp;": "&amp;SUBSTITUTE(IFERROR(INDEX(nMSG_Text,MATCH(BN21,nMSG_Code,0)),""),"[input]",IF(D21="","an Exposure_Episode_ID","the date fields required by the selected precision")))</f>
        <v/>
      </c>
    </row>
    <row r="22" spans="1:67" x14ac:dyDescent="0.2">
      <c r="A22" s="10"/>
      <c r="B22" s="12"/>
      <c r="C22" s="10"/>
      <c r="D22" s="10"/>
      <c r="E22" s="10"/>
      <c r="F22" s="17"/>
      <c r="G22" s="10"/>
      <c r="H22" s="17"/>
      <c r="I22" s="17"/>
      <c r="J22" s="10"/>
      <c r="K22" s="17"/>
      <c r="L22" s="10"/>
      <c r="M22" s="10"/>
      <c r="N22" s="17"/>
      <c r="O22" s="15"/>
      <c r="P22" s="26"/>
      <c r="Q22" s="10"/>
      <c r="R22" s="12"/>
      <c r="S22" s="12"/>
      <c r="T22" s="15"/>
      <c r="U22" s="15"/>
      <c r="V22" s="10"/>
      <c r="W22" s="21" t="str">
        <f>IF(COUNTA(N22:U22)=0,"",IF(N22="","E_MISSING_INPUT",IF(N22="TIMESTAMP",IF(OR(O22="",P22="",Q22=""),"E_MISSING_INPUT",IF(OR(NOT(ISNUMBER(O22)),NOT(ISNUMBER(P22))),"E_INVALID_DATE",IF(OR(O22&lt;&gt;INT(O22),P22&lt;0,P22&gt;=1),"E_INVALID_DATE",IF(ISNA(MATCH(Q22,nLIST_Offset,0)),"E_INVALID_UNIT","")))),IF(N22="DATE",IF(O22="","E_MISSING_INPUT",IF(NOT(ISNUMBER(O22)),"E_INVALID_DATE",IF(O22&lt;&gt;INT(O22),"E_INVALID_DATE",""))),IF(N22="MONTH",IF(OR(R22="",S22=""),"E_MISSING_INPUT",IF(OR(NOT(ISNUMBER(R22)),NOT(ISNUMBER(S22))),"E_INVALID_DATE",IF(OR(R22&lt;1900,R22&gt;9999,R22&lt;&gt;INT(R22),S22&lt;1,S22&gt;12,S22&lt;&gt;INT(S22)),"E_INVALID_DATE",""))),IF(N22="YEAR",IF(R22="","E_MISSING_INPUT",IF(NOT(ISNUMBER(R22)),"E_INVALID_DATE",IF(OR(R22&lt;1900,R22&gt;9999,R22&lt;&gt;INT(R22)),"E_INVALID_DATE",""))),IF(N22="RANGE",IF(OR(T22="",U22=""),"E_MISSING_INPUT",IF(OR(NOT(ISNUMBER(T22)),NOT(ISNUMBER(U22))),"E_INVALID_DATE",IF(OR(T22&lt;&gt;INT(T22),U22&lt;&gt;INT(U22)),"E_INVALID_DATE",IF(T22&gt;U22,"E_REVERSED_BOUNDS","")))),"E_INVALID_UNIT")))))))</f>
        <v/>
      </c>
      <c r="X22" s="22">
        <f t="shared" si="0"/>
        <v>0</v>
      </c>
      <c r="Y22" s="22">
        <f t="shared" si="1"/>
        <v>0</v>
      </c>
      <c r="Z22" s="28" t="str">
        <f t="shared" si="2"/>
        <v/>
      </c>
      <c r="AA22" s="28" t="str">
        <f t="shared" si="3"/>
        <v/>
      </c>
      <c r="AB22" s="22" t="str">
        <f t="shared" si="4"/>
        <v/>
      </c>
      <c r="AC22" s="22" t="str">
        <f t="shared" si="5"/>
        <v/>
      </c>
      <c r="AD22" s="10"/>
      <c r="AE22" s="17"/>
      <c r="AF22" s="15"/>
      <c r="AG22" s="26"/>
      <c r="AH22" s="10"/>
      <c r="AI22" s="12"/>
      <c r="AJ22" s="12"/>
      <c r="AK22" s="15"/>
      <c r="AL22" s="15"/>
      <c r="AM22" s="10"/>
      <c r="AN22" s="21" t="str">
        <f>IF(COUNTA(AE22:AL22)=0,"",IF(AE22="","E_MISSING_INPUT",IF(AE22="TIMESTAMP",IF(OR(AF22="",AG22="",AH22=""),"E_MISSING_INPUT",IF(OR(NOT(ISNUMBER(AF22)),NOT(ISNUMBER(AG22))),"E_INVALID_DATE",IF(OR(AF22&lt;&gt;INT(AF22),AG22&lt;0,AG22&gt;=1),"E_INVALID_DATE",IF(ISNA(MATCH(AH22,nLIST_Offset,0)),"E_INVALID_UNIT","")))),IF(AE22="DATE",IF(AF22="","E_MISSING_INPUT",IF(NOT(ISNUMBER(AF22)),"E_INVALID_DATE",IF(AF22&lt;&gt;INT(AF22),"E_INVALID_DATE",""))),IF(AE22="MONTH",IF(OR(AI22="",AJ22=""),"E_MISSING_INPUT",IF(OR(NOT(ISNUMBER(AI22)),NOT(ISNUMBER(AJ22))),"E_INVALID_DATE",IF(OR(AI22&lt;1900,AI22&gt;9999,AI22&lt;&gt;INT(AI22),AJ22&lt;1,AJ22&gt;12,AJ22&lt;&gt;INT(AJ22)),"E_INVALID_DATE",""))),IF(AE22="YEAR",IF(AI22="","E_MISSING_INPUT",IF(NOT(ISNUMBER(AI22)),"E_INVALID_DATE",IF(OR(AI22&lt;1900,AI22&gt;9999,AI22&lt;&gt;INT(AI22)),"E_INVALID_DATE",""))),IF(AE22="RANGE",IF(OR(AK22="",AL22=""),"E_MISSING_INPUT",IF(OR(NOT(ISNUMBER(AK22)),NOT(ISNUMBER(AL22))),"E_INVALID_DATE",IF(OR(AK22&lt;&gt;INT(AK22),AL22&lt;&gt;INT(AL22)),"E_INVALID_DATE",IF(AK22&gt;AL22,"E_REVERSED_BOUNDS","")))),"E_INVALID_UNIT")))))))</f>
        <v/>
      </c>
      <c r="AO22" s="22">
        <f t="shared" si="6"/>
        <v>0</v>
      </c>
      <c r="AP22" s="22">
        <f t="shared" si="7"/>
        <v>0</v>
      </c>
      <c r="AQ22" s="28" t="str">
        <f t="shared" si="8"/>
        <v/>
      </c>
      <c r="AR22" s="28" t="str">
        <f t="shared" si="9"/>
        <v/>
      </c>
      <c r="AS22" s="22" t="str">
        <f t="shared" si="10"/>
        <v/>
      </c>
      <c r="AT22" s="22" t="str">
        <f t="shared" si="11"/>
        <v/>
      </c>
      <c r="AU22" s="10"/>
      <c r="AV22" s="17"/>
      <c r="AW22" s="15"/>
      <c r="AX22" s="26"/>
      <c r="AY22" s="10"/>
      <c r="AZ22" s="12"/>
      <c r="BA22" s="12"/>
      <c r="BB22" s="15"/>
      <c r="BC22" s="15"/>
      <c r="BD22" s="10"/>
      <c r="BE22" s="21" t="str">
        <f>IF(COUNTA(AV22:BC22)=0,"",IF(AV22="","E_MISSING_INPUT",IF(AV22="TIMESTAMP",IF(OR(AW22="",AX22="",AY22=""),"E_MISSING_INPUT",IF(OR(NOT(ISNUMBER(AW22)),NOT(ISNUMBER(AX22))),"E_INVALID_DATE",IF(OR(AW22&lt;&gt;INT(AW22),AX22&lt;0,AX22&gt;=1),"E_INVALID_DATE",IF(ISNA(MATCH(AY22,nLIST_Offset,0)),"E_INVALID_UNIT","")))),IF(AV22="DATE",IF(AW22="","E_MISSING_INPUT",IF(NOT(ISNUMBER(AW22)),"E_INVALID_DATE",IF(AW22&lt;&gt;INT(AW22),"E_INVALID_DATE",""))),IF(AV22="MONTH",IF(OR(AZ22="",BA22=""),"E_MISSING_INPUT",IF(OR(NOT(ISNUMBER(AZ22)),NOT(ISNUMBER(BA22))),"E_INVALID_DATE",IF(OR(AZ22&lt;1900,AZ22&gt;9999,AZ22&lt;&gt;INT(AZ22),BA22&lt;1,BA22&gt;12,BA22&lt;&gt;INT(BA22)),"E_INVALID_DATE",""))),IF(AV22="YEAR",IF(AZ22="","E_MISSING_INPUT",IF(NOT(ISNUMBER(AZ22)),"E_INVALID_DATE",IF(OR(AZ22&lt;1900,AZ22&gt;9999,AZ22&lt;&gt;INT(AZ22)),"E_INVALID_DATE",""))),IF(AV22="RANGE",IF(OR(BB22="",BC22=""),"E_MISSING_INPUT",IF(OR(NOT(ISNUMBER(BB22)),NOT(ISNUMBER(BC22))),"E_INVALID_DATE",IF(OR(BB22&lt;&gt;INT(BB22),BC22&lt;&gt;INT(BC22)),"E_INVALID_DATE",IF(BB22&gt;BC22,"E_REVERSED_BOUNDS","")))),"E_INVALID_UNIT")))))))</f>
        <v/>
      </c>
      <c r="BF22" s="22">
        <f t="shared" si="12"/>
        <v>0</v>
      </c>
      <c r="BG22" s="22">
        <f t="shared" si="13"/>
        <v>0</v>
      </c>
      <c r="BH22" s="28" t="str">
        <f t="shared" si="14"/>
        <v/>
      </c>
      <c r="BI22" s="28" t="str">
        <f t="shared" si="15"/>
        <v/>
      </c>
      <c r="BJ22" s="22" t="str">
        <f t="shared" si="16"/>
        <v/>
      </c>
      <c r="BK22" s="22" t="str">
        <f t="shared" si="17"/>
        <v/>
      </c>
      <c r="BL22" s="21" t="str">
        <f t="shared" si="18"/>
        <v/>
      </c>
      <c r="BM22" s="22">
        <f>IF(BL22="",0,COUNTIF(nEXP_Key,BL22))</f>
        <v>0</v>
      </c>
      <c r="BN22" s="21" t="str">
        <f t="shared" si="19"/>
        <v/>
      </c>
      <c r="BO22" s="21" t="str">
        <f>IF(BN22="","",BN22&amp;": "&amp;SUBSTITUTE(IFERROR(INDEX(nMSG_Text,MATCH(BN22,nMSG_Code,0)),""),"[input]",IF(D22="","an Exposure_Episode_ID","the date fields required by the selected precision")))</f>
        <v/>
      </c>
    </row>
    <row r="23" spans="1:67" x14ac:dyDescent="0.2">
      <c r="A23" s="10"/>
      <c r="B23" s="12"/>
      <c r="C23" s="10"/>
      <c r="D23" s="10"/>
      <c r="E23" s="10"/>
      <c r="F23" s="17"/>
      <c r="G23" s="10"/>
      <c r="H23" s="17"/>
      <c r="I23" s="17"/>
      <c r="J23" s="10"/>
      <c r="K23" s="17"/>
      <c r="L23" s="10"/>
      <c r="M23" s="10"/>
      <c r="N23" s="17"/>
      <c r="O23" s="15"/>
      <c r="P23" s="26"/>
      <c r="Q23" s="10"/>
      <c r="R23" s="12"/>
      <c r="S23" s="12"/>
      <c r="T23" s="15"/>
      <c r="U23" s="15"/>
      <c r="V23" s="10"/>
      <c r="W23" s="21" t="str">
        <f>IF(COUNTA(N23:U23)=0,"",IF(N23="","E_MISSING_INPUT",IF(N23="TIMESTAMP",IF(OR(O23="",P23="",Q23=""),"E_MISSING_INPUT",IF(OR(NOT(ISNUMBER(O23)),NOT(ISNUMBER(P23))),"E_INVALID_DATE",IF(OR(O23&lt;&gt;INT(O23),P23&lt;0,P23&gt;=1),"E_INVALID_DATE",IF(ISNA(MATCH(Q23,nLIST_Offset,0)),"E_INVALID_UNIT","")))),IF(N23="DATE",IF(O23="","E_MISSING_INPUT",IF(NOT(ISNUMBER(O23)),"E_INVALID_DATE",IF(O23&lt;&gt;INT(O23),"E_INVALID_DATE",""))),IF(N23="MONTH",IF(OR(R23="",S23=""),"E_MISSING_INPUT",IF(OR(NOT(ISNUMBER(R23)),NOT(ISNUMBER(S23))),"E_INVALID_DATE",IF(OR(R23&lt;1900,R23&gt;9999,R23&lt;&gt;INT(R23),S23&lt;1,S23&gt;12,S23&lt;&gt;INT(S23)),"E_INVALID_DATE",""))),IF(N23="YEAR",IF(R23="","E_MISSING_INPUT",IF(NOT(ISNUMBER(R23)),"E_INVALID_DATE",IF(OR(R23&lt;1900,R23&gt;9999,R23&lt;&gt;INT(R23)),"E_INVALID_DATE",""))),IF(N23="RANGE",IF(OR(T23="",U23=""),"E_MISSING_INPUT",IF(OR(NOT(ISNUMBER(T23)),NOT(ISNUMBER(U23))),"E_INVALID_DATE",IF(OR(T23&lt;&gt;INT(T23),U23&lt;&gt;INT(U23)),"E_INVALID_DATE",IF(T23&gt;U23,"E_REVERSED_BOUNDS","")))),"E_INVALID_UNIT")))))))</f>
        <v/>
      </c>
      <c r="X23" s="22">
        <f t="shared" si="0"/>
        <v>0</v>
      </c>
      <c r="Y23" s="22">
        <f t="shared" si="1"/>
        <v>0</v>
      </c>
      <c r="Z23" s="28" t="str">
        <f t="shared" si="2"/>
        <v/>
      </c>
      <c r="AA23" s="28" t="str">
        <f t="shared" si="3"/>
        <v/>
      </c>
      <c r="AB23" s="22" t="str">
        <f t="shared" si="4"/>
        <v/>
      </c>
      <c r="AC23" s="22" t="str">
        <f t="shared" si="5"/>
        <v/>
      </c>
      <c r="AD23" s="10"/>
      <c r="AE23" s="17"/>
      <c r="AF23" s="15"/>
      <c r="AG23" s="26"/>
      <c r="AH23" s="10"/>
      <c r="AI23" s="12"/>
      <c r="AJ23" s="12"/>
      <c r="AK23" s="15"/>
      <c r="AL23" s="15"/>
      <c r="AM23" s="10"/>
      <c r="AN23" s="21" t="str">
        <f>IF(COUNTA(AE23:AL23)=0,"",IF(AE23="","E_MISSING_INPUT",IF(AE23="TIMESTAMP",IF(OR(AF23="",AG23="",AH23=""),"E_MISSING_INPUT",IF(OR(NOT(ISNUMBER(AF23)),NOT(ISNUMBER(AG23))),"E_INVALID_DATE",IF(OR(AF23&lt;&gt;INT(AF23),AG23&lt;0,AG23&gt;=1),"E_INVALID_DATE",IF(ISNA(MATCH(AH23,nLIST_Offset,0)),"E_INVALID_UNIT","")))),IF(AE23="DATE",IF(AF23="","E_MISSING_INPUT",IF(NOT(ISNUMBER(AF23)),"E_INVALID_DATE",IF(AF23&lt;&gt;INT(AF23),"E_INVALID_DATE",""))),IF(AE23="MONTH",IF(OR(AI23="",AJ23=""),"E_MISSING_INPUT",IF(OR(NOT(ISNUMBER(AI23)),NOT(ISNUMBER(AJ23))),"E_INVALID_DATE",IF(OR(AI23&lt;1900,AI23&gt;9999,AI23&lt;&gt;INT(AI23),AJ23&lt;1,AJ23&gt;12,AJ23&lt;&gt;INT(AJ23)),"E_INVALID_DATE",""))),IF(AE23="YEAR",IF(AI23="","E_MISSING_INPUT",IF(NOT(ISNUMBER(AI23)),"E_INVALID_DATE",IF(OR(AI23&lt;1900,AI23&gt;9999,AI23&lt;&gt;INT(AI23)),"E_INVALID_DATE",""))),IF(AE23="RANGE",IF(OR(AK23="",AL23=""),"E_MISSING_INPUT",IF(OR(NOT(ISNUMBER(AK23)),NOT(ISNUMBER(AL23))),"E_INVALID_DATE",IF(OR(AK23&lt;&gt;INT(AK23),AL23&lt;&gt;INT(AL23)),"E_INVALID_DATE",IF(AK23&gt;AL23,"E_REVERSED_BOUNDS","")))),"E_INVALID_UNIT")))))))</f>
        <v/>
      </c>
      <c r="AO23" s="22">
        <f t="shared" si="6"/>
        <v>0</v>
      </c>
      <c r="AP23" s="22">
        <f t="shared" si="7"/>
        <v>0</v>
      </c>
      <c r="AQ23" s="28" t="str">
        <f t="shared" si="8"/>
        <v/>
      </c>
      <c r="AR23" s="28" t="str">
        <f t="shared" si="9"/>
        <v/>
      </c>
      <c r="AS23" s="22" t="str">
        <f t="shared" si="10"/>
        <v/>
      </c>
      <c r="AT23" s="22" t="str">
        <f t="shared" si="11"/>
        <v/>
      </c>
      <c r="AU23" s="10"/>
      <c r="AV23" s="17"/>
      <c r="AW23" s="15"/>
      <c r="AX23" s="26"/>
      <c r="AY23" s="10"/>
      <c r="AZ23" s="12"/>
      <c r="BA23" s="12"/>
      <c r="BB23" s="15"/>
      <c r="BC23" s="15"/>
      <c r="BD23" s="10"/>
      <c r="BE23" s="21" t="str">
        <f>IF(COUNTA(AV23:BC23)=0,"",IF(AV23="","E_MISSING_INPUT",IF(AV23="TIMESTAMP",IF(OR(AW23="",AX23="",AY23=""),"E_MISSING_INPUT",IF(OR(NOT(ISNUMBER(AW23)),NOT(ISNUMBER(AX23))),"E_INVALID_DATE",IF(OR(AW23&lt;&gt;INT(AW23),AX23&lt;0,AX23&gt;=1),"E_INVALID_DATE",IF(ISNA(MATCH(AY23,nLIST_Offset,0)),"E_INVALID_UNIT","")))),IF(AV23="DATE",IF(AW23="","E_MISSING_INPUT",IF(NOT(ISNUMBER(AW23)),"E_INVALID_DATE",IF(AW23&lt;&gt;INT(AW23),"E_INVALID_DATE",""))),IF(AV23="MONTH",IF(OR(AZ23="",BA23=""),"E_MISSING_INPUT",IF(OR(NOT(ISNUMBER(AZ23)),NOT(ISNUMBER(BA23))),"E_INVALID_DATE",IF(OR(AZ23&lt;1900,AZ23&gt;9999,AZ23&lt;&gt;INT(AZ23),BA23&lt;1,BA23&gt;12,BA23&lt;&gt;INT(BA23)),"E_INVALID_DATE",""))),IF(AV23="YEAR",IF(AZ23="","E_MISSING_INPUT",IF(NOT(ISNUMBER(AZ23)),"E_INVALID_DATE",IF(OR(AZ23&lt;1900,AZ23&gt;9999,AZ23&lt;&gt;INT(AZ23)),"E_INVALID_DATE",""))),IF(AV23="RANGE",IF(OR(BB23="",BC23=""),"E_MISSING_INPUT",IF(OR(NOT(ISNUMBER(BB23)),NOT(ISNUMBER(BC23))),"E_INVALID_DATE",IF(OR(BB23&lt;&gt;INT(BB23),BC23&lt;&gt;INT(BC23)),"E_INVALID_DATE",IF(BB23&gt;BC23,"E_REVERSED_BOUNDS","")))),"E_INVALID_UNIT")))))))</f>
        <v/>
      </c>
      <c r="BF23" s="22">
        <f t="shared" si="12"/>
        <v>0</v>
      </c>
      <c r="BG23" s="22">
        <f t="shared" si="13"/>
        <v>0</v>
      </c>
      <c r="BH23" s="28" t="str">
        <f t="shared" si="14"/>
        <v/>
      </c>
      <c r="BI23" s="28" t="str">
        <f t="shared" si="15"/>
        <v/>
      </c>
      <c r="BJ23" s="22" t="str">
        <f t="shared" si="16"/>
        <v/>
      </c>
      <c r="BK23" s="22" t="str">
        <f t="shared" si="17"/>
        <v/>
      </c>
      <c r="BL23" s="21" t="str">
        <f t="shared" si="18"/>
        <v/>
      </c>
      <c r="BM23" s="22">
        <f>IF(BL23="",0,COUNTIF(nEXP_Key,BL23))</f>
        <v>0</v>
      </c>
      <c r="BN23" s="21" t="str">
        <f t="shared" si="19"/>
        <v/>
      </c>
      <c r="BO23" s="21" t="str">
        <f>IF(BN23="","",BN23&amp;": "&amp;SUBSTITUTE(IFERROR(INDEX(nMSG_Text,MATCH(BN23,nMSG_Code,0)),""),"[input]",IF(D23="","an Exposure_Episode_ID","the date fields required by the selected precision")))</f>
        <v/>
      </c>
    </row>
    <row r="24" spans="1:67" x14ac:dyDescent="0.2">
      <c r="A24" s="10"/>
      <c r="B24" s="12"/>
      <c r="C24" s="10"/>
      <c r="D24" s="10"/>
      <c r="E24" s="10"/>
      <c r="F24" s="17"/>
      <c r="G24" s="10"/>
      <c r="H24" s="17"/>
      <c r="I24" s="17"/>
      <c r="J24" s="10"/>
      <c r="K24" s="17"/>
      <c r="L24" s="10"/>
      <c r="M24" s="10"/>
      <c r="N24" s="17"/>
      <c r="O24" s="15"/>
      <c r="P24" s="26"/>
      <c r="Q24" s="10"/>
      <c r="R24" s="12"/>
      <c r="S24" s="12"/>
      <c r="T24" s="15"/>
      <c r="U24" s="15"/>
      <c r="V24" s="10"/>
      <c r="W24" s="21" t="str">
        <f>IF(COUNTA(N24:U24)=0,"",IF(N24="","E_MISSING_INPUT",IF(N24="TIMESTAMP",IF(OR(O24="",P24="",Q24=""),"E_MISSING_INPUT",IF(OR(NOT(ISNUMBER(O24)),NOT(ISNUMBER(P24))),"E_INVALID_DATE",IF(OR(O24&lt;&gt;INT(O24),P24&lt;0,P24&gt;=1),"E_INVALID_DATE",IF(ISNA(MATCH(Q24,nLIST_Offset,0)),"E_INVALID_UNIT","")))),IF(N24="DATE",IF(O24="","E_MISSING_INPUT",IF(NOT(ISNUMBER(O24)),"E_INVALID_DATE",IF(O24&lt;&gt;INT(O24),"E_INVALID_DATE",""))),IF(N24="MONTH",IF(OR(R24="",S24=""),"E_MISSING_INPUT",IF(OR(NOT(ISNUMBER(R24)),NOT(ISNUMBER(S24))),"E_INVALID_DATE",IF(OR(R24&lt;1900,R24&gt;9999,R24&lt;&gt;INT(R24),S24&lt;1,S24&gt;12,S24&lt;&gt;INT(S24)),"E_INVALID_DATE",""))),IF(N24="YEAR",IF(R24="","E_MISSING_INPUT",IF(NOT(ISNUMBER(R24)),"E_INVALID_DATE",IF(OR(R24&lt;1900,R24&gt;9999,R24&lt;&gt;INT(R24)),"E_INVALID_DATE",""))),IF(N24="RANGE",IF(OR(T24="",U24=""),"E_MISSING_INPUT",IF(OR(NOT(ISNUMBER(T24)),NOT(ISNUMBER(U24))),"E_INVALID_DATE",IF(OR(T24&lt;&gt;INT(T24),U24&lt;&gt;INT(U24)),"E_INVALID_DATE",IF(T24&gt;U24,"E_REVERSED_BOUNDS","")))),"E_INVALID_UNIT")))))))</f>
        <v/>
      </c>
      <c r="X24" s="22">
        <f t="shared" si="0"/>
        <v>0</v>
      </c>
      <c r="Y24" s="22">
        <f t="shared" si="1"/>
        <v>0</v>
      </c>
      <c r="Z24" s="28" t="str">
        <f t="shared" si="2"/>
        <v/>
      </c>
      <c r="AA24" s="28" t="str">
        <f t="shared" si="3"/>
        <v/>
      </c>
      <c r="AB24" s="22" t="str">
        <f t="shared" si="4"/>
        <v/>
      </c>
      <c r="AC24" s="22" t="str">
        <f t="shared" si="5"/>
        <v/>
      </c>
      <c r="AD24" s="10"/>
      <c r="AE24" s="17"/>
      <c r="AF24" s="15"/>
      <c r="AG24" s="26"/>
      <c r="AH24" s="10"/>
      <c r="AI24" s="12"/>
      <c r="AJ24" s="12"/>
      <c r="AK24" s="15"/>
      <c r="AL24" s="15"/>
      <c r="AM24" s="10"/>
      <c r="AN24" s="21" t="str">
        <f>IF(COUNTA(AE24:AL24)=0,"",IF(AE24="","E_MISSING_INPUT",IF(AE24="TIMESTAMP",IF(OR(AF24="",AG24="",AH24=""),"E_MISSING_INPUT",IF(OR(NOT(ISNUMBER(AF24)),NOT(ISNUMBER(AG24))),"E_INVALID_DATE",IF(OR(AF24&lt;&gt;INT(AF24),AG24&lt;0,AG24&gt;=1),"E_INVALID_DATE",IF(ISNA(MATCH(AH24,nLIST_Offset,0)),"E_INVALID_UNIT","")))),IF(AE24="DATE",IF(AF24="","E_MISSING_INPUT",IF(NOT(ISNUMBER(AF24)),"E_INVALID_DATE",IF(AF24&lt;&gt;INT(AF24),"E_INVALID_DATE",""))),IF(AE24="MONTH",IF(OR(AI24="",AJ24=""),"E_MISSING_INPUT",IF(OR(NOT(ISNUMBER(AI24)),NOT(ISNUMBER(AJ24))),"E_INVALID_DATE",IF(OR(AI24&lt;1900,AI24&gt;9999,AI24&lt;&gt;INT(AI24),AJ24&lt;1,AJ24&gt;12,AJ24&lt;&gt;INT(AJ24)),"E_INVALID_DATE",""))),IF(AE24="YEAR",IF(AI24="","E_MISSING_INPUT",IF(NOT(ISNUMBER(AI24)),"E_INVALID_DATE",IF(OR(AI24&lt;1900,AI24&gt;9999,AI24&lt;&gt;INT(AI24)),"E_INVALID_DATE",""))),IF(AE24="RANGE",IF(OR(AK24="",AL24=""),"E_MISSING_INPUT",IF(OR(NOT(ISNUMBER(AK24)),NOT(ISNUMBER(AL24))),"E_INVALID_DATE",IF(OR(AK24&lt;&gt;INT(AK24),AL24&lt;&gt;INT(AL24)),"E_INVALID_DATE",IF(AK24&gt;AL24,"E_REVERSED_BOUNDS","")))),"E_INVALID_UNIT")))))))</f>
        <v/>
      </c>
      <c r="AO24" s="22">
        <f t="shared" si="6"/>
        <v>0</v>
      </c>
      <c r="AP24" s="22">
        <f t="shared" si="7"/>
        <v>0</v>
      </c>
      <c r="AQ24" s="28" t="str">
        <f t="shared" si="8"/>
        <v/>
      </c>
      <c r="AR24" s="28" t="str">
        <f t="shared" si="9"/>
        <v/>
      </c>
      <c r="AS24" s="22" t="str">
        <f t="shared" si="10"/>
        <v/>
      </c>
      <c r="AT24" s="22" t="str">
        <f t="shared" si="11"/>
        <v/>
      </c>
      <c r="AU24" s="10"/>
      <c r="AV24" s="17"/>
      <c r="AW24" s="15"/>
      <c r="AX24" s="26"/>
      <c r="AY24" s="10"/>
      <c r="AZ24" s="12"/>
      <c r="BA24" s="12"/>
      <c r="BB24" s="15"/>
      <c r="BC24" s="15"/>
      <c r="BD24" s="10"/>
      <c r="BE24" s="21" t="str">
        <f>IF(COUNTA(AV24:BC24)=0,"",IF(AV24="","E_MISSING_INPUT",IF(AV24="TIMESTAMP",IF(OR(AW24="",AX24="",AY24=""),"E_MISSING_INPUT",IF(OR(NOT(ISNUMBER(AW24)),NOT(ISNUMBER(AX24))),"E_INVALID_DATE",IF(OR(AW24&lt;&gt;INT(AW24),AX24&lt;0,AX24&gt;=1),"E_INVALID_DATE",IF(ISNA(MATCH(AY24,nLIST_Offset,0)),"E_INVALID_UNIT","")))),IF(AV24="DATE",IF(AW24="","E_MISSING_INPUT",IF(NOT(ISNUMBER(AW24)),"E_INVALID_DATE",IF(AW24&lt;&gt;INT(AW24),"E_INVALID_DATE",""))),IF(AV24="MONTH",IF(OR(AZ24="",BA24=""),"E_MISSING_INPUT",IF(OR(NOT(ISNUMBER(AZ24)),NOT(ISNUMBER(BA24))),"E_INVALID_DATE",IF(OR(AZ24&lt;1900,AZ24&gt;9999,AZ24&lt;&gt;INT(AZ24),BA24&lt;1,BA24&gt;12,BA24&lt;&gt;INT(BA24)),"E_INVALID_DATE",""))),IF(AV24="YEAR",IF(AZ24="","E_MISSING_INPUT",IF(NOT(ISNUMBER(AZ24)),"E_INVALID_DATE",IF(OR(AZ24&lt;1900,AZ24&gt;9999,AZ24&lt;&gt;INT(AZ24)),"E_INVALID_DATE",""))),IF(AV24="RANGE",IF(OR(BB24="",BC24=""),"E_MISSING_INPUT",IF(OR(NOT(ISNUMBER(BB24)),NOT(ISNUMBER(BC24))),"E_INVALID_DATE",IF(OR(BB24&lt;&gt;INT(BB24),BC24&lt;&gt;INT(BC24)),"E_INVALID_DATE",IF(BB24&gt;BC24,"E_REVERSED_BOUNDS","")))),"E_INVALID_UNIT")))))))</f>
        <v/>
      </c>
      <c r="BF24" s="22">
        <f t="shared" si="12"/>
        <v>0</v>
      </c>
      <c r="BG24" s="22">
        <f t="shared" si="13"/>
        <v>0</v>
      </c>
      <c r="BH24" s="28" t="str">
        <f t="shared" si="14"/>
        <v/>
      </c>
      <c r="BI24" s="28" t="str">
        <f t="shared" si="15"/>
        <v/>
      </c>
      <c r="BJ24" s="22" t="str">
        <f t="shared" si="16"/>
        <v/>
      </c>
      <c r="BK24" s="22" t="str">
        <f t="shared" si="17"/>
        <v/>
      </c>
      <c r="BL24" s="21" t="str">
        <f t="shared" si="18"/>
        <v/>
      </c>
      <c r="BM24" s="22">
        <f>IF(BL24="",0,COUNTIF(nEXP_Key,BL24))</f>
        <v>0</v>
      </c>
      <c r="BN24" s="21" t="str">
        <f t="shared" si="19"/>
        <v/>
      </c>
      <c r="BO24" s="21" t="str">
        <f>IF(BN24="","",BN24&amp;": "&amp;SUBSTITUTE(IFERROR(INDEX(nMSG_Text,MATCH(BN24,nMSG_Code,0)),""),"[input]",IF(D24="","an Exposure_Episode_ID","the date fields required by the selected precision")))</f>
        <v/>
      </c>
    </row>
    <row r="25" spans="1:67" x14ac:dyDescent="0.2">
      <c r="A25" s="10"/>
      <c r="B25" s="12"/>
      <c r="C25" s="10"/>
      <c r="D25" s="10"/>
      <c r="E25" s="10"/>
      <c r="F25" s="17"/>
      <c r="G25" s="10"/>
      <c r="H25" s="17"/>
      <c r="I25" s="17"/>
      <c r="J25" s="10"/>
      <c r="K25" s="17"/>
      <c r="L25" s="10"/>
      <c r="M25" s="10"/>
      <c r="N25" s="17"/>
      <c r="O25" s="15"/>
      <c r="P25" s="26"/>
      <c r="Q25" s="10"/>
      <c r="R25" s="12"/>
      <c r="S25" s="12"/>
      <c r="T25" s="15"/>
      <c r="U25" s="15"/>
      <c r="V25" s="10"/>
      <c r="W25" s="21" t="str">
        <f>IF(COUNTA(N25:U25)=0,"",IF(N25="","E_MISSING_INPUT",IF(N25="TIMESTAMP",IF(OR(O25="",P25="",Q25=""),"E_MISSING_INPUT",IF(OR(NOT(ISNUMBER(O25)),NOT(ISNUMBER(P25))),"E_INVALID_DATE",IF(OR(O25&lt;&gt;INT(O25),P25&lt;0,P25&gt;=1),"E_INVALID_DATE",IF(ISNA(MATCH(Q25,nLIST_Offset,0)),"E_INVALID_UNIT","")))),IF(N25="DATE",IF(O25="","E_MISSING_INPUT",IF(NOT(ISNUMBER(O25)),"E_INVALID_DATE",IF(O25&lt;&gt;INT(O25),"E_INVALID_DATE",""))),IF(N25="MONTH",IF(OR(R25="",S25=""),"E_MISSING_INPUT",IF(OR(NOT(ISNUMBER(R25)),NOT(ISNUMBER(S25))),"E_INVALID_DATE",IF(OR(R25&lt;1900,R25&gt;9999,R25&lt;&gt;INT(R25),S25&lt;1,S25&gt;12,S25&lt;&gt;INT(S25)),"E_INVALID_DATE",""))),IF(N25="YEAR",IF(R25="","E_MISSING_INPUT",IF(NOT(ISNUMBER(R25)),"E_INVALID_DATE",IF(OR(R25&lt;1900,R25&gt;9999,R25&lt;&gt;INT(R25)),"E_INVALID_DATE",""))),IF(N25="RANGE",IF(OR(T25="",U25=""),"E_MISSING_INPUT",IF(OR(NOT(ISNUMBER(T25)),NOT(ISNUMBER(U25))),"E_INVALID_DATE",IF(OR(T25&lt;&gt;INT(T25),U25&lt;&gt;INT(U25)),"E_INVALID_DATE",IF(T25&gt;U25,"E_REVERSED_BOUNDS","")))),"E_INVALID_UNIT")))))))</f>
        <v/>
      </c>
      <c r="X25" s="22">
        <f t="shared" si="0"/>
        <v>0</v>
      </c>
      <c r="Y25" s="22">
        <f t="shared" si="1"/>
        <v>0</v>
      </c>
      <c r="Z25" s="28" t="str">
        <f t="shared" si="2"/>
        <v/>
      </c>
      <c r="AA25" s="28" t="str">
        <f t="shared" si="3"/>
        <v/>
      </c>
      <c r="AB25" s="22" t="str">
        <f t="shared" si="4"/>
        <v/>
      </c>
      <c r="AC25" s="22" t="str">
        <f t="shared" si="5"/>
        <v/>
      </c>
      <c r="AD25" s="10"/>
      <c r="AE25" s="17"/>
      <c r="AF25" s="15"/>
      <c r="AG25" s="26"/>
      <c r="AH25" s="10"/>
      <c r="AI25" s="12"/>
      <c r="AJ25" s="12"/>
      <c r="AK25" s="15"/>
      <c r="AL25" s="15"/>
      <c r="AM25" s="10"/>
      <c r="AN25" s="21" t="str">
        <f>IF(COUNTA(AE25:AL25)=0,"",IF(AE25="","E_MISSING_INPUT",IF(AE25="TIMESTAMP",IF(OR(AF25="",AG25="",AH25=""),"E_MISSING_INPUT",IF(OR(NOT(ISNUMBER(AF25)),NOT(ISNUMBER(AG25))),"E_INVALID_DATE",IF(OR(AF25&lt;&gt;INT(AF25),AG25&lt;0,AG25&gt;=1),"E_INVALID_DATE",IF(ISNA(MATCH(AH25,nLIST_Offset,0)),"E_INVALID_UNIT","")))),IF(AE25="DATE",IF(AF25="","E_MISSING_INPUT",IF(NOT(ISNUMBER(AF25)),"E_INVALID_DATE",IF(AF25&lt;&gt;INT(AF25),"E_INVALID_DATE",""))),IF(AE25="MONTH",IF(OR(AI25="",AJ25=""),"E_MISSING_INPUT",IF(OR(NOT(ISNUMBER(AI25)),NOT(ISNUMBER(AJ25))),"E_INVALID_DATE",IF(OR(AI25&lt;1900,AI25&gt;9999,AI25&lt;&gt;INT(AI25),AJ25&lt;1,AJ25&gt;12,AJ25&lt;&gt;INT(AJ25)),"E_INVALID_DATE",""))),IF(AE25="YEAR",IF(AI25="","E_MISSING_INPUT",IF(NOT(ISNUMBER(AI25)),"E_INVALID_DATE",IF(OR(AI25&lt;1900,AI25&gt;9999,AI25&lt;&gt;INT(AI25)),"E_INVALID_DATE",""))),IF(AE25="RANGE",IF(OR(AK25="",AL25=""),"E_MISSING_INPUT",IF(OR(NOT(ISNUMBER(AK25)),NOT(ISNUMBER(AL25))),"E_INVALID_DATE",IF(OR(AK25&lt;&gt;INT(AK25),AL25&lt;&gt;INT(AL25)),"E_INVALID_DATE",IF(AK25&gt;AL25,"E_REVERSED_BOUNDS","")))),"E_INVALID_UNIT")))))))</f>
        <v/>
      </c>
      <c r="AO25" s="22">
        <f t="shared" si="6"/>
        <v>0</v>
      </c>
      <c r="AP25" s="22">
        <f t="shared" si="7"/>
        <v>0</v>
      </c>
      <c r="AQ25" s="28" t="str">
        <f t="shared" si="8"/>
        <v/>
      </c>
      <c r="AR25" s="28" t="str">
        <f t="shared" si="9"/>
        <v/>
      </c>
      <c r="AS25" s="22" t="str">
        <f t="shared" si="10"/>
        <v/>
      </c>
      <c r="AT25" s="22" t="str">
        <f t="shared" si="11"/>
        <v/>
      </c>
      <c r="AU25" s="10"/>
      <c r="AV25" s="17"/>
      <c r="AW25" s="15"/>
      <c r="AX25" s="26"/>
      <c r="AY25" s="10"/>
      <c r="AZ25" s="12"/>
      <c r="BA25" s="12"/>
      <c r="BB25" s="15"/>
      <c r="BC25" s="15"/>
      <c r="BD25" s="10"/>
      <c r="BE25" s="21" t="str">
        <f>IF(COUNTA(AV25:BC25)=0,"",IF(AV25="","E_MISSING_INPUT",IF(AV25="TIMESTAMP",IF(OR(AW25="",AX25="",AY25=""),"E_MISSING_INPUT",IF(OR(NOT(ISNUMBER(AW25)),NOT(ISNUMBER(AX25))),"E_INVALID_DATE",IF(OR(AW25&lt;&gt;INT(AW25),AX25&lt;0,AX25&gt;=1),"E_INVALID_DATE",IF(ISNA(MATCH(AY25,nLIST_Offset,0)),"E_INVALID_UNIT","")))),IF(AV25="DATE",IF(AW25="","E_MISSING_INPUT",IF(NOT(ISNUMBER(AW25)),"E_INVALID_DATE",IF(AW25&lt;&gt;INT(AW25),"E_INVALID_DATE",""))),IF(AV25="MONTH",IF(OR(AZ25="",BA25=""),"E_MISSING_INPUT",IF(OR(NOT(ISNUMBER(AZ25)),NOT(ISNUMBER(BA25))),"E_INVALID_DATE",IF(OR(AZ25&lt;1900,AZ25&gt;9999,AZ25&lt;&gt;INT(AZ25),BA25&lt;1,BA25&gt;12,BA25&lt;&gt;INT(BA25)),"E_INVALID_DATE",""))),IF(AV25="YEAR",IF(AZ25="","E_MISSING_INPUT",IF(NOT(ISNUMBER(AZ25)),"E_INVALID_DATE",IF(OR(AZ25&lt;1900,AZ25&gt;9999,AZ25&lt;&gt;INT(AZ25)),"E_INVALID_DATE",""))),IF(AV25="RANGE",IF(OR(BB25="",BC25=""),"E_MISSING_INPUT",IF(OR(NOT(ISNUMBER(BB25)),NOT(ISNUMBER(BC25))),"E_INVALID_DATE",IF(OR(BB25&lt;&gt;INT(BB25),BC25&lt;&gt;INT(BC25)),"E_INVALID_DATE",IF(BB25&gt;BC25,"E_REVERSED_BOUNDS","")))),"E_INVALID_UNIT")))))))</f>
        <v/>
      </c>
      <c r="BF25" s="22">
        <f t="shared" si="12"/>
        <v>0</v>
      </c>
      <c r="BG25" s="22">
        <f t="shared" si="13"/>
        <v>0</v>
      </c>
      <c r="BH25" s="28" t="str">
        <f t="shared" si="14"/>
        <v/>
      </c>
      <c r="BI25" s="28" t="str">
        <f t="shared" si="15"/>
        <v/>
      </c>
      <c r="BJ25" s="22" t="str">
        <f t="shared" si="16"/>
        <v/>
      </c>
      <c r="BK25" s="22" t="str">
        <f t="shared" si="17"/>
        <v/>
      </c>
      <c r="BL25" s="21" t="str">
        <f t="shared" si="18"/>
        <v/>
      </c>
      <c r="BM25" s="22">
        <f>IF(BL25="",0,COUNTIF(nEXP_Key,BL25))</f>
        <v>0</v>
      </c>
      <c r="BN25" s="21" t="str">
        <f t="shared" si="19"/>
        <v/>
      </c>
      <c r="BO25" s="21" t="str">
        <f>IF(BN25="","",BN25&amp;": "&amp;SUBSTITUTE(IFERROR(INDEX(nMSG_Text,MATCH(BN25,nMSG_Code,0)),""),"[input]",IF(D25="","an Exposure_Episode_ID","the date fields required by the selected precision")))</f>
        <v/>
      </c>
    </row>
    <row r="26" spans="1:67" x14ac:dyDescent="0.2">
      <c r="A26" s="10"/>
      <c r="B26" s="12"/>
      <c r="C26" s="10"/>
      <c r="D26" s="10"/>
      <c r="E26" s="10"/>
      <c r="F26" s="17"/>
      <c r="G26" s="10"/>
      <c r="H26" s="17"/>
      <c r="I26" s="17"/>
      <c r="J26" s="10"/>
      <c r="K26" s="17"/>
      <c r="L26" s="10"/>
      <c r="M26" s="10"/>
      <c r="N26" s="17"/>
      <c r="O26" s="15"/>
      <c r="P26" s="26"/>
      <c r="Q26" s="10"/>
      <c r="R26" s="12"/>
      <c r="S26" s="12"/>
      <c r="T26" s="15"/>
      <c r="U26" s="15"/>
      <c r="V26" s="10"/>
      <c r="W26" s="21" t="str">
        <f>IF(COUNTA(N26:U26)=0,"",IF(N26="","E_MISSING_INPUT",IF(N26="TIMESTAMP",IF(OR(O26="",P26="",Q26=""),"E_MISSING_INPUT",IF(OR(NOT(ISNUMBER(O26)),NOT(ISNUMBER(P26))),"E_INVALID_DATE",IF(OR(O26&lt;&gt;INT(O26),P26&lt;0,P26&gt;=1),"E_INVALID_DATE",IF(ISNA(MATCH(Q26,nLIST_Offset,0)),"E_INVALID_UNIT","")))),IF(N26="DATE",IF(O26="","E_MISSING_INPUT",IF(NOT(ISNUMBER(O26)),"E_INVALID_DATE",IF(O26&lt;&gt;INT(O26),"E_INVALID_DATE",""))),IF(N26="MONTH",IF(OR(R26="",S26=""),"E_MISSING_INPUT",IF(OR(NOT(ISNUMBER(R26)),NOT(ISNUMBER(S26))),"E_INVALID_DATE",IF(OR(R26&lt;1900,R26&gt;9999,R26&lt;&gt;INT(R26),S26&lt;1,S26&gt;12,S26&lt;&gt;INT(S26)),"E_INVALID_DATE",""))),IF(N26="YEAR",IF(R26="","E_MISSING_INPUT",IF(NOT(ISNUMBER(R26)),"E_INVALID_DATE",IF(OR(R26&lt;1900,R26&gt;9999,R26&lt;&gt;INT(R26)),"E_INVALID_DATE",""))),IF(N26="RANGE",IF(OR(T26="",U26=""),"E_MISSING_INPUT",IF(OR(NOT(ISNUMBER(T26)),NOT(ISNUMBER(U26))),"E_INVALID_DATE",IF(OR(T26&lt;&gt;INT(T26),U26&lt;&gt;INT(U26)),"E_INVALID_DATE",IF(T26&gt;U26,"E_REVERSED_BOUNDS","")))),"E_INVALID_UNIT")))))))</f>
        <v/>
      </c>
      <c r="X26" s="22">
        <f t="shared" si="0"/>
        <v>0</v>
      </c>
      <c r="Y26" s="22">
        <f t="shared" si="1"/>
        <v>0</v>
      </c>
      <c r="Z26" s="28" t="str">
        <f t="shared" si="2"/>
        <v/>
      </c>
      <c r="AA26" s="28" t="str">
        <f t="shared" si="3"/>
        <v/>
      </c>
      <c r="AB26" s="22" t="str">
        <f t="shared" si="4"/>
        <v/>
      </c>
      <c r="AC26" s="22" t="str">
        <f t="shared" si="5"/>
        <v/>
      </c>
      <c r="AD26" s="10"/>
      <c r="AE26" s="17"/>
      <c r="AF26" s="15"/>
      <c r="AG26" s="26"/>
      <c r="AH26" s="10"/>
      <c r="AI26" s="12"/>
      <c r="AJ26" s="12"/>
      <c r="AK26" s="15"/>
      <c r="AL26" s="15"/>
      <c r="AM26" s="10"/>
      <c r="AN26" s="21" t="str">
        <f>IF(COUNTA(AE26:AL26)=0,"",IF(AE26="","E_MISSING_INPUT",IF(AE26="TIMESTAMP",IF(OR(AF26="",AG26="",AH26=""),"E_MISSING_INPUT",IF(OR(NOT(ISNUMBER(AF26)),NOT(ISNUMBER(AG26))),"E_INVALID_DATE",IF(OR(AF26&lt;&gt;INT(AF26),AG26&lt;0,AG26&gt;=1),"E_INVALID_DATE",IF(ISNA(MATCH(AH26,nLIST_Offset,0)),"E_INVALID_UNIT","")))),IF(AE26="DATE",IF(AF26="","E_MISSING_INPUT",IF(NOT(ISNUMBER(AF26)),"E_INVALID_DATE",IF(AF26&lt;&gt;INT(AF26),"E_INVALID_DATE",""))),IF(AE26="MONTH",IF(OR(AI26="",AJ26=""),"E_MISSING_INPUT",IF(OR(NOT(ISNUMBER(AI26)),NOT(ISNUMBER(AJ26))),"E_INVALID_DATE",IF(OR(AI26&lt;1900,AI26&gt;9999,AI26&lt;&gt;INT(AI26),AJ26&lt;1,AJ26&gt;12,AJ26&lt;&gt;INT(AJ26)),"E_INVALID_DATE",""))),IF(AE26="YEAR",IF(AI26="","E_MISSING_INPUT",IF(NOT(ISNUMBER(AI26)),"E_INVALID_DATE",IF(OR(AI26&lt;1900,AI26&gt;9999,AI26&lt;&gt;INT(AI26)),"E_INVALID_DATE",""))),IF(AE26="RANGE",IF(OR(AK26="",AL26=""),"E_MISSING_INPUT",IF(OR(NOT(ISNUMBER(AK26)),NOT(ISNUMBER(AL26))),"E_INVALID_DATE",IF(OR(AK26&lt;&gt;INT(AK26),AL26&lt;&gt;INT(AL26)),"E_INVALID_DATE",IF(AK26&gt;AL26,"E_REVERSED_BOUNDS","")))),"E_INVALID_UNIT")))))))</f>
        <v/>
      </c>
      <c r="AO26" s="22">
        <f t="shared" si="6"/>
        <v>0</v>
      </c>
      <c r="AP26" s="22">
        <f t="shared" si="7"/>
        <v>0</v>
      </c>
      <c r="AQ26" s="28" t="str">
        <f t="shared" si="8"/>
        <v/>
      </c>
      <c r="AR26" s="28" t="str">
        <f t="shared" si="9"/>
        <v/>
      </c>
      <c r="AS26" s="22" t="str">
        <f t="shared" si="10"/>
        <v/>
      </c>
      <c r="AT26" s="22" t="str">
        <f t="shared" si="11"/>
        <v/>
      </c>
      <c r="AU26" s="10"/>
      <c r="AV26" s="17"/>
      <c r="AW26" s="15"/>
      <c r="AX26" s="26"/>
      <c r="AY26" s="10"/>
      <c r="AZ26" s="12"/>
      <c r="BA26" s="12"/>
      <c r="BB26" s="15"/>
      <c r="BC26" s="15"/>
      <c r="BD26" s="10"/>
      <c r="BE26" s="21" t="str">
        <f>IF(COUNTA(AV26:BC26)=0,"",IF(AV26="","E_MISSING_INPUT",IF(AV26="TIMESTAMP",IF(OR(AW26="",AX26="",AY26=""),"E_MISSING_INPUT",IF(OR(NOT(ISNUMBER(AW26)),NOT(ISNUMBER(AX26))),"E_INVALID_DATE",IF(OR(AW26&lt;&gt;INT(AW26),AX26&lt;0,AX26&gt;=1),"E_INVALID_DATE",IF(ISNA(MATCH(AY26,nLIST_Offset,0)),"E_INVALID_UNIT","")))),IF(AV26="DATE",IF(AW26="","E_MISSING_INPUT",IF(NOT(ISNUMBER(AW26)),"E_INVALID_DATE",IF(AW26&lt;&gt;INT(AW26),"E_INVALID_DATE",""))),IF(AV26="MONTH",IF(OR(AZ26="",BA26=""),"E_MISSING_INPUT",IF(OR(NOT(ISNUMBER(AZ26)),NOT(ISNUMBER(BA26))),"E_INVALID_DATE",IF(OR(AZ26&lt;1900,AZ26&gt;9999,AZ26&lt;&gt;INT(AZ26),BA26&lt;1,BA26&gt;12,BA26&lt;&gt;INT(BA26)),"E_INVALID_DATE",""))),IF(AV26="YEAR",IF(AZ26="","E_MISSING_INPUT",IF(NOT(ISNUMBER(AZ26)),"E_INVALID_DATE",IF(OR(AZ26&lt;1900,AZ26&gt;9999,AZ26&lt;&gt;INT(AZ26)),"E_INVALID_DATE",""))),IF(AV26="RANGE",IF(OR(BB26="",BC26=""),"E_MISSING_INPUT",IF(OR(NOT(ISNUMBER(BB26)),NOT(ISNUMBER(BC26))),"E_INVALID_DATE",IF(OR(BB26&lt;&gt;INT(BB26),BC26&lt;&gt;INT(BC26)),"E_INVALID_DATE",IF(BB26&gt;BC26,"E_REVERSED_BOUNDS","")))),"E_INVALID_UNIT")))))))</f>
        <v/>
      </c>
      <c r="BF26" s="22">
        <f t="shared" si="12"/>
        <v>0</v>
      </c>
      <c r="BG26" s="22">
        <f t="shared" si="13"/>
        <v>0</v>
      </c>
      <c r="BH26" s="28" t="str">
        <f t="shared" si="14"/>
        <v/>
      </c>
      <c r="BI26" s="28" t="str">
        <f t="shared" si="15"/>
        <v/>
      </c>
      <c r="BJ26" s="22" t="str">
        <f t="shared" si="16"/>
        <v/>
      </c>
      <c r="BK26" s="22" t="str">
        <f t="shared" si="17"/>
        <v/>
      </c>
      <c r="BL26" s="21" t="str">
        <f t="shared" si="18"/>
        <v/>
      </c>
      <c r="BM26" s="22">
        <f>IF(BL26="",0,COUNTIF(nEXP_Key,BL26))</f>
        <v>0</v>
      </c>
      <c r="BN26" s="21" t="str">
        <f t="shared" si="19"/>
        <v/>
      </c>
      <c r="BO26" s="21" t="str">
        <f>IF(BN26="","",BN26&amp;": "&amp;SUBSTITUTE(IFERROR(INDEX(nMSG_Text,MATCH(BN26,nMSG_Code,0)),""),"[input]",IF(D26="","an Exposure_Episode_ID","the date fields required by the selected precision")))</f>
        <v/>
      </c>
    </row>
    <row r="27" spans="1:67" x14ac:dyDescent="0.2">
      <c r="A27" s="10"/>
      <c r="B27" s="12"/>
      <c r="C27" s="10"/>
      <c r="D27" s="10"/>
      <c r="E27" s="10"/>
      <c r="F27" s="17"/>
      <c r="G27" s="10"/>
      <c r="H27" s="17"/>
      <c r="I27" s="17"/>
      <c r="J27" s="10"/>
      <c r="K27" s="17"/>
      <c r="L27" s="10"/>
      <c r="M27" s="10"/>
      <c r="N27" s="17"/>
      <c r="O27" s="15"/>
      <c r="P27" s="26"/>
      <c r="Q27" s="10"/>
      <c r="R27" s="12"/>
      <c r="S27" s="12"/>
      <c r="T27" s="15"/>
      <c r="U27" s="15"/>
      <c r="V27" s="10"/>
      <c r="W27" s="21" t="str">
        <f>IF(COUNTA(N27:U27)=0,"",IF(N27="","E_MISSING_INPUT",IF(N27="TIMESTAMP",IF(OR(O27="",P27="",Q27=""),"E_MISSING_INPUT",IF(OR(NOT(ISNUMBER(O27)),NOT(ISNUMBER(P27))),"E_INVALID_DATE",IF(OR(O27&lt;&gt;INT(O27),P27&lt;0,P27&gt;=1),"E_INVALID_DATE",IF(ISNA(MATCH(Q27,nLIST_Offset,0)),"E_INVALID_UNIT","")))),IF(N27="DATE",IF(O27="","E_MISSING_INPUT",IF(NOT(ISNUMBER(O27)),"E_INVALID_DATE",IF(O27&lt;&gt;INT(O27),"E_INVALID_DATE",""))),IF(N27="MONTH",IF(OR(R27="",S27=""),"E_MISSING_INPUT",IF(OR(NOT(ISNUMBER(R27)),NOT(ISNUMBER(S27))),"E_INVALID_DATE",IF(OR(R27&lt;1900,R27&gt;9999,R27&lt;&gt;INT(R27),S27&lt;1,S27&gt;12,S27&lt;&gt;INT(S27)),"E_INVALID_DATE",""))),IF(N27="YEAR",IF(R27="","E_MISSING_INPUT",IF(NOT(ISNUMBER(R27)),"E_INVALID_DATE",IF(OR(R27&lt;1900,R27&gt;9999,R27&lt;&gt;INT(R27)),"E_INVALID_DATE",""))),IF(N27="RANGE",IF(OR(T27="",U27=""),"E_MISSING_INPUT",IF(OR(NOT(ISNUMBER(T27)),NOT(ISNUMBER(U27))),"E_INVALID_DATE",IF(OR(T27&lt;&gt;INT(T27),U27&lt;&gt;INT(U27)),"E_INVALID_DATE",IF(T27&gt;U27,"E_REVERSED_BOUNDS","")))),"E_INVALID_UNIT")))))))</f>
        <v/>
      </c>
      <c r="X27" s="22">
        <f t="shared" si="0"/>
        <v>0</v>
      </c>
      <c r="Y27" s="22">
        <f t="shared" si="1"/>
        <v>0</v>
      </c>
      <c r="Z27" s="28" t="str">
        <f t="shared" si="2"/>
        <v/>
      </c>
      <c r="AA27" s="28" t="str">
        <f t="shared" si="3"/>
        <v/>
      </c>
      <c r="AB27" s="22" t="str">
        <f t="shared" si="4"/>
        <v/>
      </c>
      <c r="AC27" s="22" t="str">
        <f t="shared" si="5"/>
        <v/>
      </c>
      <c r="AD27" s="10"/>
      <c r="AE27" s="17"/>
      <c r="AF27" s="15"/>
      <c r="AG27" s="26"/>
      <c r="AH27" s="10"/>
      <c r="AI27" s="12"/>
      <c r="AJ27" s="12"/>
      <c r="AK27" s="15"/>
      <c r="AL27" s="15"/>
      <c r="AM27" s="10"/>
      <c r="AN27" s="21" t="str">
        <f>IF(COUNTA(AE27:AL27)=0,"",IF(AE27="","E_MISSING_INPUT",IF(AE27="TIMESTAMP",IF(OR(AF27="",AG27="",AH27=""),"E_MISSING_INPUT",IF(OR(NOT(ISNUMBER(AF27)),NOT(ISNUMBER(AG27))),"E_INVALID_DATE",IF(OR(AF27&lt;&gt;INT(AF27),AG27&lt;0,AG27&gt;=1),"E_INVALID_DATE",IF(ISNA(MATCH(AH27,nLIST_Offset,0)),"E_INVALID_UNIT","")))),IF(AE27="DATE",IF(AF27="","E_MISSING_INPUT",IF(NOT(ISNUMBER(AF27)),"E_INVALID_DATE",IF(AF27&lt;&gt;INT(AF27),"E_INVALID_DATE",""))),IF(AE27="MONTH",IF(OR(AI27="",AJ27=""),"E_MISSING_INPUT",IF(OR(NOT(ISNUMBER(AI27)),NOT(ISNUMBER(AJ27))),"E_INVALID_DATE",IF(OR(AI27&lt;1900,AI27&gt;9999,AI27&lt;&gt;INT(AI27),AJ27&lt;1,AJ27&gt;12,AJ27&lt;&gt;INT(AJ27)),"E_INVALID_DATE",""))),IF(AE27="YEAR",IF(AI27="","E_MISSING_INPUT",IF(NOT(ISNUMBER(AI27)),"E_INVALID_DATE",IF(OR(AI27&lt;1900,AI27&gt;9999,AI27&lt;&gt;INT(AI27)),"E_INVALID_DATE",""))),IF(AE27="RANGE",IF(OR(AK27="",AL27=""),"E_MISSING_INPUT",IF(OR(NOT(ISNUMBER(AK27)),NOT(ISNUMBER(AL27))),"E_INVALID_DATE",IF(OR(AK27&lt;&gt;INT(AK27),AL27&lt;&gt;INT(AL27)),"E_INVALID_DATE",IF(AK27&gt;AL27,"E_REVERSED_BOUNDS","")))),"E_INVALID_UNIT")))))))</f>
        <v/>
      </c>
      <c r="AO27" s="22">
        <f t="shared" si="6"/>
        <v>0</v>
      </c>
      <c r="AP27" s="22">
        <f t="shared" si="7"/>
        <v>0</v>
      </c>
      <c r="AQ27" s="28" t="str">
        <f t="shared" si="8"/>
        <v/>
      </c>
      <c r="AR27" s="28" t="str">
        <f t="shared" si="9"/>
        <v/>
      </c>
      <c r="AS27" s="22" t="str">
        <f t="shared" si="10"/>
        <v/>
      </c>
      <c r="AT27" s="22" t="str">
        <f t="shared" si="11"/>
        <v/>
      </c>
      <c r="AU27" s="10"/>
      <c r="AV27" s="17"/>
      <c r="AW27" s="15"/>
      <c r="AX27" s="26"/>
      <c r="AY27" s="10"/>
      <c r="AZ27" s="12"/>
      <c r="BA27" s="12"/>
      <c r="BB27" s="15"/>
      <c r="BC27" s="15"/>
      <c r="BD27" s="10"/>
      <c r="BE27" s="21" t="str">
        <f>IF(COUNTA(AV27:BC27)=0,"",IF(AV27="","E_MISSING_INPUT",IF(AV27="TIMESTAMP",IF(OR(AW27="",AX27="",AY27=""),"E_MISSING_INPUT",IF(OR(NOT(ISNUMBER(AW27)),NOT(ISNUMBER(AX27))),"E_INVALID_DATE",IF(OR(AW27&lt;&gt;INT(AW27),AX27&lt;0,AX27&gt;=1),"E_INVALID_DATE",IF(ISNA(MATCH(AY27,nLIST_Offset,0)),"E_INVALID_UNIT","")))),IF(AV27="DATE",IF(AW27="","E_MISSING_INPUT",IF(NOT(ISNUMBER(AW27)),"E_INVALID_DATE",IF(AW27&lt;&gt;INT(AW27),"E_INVALID_DATE",""))),IF(AV27="MONTH",IF(OR(AZ27="",BA27=""),"E_MISSING_INPUT",IF(OR(NOT(ISNUMBER(AZ27)),NOT(ISNUMBER(BA27))),"E_INVALID_DATE",IF(OR(AZ27&lt;1900,AZ27&gt;9999,AZ27&lt;&gt;INT(AZ27),BA27&lt;1,BA27&gt;12,BA27&lt;&gt;INT(BA27)),"E_INVALID_DATE",""))),IF(AV27="YEAR",IF(AZ27="","E_MISSING_INPUT",IF(NOT(ISNUMBER(AZ27)),"E_INVALID_DATE",IF(OR(AZ27&lt;1900,AZ27&gt;9999,AZ27&lt;&gt;INT(AZ27)),"E_INVALID_DATE",""))),IF(AV27="RANGE",IF(OR(BB27="",BC27=""),"E_MISSING_INPUT",IF(OR(NOT(ISNUMBER(BB27)),NOT(ISNUMBER(BC27))),"E_INVALID_DATE",IF(OR(BB27&lt;&gt;INT(BB27),BC27&lt;&gt;INT(BC27)),"E_INVALID_DATE",IF(BB27&gt;BC27,"E_REVERSED_BOUNDS","")))),"E_INVALID_UNIT")))))))</f>
        <v/>
      </c>
      <c r="BF27" s="22">
        <f t="shared" si="12"/>
        <v>0</v>
      </c>
      <c r="BG27" s="22">
        <f t="shared" si="13"/>
        <v>0</v>
      </c>
      <c r="BH27" s="28" t="str">
        <f t="shared" si="14"/>
        <v/>
      </c>
      <c r="BI27" s="28" t="str">
        <f t="shared" si="15"/>
        <v/>
      </c>
      <c r="BJ27" s="22" t="str">
        <f t="shared" si="16"/>
        <v/>
      </c>
      <c r="BK27" s="22" t="str">
        <f t="shared" si="17"/>
        <v/>
      </c>
      <c r="BL27" s="21" t="str">
        <f t="shared" si="18"/>
        <v/>
      </c>
      <c r="BM27" s="22">
        <f>IF(BL27="",0,COUNTIF(nEXP_Key,BL27))</f>
        <v>0</v>
      </c>
      <c r="BN27" s="21" t="str">
        <f t="shared" si="19"/>
        <v/>
      </c>
      <c r="BO27" s="21" t="str">
        <f>IF(BN27="","",BN27&amp;": "&amp;SUBSTITUTE(IFERROR(INDEX(nMSG_Text,MATCH(BN27,nMSG_Code,0)),""),"[input]",IF(D27="","an Exposure_Episode_ID","the date fields required by the selected precision")))</f>
        <v/>
      </c>
    </row>
    <row r="28" spans="1:67" x14ac:dyDescent="0.2">
      <c r="A28" s="10"/>
      <c r="B28" s="12"/>
      <c r="C28" s="10"/>
      <c r="D28" s="10"/>
      <c r="E28" s="10"/>
      <c r="F28" s="17"/>
      <c r="G28" s="10"/>
      <c r="H28" s="17"/>
      <c r="I28" s="17"/>
      <c r="J28" s="10"/>
      <c r="K28" s="17"/>
      <c r="L28" s="10"/>
      <c r="M28" s="10"/>
      <c r="N28" s="17"/>
      <c r="O28" s="15"/>
      <c r="P28" s="26"/>
      <c r="Q28" s="10"/>
      <c r="R28" s="12"/>
      <c r="S28" s="12"/>
      <c r="T28" s="15"/>
      <c r="U28" s="15"/>
      <c r="V28" s="10"/>
      <c r="W28" s="21" t="str">
        <f>IF(COUNTA(N28:U28)=0,"",IF(N28="","E_MISSING_INPUT",IF(N28="TIMESTAMP",IF(OR(O28="",P28="",Q28=""),"E_MISSING_INPUT",IF(OR(NOT(ISNUMBER(O28)),NOT(ISNUMBER(P28))),"E_INVALID_DATE",IF(OR(O28&lt;&gt;INT(O28),P28&lt;0,P28&gt;=1),"E_INVALID_DATE",IF(ISNA(MATCH(Q28,nLIST_Offset,0)),"E_INVALID_UNIT","")))),IF(N28="DATE",IF(O28="","E_MISSING_INPUT",IF(NOT(ISNUMBER(O28)),"E_INVALID_DATE",IF(O28&lt;&gt;INT(O28),"E_INVALID_DATE",""))),IF(N28="MONTH",IF(OR(R28="",S28=""),"E_MISSING_INPUT",IF(OR(NOT(ISNUMBER(R28)),NOT(ISNUMBER(S28))),"E_INVALID_DATE",IF(OR(R28&lt;1900,R28&gt;9999,R28&lt;&gt;INT(R28),S28&lt;1,S28&gt;12,S28&lt;&gt;INT(S28)),"E_INVALID_DATE",""))),IF(N28="YEAR",IF(R28="","E_MISSING_INPUT",IF(NOT(ISNUMBER(R28)),"E_INVALID_DATE",IF(OR(R28&lt;1900,R28&gt;9999,R28&lt;&gt;INT(R28)),"E_INVALID_DATE",""))),IF(N28="RANGE",IF(OR(T28="",U28=""),"E_MISSING_INPUT",IF(OR(NOT(ISNUMBER(T28)),NOT(ISNUMBER(U28))),"E_INVALID_DATE",IF(OR(T28&lt;&gt;INT(T28),U28&lt;&gt;INT(U28)),"E_INVALID_DATE",IF(T28&gt;U28,"E_REVERSED_BOUNDS","")))),"E_INVALID_UNIT")))))))</f>
        <v/>
      </c>
      <c r="X28" s="22">
        <f t="shared" si="0"/>
        <v>0</v>
      </c>
      <c r="Y28" s="22">
        <f t="shared" si="1"/>
        <v>0</v>
      </c>
      <c r="Z28" s="28" t="str">
        <f t="shared" si="2"/>
        <v/>
      </c>
      <c r="AA28" s="28" t="str">
        <f t="shared" si="3"/>
        <v/>
      </c>
      <c r="AB28" s="22" t="str">
        <f t="shared" si="4"/>
        <v/>
      </c>
      <c r="AC28" s="22" t="str">
        <f t="shared" si="5"/>
        <v/>
      </c>
      <c r="AD28" s="10"/>
      <c r="AE28" s="17"/>
      <c r="AF28" s="15"/>
      <c r="AG28" s="26"/>
      <c r="AH28" s="10"/>
      <c r="AI28" s="12"/>
      <c r="AJ28" s="12"/>
      <c r="AK28" s="15"/>
      <c r="AL28" s="15"/>
      <c r="AM28" s="10"/>
      <c r="AN28" s="21" t="str">
        <f>IF(COUNTA(AE28:AL28)=0,"",IF(AE28="","E_MISSING_INPUT",IF(AE28="TIMESTAMP",IF(OR(AF28="",AG28="",AH28=""),"E_MISSING_INPUT",IF(OR(NOT(ISNUMBER(AF28)),NOT(ISNUMBER(AG28))),"E_INVALID_DATE",IF(OR(AF28&lt;&gt;INT(AF28),AG28&lt;0,AG28&gt;=1),"E_INVALID_DATE",IF(ISNA(MATCH(AH28,nLIST_Offset,0)),"E_INVALID_UNIT","")))),IF(AE28="DATE",IF(AF28="","E_MISSING_INPUT",IF(NOT(ISNUMBER(AF28)),"E_INVALID_DATE",IF(AF28&lt;&gt;INT(AF28),"E_INVALID_DATE",""))),IF(AE28="MONTH",IF(OR(AI28="",AJ28=""),"E_MISSING_INPUT",IF(OR(NOT(ISNUMBER(AI28)),NOT(ISNUMBER(AJ28))),"E_INVALID_DATE",IF(OR(AI28&lt;1900,AI28&gt;9999,AI28&lt;&gt;INT(AI28),AJ28&lt;1,AJ28&gt;12,AJ28&lt;&gt;INT(AJ28)),"E_INVALID_DATE",""))),IF(AE28="YEAR",IF(AI28="","E_MISSING_INPUT",IF(NOT(ISNUMBER(AI28)),"E_INVALID_DATE",IF(OR(AI28&lt;1900,AI28&gt;9999,AI28&lt;&gt;INT(AI28)),"E_INVALID_DATE",""))),IF(AE28="RANGE",IF(OR(AK28="",AL28=""),"E_MISSING_INPUT",IF(OR(NOT(ISNUMBER(AK28)),NOT(ISNUMBER(AL28))),"E_INVALID_DATE",IF(OR(AK28&lt;&gt;INT(AK28),AL28&lt;&gt;INT(AL28)),"E_INVALID_DATE",IF(AK28&gt;AL28,"E_REVERSED_BOUNDS","")))),"E_INVALID_UNIT")))))))</f>
        <v/>
      </c>
      <c r="AO28" s="22">
        <f t="shared" si="6"/>
        <v>0</v>
      </c>
      <c r="AP28" s="22">
        <f t="shared" si="7"/>
        <v>0</v>
      </c>
      <c r="AQ28" s="28" t="str">
        <f t="shared" si="8"/>
        <v/>
      </c>
      <c r="AR28" s="28" t="str">
        <f t="shared" si="9"/>
        <v/>
      </c>
      <c r="AS28" s="22" t="str">
        <f t="shared" si="10"/>
        <v/>
      </c>
      <c r="AT28" s="22" t="str">
        <f t="shared" si="11"/>
        <v/>
      </c>
      <c r="AU28" s="10"/>
      <c r="AV28" s="17"/>
      <c r="AW28" s="15"/>
      <c r="AX28" s="26"/>
      <c r="AY28" s="10"/>
      <c r="AZ28" s="12"/>
      <c r="BA28" s="12"/>
      <c r="BB28" s="15"/>
      <c r="BC28" s="15"/>
      <c r="BD28" s="10"/>
      <c r="BE28" s="21" t="str">
        <f>IF(COUNTA(AV28:BC28)=0,"",IF(AV28="","E_MISSING_INPUT",IF(AV28="TIMESTAMP",IF(OR(AW28="",AX28="",AY28=""),"E_MISSING_INPUT",IF(OR(NOT(ISNUMBER(AW28)),NOT(ISNUMBER(AX28))),"E_INVALID_DATE",IF(OR(AW28&lt;&gt;INT(AW28),AX28&lt;0,AX28&gt;=1),"E_INVALID_DATE",IF(ISNA(MATCH(AY28,nLIST_Offset,0)),"E_INVALID_UNIT","")))),IF(AV28="DATE",IF(AW28="","E_MISSING_INPUT",IF(NOT(ISNUMBER(AW28)),"E_INVALID_DATE",IF(AW28&lt;&gt;INT(AW28),"E_INVALID_DATE",""))),IF(AV28="MONTH",IF(OR(AZ28="",BA28=""),"E_MISSING_INPUT",IF(OR(NOT(ISNUMBER(AZ28)),NOT(ISNUMBER(BA28))),"E_INVALID_DATE",IF(OR(AZ28&lt;1900,AZ28&gt;9999,AZ28&lt;&gt;INT(AZ28),BA28&lt;1,BA28&gt;12,BA28&lt;&gt;INT(BA28)),"E_INVALID_DATE",""))),IF(AV28="YEAR",IF(AZ28="","E_MISSING_INPUT",IF(NOT(ISNUMBER(AZ28)),"E_INVALID_DATE",IF(OR(AZ28&lt;1900,AZ28&gt;9999,AZ28&lt;&gt;INT(AZ28)),"E_INVALID_DATE",""))),IF(AV28="RANGE",IF(OR(BB28="",BC28=""),"E_MISSING_INPUT",IF(OR(NOT(ISNUMBER(BB28)),NOT(ISNUMBER(BC28))),"E_INVALID_DATE",IF(OR(BB28&lt;&gt;INT(BB28),BC28&lt;&gt;INT(BC28)),"E_INVALID_DATE",IF(BB28&gt;BC28,"E_REVERSED_BOUNDS","")))),"E_INVALID_UNIT")))))))</f>
        <v/>
      </c>
      <c r="BF28" s="22">
        <f t="shared" si="12"/>
        <v>0</v>
      </c>
      <c r="BG28" s="22">
        <f t="shared" si="13"/>
        <v>0</v>
      </c>
      <c r="BH28" s="28" t="str">
        <f t="shared" si="14"/>
        <v/>
      </c>
      <c r="BI28" s="28" t="str">
        <f t="shared" si="15"/>
        <v/>
      </c>
      <c r="BJ28" s="22" t="str">
        <f t="shared" si="16"/>
        <v/>
      </c>
      <c r="BK28" s="22" t="str">
        <f t="shared" si="17"/>
        <v/>
      </c>
      <c r="BL28" s="21" t="str">
        <f t="shared" si="18"/>
        <v/>
      </c>
      <c r="BM28" s="22">
        <f>IF(BL28="",0,COUNTIF(nEXP_Key,BL28))</f>
        <v>0</v>
      </c>
      <c r="BN28" s="21" t="str">
        <f t="shared" si="19"/>
        <v/>
      </c>
      <c r="BO28" s="21" t="str">
        <f>IF(BN28="","",BN28&amp;": "&amp;SUBSTITUTE(IFERROR(INDEX(nMSG_Text,MATCH(BN28,nMSG_Code,0)),""),"[input]",IF(D28="","an Exposure_Episode_ID","the date fields required by the selected precision")))</f>
        <v/>
      </c>
    </row>
    <row r="29" spans="1:67" x14ac:dyDescent="0.2">
      <c r="A29" s="10"/>
      <c r="B29" s="12"/>
      <c r="C29" s="10"/>
      <c r="D29" s="10"/>
      <c r="E29" s="10"/>
      <c r="F29" s="17"/>
      <c r="G29" s="10"/>
      <c r="H29" s="17"/>
      <c r="I29" s="17"/>
      <c r="J29" s="10"/>
      <c r="K29" s="17"/>
      <c r="L29" s="10"/>
      <c r="M29" s="10"/>
      <c r="N29" s="17"/>
      <c r="O29" s="15"/>
      <c r="P29" s="26"/>
      <c r="Q29" s="10"/>
      <c r="R29" s="12"/>
      <c r="S29" s="12"/>
      <c r="T29" s="15"/>
      <c r="U29" s="15"/>
      <c r="V29" s="10"/>
      <c r="W29" s="21" t="str">
        <f>IF(COUNTA(N29:U29)=0,"",IF(N29="","E_MISSING_INPUT",IF(N29="TIMESTAMP",IF(OR(O29="",P29="",Q29=""),"E_MISSING_INPUT",IF(OR(NOT(ISNUMBER(O29)),NOT(ISNUMBER(P29))),"E_INVALID_DATE",IF(OR(O29&lt;&gt;INT(O29),P29&lt;0,P29&gt;=1),"E_INVALID_DATE",IF(ISNA(MATCH(Q29,nLIST_Offset,0)),"E_INVALID_UNIT","")))),IF(N29="DATE",IF(O29="","E_MISSING_INPUT",IF(NOT(ISNUMBER(O29)),"E_INVALID_DATE",IF(O29&lt;&gt;INT(O29),"E_INVALID_DATE",""))),IF(N29="MONTH",IF(OR(R29="",S29=""),"E_MISSING_INPUT",IF(OR(NOT(ISNUMBER(R29)),NOT(ISNUMBER(S29))),"E_INVALID_DATE",IF(OR(R29&lt;1900,R29&gt;9999,R29&lt;&gt;INT(R29),S29&lt;1,S29&gt;12,S29&lt;&gt;INT(S29)),"E_INVALID_DATE",""))),IF(N29="YEAR",IF(R29="","E_MISSING_INPUT",IF(NOT(ISNUMBER(R29)),"E_INVALID_DATE",IF(OR(R29&lt;1900,R29&gt;9999,R29&lt;&gt;INT(R29)),"E_INVALID_DATE",""))),IF(N29="RANGE",IF(OR(T29="",U29=""),"E_MISSING_INPUT",IF(OR(NOT(ISNUMBER(T29)),NOT(ISNUMBER(U29))),"E_INVALID_DATE",IF(OR(T29&lt;&gt;INT(T29),U29&lt;&gt;INT(U29)),"E_INVALID_DATE",IF(T29&gt;U29,"E_REVERSED_BOUNDS","")))),"E_INVALID_UNIT")))))))</f>
        <v/>
      </c>
      <c r="X29" s="22">
        <f t="shared" si="0"/>
        <v>0</v>
      </c>
      <c r="Y29" s="22">
        <f t="shared" si="1"/>
        <v>0</v>
      </c>
      <c r="Z29" s="28" t="str">
        <f t="shared" si="2"/>
        <v/>
      </c>
      <c r="AA29" s="28" t="str">
        <f t="shared" si="3"/>
        <v/>
      </c>
      <c r="AB29" s="22" t="str">
        <f t="shared" si="4"/>
        <v/>
      </c>
      <c r="AC29" s="22" t="str">
        <f t="shared" si="5"/>
        <v/>
      </c>
      <c r="AD29" s="10"/>
      <c r="AE29" s="17"/>
      <c r="AF29" s="15"/>
      <c r="AG29" s="26"/>
      <c r="AH29" s="10"/>
      <c r="AI29" s="12"/>
      <c r="AJ29" s="12"/>
      <c r="AK29" s="15"/>
      <c r="AL29" s="15"/>
      <c r="AM29" s="10"/>
      <c r="AN29" s="21" t="str">
        <f>IF(COUNTA(AE29:AL29)=0,"",IF(AE29="","E_MISSING_INPUT",IF(AE29="TIMESTAMP",IF(OR(AF29="",AG29="",AH29=""),"E_MISSING_INPUT",IF(OR(NOT(ISNUMBER(AF29)),NOT(ISNUMBER(AG29))),"E_INVALID_DATE",IF(OR(AF29&lt;&gt;INT(AF29),AG29&lt;0,AG29&gt;=1),"E_INVALID_DATE",IF(ISNA(MATCH(AH29,nLIST_Offset,0)),"E_INVALID_UNIT","")))),IF(AE29="DATE",IF(AF29="","E_MISSING_INPUT",IF(NOT(ISNUMBER(AF29)),"E_INVALID_DATE",IF(AF29&lt;&gt;INT(AF29),"E_INVALID_DATE",""))),IF(AE29="MONTH",IF(OR(AI29="",AJ29=""),"E_MISSING_INPUT",IF(OR(NOT(ISNUMBER(AI29)),NOT(ISNUMBER(AJ29))),"E_INVALID_DATE",IF(OR(AI29&lt;1900,AI29&gt;9999,AI29&lt;&gt;INT(AI29),AJ29&lt;1,AJ29&gt;12,AJ29&lt;&gt;INT(AJ29)),"E_INVALID_DATE",""))),IF(AE29="YEAR",IF(AI29="","E_MISSING_INPUT",IF(NOT(ISNUMBER(AI29)),"E_INVALID_DATE",IF(OR(AI29&lt;1900,AI29&gt;9999,AI29&lt;&gt;INT(AI29)),"E_INVALID_DATE",""))),IF(AE29="RANGE",IF(OR(AK29="",AL29=""),"E_MISSING_INPUT",IF(OR(NOT(ISNUMBER(AK29)),NOT(ISNUMBER(AL29))),"E_INVALID_DATE",IF(OR(AK29&lt;&gt;INT(AK29),AL29&lt;&gt;INT(AL29)),"E_INVALID_DATE",IF(AK29&gt;AL29,"E_REVERSED_BOUNDS","")))),"E_INVALID_UNIT")))))))</f>
        <v/>
      </c>
      <c r="AO29" s="22">
        <f t="shared" si="6"/>
        <v>0</v>
      </c>
      <c r="AP29" s="22">
        <f t="shared" si="7"/>
        <v>0</v>
      </c>
      <c r="AQ29" s="28" t="str">
        <f t="shared" si="8"/>
        <v/>
      </c>
      <c r="AR29" s="28" t="str">
        <f t="shared" si="9"/>
        <v/>
      </c>
      <c r="AS29" s="22" t="str">
        <f t="shared" si="10"/>
        <v/>
      </c>
      <c r="AT29" s="22" t="str">
        <f t="shared" si="11"/>
        <v/>
      </c>
      <c r="AU29" s="10"/>
      <c r="AV29" s="17"/>
      <c r="AW29" s="15"/>
      <c r="AX29" s="26"/>
      <c r="AY29" s="10"/>
      <c r="AZ29" s="12"/>
      <c r="BA29" s="12"/>
      <c r="BB29" s="15"/>
      <c r="BC29" s="15"/>
      <c r="BD29" s="10"/>
      <c r="BE29" s="21" t="str">
        <f>IF(COUNTA(AV29:BC29)=0,"",IF(AV29="","E_MISSING_INPUT",IF(AV29="TIMESTAMP",IF(OR(AW29="",AX29="",AY29=""),"E_MISSING_INPUT",IF(OR(NOT(ISNUMBER(AW29)),NOT(ISNUMBER(AX29))),"E_INVALID_DATE",IF(OR(AW29&lt;&gt;INT(AW29),AX29&lt;0,AX29&gt;=1),"E_INVALID_DATE",IF(ISNA(MATCH(AY29,nLIST_Offset,0)),"E_INVALID_UNIT","")))),IF(AV29="DATE",IF(AW29="","E_MISSING_INPUT",IF(NOT(ISNUMBER(AW29)),"E_INVALID_DATE",IF(AW29&lt;&gt;INT(AW29),"E_INVALID_DATE",""))),IF(AV29="MONTH",IF(OR(AZ29="",BA29=""),"E_MISSING_INPUT",IF(OR(NOT(ISNUMBER(AZ29)),NOT(ISNUMBER(BA29))),"E_INVALID_DATE",IF(OR(AZ29&lt;1900,AZ29&gt;9999,AZ29&lt;&gt;INT(AZ29),BA29&lt;1,BA29&gt;12,BA29&lt;&gt;INT(BA29)),"E_INVALID_DATE",""))),IF(AV29="YEAR",IF(AZ29="","E_MISSING_INPUT",IF(NOT(ISNUMBER(AZ29)),"E_INVALID_DATE",IF(OR(AZ29&lt;1900,AZ29&gt;9999,AZ29&lt;&gt;INT(AZ29)),"E_INVALID_DATE",""))),IF(AV29="RANGE",IF(OR(BB29="",BC29=""),"E_MISSING_INPUT",IF(OR(NOT(ISNUMBER(BB29)),NOT(ISNUMBER(BC29))),"E_INVALID_DATE",IF(OR(BB29&lt;&gt;INT(BB29),BC29&lt;&gt;INT(BC29)),"E_INVALID_DATE",IF(BB29&gt;BC29,"E_REVERSED_BOUNDS","")))),"E_INVALID_UNIT")))))))</f>
        <v/>
      </c>
      <c r="BF29" s="22">
        <f t="shared" si="12"/>
        <v>0</v>
      </c>
      <c r="BG29" s="22">
        <f t="shared" si="13"/>
        <v>0</v>
      </c>
      <c r="BH29" s="28" t="str">
        <f t="shared" si="14"/>
        <v/>
      </c>
      <c r="BI29" s="28" t="str">
        <f t="shared" si="15"/>
        <v/>
      </c>
      <c r="BJ29" s="22" t="str">
        <f t="shared" si="16"/>
        <v/>
      </c>
      <c r="BK29" s="22" t="str">
        <f t="shared" si="17"/>
        <v/>
      </c>
      <c r="BL29" s="21" t="str">
        <f t="shared" si="18"/>
        <v/>
      </c>
      <c r="BM29" s="22">
        <f>IF(BL29="",0,COUNTIF(nEXP_Key,BL29))</f>
        <v>0</v>
      </c>
      <c r="BN29" s="21" t="str">
        <f t="shared" si="19"/>
        <v/>
      </c>
      <c r="BO29" s="21" t="str">
        <f>IF(BN29="","",BN29&amp;": "&amp;SUBSTITUTE(IFERROR(INDEX(nMSG_Text,MATCH(BN29,nMSG_Code,0)),""),"[input]",IF(D29="","an Exposure_Episode_ID","the date fields required by the selected precision")))</f>
        <v/>
      </c>
    </row>
    <row r="30" spans="1:67" x14ac:dyDescent="0.2">
      <c r="A30" s="10"/>
      <c r="B30" s="12"/>
      <c r="C30" s="10"/>
      <c r="D30" s="10"/>
      <c r="E30" s="10"/>
      <c r="F30" s="17"/>
      <c r="G30" s="10"/>
      <c r="H30" s="17"/>
      <c r="I30" s="17"/>
      <c r="J30" s="10"/>
      <c r="K30" s="17"/>
      <c r="L30" s="10"/>
      <c r="M30" s="10"/>
      <c r="N30" s="17"/>
      <c r="O30" s="15"/>
      <c r="P30" s="26"/>
      <c r="Q30" s="10"/>
      <c r="R30" s="12"/>
      <c r="S30" s="12"/>
      <c r="T30" s="15"/>
      <c r="U30" s="15"/>
      <c r="V30" s="10"/>
      <c r="W30" s="21" t="str">
        <f>IF(COUNTA(N30:U30)=0,"",IF(N30="","E_MISSING_INPUT",IF(N30="TIMESTAMP",IF(OR(O30="",P30="",Q30=""),"E_MISSING_INPUT",IF(OR(NOT(ISNUMBER(O30)),NOT(ISNUMBER(P30))),"E_INVALID_DATE",IF(OR(O30&lt;&gt;INT(O30),P30&lt;0,P30&gt;=1),"E_INVALID_DATE",IF(ISNA(MATCH(Q30,nLIST_Offset,0)),"E_INVALID_UNIT","")))),IF(N30="DATE",IF(O30="","E_MISSING_INPUT",IF(NOT(ISNUMBER(O30)),"E_INVALID_DATE",IF(O30&lt;&gt;INT(O30),"E_INVALID_DATE",""))),IF(N30="MONTH",IF(OR(R30="",S30=""),"E_MISSING_INPUT",IF(OR(NOT(ISNUMBER(R30)),NOT(ISNUMBER(S30))),"E_INVALID_DATE",IF(OR(R30&lt;1900,R30&gt;9999,R30&lt;&gt;INT(R30),S30&lt;1,S30&gt;12,S30&lt;&gt;INT(S30)),"E_INVALID_DATE",""))),IF(N30="YEAR",IF(R30="","E_MISSING_INPUT",IF(NOT(ISNUMBER(R30)),"E_INVALID_DATE",IF(OR(R30&lt;1900,R30&gt;9999,R30&lt;&gt;INT(R30)),"E_INVALID_DATE",""))),IF(N30="RANGE",IF(OR(T30="",U30=""),"E_MISSING_INPUT",IF(OR(NOT(ISNUMBER(T30)),NOT(ISNUMBER(U30))),"E_INVALID_DATE",IF(OR(T30&lt;&gt;INT(T30),U30&lt;&gt;INT(U30)),"E_INVALID_DATE",IF(T30&gt;U30,"E_REVERSED_BOUNDS","")))),"E_INVALID_UNIT")))))))</f>
        <v/>
      </c>
      <c r="X30" s="22">
        <f t="shared" si="0"/>
        <v>0</v>
      </c>
      <c r="Y30" s="22">
        <f t="shared" si="1"/>
        <v>0</v>
      </c>
      <c r="Z30" s="28" t="str">
        <f t="shared" si="2"/>
        <v/>
      </c>
      <c r="AA30" s="28" t="str">
        <f t="shared" si="3"/>
        <v/>
      </c>
      <c r="AB30" s="22" t="str">
        <f t="shared" si="4"/>
        <v/>
      </c>
      <c r="AC30" s="22" t="str">
        <f t="shared" si="5"/>
        <v/>
      </c>
      <c r="AD30" s="10"/>
      <c r="AE30" s="17"/>
      <c r="AF30" s="15"/>
      <c r="AG30" s="26"/>
      <c r="AH30" s="10"/>
      <c r="AI30" s="12"/>
      <c r="AJ30" s="12"/>
      <c r="AK30" s="15"/>
      <c r="AL30" s="15"/>
      <c r="AM30" s="10"/>
      <c r="AN30" s="21" t="str">
        <f>IF(COUNTA(AE30:AL30)=0,"",IF(AE30="","E_MISSING_INPUT",IF(AE30="TIMESTAMP",IF(OR(AF30="",AG30="",AH30=""),"E_MISSING_INPUT",IF(OR(NOT(ISNUMBER(AF30)),NOT(ISNUMBER(AG30))),"E_INVALID_DATE",IF(OR(AF30&lt;&gt;INT(AF30),AG30&lt;0,AG30&gt;=1),"E_INVALID_DATE",IF(ISNA(MATCH(AH30,nLIST_Offset,0)),"E_INVALID_UNIT","")))),IF(AE30="DATE",IF(AF30="","E_MISSING_INPUT",IF(NOT(ISNUMBER(AF30)),"E_INVALID_DATE",IF(AF30&lt;&gt;INT(AF30),"E_INVALID_DATE",""))),IF(AE30="MONTH",IF(OR(AI30="",AJ30=""),"E_MISSING_INPUT",IF(OR(NOT(ISNUMBER(AI30)),NOT(ISNUMBER(AJ30))),"E_INVALID_DATE",IF(OR(AI30&lt;1900,AI30&gt;9999,AI30&lt;&gt;INT(AI30),AJ30&lt;1,AJ30&gt;12,AJ30&lt;&gt;INT(AJ30)),"E_INVALID_DATE",""))),IF(AE30="YEAR",IF(AI30="","E_MISSING_INPUT",IF(NOT(ISNUMBER(AI30)),"E_INVALID_DATE",IF(OR(AI30&lt;1900,AI30&gt;9999,AI30&lt;&gt;INT(AI30)),"E_INVALID_DATE",""))),IF(AE30="RANGE",IF(OR(AK30="",AL30=""),"E_MISSING_INPUT",IF(OR(NOT(ISNUMBER(AK30)),NOT(ISNUMBER(AL30))),"E_INVALID_DATE",IF(OR(AK30&lt;&gt;INT(AK30),AL30&lt;&gt;INT(AL30)),"E_INVALID_DATE",IF(AK30&gt;AL30,"E_REVERSED_BOUNDS","")))),"E_INVALID_UNIT")))))))</f>
        <v/>
      </c>
      <c r="AO30" s="22">
        <f t="shared" si="6"/>
        <v>0</v>
      </c>
      <c r="AP30" s="22">
        <f t="shared" si="7"/>
        <v>0</v>
      </c>
      <c r="AQ30" s="28" t="str">
        <f t="shared" si="8"/>
        <v/>
      </c>
      <c r="AR30" s="28" t="str">
        <f t="shared" si="9"/>
        <v/>
      </c>
      <c r="AS30" s="22" t="str">
        <f t="shared" si="10"/>
        <v/>
      </c>
      <c r="AT30" s="22" t="str">
        <f t="shared" si="11"/>
        <v/>
      </c>
      <c r="AU30" s="10"/>
      <c r="AV30" s="17"/>
      <c r="AW30" s="15"/>
      <c r="AX30" s="26"/>
      <c r="AY30" s="10"/>
      <c r="AZ30" s="12"/>
      <c r="BA30" s="12"/>
      <c r="BB30" s="15"/>
      <c r="BC30" s="15"/>
      <c r="BD30" s="10"/>
      <c r="BE30" s="21" t="str">
        <f>IF(COUNTA(AV30:BC30)=0,"",IF(AV30="","E_MISSING_INPUT",IF(AV30="TIMESTAMP",IF(OR(AW30="",AX30="",AY30=""),"E_MISSING_INPUT",IF(OR(NOT(ISNUMBER(AW30)),NOT(ISNUMBER(AX30))),"E_INVALID_DATE",IF(OR(AW30&lt;&gt;INT(AW30),AX30&lt;0,AX30&gt;=1),"E_INVALID_DATE",IF(ISNA(MATCH(AY30,nLIST_Offset,0)),"E_INVALID_UNIT","")))),IF(AV30="DATE",IF(AW30="","E_MISSING_INPUT",IF(NOT(ISNUMBER(AW30)),"E_INVALID_DATE",IF(AW30&lt;&gt;INT(AW30),"E_INVALID_DATE",""))),IF(AV30="MONTH",IF(OR(AZ30="",BA30=""),"E_MISSING_INPUT",IF(OR(NOT(ISNUMBER(AZ30)),NOT(ISNUMBER(BA30))),"E_INVALID_DATE",IF(OR(AZ30&lt;1900,AZ30&gt;9999,AZ30&lt;&gt;INT(AZ30),BA30&lt;1,BA30&gt;12,BA30&lt;&gt;INT(BA30)),"E_INVALID_DATE",""))),IF(AV30="YEAR",IF(AZ30="","E_MISSING_INPUT",IF(NOT(ISNUMBER(AZ30)),"E_INVALID_DATE",IF(OR(AZ30&lt;1900,AZ30&gt;9999,AZ30&lt;&gt;INT(AZ30)),"E_INVALID_DATE",""))),IF(AV30="RANGE",IF(OR(BB30="",BC30=""),"E_MISSING_INPUT",IF(OR(NOT(ISNUMBER(BB30)),NOT(ISNUMBER(BC30))),"E_INVALID_DATE",IF(OR(BB30&lt;&gt;INT(BB30),BC30&lt;&gt;INT(BC30)),"E_INVALID_DATE",IF(BB30&gt;BC30,"E_REVERSED_BOUNDS","")))),"E_INVALID_UNIT")))))))</f>
        <v/>
      </c>
      <c r="BF30" s="22">
        <f t="shared" si="12"/>
        <v>0</v>
      </c>
      <c r="BG30" s="22">
        <f t="shared" si="13"/>
        <v>0</v>
      </c>
      <c r="BH30" s="28" t="str">
        <f t="shared" si="14"/>
        <v/>
      </c>
      <c r="BI30" s="28" t="str">
        <f t="shared" si="15"/>
        <v/>
      </c>
      <c r="BJ30" s="22" t="str">
        <f t="shared" si="16"/>
        <v/>
      </c>
      <c r="BK30" s="22" t="str">
        <f t="shared" si="17"/>
        <v/>
      </c>
      <c r="BL30" s="21" t="str">
        <f t="shared" si="18"/>
        <v/>
      </c>
      <c r="BM30" s="22">
        <f>IF(BL30="",0,COUNTIF(nEXP_Key,BL30))</f>
        <v>0</v>
      </c>
      <c r="BN30" s="21" t="str">
        <f t="shared" si="19"/>
        <v/>
      </c>
      <c r="BO30" s="21" t="str">
        <f>IF(BN30="","",BN30&amp;": "&amp;SUBSTITUTE(IFERROR(INDEX(nMSG_Text,MATCH(BN30,nMSG_Code,0)),""),"[input]",IF(D30="","an Exposure_Episode_ID","the date fields required by the selected precision")))</f>
        <v/>
      </c>
    </row>
    <row r="31" spans="1:67" x14ac:dyDescent="0.2">
      <c r="A31" s="10"/>
      <c r="B31" s="12"/>
      <c r="C31" s="10"/>
      <c r="D31" s="10"/>
      <c r="E31" s="10"/>
      <c r="F31" s="17"/>
      <c r="G31" s="10"/>
      <c r="H31" s="17"/>
      <c r="I31" s="17"/>
      <c r="J31" s="10"/>
      <c r="K31" s="17"/>
      <c r="L31" s="10"/>
      <c r="M31" s="10"/>
      <c r="N31" s="17"/>
      <c r="O31" s="15"/>
      <c r="P31" s="26"/>
      <c r="Q31" s="10"/>
      <c r="R31" s="12"/>
      <c r="S31" s="12"/>
      <c r="T31" s="15"/>
      <c r="U31" s="15"/>
      <c r="V31" s="10"/>
      <c r="W31" s="21" t="str">
        <f>IF(COUNTA(N31:U31)=0,"",IF(N31="","E_MISSING_INPUT",IF(N31="TIMESTAMP",IF(OR(O31="",P31="",Q31=""),"E_MISSING_INPUT",IF(OR(NOT(ISNUMBER(O31)),NOT(ISNUMBER(P31))),"E_INVALID_DATE",IF(OR(O31&lt;&gt;INT(O31),P31&lt;0,P31&gt;=1),"E_INVALID_DATE",IF(ISNA(MATCH(Q31,nLIST_Offset,0)),"E_INVALID_UNIT","")))),IF(N31="DATE",IF(O31="","E_MISSING_INPUT",IF(NOT(ISNUMBER(O31)),"E_INVALID_DATE",IF(O31&lt;&gt;INT(O31),"E_INVALID_DATE",""))),IF(N31="MONTH",IF(OR(R31="",S31=""),"E_MISSING_INPUT",IF(OR(NOT(ISNUMBER(R31)),NOT(ISNUMBER(S31))),"E_INVALID_DATE",IF(OR(R31&lt;1900,R31&gt;9999,R31&lt;&gt;INT(R31),S31&lt;1,S31&gt;12,S31&lt;&gt;INT(S31)),"E_INVALID_DATE",""))),IF(N31="YEAR",IF(R31="","E_MISSING_INPUT",IF(NOT(ISNUMBER(R31)),"E_INVALID_DATE",IF(OR(R31&lt;1900,R31&gt;9999,R31&lt;&gt;INT(R31)),"E_INVALID_DATE",""))),IF(N31="RANGE",IF(OR(T31="",U31=""),"E_MISSING_INPUT",IF(OR(NOT(ISNUMBER(T31)),NOT(ISNUMBER(U31))),"E_INVALID_DATE",IF(OR(T31&lt;&gt;INT(T31),U31&lt;&gt;INT(U31)),"E_INVALID_DATE",IF(T31&gt;U31,"E_REVERSED_BOUNDS","")))),"E_INVALID_UNIT")))))))</f>
        <v/>
      </c>
      <c r="X31" s="22">
        <f t="shared" si="0"/>
        <v>0</v>
      </c>
      <c r="Y31" s="22">
        <f t="shared" si="1"/>
        <v>0</v>
      </c>
      <c r="Z31" s="28" t="str">
        <f t="shared" si="2"/>
        <v/>
      </c>
      <c r="AA31" s="28" t="str">
        <f t="shared" si="3"/>
        <v/>
      </c>
      <c r="AB31" s="22" t="str">
        <f t="shared" si="4"/>
        <v/>
      </c>
      <c r="AC31" s="22" t="str">
        <f t="shared" si="5"/>
        <v/>
      </c>
      <c r="AD31" s="10"/>
      <c r="AE31" s="17"/>
      <c r="AF31" s="15"/>
      <c r="AG31" s="26"/>
      <c r="AH31" s="10"/>
      <c r="AI31" s="12"/>
      <c r="AJ31" s="12"/>
      <c r="AK31" s="15"/>
      <c r="AL31" s="15"/>
      <c r="AM31" s="10"/>
      <c r="AN31" s="21" t="str">
        <f>IF(COUNTA(AE31:AL31)=0,"",IF(AE31="","E_MISSING_INPUT",IF(AE31="TIMESTAMP",IF(OR(AF31="",AG31="",AH31=""),"E_MISSING_INPUT",IF(OR(NOT(ISNUMBER(AF31)),NOT(ISNUMBER(AG31))),"E_INVALID_DATE",IF(OR(AF31&lt;&gt;INT(AF31),AG31&lt;0,AG31&gt;=1),"E_INVALID_DATE",IF(ISNA(MATCH(AH31,nLIST_Offset,0)),"E_INVALID_UNIT","")))),IF(AE31="DATE",IF(AF31="","E_MISSING_INPUT",IF(NOT(ISNUMBER(AF31)),"E_INVALID_DATE",IF(AF31&lt;&gt;INT(AF31),"E_INVALID_DATE",""))),IF(AE31="MONTH",IF(OR(AI31="",AJ31=""),"E_MISSING_INPUT",IF(OR(NOT(ISNUMBER(AI31)),NOT(ISNUMBER(AJ31))),"E_INVALID_DATE",IF(OR(AI31&lt;1900,AI31&gt;9999,AI31&lt;&gt;INT(AI31),AJ31&lt;1,AJ31&gt;12,AJ31&lt;&gt;INT(AJ31)),"E_INVALID_DATE",""))),IF(AE31="YEAR",IF(AI31="","E_MISSING_INPUT",IF(NOT(ISNUMBER(AI31)),"E_INVALID_DATE",IF(OR(AI31&lt;1900,AI31&gt;9999,AI31&lt;&gt;INT(AI31)),"E_INVALID_DATE",""))),IF(AE31="RANGE",IF(OR(AK31="",AL31=""),"E_MISSING_INPUT",IF(OR(NOT(ISNUMBER(AK31)),NOT(ISNUMBER(AL31))),"E_INVALID_DATE",IF(OR(AK31&lt;&gt;INT(AK31),AL31&lt;&gt;INT(AL31)),"E_INVALID_DATE",IF(AK31&gt;AL31,"E_REVERSED_BOUNDS","")))),"E_INVALID_UNIT")))))))</f>
        <v/>
      </c>
      <c r="AO31" s="22">
        <f t="shared" si="6"/>
        <v>0</v>
      </c>
      <c r="AP31" s="22">
        <f t="shared" si="7"/>
        <v>0</v>
      </c>
      <c r="AQ31" s="28" t="str">
        <f t="shared" si="8"/>
        <v/>
      </c>
      <c r="AR31" s="28" t="str">
        <f t="shared" si="9"/>
        <v/>
      </c>
      <c r="AS31" s="22" t="str">
        <f t="shared" si="10"/>
        <v/>
      </c>
      <c r="AT31" s="22" t="str">
        <f t="shared" si="11"/>
        <v/>
      </c>
      <c r="AU31" s="10"/>
      <c r="AV31" s="17"/>
      <c r="AW31" s="15"/>
      <c r="AX31" s="26"/>
      <c r="AY31" s="10"/>
      <c r="AZ31" s="12"/>
      <c r="BA31" s="12"/>
      <c r="BB31" s="15"/>
      <c r="BC31" s="15"/>
      <c r="BD31" s="10"/>
      <c r="BE31" s="21" t="str">
        <f>IF(COUNTA(AV31:BC31)=0,"",IF(AV31="","E_MISSING_INPUT",IF(AV31="TIMESTAMP",IF(OR(AW31="",AX31="",AY31=""),"E_MISSING_INPUT",IF(OR(NOT(ISNUMBER(AW31)),NOT(ISNUMBER(AX31))),"E_INVALID_DATE",IF(OR(AW31&lt;&gt;INT(AW31),AX31&lt;0,AX31&gt;=1),"E_INVALID_DATE",IF(ISNA(MATCH(AY31,nLIST_Offset,0)),"E_INVALID_UNIT","")))),IF(AV31="DATE",IF(AW31="","E_MISSING_INPUT",IF(NOT(ISNUMBER(AW31)),"E_INVALID_DATE",IF(AW31&lt;&gt;INT(AW31),"E_INVALID_DATE",""))),IF(AV31="MONTH",IF(OR(AZ31="",BA31=""),"E_MISSING_INPUT",IF(OR(NOT(ISNUMBER(AZ31)),NOT(ISNUMBER(BA31))),"E_INVALID_DATE",IF(OR(AZ31&lt;1900,AZ31&gt;9999,AZ31&lt;&gt;INT(AZ31),BA31&lt;1,BA31&gt;12,BA31&lt;&gt;INT(BA31)),"E_INVALID_DATE",""))),IF(AV31="YEAR",IF(AZ31="","E_MISSING_INPUT",IF(NOT(ISNUMBER(AZ31)),"E_INVALID_DATE",IF(OR(AZ31&lt;1900,AZ31&gt;9999,AZ31&lt;&gt;INT(AZ31)),"E_INVALID_DATE",""))),IF(AV31="RANGE",IF(OR(BB31="",BC31=""),"E_MISSING_INPUT",IF(OR(NOT(ISNUMBER(BB31)),NOT(ISNUMBER(BC31))),"E_INVALID_DATE",IF(OR(BB31&lt;&gt;INT(BB31),BC31&lt;&gt;INT(BC31)),"E_INVALID_DATE",IF(BB31&gt;BC31,"E_REVERSED_BOUNDS","")))),"E_INVALID_UNIT")))))))</f>
        <v/>
      </c>
      <c r="BF31" s="22">
        <f t="shared" si="12"/>
        <v>0</v>
      </c>
      <c r="BG31" s="22">
        <f t="shared" si="13"/>
        <v>0</v>
      </c>
      <c r="BH31" s="28" t="str">
        <f t="shared" si="14"/>
        <v/>
      </c>
      <c r="BI31" s="28" t="str">
        <f t="shared" si="15"/>
        <v/>
      </c>
      <c r="BJ31" s="22" t="str">
        <f t="shared" si="16"/>
        <v/>
      </c>
      <c r="BK31" s="22" t="str">
        <f t="shared" si="17"/>
        <v/>
      </c>
      <c r="BL31" s="21" t="str">
        <f t="shared" si="18"/>
        <v/>
      </c>
      <c r="BM31" s="22">
        <f>IF(BL31="",0,COUNTIF(nEXP_Key,BL31))</f>
        <v>0</v>
      </c>
      <c r="BN31" s="21" t="str">
        <f t="shared" si="19"/>
        <v/>
      </c>
      <c r="BO31" s="21" t="str">
        <f>IF(BN31="","",BN31&amp;": "&amp;SUBSTITUTE(IFERROR(INDEX(nMSG_Text,MATCH(BN31,nMSG_Code,0)),""),"[input]",IF(D31="","an Exposure_Episode_ID","the date fields required by the selected precision")))</f>
        <v/>
      </c>
    </row>
    <row r="32" spans="1:67" x14ac:dyDescent="0.2">
      <c r="A32" s="10"/>
      <c r="B32" s="12"/>
      <c r="C32" s="10"/>
      <c r="D32" s="10"/>
      <c r="E32" s="10"/>
      <c r="F32" s="17"/>
      <c r="G32" s="10"/>
      <c r="H32" s="17"/>
      <c r="I32" s="17"/>
      <c r="J32" s="10"/>
      <c r="K32" s="17"/>
      <c r="L32" s="10"/>
      <c r="M32" s="10"/>
      <c r="N32" s="17"/>
      <c r="O32" s="15"/>
      <c r="P32" s="26"/>
      <c r="Q32" s="10"/>
      <c r="R32" s="12"/>
      <c r="S32" s="12"/>
      <c r="T32" s="15"/>
      <c r="U32" s="15"/>
      <c r="V32" s="10"/>
      <c r="W32" s="21" t="str">
        <f>IF(COUNTA(N32:U32)=0,"",IF(N32="","E_MISSING_INPUT",IF(N32="TIMESTAMP",IF(OR(O32="",P32="",Q32=""),"E_MISSING_INPUT",IF(OR(NOT(ISNUMBER(O32)),NOT(ISNUMBER(P32))),"E_INVALID_DATE",IF(OR(O32&lt;&gt;INT(O32),P32&lt;0,P32&gt;=1),"E_INVALID_DATE",IF(ISNA(MATCH(Q32,nLIST_Offset,0)),"E_INVALID_UNIT","")))),IF(N32="DATE",IF(O32="","E_MISSING_INPUT",IF(NOT(ISNUMBER(O32)),"E_INVALID_DATE",IF(O32&lt;&gt;INT(O32),"E_INVALID_DATE",""))),IF(N32="MONTH",IF(OR(R32="",S32=""),"E_MISSING_INPUT",IF(OR(NOT(ISNUMBER(R32)),NOT(ISNUMBER(S32))),"E_INVALID_DATE",IF(OR(R32&lt;1900,R32&gt;9999,R32&lt;&gt;INT(R32),S32&lt;1,S32&gt;12,S32&lt;&gt;INT(S32)),"E_INVALID_DATE",""))),IF(N32="YEAR",IF(R32="","E_MISSING_INPUT",IF(NOT(ISNUMBER(R32)),"E_INVALID_DATE",IF(OR(R32&lt;1900,R32&gt;9999,R32&lt;&gt;INT(R32)),"E_INVALID_DATE",""))),IF(N32="RANGE",IF(OR(T32="",U32=""),"E_MISSING_INPUT",IF(OR(NOT(ISNUMBER(T32)),NOT(ISNUMBER(U32))),"E_INVALID_DATE",IF(OR(T32&lt;&gt;INT(T32),U32&lt;&gt;INT(U32)),"E_INVALID_DATE",IF(T32&gt;U32,"E_REVERSED_BOUNDS","")))),"E_INVALID_UNIT")))))))</f>
        <v/>
      </c>
      <c r="X32" s="22">
        <f t="shared" si="0"/>
        <v>0</v>
      </c>
      <c r="Y32" s="22">
        <f t="shared" si="1"/>
        <v>0</v>
      </c>
      <c r="Z32" s="28" t="str">
        <f t="shared" si="2"/>
        <v/>
      </c>
      <c r="AA32" s="28" t="str">
        <f t="shared" si="3"/>
        <v/>
      </c>
      <c r="AB32" s="22" t="str">
        <f t="shared" si="4"/>
        <v/>
      </c>
      <c r="AC32" s="22" t="str">
        <f t="shared" si="5"/>
        <v/>
      </c>
      <c r="AD32" s="10"/>
      <c r="AE32" s="17"/>
      <c r="AF32" s="15"/>
      <c r="AG32" s="26"/>
      <c r="AH32" s="10"/>
      <c r="AI32" s="12"/>
      <c r="AJ32" s="12"/>
      <c r="AK32" s="15"/>
      <c r="AL32" s="15"/>
      <c r="AM32" s="10"/>
      <c r="AN32" s="21" t="str">
        <f>IF(COUNTA(AE32:AL32)=0,"",IF(AE32="","E_MISSING_INPUT",IF(AE32="TIMESTAMP",IF(OR(AF32="",AG32="",AH32=""),"E_MISSING_INPUT",IF(OR(NOT(ISNUMBER(AF32)),NOT(ISNUMBER(AG32))),"E_INVALID_DATE",IF(OR(AF32&lt;&gt;INT(AF32),AG32&lt;0,AG32&gt;=1),"E_INVALID_DATE",IF(ISNA(MATCH(AH32,nLIST_Offset,0)),"E_INVALID_UNIT","")))),IF(AE32="DATE",IF(AF32="","E_MISSING_INPUT",IF(NOT(ISNUMBER(AF32)),"E_INVALID_DATE",IF(AF32&lt;&gt;INT(AF32),"E_INVALID_DATE",""))),IF(AE32="MONTH",IF(OR(AI32="",AJ32=""),"E_MISSING_INPUT",IF(OR(NOT(ISNUMBER(AI32)),NOT(ISNUMBER(AJ32))),"E_INVALID_DATE",IF(OR(AI32&lt;1900,AI32&gt;9999,AI32&lt;&gt;INT(AI32),AJ32&lt;1,AJ32&gt;12,AJ32&lt;&gt;INT(AJ32)),"E_INVALID_DATE",""))),IF(AE32="YEAR",IF(AI32="","E_MISSING_INPUT",IF(NOT(ISNUMBER(AI32)),"E_INVALID_DATE",IF(OR(AI32&lt;1900,AI32&gt;9999,AI32&lt;&gt;INT(AI32)),"E_INVALID_DATE",""))),IF(AE32="RANGE",IF(OR(AK32="",AL32=""),"E_MISSING_INPUT",IF(OR(NOT(ISNUMBER(AK32)),NOT(ISNUMBER(AL32))),"E_INVALID_DATE",IF(OR(AK32&lt;&gt;INT(AK32),AL32&lt;&gt;INT(AL32)),"E_INVALID_DATE",IF(AK32&gt;AL32,"E_REVERSED_BOUNDS","")))),"E_INVALID_UNIT")))))))</f>
        <v/>
      </c>
      <c r="AO32" s="22">
        <f t="shared" si="6"/>
        <v>0</v>
      </c>
      <c r="AP32" s="22">
        <f t="shared" si="7"/>
        <v>0</v>
      </c>
      <c r="AQ32" s="28" t="str">
        <f t="shared" si="8"/>
        <v/>
      </c>
      <c r="AR32" s="28" t="str">
        <f t="shared" si="9"/>
        <v/>
      </c>
      <c r="AS32" s="22" t="str">
        <f t="shared" si="10"/>
        <v/>
      </c>
      <c r="AT32" s="22" t="str">
        <f t="shared" si="11"/>
        <v/>
      </c>
      <c r="AU32" s="10"/>
      <c r="AV32" s="17"/>
      <c r="AW32" s="15"/>
      <c r="AX32" s="26"/>
      <c r="AY32" s="10"/>
      <c r="AZ32" s="12"/>
      <c r="BA32" s="12"/>
      <c r="BB32" s="15"/>
      <c r="BC32" s="15"/>
      <c r="BD32" s="10"/>
      <c r="BE32" s="21" t="str">
        <f>IF(COUNTA(AV32:BC32)=0,"",IF(AV32="","E_MISSING_INPUT",IF(AV32="TIMESTAMP",IF(OR(AW32="",AX32="",AY32=""),"E_MISSING_INPUT",IF(OR(NOT(ISNUMBER(AW32)),NOT(ISNUMBER(AX32))),"E_INVALID_DATE",IF(OR(AW32&lt;&gt;INT(AW32),AX32&lt;0,AX32&gt;=1),"E_INVALID_DATE",IF(ISNA(MATCH(AY32,nLIST_Offset,0)),"E_INVALID_UNIT","")))),IF(AV32="DATE",IF(AW32="","E_MISSING_INPUT",IF(NOT(ISNUMBER(AW32)),"E_INVALID_DATE",IF(AW32&lt;&gt;INT(AW32),"E_INVALID_DATE",""))),IF(AV32="MONTH",IF(OR(AZ32="",BA32=""),"E_MISSING_INPUT",IF(OR(NOT(ISNUMBER(AZ32)),NOT(ISNUMBER(BA32))),"E_INVALID_DATE",IF(OR(AZ32&lt;1900,AZ32&gt;9999,AZ32&lt;&gt;INT(AZ32),BA32&lt;1,BA32&gt;12,BA32&lt;&gt;INT(BA32)),"E_INVALID_DATE",""))),IF(AV32="YEAR",IF(AZ32="","E_MISSING_INPUT",IF(NOT(ISNUMBER(AZ32)),"E_INVALID_DATE",IF(OR(AZ32&lt;1900,AZ32&gt;9999,AZ32&lt;&gt;INT(AZ32)),"E_INVALID_DATE",""))),IF(AV32="RANGE",IF(OR(BB32="",BC32=""),"E_MISSING_INPUT",IF(OR(NOT(ISNUMBER(BB32)),NOT(ISNUMBER(BC32))),"E_INVALID_DATE",IF(OR(BB32&lt;&gt;INT(BB32),BC32&lt;&gt;INT(BC32)),"E_INVALID_DATE",IF(BB32&gt;BC32,"E_REVERSED_BOUNDS","")))),"E_INVALID_UNIT")))))))</f>
        <v/>
      </c>
      <c r="BF32" s="22">
        <f t="shared" si="12"/>
        <v>0</v>
      </c>
      <c r="BG32" s="22">
        <f t="shared" si="13"/>
        <v>0</v>
      </c>
      <c r="BH32" s="28" t="str">
        <f t="shared" si="14"/>
        <v/>
      </c>
      <c r="BI32" s="28" t="str">
        <f t="shared" si="15"/>
        <v/>
      </c>
      <c r="BJ32" s="22" t="str">
        <f t="shared" si="16"/>
        <v/>
      </c>
      <c r="BK32" s="22" t="str">
        <f t="shared" si="17"/>
        <v/>
      </c>
      <c r="BL32" s="21" t="str">
        <f t="shared" si="18"/>
        <v/>
      </c>
      <c r="BM32" s="22">
        <f>IF(BL32="",0,COUNTIF(nEXP_Key,BL32))</f>
        <v>0</v>
      </c>
      <c r="BN32" s="21" t="str">
        <f t="shared" si="19"/>
        <v/>
      </c>
      <c r="BO32" s="21" t="str">
        <f>IF(BN32="","",BN32&amp;": "&amp;SUBSTITUTE(IFERROR(INDEX(nMSG_Text,MATCH(BN32,nMSG_Code,0)),""),"[input]",IF(D32="","an Exposure_Episode_ID","the date fields required by the selected precision")))</f>
        <v/>
      </c>
    </row>
    <row r="33" spans="1:67" x14ac:dyDescent="0.2">
      <c r="A33" s="10"/>
      <c r="B33" s="12"/>
      <c r="C33" s="10"/>
      <c r="D33" s="10"/>
      <c r="E33" s="10"/>
      <c r="F33" s="17"/>
      <c r="G33" s="10"/>
      <c r="H33" s="17"/>
      <c r="I33" s="17"/>
      <c r="J33" s="10"/>
      <c r="K33" s="17"/>
      <c r="L33" s="10"/>
      <c r="M33" s="10"/>
      <c r="N33" s="17"/>
      <c r="O33" s="15"/>
      <c r="P33" s="26"/>
      <c r="Q33" s="10"/>
      <c r="R33" s="12"/>
      <c r="S33" s="12"/>
      <c r="T33" s="15"/>
      <c r="U33" s="15"/>
      <c r="V33" s="10"/>
      <c r="W33" s="21" t="str">
        <f>IF(COUNTA(N33:U33)=0,"",IF(N33="","E_MISSING_INPUT",IF(N33="TIMESTAMP",IF(OR(O33="",P33="",Q33=""),"E_MISSING_INPUT",IF(OR(NOT(ISNUMBER(O33)),NOT(ISNUMBER(P33))),"E_INVALID_DATE",IF(OR(O33&lt;&gt;INT(O33),P33&lt;0,P33&gt;=1),"E_INVALID_DATE",IF(ISNA(MATCH(Q33,nLIST_Offset,0)),"E_INVALID_UNIT","")))),IF(N33="DATE",IF(O33="","E_MISSING_INPUT",IF(NOT(ISNUMBER(O33)),"E_INVALID_DATE",IF(O33&lt;&gt;INT(O33),"E_INVALID_DATE",""))),IF(N33="MONTH",IF(OR(R33="",S33=""),"E_MISSING_INPUT",IF(OR(NOT(ISNUMBER(R33)),NOT(ISNUMBER(S33))),"E_INVALID_DATE",IF(OR(R33&lt;1900,R33&gt;9999,R33&lt;&gt;INT(R33),S33&lt;1,S33&gt;12,S33&lt;&gt;INT(S33)),"E_INVALID_DATE",""))),IF(N33="YEAR",IF(R33="","E_MISSING_INPUT",IF(NOT(ISNUMBER(R33)),"E_INVALID_DATE",IF(OR(R33&lt;1900,R33&gt;9999,R33&lt;&gt;INT(R33)),"E_INVALID_DATE",""))),IF(N33="RANGE",IF(OR(T33="",U33=""),"E_MISSING_INPUT",IF(OR(NOT(ISNUMBER(T33)),NOT(ISNUMBER(U33))),"E_INVALID_DATE",IF(OR(T33&lt;&gt;INT(T33),U33&lt;&gt;INT(U33)),"E_INVALID_DATE",IF(T33&gt;U33,"E_REVERSED_BOUNDS","")))),"E_INVALID_UNIT")))))))</f>
        <v/>
      </c>
      <c r="X33" s="22">
        <f t="shared" si="0"/>
        <v>0</v>
      </c>
      <c r="Y33" s="22">
        <f t="shared" si="1"/>
        <v>0</v>
      </c>
      <c r="Z33" s="28" t="str">
        <f t="shared" si="2"/>
        <v/>
      </c>
      <c r="AA33" s="28" t="str">
        <f t="shared" si="3"/>
        <v/>
      </c>
      <c r="AB33" s="22" t="str">
        <f t="shared" si="4"/>
        <v/>
      </c>
      <c r="AC33" s="22" t="str">
        <f t="shared" si="5"/>
        <v/>
      </c>
      <c r="AD33" s="10"/>
      <c r="AE33" s="17"/>
      <c r="AF33" s="15"/>
      <c r="AG33" s="26"/>
      <c r="AH33" s="10"/>
      <c r="AI33" s="12"/>
      <c r="AJ33" s="12"/>
      <c r="AK33" s="15"/>
      <c r="AL33" s="15"/>
      <c r="AM33" s="10"/>
      <c r="AN33" s="21" t="str">
        <f>IF(COUNTA(AE33:AL33)=0,"",IF(AE33="","E_MISSING_INPUT",IF(AE33="TIMESTAMP",IF(OR(AF33="",AG33="",AH33=""),"E_MISSING_INPUT",IF(OR(NOT(ISNUMBER(AF33)),NOT(ISNUMBER(AG33))),"E_INVALID_DATE",IF(OR(AF33&lt;&gt;INT(AF33),AG33&lt;0,AG33&gt;=1),"E_INVALID_DATE",IF(ISNA(MATCH(AH33,nLIST_Offset,0)),"E_INVALID_UNIT","")))),IF(AE33="DATE",IF(AF33="","E_MISSING_INPUT",IF(NOT(ISNUMBER(AF33)),"E_INVALID_DATE",IF(AF33&lt;&gt;INT(AF33),"E_INVALID_DATE",""))),IF(AE33="MONTH",IF(OR(AI33="",AJ33=""),"E_MISSING_INPUT",IF(OR(NOT(ISNUMBER(AI33)),NOT(ISNUMBER(AJ33))),"E_INVALID_DATE",IF(OR(AI33&lt;1900,AI33&gt;9999,AI33&lt;&gt;INT(AI33),AJ33&lt;1,AJ33&gt;12,AJ33&lt;&gt;INT(AJ33)),"E_INVALID_DATE",""))),IF(AE33="YEAR",IF(AI33="","E_MISSING_INPUT",IF(NOT(ISNUMBER(AI33)),"E_INVALID_DATE",IF(OR(AI33&lt;1900,AI33&gt;9999,AI33&lt;&gt;INT(AI33)),"E_INVALID_DATE",""))),IF(AE33="RANGE",IF(OR(AK33="",AL33=""),"E_MISSING_INPUT",IF(OR(NOT(ISNUMBER(AK33)),NOT(ISNUMBER(AL33))),"E_INVALID_DATE",IF(OR(AK33&lt;&gt;INT(AK33),AL33&lt;&gt;INT(AL33)),"E_INVALID_DATE",IF(AK33&gt;AL33,"E_REVERSED_BOUNDS","")))),"E_INVALID_UNIT")))))))</f>
        <v/>
      </c>
      <c r="AO33" s="22">
        <f t="shared" si="6"/>
        <v>0</v>
      </c>
      <c r="AP33" s="22">
        <f t="shared" si="7"/>
        <v>0</v>
      </c>
      <c r="AQ33" s="28" t="str">
        <f t="shared" si="8"/>
        <v/>
      </c>
      <c r="AR33" s="28" t="str">
        <f t="shared" si="9"/>
        <v/>
      </c>
      <c r="AS33" s="22" t="str">
        <f t="shared" si="10"/>
        <v/>
      </c>
      <c r="AT33" s="22" t="str">
        <f t="shared" si="11"/>
        <v/>
      </c>
      <c r="AU33" s="10"/>
      <c r="AV33" s="17"/>
      <c r="AW33" s="15"/>
      <c r="AX33" s="26"/>
      <c r="AY33" s="10"/>
      <c r="AZ33" s="12"/>
      <c r="BA33" s="12"/>
      <c r="BB33" s="15"/>
      <c r="BC33" s="15"/>
      <c r="BD33" s="10"/>
      <c r="BE33" s="21" t="str">
        <f>IF(COUNTA(AV33:BC33)=0,"",IF(AV33="","E_MISSING_INPUT",IF(AV33="TIMESTAMP",IF(OR(AW33="",AX33="",AY33=""),"E_MISSING_INPUT",IF(OR(NOT(ISNUMBER(AW33)),NOT(ISNUMBER(AX33))),"E_INVALID_DATE",IF(OR(AW33&lt;&gt;INT(AW33),AX33&lt;0,AX33&gt;=1),"E_INVALID_DATE",IF(ISNA(MATCH(AY33,nLIST_Offset,0)),"E_INVALID_UNIT","")))),IF(AV33="DATE",IF(AW33="","E_MISSING_INPUT",IF(NOT(ISNUMBER(AW33)),"E_INVALID_DATE",IF(AW33&lt;&gt;INT(AW33),"E_INVALID_DATE",""))),IF(AV33="MONTH",IF(OR(AZ33="",BA33=""),"E_MISSING_INPUT",IF(OR(NOT(ISNUMBER(AZ33)),NOT(ISNUMBER(BA33))),"E_INVALID_DATE",IF(OR(AZ33&lt;1900,AZ33&gt;9999,AZ33&lt;&gt;INT(AZ33),BA33&lt;1,BA33&gt;12,BA33&lt;&gt;INT(BA33)),"E_INVALID_DATE",""))),IF(AV33="YEAR",IF(AZ33="","E_MISSING_INPUT",IF(NOT(ISNUMBER(AZ33)),"E_INVALID_DATE",IF(OR(AZ33&lt;1900,AZ33&gt;9999,AZ33&lt;&gt;INT(AZ33)),"E_INVALID_DATE",""))),IF(AV33="RANGE",IF(OR(BB33="",BC33=""),"E_MISSING_INPUT",IF(OR(NOT(ISNUMBER(BB33)),NOT(ISNUMBER(BC33))),"E_INVALID_DATE",IF(OR(BB33&lt;&gt;INT(BB33),BC33&lt;&gt;INT(BC33)),"E_INVALID_DATE",IF(BB33&gt;BC33,"E_REVERSED_BOUNDS","")))),"E_INVALID_UNIT")))))))</f>
        <v/>
      </c>
      <c r="BF33" s="22">
        <f t="shared" si="12"/>
        <v>0</v>
      </c>
      <c r="BG33" s="22">
        <f t="shared" si="13"/>
        <v>0</v>
      </c>
      <c r="BH33" s="28" t="str">
        <f t="shared" si="14"/>
        <v/>
      </c>
      <c r="BI33" s="28" t="str">
        <f t="shared" si="15"/>
        <v/>
      </c>
      <c r="BJ33" s="22" t="str">
        <f t="shared" si="16"/>
        <v/>
      </c>
      <c r="BK33" s="22" t="str">
        <f t="shared" si="17"/>
        <v/>
      </c>
      <c r="BL33" s="21" t="str">
        <f t="shared" si="18"/>
        <v/>
      </c>
      <c r="BM33" s="22">
        <f>IF(BL33="",0,COUNTIF(nEXP_Key,BL33))</f>
        <v>0</v>
      </c>
      <c r="BN33" s="21" t="str">
        <f t="shared" si="19"/>
        <v/>
      </c>
      <c r="BO33" s="21" t="str">
        <f>IF(BN33="","",BN33&amp;": "&amp;SUBSTITUTE(IFERROR(INDEX(nMSG_Text,MATCH(BN33,nMSG_Code,0)),""),"[input]",IF(D33="","an Exposure_Episode_ID","the date fields required by the selected precision")))</f>
        <v/>
      </c>
    </row>
    <row r="34" spans="1:67" x14ac:dyDescent="0.2">
      <c r="A34" s="10"/>
      <c r="B34" s="12"/>
      <c r="C34" s="10"/>
      <c r="D34" s="10"/>
      <c r="E34" s="10"/>
      <c r="F34" s="17"/>
      <c r="G34" s="10"/>
      <c r="H34" s="17"/>
      <c r="I34" s="17"/>
      <c r="J34" s="10"/>
      <c r="K34" s="17"/>
      <c r="L34" s="10"/>
      <c r="M34" s="10"/>
      <c r="N34" s="17"/>
      <c r="O34" s="15"/>
      <c r="P34" s="26"/>
      <c r="Q34" s="10"/>
      <c r="R34" s="12"/>
      <c r="S34" s="12"/>
      <c r="T34" s="15"/>
      <c r="U34" s="15"/>
      <c r="V34" s="10"/>
      <c r="W34" s="21" t="str">
        <f>IF(COUNTA(N34:U34)=0,"",IF(N34="","E_MISSING_INPUT",IF(N34="TIMESTAMP",IF(OR(O34="",P34="",Q34=""),"E_MISSING_INPUT",IF(OR(NOT(ISNUMBER(O34)),NOT(ISNUMBER(P34))),"E_INVALID_DATE",IF(OR(O34&lt;&gt;INT(O34),P34&lt;0,P34&gt;=1),"E_INVALID_DATE",IF(ISNA(MATCH(Q34,nLIST_Offset,0)),"E_INVALID_UNIT","")))),IF(N34="DATE",IF(O34="","E_MISSING_INPUT",IF(NOT(ISNUMBER(O34)),"E_INVALID_DATE",IF(O34&lt;&gt;INT(O34),"E_INVALID_DATE",""))),IF(N34="MONTH",IF(OR(R34="",S34=""),"E_MISSING_INPUT",IF(OR(NOT(ISNUMBER(R34)),NOT(ISNUMBER(S34))),"E_INVALID_DATE",IF(OR(R34&lt;1900,R34&gt;9999,R34&lt;&gt;INT(R34),S34&lt;1,S34&gt;12,S34&lt;&gt;INT(S34)),"E_INVALID_DATE",""))),IF(N34="YEAR",IF(R34="","E_MISSING_INPUT",IF(NOT(ISNUMBER(R34)),"E_INVALID_DATE",IF(OR(R34&lt;1900,R34&gt;9999,R34&lt;&gt;INT(R34)),"E_INVALID_DATE",""))),IF(N34="RANGE",IF(OR(T34="",U34=""),"E_MISSING_INPUT",IF(OR(NOT(ISNUMBER(T34)),NOT(ISNUMBER(U34))),"E_INVALID_DATE",IF(OR(T34&lt;&gt;INT(T34),U34&lt;&gt;INT(U34)),"E_INVALID_DATE",IF(T34&gt;U34,"E_REVERSED_BOUNDS","")))),"E_INVALID_UNIT")))))))</f>
        <v/>
      </c>
      <c r="X34" s="22">
        <f t="shared" si="0"/>
        <v>0</v>
      </c>
      <c r="Y34" s="22">
        <f t="shared" si="1"/>
        <v>0</v>
      </c>
      <c r="Z34" s="28" t="str">
        <f t="shared" si="2"/>
        <v/>
      </c>
      <c r="AA34" s="28" t="str">
        <f t="shared" si="3"/>
        <v/>
      </c>
      <c r="AB34" s="22" t="str">
        <f t="shared" si="4"/>
        <v/>
      </c>
      <c r="AC34" s="22" t="str">
        <f t="shared" si="5"/>
        <v/>
      </c>
      <c r="AD34" s="10"/>
      <c r="AE34" s="17"/>
      <c r="AF34" s="15"/>
      <c r="AG34" s="26"/>
      <c r="AH34" s="10"/>
      <c r="AI34" s="12"/>
      <c r="AJ34" s="12"/>
      <c r="AK34" s="15"/>
      <c r="AL34" s="15"/>
      <c r="AM34" s="10"/>
      <c r="AN34" s="21" t="str">
        <f>IF(COUNTA(AE34:AL34)=0,"",IF(AE34="","E_MISSING_INPUT",IF(AE34="TIMESTAMP",IF(OR(AF34="",AG34="",AH34=""),"E_MISSING_INPUT",IF(OR(NOT(ISNUMBER(AF34)),NOT(ISNUMBER(AG34))),"E_INVALID_DATE",IF(OR(AF34&lt;&gt;INT(AF34),AG34&lt;0,AG34&gt;=1),"E_INVALID_DATE",IF(ISNA(MATCH(AH34,nLIST_Offset,0)),"E_INVALID_UNIT","")))),IF(AE34="DATE",IF(AF34="","E_MISSING_INPUT",IF(NOT(ISNUMBER(AF34)),"E_INVALID_DATE",IF(AF34&lt;&gt;INT(AF34),"E_INVALID_DATE",""))),IF(AE34="MONTH",IF(OR(AI34="",AJ34=""),"E_MISSING_INPUT",IF(OR(NOT(ISNUMBER(AI34)),NOT(ISNUMBER(AJ34))),"E_INVALID_DATE",IF(OR(AI34&lt;1900,AI34&gt;9999,AI34&lt;&gt;INT(AI34),AJ34&lt;1,AJ34&gt;12,AJ34&lt;&gt;INT(AJ34)),"E_INVALID_DATE",""))),IF(AE34="YEAR",IF(AI34="","E_MISSING_INPUT",IF(NOT(ISNUMBER(AI34)),"E_INVALID_DATE",IF(OR(AI34&lt;1900,AI34&gt;9999,AI34&lt;&gt;INT(AI34)),"E_INVALID_DATE",""))),IF(AE34="RANGE",IF(OR(AK34="",AL34=""),"E_MISSING_INPUT",IF(OR(NOT(ISNUMBER(AK34)),NOT(ISNUMBER(AL34))),"E_INVALID_DATE",IF(OR(AK34&lt;&gt;INT(AK34),AL34&lt;&gt;INT(AL34)),"E_INVALID_DATE",IF(AK34&gt;AL34,"E_REVERSED_BOUNDS","")))),"E_INVALID_UNIT")))))))</f>
        <v/>
      </c>
      <c r="AO34" s="22">
        <f t="shared" si="6"/>
        <v>0</v>
      </c>
      <c r="AP34" s="22">
        <f t="shared" si="7"/>
        <v>0</v>
      </c>
      <c r="AQ34" s="28" t="str">
        <f t="shared" si="8"/>
        <v/>
      </c>
      <c r="AR34" s="28" t="str">
        <f t="shared" si="9"/>
        <v/>
      </c>
      <c r="AS34" s="22" t="str">
        <f t="shared" si="10"/>
        <v/>
      </c>
      <c r="AT34" s="22" t="str">
        <f t="shared" si="11"/>
        <v/>
      </c>
      <c r="AU34" s="10"/>
      <c r="AV34" s="17"/>
      <c r="AW34" s="15"/>
      <c r="AX34" s="26"/>
      <c r="AY34" s="10"/>
      <c r="AZ34" s="12"/>
      <c r="BA34" s="12"/>
      <c r="BB34" s="15"/>
      <c r="BC34" s="15"/>
      <c r="BD34" s="10"/>
      <c r="BE34" s="21" t="str">
        <f>IF(COUNTA(AV34:BC34)=0,"",IF(AV34="","E_MISSING_INPUT",IF(AV34="TIMESTAMP",IF(OR(AW34="",AX34="",AY34=""),"E_MISSING_INPUT",IF(OR(NOT(ISNUMBER(AW34)),NOT(ISNUMBER(AX34))),"E_INVALID_DATE",IF(OR(AW34&lt;&gt;INT(AW34),AX34&lt;0,AX34&gt;=1),"E_INVALID_DATE",IF(ISNA(MATCH(AY34,nLIST_Offset,0)),"E_INVALID_UNIT","")))),IF(AV34="DATE",IF(AW34="","E_MISSING_INPUT",IF(NOT(ISNUMBER(AW34)),"E_INVALID_DATE",IF(AW34&lt;&gt;INT(AW34),"E_INVALID_DATE",""))),IF(AV34="MONTH",IF(OR(AZ34="",BA34=""),"E_MISSING_INPUT",IF(OR(NOT(ISNUMBER(AZ34)),NOT(ISNUMBER(BA34))),"E_INVALID_DATE",IF(OR(AZ34&lt;1900,AZ34&gt;9999,AZ34&lt;&gt;INT(AZ34),BA34&lt;1,BA34&gt;12,BA34&lt;&gt;INT(BA34)),"E_INVALID_DATE",""))),IF(AV34="YEAR",IF(AZ34="","E_MISSING_INPUT",IF(NOT(ISNUMBER(AZ34)),"E_INVALID_DATE",IF(OR(AZ34&lt;1900,AZ34&gt;9999,AZ34&lt;&gt;INT(AZ34)),"E_INVALID_DATE",""))),IF(AV34="RANGE",IF(OR(BB34="",BC34=""),"E_MISSING_INPUT",IF(OR(NOT(ISNUMBER(BB34)),NOT(ISNUMBER(BC34))),"E_INVALID_DATE",IF(OR(BB34&lt;&gt;INT(BB34),BC34&lt;&gt;INT(BC34)),"E_INVALID_DATE",IF(BB34&gt;BC34,"E_REVERSED_BOUNDS","")))),"E_INVALID_UNIT")))))))</f>
        <v/>
      </c>
      <c r="BF34" s="22">
        <f t="shared" si="12"/>
        <v>0</v>
      </c>
      <c r="BG34" s="22">
        <f t="shared" si="13"/>
        <v>0</v>
      </c>
      <c r="BH34" s="28" t="str">
        <f t="shared" si="14"/>
        <v/>
      </c>
      <c r="BI34" s="28" t="str">
        <f t="shared" si="15"/>
        <v/>
      </c>
      <c r="BJ34" s="22" t="str">
        <f t="shared" si="16"/>
        <v/>
      </c>
      <c r="BK34" s="22" t="str">
        <f t="shared" si="17"/>
        <v/>
      </c>
      <c r="BL34" s="21" t="str">
        <f t="shared" si="18"/>
        <v/>
      </c>
      <c r="BM34" s="22">
        <f>IF(BL34="",0,COUNTIF(nEXP_Key,BL34))</f>
        <v>0</v>
      </c>
      <c r="BN34" s="21" t="str">
        <f t="shared" si="19"/>
        <v/>
      </c>
      <c r="BO34" s="21" t="str">
        <f>IF(BN34="","",BN34&amp;": "&amp;SUBSTITUTE(IFERROR(INDEX(nMSG_Text,MATCH(BN34,nMSG_Code,0)),""),"[input]",IF(D34="","an Exposure_Episode_ID","the date fields required by the selected precision")))</f>
        <v/>
      </c>
    </row>
    <row r="35" spans="1:67" x14ac:dyDescent="0.2">
      <c r="A35" s="24" t="s">
        <v>288</v>
      </c>
      <c r="B35" s="23"/>
      <c r="C35" s="23"/>
      <c r="D35" s="23"/>
      <c r="E35" s="23"/>
      <c r="F35" s="23"/>
      <c r="G35" s="23"/>
      <c r="H35" s="23"/>
      <c r="I35" s="23"/>
      <c r="J35" s="23"/>
      <c r="K35" s="23"/>
      <c r="L35" s="23"/>
      <c r="M35" s="23"/>
      <c r="N35" s="23"/>
      <c r="O35" s="23"/>
      <c r="P35" s="23"/>
      <c r="Q35" s="23"/>
      <c r="R35" s="23"/>
      <c r="S35" s="23"/>
      <c r="T35" s="23"/>
      <c r="U35" s="23"/>
      <c r="V35" s="23"/>
      <c r="W35" s="23"/>
      <c r="X35" s="23"/>
      <c r="Y35" s="23"/>
      <c r="Z35" s="23"/>
      <c r="AA35" s="23"/>
      <c r="AB35" s="23"/>
      <c r="AC35" s="23"/>
      <c r="AD35" s="23"/>
      <c r="AE35" s="23"/>
      <c r="AF35" s="23"/>
      <c r="AG35" s="23"/>
      <c r="AH35" s="23"/>
      <c r="AI35" s="23"/>
      <c r="AJ35" s="23"/>
      <c r="AK35" s="23"/>
      <c r="AL35" s="23"/>
      <c r="AM35" s="23"/>
      <c r="AN35" s="23"/>
      <c r="AO35" s="23"/>
      <c r="AP35" s="23"/>
      <c r="AQ35" s="23"/>
      <c r="AR35" s="23"/>
      <c r="AS35" s="23"/>
      <c r="AT35" s="23"/>
      <c r="AU35" s="23"/>
      <c r="AV35" s="23"/>
      <c r="AW35" s="23"/>
      <c r="AX35" s="23"/>
      <c r="AY35" s="23"/>
      <c r="AZ35" s="23"/>
      <c r="BA35" s="23"/>
      <c r="BB35" s="23"/>
      <c r="BC35" s="23"/>
      <c r="BD35" s="23"/>
      <c r="BE35" s="23"/>
      <c r="BF35" s="23"/>
      <c r="BG35" s="23"/>
      <c r="BH35" s="23"/>
      <c r="BI35" s="23"/>
      <c r="BJ35" s="23"/>
      <c r="BK35" s="23"/>
      <c r="BL35" s="23"/>
      <c r="BM35" s="23"/>
      <c r="BN35" s="23"/>
      <c r="BO35" s="23"/>
    </row>
    <row r="36" spans="1:67" x14ac:dyDescent="0.2">
      <c r="A36" s="9" t="s">
        <v>291</v>
      </c>
      <c r="B36" s="11">
        <v>2</v>
      </c>
      <c r="C36" s="9" t="s">
        <v>426</v>
      </c>
      <c r="D36" s="9" t="s">
        <v>425</v>
      </c>
      <c r="E36" s="9" t="s">
        <v>428</v>
      </c>
      <c r="F36" s="16" t="s">
        <v>111</v>
      </c>
      <c r="G36" s="9" t="s">
        <v>424</v>
      </c>
      <c r="H36" s="16"/>
      <c r="I36" s="16"/>
      <c r="J36" s="9" t="s">
        <v>427</v>
      </c>
      <c r="K36" s="16"/>
      <c r="L36" s="9"/>
      <c r="M36" s="9" t="s">
        <v>429</v>
      </c>
      <c r="N36" s="16" t="s">
        <v>3</v>
      </c>
      <c r="O36" s="14">
        <v>46032</v>
      </c>
      <c r="P36" s="25">
        <v>0.375</v>
      </c>
      <c r="Q36" s="9" t="s">
        <v>18</v>
      </c>
      <c r="R36" s="11"/>
      <c r="S36" s="11"/>
      <c r="T36" s="14"/>
      <c r="U36" s="14"/>
      <c r="V36" s="9" t="s">
        <v>430</v>
      </c>
      <c r="W36" s="21" t="str">
        <f>IF(COUNTA(N36:U36)=0,"",IF(N36="","E_MISSING_INPUT",IF(N36="TIMESTAMP",IF(OR(O36="",P36="",Q36=""),"E_MISSING_INPUT",IF(OR(NOT(ISNUMBER(O36)),NOT(ISNUMBER(P36))),"E_INVALID_DATE",IF(OR(O36&lt;&gt;INT(O36),P36&lt;0,P36&gt;=1),"E_INVALID_DATE",IF(ISNA(MATCH(Q36,nLIST_Offset,0)),"E_INVALID_UNIT","")))),IF(N36="DATE",IF(O36="","E_MISSING_INPUT",IF(NOT(ISNUMBER(O36)),"E_INVALID_DATE",IF(O36&lt;&gt;INT(O36),"E_INVALID_DATE",""))),IF(N36="MONTH",IF(OR(R36="",S36=""),"E_MISSING_INPUT",IF(OR(NOT(ISNUMBER(R36)),NOT(ISNUMBER(S36))),"E_INVALID_DATE",IF(OR(R36&lt;1900,R36&gt;9999,R36&lt;&gt;INT(R36),S36&lt;1,S36&gt;12,S36&lt;&gt;INT(S36)),"E_INVALID_DATE",""))),IF(N36="YEAR",IF(R36="","E_MISSING_INPUT",IF(NOT(ISNUMBER(R36)),"E_INVALID_DATE",IF(OR(R36&lt;1900,R36&gt;9999,R36&lt;&gt;INT(R36)),"E_INVALID_DATE",""))),IF(N36="RANGE",IF(OR(T36="",U36=""),"E_MISSING_INPUT",IF(OR(NOT(ISNUMBER(T36)),NOT(ISNUMBER(U36))),"E_INVALID_DATE",IF(OR(T36&lt;&gt;INT(T36),U36&lt;&gt;INT(U36)),"E_INVALID_DATE",IF(T36&gt;U36,"E_REVERSED_BOUNDS","")))),"E_INVALID_UNIT")))))))</f>
        <v/>
      </c>
      <c r="X36" s="22">
        <f t="shared" ref="X36:X46" si="20">IF(AND(W36="",N36="TIMESTAMP"),1,0)</f>
        <v>1</v>
      </c>
      <c r="Y36" s="22">
        <f t="shared" ref="Y36:Y46" si="21">IF(AND(X36=1,Q36&lt;&gt;"unknown"),1,0)</f>
        <v>1</v>
      </c>
      <c r="Z36" s="28">
        <f t="shared" ref="Z36:Z46" si="22">IF(OR(W36&lt;&gt;"",N36=""),"",IF(OR(N36="TIMESTAMP",N36="DATE"),O36,IF(N36="MONTH",DATE(R36,S36,1),IF(N36="YEAR",DATE(R36,1,1),T36))))</f>
        <v>46032</v>
      </c>
      <c r="AA36" s="28">
        <f t="shared" ref="AA36:AA46" si="23">IF(OR(W36&lt;&gt;"",N36=""),"",IF(OR(N36="TIMESTAMP",N36="DATE"),O36,IF(N36="MONTH",EOMONTH(DATE(R36,S36,1),0),IF(N36="YEAR",DATE(R36,12,31),U36))))</f>
        <v>46032</v>
      </c>
      <c r="AB36" s="22">
        <f t="shared" ref="AB36:AB46" si="24">IF(X36=1,O36*1440+ROUND(P36*1440,0),"")</f>
        <v>66286620</v>
      </c>
      <c r="AC36" s="22">
        <f t="shared" ref="AC36:AC46" si="25">IF(Y36=1,AB36-(IF(LEFT(Q36,1)="-",-1,1)*(VALUE(MID(Q36,2,2))*60+VALUE(MID(Q36,5,2)))),"")</f>
        <v>66286920</v>
      </c>
      <c r="AD36" s="9" t="s">
        <v>432</v>
      </c>
      <c r="AE36" s="16" t="s">
        <v>3</v>
      </c>
      <c r="AF36" s="14">
        <v>46032</v>
      </c>
      <c r="AG36" s="25">
        <v>0.38611111111111102</v>
      </c>
      <c r="AH36" s="9" t="s">
        <v>18</v>
      </c>
      <c r="AI36" s="11"/>
      <c r="AJ36" s="11"/>
      <c r="AK36" s="14"/>
      <c r="AL36" s="14"/>
      <c r="AM36" s="9" t="s">
        <v>431</v>
      </c>
      <c r="AN36" s="21" t="str">
        <f>IF(COUNTA(AE36:AL36)=0,"",IF(AE36="","E_MISSING_INPUT",IF(AE36="TIMESTAMP",IF(OR(AF36="",AG36="",AH36=""),"E_MISSING_INPUT",IF(OR(NOT(ISNUMBER(AF36)),NOT(ISNUMBER(AG36))),"E_INVALID_DATE",IF(OR(AF36&lt;&gt;INT(AF36),AG36&lt;0,AG36&gt;=1),"E_INVALID_DATE",IF(ISNA(MATCH(AH36,nLIST_Offset,0)),"E_INVALID_UNIT","")))),IF(AE36="DATE",IF(AF36="","E_MISSING_INPUT",IF(NOT(ISNUMBER(AF36)),"E_INVALID_DATE",IF(AF36&lt;&gt;INT(AF36),"E_INVALID_DATE",""))),IF(AE36="MONTH",IF(OR(AI36="",AJ36=""),"E_MISSING_INPUT",IF(OR(NOT(ISNUMBER(AI36)),NOT(ISNUMBER(AJ36))),"E_INVALID_DATE",IF(OR(AI36&lt;1900,AI36&gt;9999,AI36&lt;&gt;INT(AI36),AJ36&lt;1,AJ36&gt;12,AJ36&lt;&gt;INT(AJ36)),"E_INVALID_DATE",""))),IF(AE36="YEAR",IF(AI36="","E_MISSING_INPUT",IF(NOT(ISNUMBER(AI36)),"E_INVALID_DATE",IF(OR(AI36&lt;1900,AI36&gt;9999,AI36&lt;&gt;INT(AI36)),"E_INVALID_DATE",""))),IF(AE36="RANGE",IF(OR(AK36="",AL36=""),"E_MISSING_INPUT",IF(OR(NOT(ISNUMBER(AK36)),NOT(ISNUMBER(AL36))),"E_INVALID_DATE",IF(OR(AK36&lt;&gt;INT(AK36),AL36&lt;&gt;INT(AL36)),"E_INVALID_DATE",IF(AK36&gt;AL36,"E_REVERSED_BOUNDS","")))),"E_INVALID_UNIT")))))))</f>
        <v/>
      </c>
      <c r="AO36" s="22">
        <f t="shared" ref="AO36:AO46" si="26">IF(AND(AN36="",AE36="TIMESTAMP"),1,0)</f>
        <v>1</v>
      </c>
      <c r="AP36" s="22">
        <f t="shared" ref="AP36:AP46" si="27">IF(AND(AO36=1,AH36&lt;&gt;"unknown"),1,0)</f>
        <v>1</v>
      </c>
      <c r="AQ36" s="28">
        <f t="shared" ref="AQ36:AQ46" si="28">IF(OR(AN36&lt;&gt;"",AE36=""),"",IF(OR(AE36="TIMESTAMP",AE36="DATE"),AF36,IF(AE36="MONTH",DATE(AI36,AJ36,1),IF(AE36="YEAR",DATE(AI36,1,1),AK36))))</f>
        <v>46032</v>
      </c>
      <c r="AR36" s="28">
        <f t="shared" ref="AR36:AR46" si="29">IF(OR(AN36&lt;&gt;"",AE36=""),"",IF(OR(AE36="TIMESTAMP",AE36="DATE"),AF36,IF(AE36="MONTH",EOMONTH(DATE(AI36,AJ36,1),0),IF(AE36="YEAR",DATE(AI36,12,31),AL36))))</f>
        <v>46032</v>
      </c>
      <c r="AS36" s="22">
        <f t="shared" ref="AS36:AS46" si="30">IF(AO36=1,AF36*1440+ROUND(AG36*1440,0),"")</f>
        <v>66286636</v>
      </c>
      <c r="AT36" s="22">
        <f t="shared" ref="AT36:AT46" si="31">IF(AP36=1,AS36-(IF(LEFT(AH36,1)="-",-1,1)*(VALUE(MID(AH36,2,2))*60+VALUE(MID(AH36,5,2)))),"")</f>
        <v>66286936</v>
      </c>
      <c r="AU36" s="9"/>
      <c r="AV36" s="16"/>
      <c r="AW36" s="14"/>
      <c r="AX36" s="25"/>
      <c r="AY36" s="9"/>
      <c r="AZ36" s="11"/>
      <c r="BA36" s="11"/>
      <c r="BB36" s="14"/>
      <c r="BC36" s="14"/>
      <c r="BD36" s="9"/>
      <c r="BE36" s="21" t="str">
        <f>IF(COUNTA(AV36:BC36)=0,"",IF(AV36="","E_MISSING_INPUT",IF(AV36="TIMESTAMP",IF(OR(AW36="",AX36="",AY36=""),"E_MISSING_INPUT",IF(OR(NOT(ISNUMBER(AW36)),NOT(ISNUMBER(AX36))),"E_INVALID_DATE",IF(OR(AW36&lt;&gt;INT(AW36),AX36&lt;0,AX36&gt;=1),"E_INVALID_DATE",IF(ISNA(MATCH(AY36,nLIST_Offset,0)),"E_INVALID_UNIT","")))),IF(AV36="DATE",IF(AW36="","E_MISSING_INPUT",IF(NOT(ISNUMBER(AW36)),"E_INVALID_DATE",IF(AW36&lt;&gt;INT(AW36),"E_INVALID_DATE",""))),IF(AV36="MONTH",IF(OR(AZ36="",BA36=""),"E_MISSING_INPUT",IF(OR(NOT(ISNUMBER(AZ36)),NOT(ISNUMBER(BA36))),"E_INVALID_DATE",IF(OR(AZ36&lt;1900,AZ36&gt;9999,AZ36&lt;&gt;INT(AZ36),BA36&lt;1,BA36&gt;12,BA36&lt;&gt;INT(BA36)),"E_INVALID_DATE",""))),IF(AV36="YEAR",IF(AZ36="","E_MISSING_INPUT",IF(NOT(ISNUMBER(AZ36)),"E_INVALID_DATE",IF(OR(AZ36&lt;1900,AZ36&gt;9999,AZ36&lt;&gt;INT(AZ36)),"E_INVALID_DATE",""))),IF(AV36="RANGE",IF(OR(BB36="",BC36=""),"E_MISSING_INPUT",IF(OR(NOT(ISNUMBER(BB36)),NOT(ISNUMBER(BC36))),"E_INVALID_DATE",IF(OR(BB36&lt;&gt;INT(BB36),BC36&lt;&gt;INT(BC36)),"E_INVALID_DATE",IF(BB36&gt;BC36,"E_REVERSED_BOUNDS","")))),"E_INVALID_UNIT")))))))</f>
        <v/>
      </c>
      <c r="BF36" s="22">
        <f t="shared" ref="BF36:BF46" si="32">IF(AND(BE36="",AV36="TIMESTAMP"),1,0)</f>
        <v>0</v>
      </c>
      <c r="BG36" s="22">
        <f t="shared" ref="BG36:BG46" si="33">IF(AND(BF36=1,AY36&lt;&gt;"unknown"),1,0)</f>
        <v>0</v>
      </c>
      <c r="BH36" s="28" t="str">
        <f t="shared" ref="BH36:BH46" si="34">IF(OR(BE36&lt;&gt;"",AV36=""),"",IF(OR(AV36="TIMESTAMP",AV36="DATE"),AW36,IF(AV36="MONTH",DATE(AZ36,BA36,1),IF(AV36="YEAR",DATE(AZ36,1,1),BB36))))</f>
        <v/>
      </c>
      <c r="BI36" s="28" t="str">
        <f t="shared" ref="BI36:BI46" si="35">IF(OR(BE36&lt;&gt;"",AV36=""),"",IF(OR(AV36="TIMESTAMP",AV36="DATE"),AW36,IF(AV36="MONTH",EOMONTH(DATE(AZ36,BA36,1),0),IF(AV36="YEAR",DATE(AZ36,12,31),BC36))))</f>
        <v/>
      </c>
      <c r="BJ36" s="22" t="str">
        <f t="shared" ref="BJ36:BJ46" si="36">IF(BF36=1,AW36*1440+ROUND(AX36*1440,0),"")</f>
        <v/>
      </c>
      <c r="BK36" s="22" t="str">
        <f t="shared" ref="BK36:BK46" si="37">IF(BG36=1,BJ36-(IF(LEFT(AY36,1)="-",-1,1)*(VALUE(MID(AY36,2,2))*60+VALUE(MID(AY36,5,2)))),"")</f>
        <v/>
      </c>
      <c r="BL36" s="21" t="str">
        <f t="shared" ref="BL36:BL46" si="38">IF(D36="","",A36&amp;"|"&amp;B36&amp;"|"&amp;D36)</f>
        <v>EX-C01|2|EX-A</v>
      </c>
      <c r="BM36" s="22">
        <f>IF(BL36="",0,COUNTIF(nEXP_Key,BL36))</f>
        <v>1</v>
      </c>
      <c r="BN36" s="21" t="str">
        <f t="shared" ref="BN36:BN46" si="39">IF(D36="",IF(COUNTA(C36,E36,N36,O36)&gt;0,"E_MISSING_INPUT",""),IF(BM36&gt;1,"E_DUPLICATE_ID",IF(W36&lt;&gt;"",W36,IF(AN36&lt;&gt;"",AN36,BE36))))</f>
        <v/>
      </c>
      <c r="BO36" s="21" t="str">
        <f>IF(BN36="","",BN36&amp;": "&amp;SUBSTITUTE(IFERROR(INDEX(nMSG_Text,MATCH(BN36,nMSG_Code,0)),""),"[input]",IF(D36="","an Exposure_Episode_ID","the date fields required by the selected precision")))</f>
        <v/>
      </c>
    </row>
    <row r="37" spans="1:67" x14ac:dyDescent="0.2">
      <c r="A37" s="9" t="s">
        <v>291</v>
      </c>
      <c r="B37" s="11">
        <v>2</v>
      </c>
      <c r="C37" s="9" t="s">
        <v>435</v>
      </c>
      <c r="D37" s="9" t="s">
        <v>434</v>
      </c>
      <c r="E37" s="9" t="s">
        <v>437</v>
      </c>
      <c r="F37" s="16" t="s">
        <v>112</v>
      </c>
      <c r="G37" s="9" t="s">
        <v>433</v>
      </c>
      <c r="H37" s="16"/>
      <c r="I37" s="16"/>
      <c r="J37" s="9" t="s">
        <v>436</v>
      </c>
      <c r="K37" s="16"/>
      <c r="L37" s="9"/>
      <c r="M37" s="9" t="s">
        <v>438</v>
      </c>
      <c r="N37" s="16" t="s">
        <v>3</v>
      </c>
      <c r="O37" s="14">
        <v>46032</v>
      </c>
      <c r="P37" s="25">
        <v>0.34722222222222199</v>
      </c>
      <c r="Q37" s="9" t="s">
        <v>18</v>
      </c>
      <c r="R37" s="11"/>
      <c r="S37" s="11"/>
      <c r="T37" s="14"/>
      <c r="U37" s="14"/>
      <c r="V37" s="9" t="s">
        <v>439</v>
      </c>
      <c r="W37" s="21" t="str">
        <f>IF(COUNTA(N37:U37)=0,"",IF(N37="","E_MISSING_INPUT",IF(N37="TIMESTAMP",IF(OR(O37="",P37="",Q37=""),"E_MISSING_INPUT",IF(OR(NOT(ISNUMBER(O37)),NOT(ISNUMBER(P37))),"E_INVALID_DATE",IF(OR(O37&lt;&gt;INT(O37),P37&lt;0,P37&gt;=1),"E_INVALID_DATE",IF(ISNA(MATCH(Q37,nLIST_Offset,0)),"E_INVALID_UNIT","")))),IF(N37="DATE",IF(O37="","E_MISSING_INPUT",IF(NOT(ISNUMBER(O37)),"E_INVALID_DATE",IF(O37&lt;&gt;INT(O37),"E_INVALID_DATE",""))),IF(N37="MONTH",IF(OR(R37="",S37=""),"E_MISSING_INPUT",IF(OR(NOT(ISNUMBER(R37)),NOT(ISNUMBER(S37))),"E_INVALID_DATE",IF(OR(R37&lt;1900,R37&gt;9999,R37&lt;&gt;INT(R37),S37&lt;1,S37&gt;12,S37&lt;&gt;INT(S37)),"E_INVALID_DATE",""))),IF(N37="YEAR",IF(R37="","E_MISSING_INPUT",IF(NOT(ISNUMBER(R37)),"E_INVALID_DATE",IF(OR(R37&lt;1900,R37&gt;9999,R37&lt;&gt;INT(R37)),"E_INVALID_DATE",""))),IF(N37="RANGE",IF(OR(T37="",U37=""),"E_MISSING_INPUT",IF(OR(NOT(ISNUMBER(T37)),NOT(ISNUMBER(U37))),"E_INVALID_DATE",IF(OR(T37&lt;&gt;INT(T37),U37&lt;&gt;INT(U37)),"E_INVALID_DATE",IF(T37&gt;U37,"E_REVERSED_BOUNDS","")))),"E_INVALID_UNIT")))))))</f>
        <v/>
      </c>
      <c r="X37" s="22">
        <f t="shared" si="20"/>
        <v>1</v>
      </c>
      <c r="Y37" s="22">
        <f t="shared" si="21"/>
        <v>1</v>
      </c>
      <c r="Z37" s="28">
        <f t="shared" si="22"/>
        <v>46032</v>
      </c>
      <c r="AA37" s="28">
        <f t="shared" si="23"/>
        <v>46032</v>
      </c>
      <c r="AB37" s="22">
        <f t="shared" si="24"/>
        <v>66286580</v>
      </c>
      <c r="AC37" s="22">
        <f t="shared" si="25"/>
        <v>66286880</v>
      </c>
      <c r="AD37" s="9" t="s">
        <v>440</v>
      </c>
      <c r="AE37" s="16" t="s">
        <v>3</v>
      </c>
      <c r="AF37" s="14">
        <v>46032</v>
      </c>
      <c r="AG37" s="25">
        <v>0.36805555555555503</v>
      </c>
      <c r="AH37" s="9" t="s">
        <v>18</v>
      </c>
      <c r="AI37" s="11"/>
      <c r="AJ37" s="11"/>
      <c r="AK37" s="14"/>
      <c r="AL37" s="14"/>
      <c r="AM37" s="9" t="s">
        <v>439</v>
      </c>
      <c r="AN37" s="21" t="str">
        <f>IF(COUNTA(AE37:AL37)=0,"",IF(AE37="","E_MISSING_INPUT",IF(AE37="TIMESTAMP",IF(OR(AF37="",AG37="",AH37=""),"E_MISSING_INPUT",IF(OR(NOT(ISNUMBER(AF37)),NOT(ISNUMBER(AG37))),"E_INVALID_DATE",IF(OR(AF37&lt;&gt;INT(AF37),AG37&lt;0,AG37&gt;=1),"E_INVALID_DATE",IF(ISNA(MATCH(AH37,nLIST_Offset,0)),"E_INVALID_UNIT","")))),IF(AE37="DATE",IF(AF37="","E_MISSING_INPUT",IF(NOT(ISNUMBER(AF37)),"E_INVALID_DATE",IF(AF37&lt;&gt;INT(AF37),"E_INVALID_DATE",""))),IF(AE37="MONTH",IF(OR(AI37="",AJ37=""),"E_MISSING_INPUT",IF(OR(NOT(ISNUMBER(AI37)),NOT(ISNUMBER(AJ37))),"E_INVALID_DATE",IF(OR(AI37&lt;1900,AI37&gt;9999,AI37&lt;&gt;INT(AI37),AJ37&lt;1,AJ37&gt;12,AJ37&lt;&gt;INT(AJ37)),"E_INVALID_DATE",""))),IF(AE37="YEAR",IF(AI37="","E_MISSING_INPUT",IF(NOT(ISNUMBER(AI37)),"E_INVALID_DATE",IF(OR(AI37&lt;1900,AI37&gt;9999,AI37&lt;&gt;INT(AI37)),"E_INVALID_DATE",""))),IF(AE37="RANGE",IF(OR(AK37="",AL37=""),"E_MISSING_INPUT",IF(OR(NOT(ISNUMBER(AK37)),NOT(ISNUMBER(AL37))),"E_INVALID_DATE",IF(OR(AK37&lt;&gt;INT(AK37),AL37&lt;&gt;INT(AL37)),"E_INVALID_DATE",IF(AK37&gt;AL37,"E_REVERSED_BOUNDS","")))),"E_INVALID_UNIT")))))))</f>
        <v/>
      </c>
      <c r="AO37" s="22">
        <f t="shared" si="26"/>
        <v>1</v>
      </c>
      <c r="AP37" s="22">
        <f t="shared" si="27"/>
        <v>1</v>
      </c>
      <c r="AQ37" s="28">
        <f t="shared" si="28"/>
        <v>46032</v>
      </c>
      <c r="AR37" s="28">
        <f t="shared" si="29"/>
        <v>46032</v>
      </c>
      <c r="AS37" s="22">
        <f t="shared" si="30"/>
        <v>66286610</v>
      </c>
      <c r="AT37" s="22">
        <f t="shared" si="31"/>
        <v>66286910</v>
      </c>
      <c r="AU37" s="9"/>
      <c r="AV37" s="16"/>
      <c r="AW37" s="14"/>
      <c r="AX37" s="25"/>
      <c r="AY37" s="9"/>
      <c r="AZ37" s="11"/>
      <c r="BA37" s="11"/>
      <c r="BB37" s="14"/>
      <c r="BC37" s="14"/>
      <c r="BD37" s="9"/>
      <c r="BE37" s="21" t="str">
        <f>IF(COUNTA(AV37:BC37)=0,"",IF(AV37="","E_MISSING_INPUT",IF(AV37="TIMESTAMP",IF(OR(AW37="",AX37="",AY37=""),"E_MISSING_INPUT",IF(OR(NOT(ISNUMBER(AW37)),NOT(ISNUMBER(AX37))),"E_INVALID_DATE",IF(OR(AW37&lt;&gt;INT(AW37),AX37&lt;0,AX37&gt;=1),"E_INVALID_DATE",IF(ISNA(MATCH(AY37,nLIST_Offset,0)),"E_INVALID_UNIT","")))),IF(AV37="DATE",IF(AW37="","E_MISSING_INPUT",IF(NOT(ISNUMBER(AW37)),"E_INVALID_DATE",IF(AW37&lt;&gt;INT(AW37),"E_INVALID_DATE",""))),IF(AV37="MONTH",IF(OR(AZ37="",BA37=""),"E_MISSING_INPUT",IF(OR(NOT(ISNUMBER(AZ37)),NOT(ISNUMBER(BA37))),"E_INVALID_DATE",IF(OR(AZ37&lt;1900,AZ37&gt;9999,AZ37&lt;&gt;INT(AZ37),BA37&lt;1,BA37&gt;12,BA37&lt;&gt;INT(BA37)),"E_INVALID_DATE",""))),IF(AV37="YEAR",IF(AZ37="","E_MISSING_INPUT",IF(NOT(ISNUMBER(AZ37)),"E_INVALID_DATE",IF(OR(AZ37&lt;1900,AZ37&gt;9999,AZ37&lt;&gt;INT(AZ37)),"E_INVALID_DATE",""))),IF(AV37="RANGE",IF(OR(BB37="",BC37=""),"E_MISSING_INPUT",IF(OR(NOT(ISNUMBER(BB37)),NOT(ISNUMBER(BC37))),"E_INVALID_DATE",IF(OR(BB37&lt;&gt;INT(BB37),BC37&lt;&gt;INT(BC37)),"E_INVALID_DATE",IF(BB37&gt;BC37,"E_REVERSED_BOUNDS","")))),"E_INVALID_UNIT")))))))</f>
        <v/>
      </c>
      <c r="BF37" s="22">
        <f t="shared" si="32"/>
        <v>0</v>
      </c>
      <c r="BG37" s="22">
        <f t="shared" si="33"/>
        <v>0</v>
      </c>
      <c r="BH37" s="28" t="str">
        <f t="shared" si="34"/>
        <v/>
      </c>
      <c r="BI37" s="28" t="str">
        <f t="shared" si="35"/>
        <v/>
      </c>
      <c r="BJ37" s="22" t="str">
        <f t="shared" si="36"/>
        <v/>
      </c>
      <c r="BK37" s="22" t="str">
        <f t="shared" si="37"/>
        <v/>
      </c>
      <c r="BL37" s="21" t="str">
        <f t="shared" si="38"/>
        <v>EX-C01|2|EX-B</v>
      </c>
      <c r="BM37" s="22">
        <f>IF(BL37="",0,COUNTIF(nEXP_Key,BL37))</f>
        <v>1</v>
      </c>
      <c r="BN37" s="21" t="str">
        <f t="shared" si="39"/>
        <v/>
      </c>
      <c r="BO37" s="21" t="str">
        <f>IF(BN37="","",BN37&amp;": "&amp;SUBSTITUTE(IFERROR(INDEX(nMSG_Text,MATCH(BN37,nMSG_Code,0)),""),"[input]",IF(D37="","an Exposure_Episode_ID","the date fields required by the selected precision")))</f>
        <v/>
      </c>
    </row>
    <row r="38" spans="1:67" x14ac:dyDescent="0.2">
      <c r="A38" s="9" t="s">
        <v>291</v>
      </c>
      <c r="B38" s="11">
        <v>2</v>
      </c>
      <c r="C38" s="9" t="s">
        <v>441</v>
      </c>
      <c r="D38" s="9" t="s">
        <v>442</v>
      </c>
      <c r="E38" s="9" t="s">
        <v>444</v>
      </c>
      <c r="F38" s="16" t="s">
        <v>112</v>
      </c>
      <c r="G38" s="9" t="s">
        <v>443</v>
      </c>
      <c r="H38" s="16"/>
      <c r="I38" s="16"/>
      <c r="J38" s="9"/>
      <c r="K38" s="16"/>
      <c r="L38" s="9"/>
      <c r="M38" s="9" t="s">
        <v>445</v>
      </c>
      <c r="N38" s="16" t="s">
        <v>3</v>
      </c>
      <c r="O38" s="14">
        <v>46032</v>
      </c>
      <c r="P38" s="25">
        <v>0.34375</v>
      </c>
      <c r="Q38" s="9" t="s">
        <v>18</v>
      </c>
      <c r="R38" s="11"/>
      <c r="S38" s="11"/>
      <c r="T38" s="14"/>
      <c r="U38" s="14"/>
      <c r="V38" s="9" t="s">
        <v>439</v>
      </c>
      <c r="W38" s="21" t="str">
        <f>IF(COUNTA(N38:U38)=0,"",IF(N38="","E_MISSING_INPUT",IF(N38="TIMESTAMP",IF(OR(O38="",P38="",Q38=""),"E_MISSING_INPUT",IF(OR(NOT(ISNUMBER(O38)),NOT(ISNUMBER(P38))),"E_INVALID_DATE",IF(OR(O38&lt;&gt;INT(O38),P38&lt;0,P38&gt;=1),"E_INVALID_DATE",IF(ISNA(MATCH(Q38,nLIST_Offset,0)),"E_INVALID_UNIT","")))),IF(N38="DATE",IF(O38="","E_MISSING_INPUT",IF(NOT(ISNUMBER(O38)),"E_INVALID_DATE",IF(O38&lt;&gt;INT(O38),"E_INVALID_DATE",""))),IF(N38="MONTH",IF(OR(R38="",S38=""),"E_MISSING_INPUT",IF(OR(NOT(ISNUMBER(R38)),NOT(ISNUMBER(S38))),"E_INVALID_DATE",IF(OR(R38&lt;1900,R38&gt;9999,R38&lt;&gt;INT(R38),S38&lt;1,S38&gt;12,S38&lt;&gt;INT(S38)),"E_INVALID_DATE",""))),IF(N38="YEAR",IF(R38="","E_MISSING_INPUT",IF(NOT(ISNUMBER(R38)),"E_INVALID_DATE",IF(OR(R38&lt;1900,R38&gt;9999,R38&lt;&gt;INT(R38)),"E_INVALID_DATE",""))),IF(N38="RANGE",IF(OR(T38="",U38=""),"E_MISSING_INPUT",IF(OR(NOT(ISNUMBER(T38)),NOT(ISNUMBER(U38))),"E_INVALID_DATE",IF(OR(T38&lt;&gt;INT(T38),U38&lt;&gt;INT(U38)),"E_INVALID_DATE",IF(T38&gt;U38,"E_REVERSED_BOUNDS","")))),"E_INVALID_UNIT")))))))</f>
        <v/>
      </c>
      <c r="X38" s="22">
        <f t="shared" si="20"/>
        <v>1</v>
      </c>
      <c r="Y38" s="22">
        <f t="shared" si="21"/>
        <v>1</v>
      </c>
      <c r="Z38" s="28">
        <f t="shared" si="22"/>
        <v>46032</v>
      </c>
      <c r="AA38" s="28">
        <f t="shared" si="23"/>
        <v>46032</v>
      </c>
      <c r="AB38" s="22">
        <f t="shared" si="24"/>
        <v>66286575</v>
      </c>
      <c r="AC38" s="22">
        <f t="shared" si="25"/>
        <v>66286875</v>
      </c>
      <c r="AD38" s="9"/>
      <c r="AE38" s="16"/>
      <c r="AF38" s="14"/>
      <c r="AG38" s="25"/>
      <c r="AH38" s="9"/>
      <c r="AI38" s="11"/>
      <c r="AJ38" s="11"/>
      <c r="AK38" s="14"/>
      <c r="AL38" s="14"/>
      <c r="AM38" s="9"/>
      <c r="AN38" s="21" t="str">
        <f>IF(COUNTA(AE38:AL38)=0,"",IF(AE38="","E_MISSING_INPUT",IF(AE38="TIMESTAMP",IF(OR(AF38="",AG38="",AH38=""),"E_MISSING_INPUT",IF(OR(NOT(ISNUMBER(AF38)),NOT(ISNUMBER(AG38))),"E_INVALID_DATE",IF(OR(AF38&lt;&gt;INT(AF38),AG38&lt;0,AG38&gt;=1),"E_INVALID_DATE",IF(ISNA(MATCH(AH38,nLIST_Offset,0)),"E_INVALID_UNIT","")))),IF(AE38="DATE",IF(AF38="","E_MISSING_INPUT",IF(NOT(ISNUMBER(AF38)),"E_INVALID_DATE",IF(AF38&lt;&gt;INT(AF38),"E_INVALID_DATE",""))),IF(AE38="MONTH",IF(OR(AI38="",AJ38=""),"E_MISSING_INPUT",IF(OR(NOT(ISNUMBER(AI38)),NOT(ISNUMBER(AJ38))),"E_INVALID_DATE",IF(OR(AI38&lt;1900,AI38&gt;9999,AI38&lt;&gt;INT(AI38),AJ38&lt;1,AJ38&gt;12,AJ38&lt;&gt;INT(AJ38)),"E_INVALID_DATE",""))),IF(AE38="YEAR",IF(AI38="","E_MISSING_INPUT",IF(NOT(ISNUMBER(AI38)),"E_INVALID_DATE",IF(OR(AI38&lt;1900,AI38&gt;9999,AI38&lt;&gt;INT(AI38)),"E_INVALID_DATE",""))),IF(AE38="RANGE",IF(OR(AK38="",AL38=""),"E_MISSING_INPUT",IF(OR(NOT(ISNUMBER(AK38)),NOT(ISNUMBER(AL38))),"E_INVALID_DATE",IF(OR(AK38&lt;&gt;INT(AK38),AL38&lt;&gt;INT(AL38)),"E_INVALID_DATE",IF(AK38&gt;AL38,"E_REVERSED_BOUNDS","")))),"E_INVALID_UNIT")))))))</f>
        <v/>
      </c>
      <c r="AO38" s="22">
        <f t="shared" si="26"/>
        <v>0</v>
      </c>
      <c r="AP38" s="22">
        <f t="shared" si="27"/>
        <v>0</v>
      </c>
      <c r="AQ38" s="28" t="str">
        <f t="shared" si="28"/>
        <v/>
      </c>
      <c r="AR38" s="28" t="str">
        <f t="shared" si="29"/>
        <v/>
      </c>
      <c r="AS38" s="22" t="str">
        <f t="shared" si="30"/>
        <v/>
      </c>
      <c r="AT38" s="22" t="str">
        <f t="shared" si="31"/>
        <v/>
      </c>
      <c r="AU38" s="9"/>
      <c r="AV38" s="16"/>
      <c r="AW38" s="14"/>
      <c r="AX38" s="25"/>
      <c r="AY38" s="9"/>
      <c r="AZ38" s="11"/>
      <c r="BA38" s="11"/>
      <c r="BB38" s="14"/>
      <c r="BC38" s="14"/>
      <c r="BD38" s="9"/>
      <c r="BE38" s="21" t="str">
        <f>IF(COUNTA(AV38:BC38)=0,"",IF(AV38="","E_MISSING_INPUT",IF(AV38="TIMESTAMP",IF(OR(AW38="",AX38="",AY38=""),"E_MISSING_INPUT",IF(OR(NOT(ISNUMBER(AW38)),NOT(ISNUMBER(AX38))),"E_INVALID_DATE",IF(OR(AW38&lt;&gt;INT(AW38),AX38&lt;0,AX38&gt;=1),"E_INVALID_DATE",IF(ISNA(MATCH(AY38,nLIST_Offset,0)),"E_INVALID_UNIT","")))),IF(AV38="DATE",IF(AW38="","E_MISSING_INPUT",IF(NOT(ISNUMBER(AW38)),"E_INVALID_DATE",IF(AW38&lt;&gt;INT(AW38),"E_INVALID_DATE",""))),IF(AV38="MONTH",IF(OR(AZ38="",BA38=""),"E_MISSING_INPUT",IF(OR(NOT(ISNUMBER(AZ38)),NOT(ISNUMBER(BA38))),"E_INVALID_DATE",IF(OR(AZ38&lt;1900,AZ38&gt;9999,AZ38&lt;&gt;INT(AZ38),BA38&lt;1,BA38&gt;12,BA38&lt;&gt;INT(BA38)),"E_INVALID_DATE",""))),IF(AV38="YEAR",IF(AZ38="","E_MISSING_INPUT",IF(NOT(ISNUMBER(AZ38)),"E_INVALID_DATE",IF(OR(AZ38&lt;1900,AZ38&gt;9999,AZ38&lt;&gt;INT(AZ38)),"E_INVALID_DATE",""))),IF(AV38="RANGE",IF(OR(BB38="",BC38=""),"E_MISSING_INPUT",IF(OR(NOT(ISNUMBER(BB38)),NOT(ISNUMBER(BC38))),"E_INVALID_DATE",IF(OR(BB38&lt;&gt;INT(BB38),BC38&lt;&gt;INT(BC38)),"E_INVALID_DATE",IF(BB38&gt;BC38,"E_REVERSED_BOUNDS","")))),"E_INVALID_UNIT")))))))</f>
        <v/>
      </c>
      <c r="BF38" s="22">
        <f t="shared" si="32"/>
        <v>0</v>
      </c>
      <c r="BG38" s="22">
        <f t="shared" si="33"/>
        <v>0</v>
      </c>
      <c r="BH38" s="28" t="str">
        <f t="shared" si="34"/>
        <v/>
      </c>
      <c r="BI38" s="28" t="str">
        <f t="shared" si="35"/>
        <v/>
      </c>
      <c r="BJ38" s="22" t="str">
        <f t="shared" si="36"/>
        <v/>
      </c>
      <c r="BK38" s="22" t="str">
        <f t="shared" si="37"/>
        <v/>
      </c>
      <c r="BL38" s="21" t="str">
        <f t="shared" si="38"/>
        <v>EX-C01|2|EX-AS</v>
      </c>
      <c r="BM38" s="22">
        <f>IF(BL38="",0,COUNTIF(nEXP_Key,BL38))</f>
        <v>1</v>
      </c>
      <c r="BN38" s="21" t="str">
        <f t="shared" si="39"/>
        <v/>
      </c>
      <c r="BO38" s="21" t="str">
        <f>IF(BN38="","",BN38&amp;": "&amp;SUBSTITUTE(IFERROR(INDEX(nMSG_Text,MATCH(BN38,nMSG_Code,0)),""),"[input]",IF(D38="","an Exposure_Episode_ID","the date fields required by the selected precision")))</f>
        <v/>
      </c>
    </row>
    <row r="39" spans="1:67" x14ac:dyDescent="0.2">
      <c r="A39" s="9" t="s">
        <v>295</v>
      </c>
      <c r="B39" s="11">
        <v>2</v>
      </c>
      <c r="C39" s="9" t="s">
        <v>447</v>
      </c>
      <c r="D39" s="9" t="s">
        <v>446</v>
      </c>
      <c r="E39" s="9" t="s">
        <v>449</v>
      </c>
      <c r="F39" s="16" t="s">
        <v>111</v>
      </c>
      <c r="G39" s="9" t="s">
        <v>450</v>
      </c>
      <c r="H39" s="16">
        <v>125</v>
      </c>
      <c r="I39" s="16" t="s">
        <v>104</v>
      </c>
      <c r="J39" s="9" t="s">
        <v>448</v>
      </c>
      <c r="K39" s="16"/>
      <c r="L39" s="9"/>
      <c r="M39" s="9" t="s">
        <v>451</v>
      </c>
      <c r="N39" s="16" t="s">
        <v>4</v>
      </c>
      <c r="O39" s="14">
        <v>46023</v>
      </c>
      <c r="P39" s="25"/>
      <c r="Q39" s="9"/>
      <c r="R39" s="11"/>
      <c r="S39" s="11"/>
      <c r="T39" s="14"/>
      <c r="U39" s="14"/>
      <c r="V39" s="9" t="s">
        <v>452</v>
      </c>
      <c r="W39" s="21" t="str">
        <f>IF(COUNTA(N39:U39)=0,"",IF(N39="","E_MISSING_INPUT",IF(N39="TIMESTAMP",IF(OR(O39="",P39="",Q39=""),"E_MISSING_INPUT",IF(OR(NOT(ISNUMBER(O39)),NOT(ISNUMBER(P39))),"E_INVALID_DATE",IF(OR(O39&lt;&gt;INT(O39),P39&lt;0,P39&gt;=1),"E_INVALID_DATE",IF(ISNA(MATCH(Q39,nLIST_Offset,0)),"E_INVALID_UNIT","")))),IF(N39="DATE",IF(O39="","E_MISSING_INPUT",IF(NOT(ISNUMBER(O39)),"E_INVALID_DATE",IF(O39&lt;&gt;INT(O39),"E_INVALID_DATE",""))),IF(N39="MONTH",IF(OR(R39="",S39=""),"E_MISSING_INPUT",IF(OR(NOT(ISNUMBER(R39)),NOT(ISNUMBER(S39))),"E_INVALID_DATE",IF(OR(R39&lt;1900,R39&gt;9999,R39&lt;&gt;INT(R39),S39&lt;1,S39&gt;12,S39&lt;&gt;INT(S39)),"E_INVALID_DATE",""))),IF(N39="YEAR",IF(R39="","E_MISSING_INPUT",IF(NOT(ISNUMBER(R39)),"E_INVALID_DATE",IF(OR(R39&lt;1900,R39&gt;9999,R39&lt;&gt;INT(R39)),"E_INVALID_DATE",""))),IF(N39="RANGE",IF(OR(T39="",U39=""),"E_MISSING_INPUT",IF(OR(NOT(ISNUMBER(T39)),NOT(ISNUMBER(U39))),"E_INVALID_DATE",IF(OR(T39&lt;&gt;INT(T39),U39&lt;&gt;INT(U39)),"E_INVALID_DATE",IF(T39&gt;U39,"E_REVERSED_BOUNDS","")))),"E_INVALID_UNIT")))))))</f>
        <v/>
      </c>
      <c r="X39" s="22">
        <f t="shared" si="20"/>
        <v>0</v>
      </c>
      <c r="Y39" s="22">
        <f t="shared" si="21"/>
        <v>0</v>
      </c>
      <c r="Z39" s="28">
        <f t="shared" si="22"/>
        <v>46023</v>
      </c>
      <c r="AA39" s="28">
        <f t="shared" si="23"/>
        <v>46023</v>
      </c>
      <c r="AB39" s="22" t="str">
        <f t="shared" si="24"/>
        <v/>
      </c>
      <c r="AC39" s="22" t="str">
        <f t="shared" si="25"/>
        <v/>
      </c>
      <c r="AD39" s="9" t="s">
        <v>453</v>
      </c>
      <c r="AE39" s="16" t="s">
        <v>4</v>
      </c>
      <c r="AF39" s="14">
        <v>46208</v>
      </c>
      <c r="AG39" s="25"/>
      <c r="AH39" s="9"/>
      <c r="AI39" s="11"/>
      <c r="AJ39" s="11"/>
      <c r="AK39" s="14"/>
      <c r="AL39" s="14"/>
      <c r="AM39" s="9" t="s">
        <v>454</v>
      </c>
      <c r="AN39" s="21" t="str">
        <f>IF(COUNTA(AE39:AL39)=0,"",IF(AE39="","E_MISSING_INPUT",IF(AE39="TIMESTAMP",IF(OR(AF39="",AG39="",AH39=""),"E_MISSING_INPUT",IF(OR(NOT(ISNUMBER(AF39)),NOT(ISNUMBER(AG39))),"E_INVALID_DATE",IF(OR(AF39&lt;&gt;INT(AF39),AG39&lt;0,AG39&gt;=1),"E_INVALID_DATE",IF(ISNA(MATCH(AH39,nLIST_Offset,0)),"E_INVALID_UNIT","")))),IF(AE39="DATE",IF(AF39="","E_MISSING_INPUT",IF(NOT(ISNUMBER(AF39)),"E_INVALID_DATE",IF(AF39&lt;&gt;INT(AF39),"E_INVALID_DATE",""))),IF(AE39="MONTH",IF(OR(AI39="",AJ39=""),"E_MISSING_INPUT",IF(OR(NOT(ISNUMBER(AI39)),NOT(ISNUMBER(AJ39))),"E_INVALID_DATE",IF(OR(AI39&lt;1900,AI39&gt;9999,AI39&lt;&gt;INT(AI39),AJ39&lt;1,AJ39&gt;12,AJ39&lt;&gt;INT(AJ39)),"E_INVALID_DATE",""))),IF(AE39="YEAR",IF(AI39="","E_MISSING_INPUT",IF(NOT(ISNUMBER(AI39)),"E_INVALID_DATE",IF(OR(AI39&lt;1900,AI39&gt;9999,AI39&lt;&gt;INT(AI39)),"E_INVALID_DATE",""))),IF(AE39="RANGE",IF(OR(AK39="",AL39=""),"E_MISSING_INPUT",IF(OR(NOT(ISNUMBER(AK39)),NOT(ISNUMBER(AL39))),"E_INVALID_DATE",IF(OR(AK39&lt;&gt;INT(AK39),AL39&lt;&gt;INT(AL39)),"E_INVALID_DATE",IF(AK39&gt;AL39,"E_REVERSED_BOUNDS","")))),"E_INVALID_UNIT")))))))</f>
        <v/>
      </c>
      <c r="AO39" s="22">
        <f t="shared" si="26"/>
        <v>0</v>
      </c>
      <c r="AP39" s="22">
        <f t="shared" si="27"/>
        <v>0</v>
      </c>
      <c r="AQ39" s="28">
        <f t="shared" si="28"/>
        <v>46208</v>
      </c>
      <c r="AR39" s="28">
        <f t="shared" si="29"/>
        <v>46208</v>
      </c>
      <c r="AS39" s="22" t="str">
        <f t="shared" si="30"/>
        <v/>
      </c>
      <c r="AT39" s="22" t="str">
        <f t="shared" si="31"/>
        <v/>
      </c>
      <c r="AU39" s="9"/>
      <c r="AV39" s="16"/>
      <c r="AW39" s="14"/>
      <c r="AX39" s="25"/>
      <c r="AY39" s="9"/>
      <c r="AZ39" s="11"/>
      <c r="BA39" s="11"/>
      <c r="BB39" s="14"/>
      <c r="BC39" s="14"/>
      <c r="BD39" s="9"/>
      <c r="BE39" s="21" t="str">
        <f>IF(COUNTA(AV39:BC39)=0,"",IF(AV39="","E_MISSING_INPUT",IF(AV39="TIMESTAMP",IF(OR(AW39="",AX39="",AY39=""),"E_MISSING_INPUT",IF(OR(NOT(ISNUMBER(AW39)),NOT(ISNUMBER(AX39))),"E_INVALID_DATE",IF(OR(AW39&lt;&gt;INT(AW39),AX39&lt;0,AX39&gt;=1),"E_INVALID_DATE",IF(ISNA(MATCH(AY39,nLIST_Offset,0)),"E_INVALID_UNIT","")))),IF(AV39="DATE",IF(AW39="","E_MISSING_INPUT",IF(NOT(ISNUMBER(AW39)),"E_INVALID_DATE",IF(AW39&lt;&gt;INT(AW39),"E_INVALID_DATE",""))),IF(AV39="MONTH",IF(OR(AZ39="",BA39=""),"E_MISSING_INPUT",IF(OR(NOT(ISNUMBER(AZ39)),NOT(ISNUMBER(BA39))),"E_INVALID_DATE",IF(OR(AZ39&lt;1900,AZ39&gt;9999,AZ39&lt;&gt;INT(AZ39),BA39&lt;1,BA39&gt;12,BA39&lt;&gt;INT(BA39)),"E_INVALID_DATE",""))),IF(AV39="YEAR",IF(AZ39="","E_MISSING_INPUT",IF(NOT(ISNUMBER(AZ39)),"E_INVALID_DATE",IF(OR(AZ39&lt;1900,AZ39&gt;9999,AZ39&lt;&gt;INT(AZ39)),"E_INVALID_DATE",""))),IF(AV39="RANGE",IF(OR(BB39="",BC39=""),"E_MISSING_INPUT",IF(OR(NOT(ISNUMBER(BB39)),NOT(ISNUMBER(BC39))),"E_INVALID_DATE",IF(OR(BB39&lt;&gt;INT(BB39),BC39&lt;&gt;INT(BC39)),"E_INVALID_DATE",IF(BB39&gt;BC39,"E_REVERSED_BOUNDS","")))),"E_INVALID_UNIT")))))))</f>
        <v/>
      </c>
      <c r="BF39" s="22">
        <f t="shared" si="32"/>
        <v>0</v>
      </c>
      <c r="BG39" s="22">
        <f t="shared" si="33"/>
        <v>0</v>
      </c>
      <c r="BH39" s="28" t="str">
        <f t="shared" si="34"/>
        <v/>
      </c>
      <c r="BI39" s="28" t="str">
        <f t="shared" si="35"/>
        <v/>
      </c>
      <c r="BJ39" s="22" t="str">
        <f t="shared" si="36"/>
        <v/>
      </c>
      <c r="BK39" s="22" t="str">
        <f t="shared" si="37"/>
        <v/>
      </c>
      <c r="BL39" s="21" t="str">
        <f t="shared" si="38"/>
        <v>EX-C04|2|EX-DIG</v>
      </c>
      <c r="BM39" s="22">
        <f>IF(BL39="",0,COUNTIF(nEXP_Key,BL39))</f>
        <v>1</v>
      </c>
      <c r="BN39" s="21" t="str">
        <f t="shared" si="39"/>
        <v/>
      </c>
      <c r="BO39" s="21" t="str">
        <f>IF(BN39="","",BN39&amp;": "&amp;SUBSTITUTE(IFERROR(INDEX(nMSG_Text,MATCH(BN39,nMSG_Code,0)),""),"[input]",IF(D39="","an Exposure_Episode_ID","the date fields required by the selected precision")))</f>
        <v/>
      </c>
    </row>
    <row r="40" spans="1:67" x14ac:dyDescent="0.2">
      <c r="A40" s="9" t="s">
        <v>295</v>
      </c>
      <c r="B40" s="11">
        <v>2</v>
      </c>
      <c r="C40" s="9" t="s">
        <v>456</v>
      </c>
      <c r="D40" s="9" t="s">
        <v>455</v>
      </c>
      <c r="E40" s="9" t="s">
        <v>458</v>
      </c>
      <c r="F40" s="16" t="s">
        <v>113</v>
      </c>
      <c r="G40" s="9" t="s">
        <v>450</v>
      </c>
      <c r="H40" s="16">
        <v>400</v>
      </c>
      <c r="I40" s="16" t="s">
        <v>103</v>
      </c>
      <c r="J40" s="9" t="s">
        <v>457</v>
      </c>
      <c r="K40" s="16"/>
      <c r="L40" s="9"/>
      <c r="M40" s="9" t="s">
        <v>459</v>
      </c>
      <c r="N40" s="16" t="s">
        <v>4</v>
      </c>
      <c r="O40" s="14">
        <v>46199</v>
      </c>
      <c r="P40" s="25"/>
      <c r="Q40" s="9"/>
      <c r="R40" s="11"/>
      <c r="S40" s="11"/>
      <c r="T40" s="14"/>
      <c r="U40" s="14"/>
      <c r="V40" s="9" t="s">
        <v>452</v>
      </c>
      <c r="W40" s="21" t="str">
        <f>IF(COUNTA(N40:U40)=0,"",IF(N40="","E_MISSING_INPUT",IF(N40="TIMESTAMP",IF(OR(O40="",P40="",Q40=""),"E_MISSING_INPUT",IF(OR(NOT(ISNUMBER(O40)),NOT(ISNUMBER(P40))),"E_INVALID_DATE",IF(OR(O40&lt;&gt;INT(O40),P40&lt;0,P40&gt;=1),"E_INVALID_DATE",IF(ISNA(MATCH(Q40,nLIST_Offset,0)),"E_INVALID_UNIT","")))),IF(N40="DATE",IF(O40="","E_MISSING_INPUT",IF(NOT(ISNUMBER(O40)),"E_INVALID_DATE",IF(O40&lt;&gt;INT(O40),"E_INVALID_DATE",""))),IF(N40="MONTH",IF(OR(R40="",S40=""),"E_MISSING_INPUT",IF(OR(NOT(ISNUMBER(R40)),NOT(ISNUMBER(S40))),"E_INVALID_DATE",IF(OR(R40&lt;1900,R40&gt;9999,R40&lt;&gt;INT(R40),S40&lt;1,S40&gt;12,S40&lt;&gt;INT(S40)),"E_INVALID_DATE",""))),IF(N40="YEAR",IF(R40="","E_MISSING_INPUT",IF(NOT(ISNUMBER(R40)),"E_INVALID_DATE",IF(OR(R40&lt;1900,R40&gt;9999,R40&lt;&gt;INT(R40)),"E_INVALID_DATE",""))),IF(N40="RANGE",IF(OR(T40="",U40=""),"E_MISSING_INPUT",IF(OR(NOT(ISNUMBER(T40)),NOT(ISNUMBER(U40))),"E_INVALID_DATE",IF(OR(T40&lt;&gt;INT(T40),U40&lt;&gt;INT(U40)),"E_INVALID_DATE",IF(T40&gt;U40,"E_REVERSED_BOUNDS","")))),"E_INVALID_UNIT")))))))</f>
        <v/>
      </c>
      <c r="X40" s="22">
        <f t="shared" si="20"/>
        <v>0</v>
      </c>
      <c r="Y40" s="22">
        <f t="shared" si="21"/>
        <v>0</v>
      </c>
      <c r="Z40" s="28">
        <f t="shared" si="22"/>
        <v>46199</v>
      </c>
      <c r="AA40" s="28">
        <f t="shared" si="23"/>
        <v>46199</v>
      </c>
      <c r="AB40" s="22" t="str">
        <f t="shared" si="24"/>
        <v/>
      </c>
      <c r="AC40" s="22" t="str">
        <f t="shared" si="25"/>
        <v/>
      </c>
      <c r="AD40" s="9" t="s">
        <v>460</v>
      </c>
      <c r="AE40" s="16" t="s">
        <v>4</v>
      </c>
      <c r="AF40" s="14">
        <v>46207</v>
      </c>
      <c r="AG40" s="25"/>
      <c r="AH40" s="9"/>
      <c r="AI40" s="11"/>
      <c r="AJ40" s="11"/>
      <c r="AK40" s="14"/>
      <c r="AL40" s="14"/>
      <c r="AM40" s="9" t="s">
        <v>452</v>
      </c>
      <c r="AN40" s="21" t="str">
        <f>IF(COUNTA(AE40:AL40)=0,"",IF(AE40="","E_MISSING_INPUT",IF(AE40="TIMESTAMP",IF(OR(AF40="",AG40="",AH40=""),"E_MISSING_INPUT",IF(OR(NOT(ISNUMBER(AF40)),NOT(ISNUMBER(AG40))),"E_INVALID_DATE",IF(OR(AF40&lt;&gt;INT(AF40),AG40&lt;0,AG40&gt;=1),"E_INVALID_DATE",IF(ISNA(MATCH(AH40,nLIST_Offset,0)),"E_INVALID_UNIT","")))),IF(AE40="DATE",IF(AF40="","E_MISSING_INPUT",IF(NOT(ISNUMBER(AF40)),"E_INVALID_DATE",IF(AF40&lt;&gt;INT(AF40),"E_INVALID_DATE",""))),IF(AE40="MONTH",IF(OR(AI40="",AJ40=""),"E_MISSING_INPUT",IF(OR(NOT(ISNUMBER(AI40)),NOT(ISNUMBER(AJ40))),"E_INVALID_DATE",IF(OR(AI40&lt;1900,AI40&gt;9999,AI40&lt;&gt;INT(AI40),AJ40&lt;1,AJ40&gt;12,AJ40&lt;&gt;INT(AJ40)),"E_INVALID_DATE",""))),IF(AE40="YEAR",IF(AI40="","E_MISSING_INPUT",IF(NOT(ISNUMBER(AI40)),"E_INVALID_DATE",IF(OR(AI40&lt;1900,AI40&gt;9999,AI40&lt;&gt;INT(AI40)),"E_INVALID_DATE",""))),IF(AE40="RANGE",IF(OR(AK40="",AL40=""),"E_MISSING_INPUT",IF(OR(NOT(ISNUMBER(AK40)),NOT(ISNUMBER(AL40))),"E_INVALID_DATE",IF(OR(AK40&lt;&gt;INT(AK40),AL40&lt;&gt;INT(AL40)),"E_INVALID_DATE",IF(AK40&gt;AL40,"E_REVERSED_BOUNDS","")))),"E_INVALID_UNIT")))))))</f>
        <v/>
      </c>
      <c r="AO40" s="22">
        <f t="shared" si="26"/>
        <v>0</v>
      </c>
      <c r="AP40" s="22">
        <f t="shared" si="27"/>
        <v>0</v>
      </c>
      <c r="AQ40" s="28">
        <f t="shared" si="28"/>
        <v>46207</v>
      </c>
      <c r="AR40" s="28">
        <f t="shared" si="29"/>
        <v>46207</v>
      </c>
      <c r="AS40" s="22" t="str">
        <f t="shared" si="30"/>
        <v/>
      </c>
      <c r="AT40" s="22" t="str">
        <f t="shared" si="31"/>
        <v/>
      </c>
      <c r="AU40" s="9"/>
      <c r="AV40" s="16"/>
      <c r="AW40" s="14"/>
      <c r="AX40" s="25"/>
      <c r="AY40" s="9"/>
      <c r="AZ40" s="11"/>
      <c r="BA40" s="11"/>
      <c r="BB40" s="14"/>
      <c r="BC40" s="14"/>
      <c r="BD40" s="9"/>
      <c r="BE40" s="21" t="str">
        <f>IF(COUNTA(AV40:BC40)=0,"",IF(AV40="","E_MISSING_INPUT",IF(AV40="TIMESTAMP",IF(OR(AW40="",AX40="",AY40=""),"E_MISSING_INPUT",IF(OR(NOT(ISNUMBER(AW40)),NOT(ISNUMBER(AX40))),"E_INVALID_DATE",IF(OR(AW40&lt;&gt;INT(AW40),AX40&lt;0,AX40&gt;=1),"E_INVALID_DATE",IF(ISNA(MATCH(AY40,nLIST_Offset,0)),"E_INVALID_UNIT","")))),IF(AV40="DATE",IF(AW40="","E_MISSING_INPUT",IF(NOT(ISNUMBER(AW40)),"E_INVALID_DATE",IF(AW40&lt;&gt;INT(AW40),"E_INVALID_DATE",""))),IF(AV40="MONTH",IF(OR(AZ40="",BA40=""),"E_MISSING_INPUT",IF(OR(NOT(ISNUMBER(AZ40)),NOT(ISNUMBER(BA40))),"E_INVALID_DATE",IF(OR(AZ40&lt;1900,AZ40&gt;9999,AZ40&lt;&gt;INT(AZ40),BA40&lt;1,BA40&gt;12,BA40&lt;&gt;INT(BA40)),"E_INVALID_DATE",""))),IF(AV40="YEAR",IF(AZ40="","E_MISSING_INPUT",IF(NOT(ISNUMBER(AZ40)),"E_INVALID_DATE",IF(OR(AZ40&lt;1900,AZ40&gt;9999,AZ40&lt;&gt;INT(AZ40)),"E_INVALID_DATE",""))),IF(AV40="RANGE",IF(OR(BB40="",BC40=""),"E_MISSING_INPUT",IF(OR(NOT(ISNUMBER(BB40)),NOT(ISNUMBER(BC40))),"E_INVALID_DATE",IF(OR(BB40&lt;&gt;INT(BB40),BC40&lt;&gt;INT(BC40)),"E_INVALID_DATE",IF(BB40&gt;BC40,"E_REVERSED_BOUNDS","")))),"E_INVALID_UNIT")))))))</f>
        <v/>
      </c>
      <c r="BF40" s="22">
        <f t="shared" si="32"/>
        <v>0</v>
      </c>
      <c r="BG40" s="22">
        <f t="shared" si="33"/>
        <v>0</v>
      </c>
      <c r="BH40" s="28" t="str">
        <f t="shared" si="34"/>
        <v/>
      </c>
      <c r="BI40" s="28" t="str">
        <f t="shared" si="35"/>
        <v/>
      </c>
      <c r="BJ40" s="22" t="str">
        <f t="shared" si="36"/>
        <v/>
      </c>
      <c r="BK40" s="22" t="str">
        <f t="shared" si="37"/>
        <v/>
      </c>
      <c r="BL40" s="21" t="str">
        <f t="shared" si="38"/>
        <v>EX-C04|2|EX-IBU</v>
      </c>
      <c r="BM40" s="22">
        <f>IF(BL40="",0,COUNTIF(nEXP_Key,BL40))</f>
        <v>1</v>
      </c>
      <c r="BN40" s="21" t="str">
        <f t="shared" si="39"/>
        <v/>
      </c>
      <c r="BO40" s="21" t="str">
        <f>IF(BN40="","",BN40&amp;": "&amp;SUBSTITUTE(IFERROR(INDEX(nMSG_Text,MATCH(BN40,nMSG_Code,0)),""),"[input]",IF(D40="","an Exposure_Episode_ID","the date fields required by the selected precision")))</f>
        <v/>
      </c>
    </row>
    <row r="41" spans="1:67" x14ac:dyDescent="0.2">
      <c r="A41" s="9" t="s">
        <v>295</v>
      </c>
      <c r="B41" s="11">
        <v>2</v>
      </c>
      <c r="C41" s="9" t="s">
        <v>463</v>
      </c>
      <c r="D41" s="9" t="s">
        <v>462</v>
      </c>
      <c r="E41" s="9" t="s">
        <v>464</v>
      </c>
      <c r="F41" s="16" t="s">
        <v>112</v>
      </c>
      <c r="G41" s="9" t="s">
        <v>450</v>
      </c>
      <c r="H41" s="16"/>
      <c r="I41" s="16"/>
      <c r="J41" s="9" t="s">
        <v>461</v>
      </c>
      <c r="K41" s="16" t="s">
        <v>147</v>
      </c>
      <c r="L41" s="9" t="s">
        <v>465</v>
      </c>
      <c r="M41" s="9"/>
      <c r="N41" s="16"/>
      <c r="O41" s="14"/>
      <c r="P41" s="25"/>
      <c r="Q41" s="9"/>
      <c r="R41" s="11"/>
      <c r="S41" s="11"/>
      <c r="T41" s="14"/>
      <c r="U41" s="14"/>
      <c r="V41" s="9"/>
      <c r="W41" s="21" t="str">
        <f>IF(COUNTA(N41:U41)=0,"",IF(N41="","E_MISSING_INPUT",IF(N41="TIMESTAMP",IF(OR(O41="",P41="",Q41=""),"E_MISSING_INPUT",IF(OR(NOT(ISNUMBER(O41)),NOT(ISNUMBER(P41))),"E_INVALID_DATE",IF(OR(O41&lt;&gt;INT(O41),P41&lt;0,P41&gt;=1),"E_INVALID_DATE",IF(ISNA(MATCH(Q41,nLIST_Offset,0)),"E_INVALID_UNIT","")))),IF(N41="DATE",IF(O41="","E_MISSING_INPUT",IF(NOT(ISNUMBER(O41)),"E_INVALID_DATE",IF(O41&lt;&gt;INT(O41),"E_INVALID_DATE",""))),IF(N41="MONTH",IF(OR(R41="",S41=""),"E_MISSING_INPUT",IF(OR(NOT(ISNUMBER(R41)),NOT(ISNUMBER(S41))),"E_INVALID_DATE",IF(OR(R41&lt;1900,R41&gt;9999,R41&lt;&gt;INT(R41),S41&lt;1,S41&gt;12,S41&lt;&gt;INT(S41)),"E_INVALID_DATE",""))),IF(N41="YEAR",IF(R41="","E_MISSING_INPUT",IF(NOT(ISNUMBER(R41)),"E_INVALID_DATE",IF(OR(R41&lt;1900,R41&gt;9999,R41&lt;&gt;INT(R41)),"E_INVALID_DATE",""))),IF(N41="RANGE",IF(OR(T41="",U41=""),"E_MISSING_INPUT",IF(OR(NOT(ISNUMBER(T41)),NOT(ISNUMBER(U41))),"E_INVALID_DATE",IF(OR(T41&lt;&gt;INT(T41),U41&lt;&gt;INT(U41)),"E_INVALID_DATE",IF(T41&gt;U41,"E_REVERSED_BOUNDS","")))),"E_INVALID_UNIT")))))))</f>
        <v/>
      </c>
      <c r="X41" s="22">
        <f t="shared" si="20"/>
        <v>0</v>
      </c>
      <c r="Y41" s="22">
        <f t="shared" si="21"/>
        <v>0</v>
      </c>
      <c r="Z41" s="28" t="str">
        <f t="shared" si="22"/>
        <v/>
      </c>
      <c r="AA41" s="28" t="str">
        <f t="shared" si="23"/>
        <v/>
      </c>
      <c r="AB41" s="22" t="str">
        <f t="shared" si="24"/>
        <v/>
      </c>
      <c r="AC41" s="22" t="str">
        <f t="shared" si="25"/>
        <v/>
      </c>
      <c r="AD41" s="9"/>
      <c r="AE41" s="16"/>
      <c r="AF41" s="14"/>
      <c r="AG41" s="25"/>
      <c r="AH41" s="9"/>
      <c r="AI41" s="11"/>
      <c r="AJ41" s="11"/>
      <c r="AK41" s="14"/>
      <c r="AL41" s="14"/>
      <c r="AM41" s="9"/>
      <c r="AN41" s="21" t="str">
        <f>IF(COUNTA(AE41:AL41)=0,"",IF(AE41="","E_MISSING_INPUT",IF(AE41="TIMESTAMP",IF(OR(AF41="",AG41="",AH41=""),"E_MISSING_INPUT",IF(OR(NOT(ISNUMBER(AF41)),NOT(ISNUMBER(AG41))),"E_INVALID_DATE",IF(OR(AF41&lt;&gt;INT(AF41),AG41&lt;0,AG41&gt;=1),"E_INVALID_DATE",IF(ISNA(MATCH(AH41,nLIST_Offset,0)),"E_INVALID_UNIT","")))),IF(AE41="DATE",IF(AF41="","E_MISSING_INPUT",IF(NOT(ISNUMBER(AF41)),"E_INVALID_DATE",IF(AF41&lt;&gt;INT(AF41),"E_INVALID_DATE",""))),IF(AE41="MONTH",IF(OR(AI41="",AJ41=""),"E_MISSING_INPUT",IF(OR(NOT(ISNUMBER(AI41)),NOT(ISNUMBER(AJ41))),"E_INVALID_DATE",IF(OR(AI41&lt;1900,AI41&gt;9999,AI41&lt;&gt;INT(AI41),AJ41&lt;1,AJ41&gt;12,AJ41&lt;&gt;INT(AJ41)),"E_INVALID_DATE",""))),IF(AE41="YEAR",IF(AI41="","E_MISSING_INPUT",IF(NOT(ISNUMBER(AI41)),"E_INVALID_DATE",IF(OR(AI41&lt;1900,AI41&gt;9999,AI41&lt;&gt;INT(AI41)),"E_INVALID_DATE",""))),IF(AE41="RANGE",IF(OR(AK41="",AL41=""),"E_MISSING_INPUT",IF(OR(NOT(ISNUMBER(AK41)),NOT(ISNUMBER(AL41))),"E_INVALID_DATE",IF(OR(AK41&lt;&gt;INT(AK41),AL41&lt;&gt;INT(AL41)),"E_INVALID_DATE",IF(AK41&gt;AL41,"E_REVERSED_BOUNDS","")))),"E_INVALID_UNIT")))))))</f>
        <v/>
      </c>
      <c r="AO41" s="22">
        <f t="shared" si="26"/>
        <v>0</v>
      </c>
      <c r="AP41" s="22">
        <f t="shared" si="27"/>
        <v>0</v>
      </c>
      <c r="AQ41" s="28" t="str">
        <f t="shared" si="28"/>
        <v/>
      </c>
      <c r="AR41" s="28" t="str">
        <f t="shared" si="29"/>
        <v/>
      </c>
      <c r="AS41" s="22" t="str">
        <f t="shared" si="30"/>
        <v/>
      </c>
      <c r="AT41" s="22" t="str">
        <f t="shared" si="31"/>
        <v/>
      </c>
      <c r="AU41" s="9"/>
      <c r="AV41" s="16"/>
      <c r="AW41" s="14"/>
      <c r="AX41" s="25"/>
      <c r="AY41" s="9"/>
      <c r="AZ41" s="11"/>
      <c r="BA41" s="11"/>
      <c r="BB41" s="14"/>
      <c r="BC41" s="14"/>
      <c r="BD41" s="9"/>
      <c r="BE41" s="21" t="str">
        <f>IF(COUNTA(AV41:BC41)=0,"",IF(AV41="","E_MISSING_INPUT",IF(AV41="TIMESTAMP",IF(OR(AW41="",AX41="",AY41=""),"E_MISSING_INPUT",IF(OR(NOT(ISNUMBER(AW41)),NOT(ISNUMBER(AX41))),"E_INVALID_DATE",IF(OR(AW41&lt;&gt;INT(AW41),AX41&lt;0,AX41&gt;=1),"E_INVALID_DATE",IF(ISNA(MATCH(AY41,nLIST_Offset,0)),"E_INVALID_UNIT","")))),IF(AV41="DATE",IF(AW41="","E_MISSING_INPUT",IF(NOT(ISNUMBER(AW41)),"E_INVALID_DATE",IF(AW41&lt;&gt;INT(AW41),"E_INVALID_DATE",""))),IF(AV41="MONTH",IF(OR(AZ41="",BA41=""),"E_MISSING_INPUT",IF(OR(NOT(ISNUMBER(AZ41)),NOT(ISNUMBER(BA41))),"E_INVALID_DATE",IF(OR(AZ41&lt;1900,AZ41&gt;9999,AZ41&lt;&gt;INT(AZ41),BA41&lt;1,BA41&gt;12,BA41&lt;&gt;INT(BA41)),"E_INVALID_DATE",""))),IF(AV41="YEAR",IF(AZ41="","E_MISSING_INPUT",IF(NOT(ISNUMBER(AZ41)),"E_INVALID_DATE",IF(OR(AZ41&lt;1900,AZ41&gt;9999,AZ41&lt;&gt;INT(AZ41)),"E_INVALID_DATE",""))),IF(AV41="RANGE",IF(OR(BB41="",BC41=""),"E_MISSING_INPUT",IF(OR(NOT(ISNUMBER(BB41)),NOT(ISNUMBER(BC41))),"E_INVALID_DATE",IF(OR(BB41&lt;&gt;INT(BB41),BC41&lt;&gt;INT(BC41)),"E_INVALID_DATE",IF(BB41&gt;BC41,"E_REVERSED_BOUNDS","")))),"E_INVALID_UNIT")))))))</f>
        <v/>
      </c>
      <c r="BF41" s="22">
        <f t="shared" si="32"/>
        <v>0</v>
      </c>
      <c r="BG41" s="22">
        <f t="shared" si="33"/>
        <v>0</v>
      </c>
      <c r="BH41" s="28" t="str">
        <f t="shared" si="34"/>
        <v/>
      </c>
      <c r="BI41" s="28" t="str">
        <f t="shared" si="35"/>
        <v/>
      </c>
      <c r="BJ41" s="22" t="str">
        <f t="shared" si="36"/>
        <v/>
      </c>
      <c r="BK41" s="22" t="str">
        <f t="shared" si="37"/>
        <v/>
      </c>
      <c r="BL41" s="21" t="str">
        <f t="shared" si="38"/>
        <v>EX-C04|2|EX-BB</v>
      </c>
      <c r="BM41" s="22">
        <f>IF(BL41="",0,COUNTIF(nEXP_Key,BL41))</f>
        <v>1</v>
      </c>
      <c r="BN41" s="21" t="str">
        <f t="shared" si="39"/>
        <v/>
      </c>
      <c r="BO41" s="21" t="str">
        <f>IF(BN41="","",BN41&amp;": "&amp;SUBSTITUTE(IFERROR(INDEX(nMSG_Text,MATCH(BN41,nMSG_Code,0)),""),"[input]",IF(D41="","an Exposure_Episode_ID","the date fields required by the selected precision")))</f>
        <v/>
      </c>
    </row>
    <row r="42" spans="1:67" x14ac:dyDescent="0.2">
      <c r="A42" s="9" t="s">
        <v>299</v>
      </c>
      <c r="B42" s="11">
        <v>2</v>
      </c>
      <c r="C42" s="9" t="s">
        <v>468</v>
      </c>
      <c r="D42" s="9" t="s">
        <v>467</v>
      </c>
      <c r="E42" s="9" t="s">
        <v>470</v>
      </c>
      <c r="F42" s="16" t="s">
        <v>111</v>
      </c>
      <c r="G42" s="9" t="s">
        <v>466</v>
      </c>
      <c r="H42" s="16"/>
      <c r="I42" s="16"/>
      <c r="J42" s="9" t="s">
        <v>469</v>
      </c>
      <c r="K42" s="16"/>
      <c r="L42" s="9"/>
      <c r="M42" s="9" t="s">
        <v>471</v>
      </c>
      <c r="N42" s="16" t="s">
        <v>4</v>
      </c>
      <c r="O42" s="14">
        <v>45614</v>
      </c>
      <c r="P42" s="25"/>
      <c r="Q42" s="9"/>
      <c r="R42" s="11"/>
      <c r="S42" s="11"/>
      <c r="T42" s="14"/>
      <c r="U42" s="14"/>
      <c r="V42" s="9" t="s">
        <v>472</v>
      </c>
      <c r="W42" s="21" t="str">
        <f>IF(COUNTA(N42:U42)=0,"",IF(N42="","E_MISSING_INPUT",IF(N42="TIMESTAMP",IF(OR(O42="",P42="",Q42=""),"E_MISSING_INPUT",IF(OR(NOT(ISNUMBER(O42)),NOT(ISNUMBER(P42))),"E_INVALID_DATE",IF(OR(O42&lt;&gt;INT(O42),P42&lt;0,P42&gt;=1),"E_INVALID_DATE",IF(ISNA(MATCH(Q42,nLIST_Offset,0)),"E_INVALID_UNIT","")))),IF(N42="DATE",IF(O42="","E_MISSING_INPUT",IF(NOT(ISNUMBER(O42)),"E_INVALID_DATE",IF(O42&lt;&gt;INT(O42),"E_INVALID_DATE",""))),IF(N42="MONTH",IF(OR(R42="",S42=""),"E_MISSING_INPUT",IF(OR(NOT(ISNUMBER(R42)),NOT(ISNUMBER(S42))),"E_INVALID_DATE",IF(OR(R42&lt;1900,R42&gt;9999,R42&lt;&gt;INT(R42),S42&lt;1,S42&gt;12,S42&lt;&gt;INT(S42)),"E_INVALID_DATE",""))),IF(N42="YEAR",IF(R42="","E_MISSING_INPUT",IF(NOT(ISNUMBER(R42)),"E_INVALID_DATE",IF(OR(R42&lt;1900,R42&gt;9999,R42&lt;&gt;INT(R42)),"E_INVALID_DATE",""))),IF(N42="RANGE",IF(OR(T42="",U42=""),"E_MISSING_INPUT",IF(OR(NOT(ISNUMBER(T42)),NOT(ISNUMBER(U42))),"E_INVALID_DATE",IF(OR(T42&lt;&gt;INT(T42),U42&lt;&gt;INT(U42)),"E_INVALID_DATE",IF(T42&gt;U42,"E_REVERSED_BOUNDS","")))),"E_INVALID_UNIT")))))))</f>
        <v/>
      </c>
      <c r="X42" s="22">
        <f t="shared" si="20"/>
        <v>0</v>
      </c>
      <c r="Y42" s="22">
        <f t="shared" si="21"/>
        <v>0</v>
      </c>
      <c r="Z42" s="28">
        <f t="shared" si="22"/>
        <v>45614</v>
      </c>
      <c r="AA42" s="28">
        <f t="shared" si="23"/>
        <v>45614</v>
      </c>
      <c r="AB42" s="22" t="str">
        <f t="shared" si="24"/>
        <v/>
      </c>
      <c r="AC42" s="22" t="str">
        <f t="shared" si="25"/>
        <v/>
      </c>
      <c r="AD42" s="9" t="s">
        <v>473</v>
      </c>
      <c r="AE42" s="16" t="s">
        <v>4</v>
      </c>
      <c r="AF42" s="14">
        <v>45719</v>
      </c>
      <c r="AG42" s="25"/>
      <c r="AH42" s="9"/>
      <c r="AI42" s="11"/>
      <c r="AJ42" s="11"/>
      <c r="AK42" s="14"/>
      <c r="AL42" s="14"/>
      <c r="AM42" s="9" t="s">
        <v>472</v>
      </c>
      <c r="AN42" s="21" t="str">
        <f>IF(COUNTA(AE42:AL42)=0,"",IF(AE42="","E_MISSING_INPUT",IF(AE42="TIMESTAMP",IF(OR(AF42="",AG42="",AH42=""),"E_MISSING_INPUT",IF(OR(NOT(ISNUMBER(AF42)),NOT(ISNUMBER(AG42))),"E_INVALID_DATE",IF(OR(AF42&lt;&gt;INT(AF42),AG42&lt;0,AG42&gt;=1),"E_INVALID_DATE",IF(ISNA(MATCH(AH42,nLIST_Offset,0)),"E_INVALID_UNIT","")))),IF(AE42="DATE",IF(AF42="","E_MISSING_INPUT",IF(NOT(ISNUMBER(AF42)),"E_INVALID_DATE",IF(AF42&lt;&gt;INT(AF42),"E_INVALID_DATE",""))),IF(AE42="MONTH",IF(OR(AI42="",AJ42=""),"E_MISSING_INPUT",IF(OR(NOT(ISNUMBER(AI42)),NOT(ISNUMBER(AJ42))),"E_INVALID_DATE",IF(OR(AI42&lt;1900,AI42&gt;9999,AI42&lt;&gt;INT(AI42),AJ42&lt;1,AJ42&gt;12,AJ42&lt;&gt;INT(AJ42)),"E_INVALID_DATE",""))),IF(AE42="YEAR",IF(AI42="","E_MISSING_INPUT",IF(NOT(ISNUMBER(AI42)),"E_INVALID_DATE",IF(OR(AI42&lt;1900,AI42&gt;9999,AI42&lt;&gt;INT(AI42)),"E_INVALID_DATE",""))),IF(AE42="RANGE",IF(OR(AK42="",AL42=""),"E_MISSING_INPUT",IF(OR(NOT(ISNUMBER(AK42)),NOT(ISNUMBER(AL42))),"E_INVALID_DATE",IF(OR(AK42&lt;&gt;INT(AK42),AL42&lt;&gt;INT(AL42)),"E_INVALID_DATE",IF(AK42&gt;AL42,"E_REVERSED_BOUNDS","")))),"E_INVALID_UNIT")))))))</f>
        <v/>
      </c>
      <c r="AO42" s="22">
        <f t="shared" si="26"/>
        <v>0</v>
      </c>
      <c r="AP42" s="22">
        <f t="shared" si="27"/>
        <v>0</v>
      </c>
      <c r="AQ42" s="28">
        <f t="shared" si="28"/>
        <v>45719</v>
      </c>
      <c r="AR42" s="28">
        <f t="shared" si="29"/>
        <v>45719</v>
      </c>
      <c r="AS42" s="22" t="str">
        <f t="shared" si="30"/>
        <v/>
      </c>
      <c r="AT42" s="22" t="str">
        <f t="shared" si="31"/>
        <v/>
      </c>
      <c r="AU42" s="9"/>
      <c r="AV42" s="16"/>
      <c r="AW42" s="14"/>
      <c r="AX42" s="25"/>
      <c r="AY42" s="9"/>
      <c r="AZ42" s="11"/>
      <c r="BA42" s="11"/>
      <c r="BB42" s="14"/>
      <c r="BC42" s="14"/>
      <c r="BD42" s="9"/>
      <c r="BE42" s="21" t="str">
        <f>IF(COUNTA(AV42:BC42)=0,"",IF(AV42="","E_MISSING_INPUT",IF(AV42="TIMESTAMP",IF(OR(AW42="",AX42="",AY42=""),"E_MISSING_INPUT",IF(OR(NOT(ISNUMBER(AW42)),NOT(ISNUMBER(AX42))),"E_INVALID_DATE",IF(OR(AW42&lt;&gt;INT(AW42),AX42&lt;0,AX42&gt;=1),"E_INVALID_DATE",IF(ISNA(MATCH(AY42,nLIST_Offset,0)),"E_INVALID_UNIT","")))),IF(AV42="DATE",IF(AW42="","E_MISSING_INPUT",IF(NOT(ISNUMBER(AW42)),"E_INVALID_DATE",IF(AW42&lt;&gt;INT(AW42),"E_INVALID_DATE",""))),IF(AV42="MONTH",IF(OR(AZ42="",BA42=""),"E_MISSING_INPUT",IF(OR(NOT(ISNUMBER(AZ42)),NOT(ISNUMBER(BA42))),"E_INVALID_DATE",IF(OR(AZ42&lt;1900,AZ42&gt;9999,AZ42&lt;&gt;INT(AZ42),BA42&lt;1,BA42&gt;12,BA42&lt;&gt;INT(BA42)),"E_INVALID_DATE",""))),IF(AV42="YEAR",IF(AZ42="","E_MISSING_INPUT",IF(NOT(ISNUMBER(AZ42)),"E_INVALID_DATE",IF(OR(AZ42&lt;1900,AZ42&gt;9999,AZ42&lt;&gt;INT(AZ42)),"E_INVALID_DATE",""))),IF(AV42="RANGE",IF(OR(BB42="",BC42=""),"E_MISSING_INPUT",IF(OR(NOT(ISNUMBER(BB42)),NOT(ISNUMBER(BC42))),"E_INVALID_DATE",IF(OR(BB42&lt;&gt;INT(BB42),BC42&lt;&gt;INT(BC42)),"E_INVALID_DATE",IF(BB42&gt;BC42,"E_REVERSED_BOUNDS","")))),"E_INVALID_UNIT")))))))</f>
        <v/>
      </c>
      <c r="BF42" s="22">
        <f t="shared" si="32"/>
        <v>0</v>
      </c>
      <c r="BG42" s="22">
        <f t="shared" si="33"/>
        <v>0</v>
      </c>
      <c r="BH42" s="28" t="str">
        <f t="shared" si="34"/>
        <v/>
      </c>
      <c r="BI42" s="28" t="str">
        <f t="shared" si="35"/>
        <v/>
      </c>
      <c r="BJ42" s="22" t="str">
        <f t="shared" si="36"/>
        <v/>
      </c>
      <c r="BK42" s="22" t="str">
        <f t="shared" si="37"/>
        <v/>
      </c>
      <c r="BL42" s="21" t="str">
        <f t="shared" si="38"/>
        <v>EX-C28|2|EX-RTX</v>
      </c>
      <c r="BM42" s="22">
        <f>IF(BL42="",0,COUNTIF(nEXP_Key,BL42))</f>
        <v>1</v>
      </c>
      <c r="BN42" s="21" t="str">
        <f t="shared" si="39"/>
        <v/>
      </c>
      <c r="BO42" s="21" t="str">
        <f>IF(BN42="","",BN42&amp;": "&amp;SUBSTITUTE(IFERROR(INDEX(nMSG_Text,MATCH(BN42,nMSG_Code,0)),""),"[input]",IF(D42="","an Exposure_Episode_ID","the date fields required by the selected precision")))</f>
        <v/>
      </c>
    </row>
    <row r="43" spans="1:67" x14ac:dyDescent="0.2">
      <c r="A43" s="9" t="s">
        <v>299</v>
      </c>
      <c r="B43" s="11">
        <v>2</v>
      </c>
      <c r="C43" s="9" t="s">
        <v>474</v>
      </c>
      <c r="D43" s="9" t="s">
        <v>475</v>
      </c>
      <c r="E43" s="9" t="s">
        <v>477</v>
      </c>
      <c r="F43" s="16" t="s">
        <v>112</v>
      </c>
      <c r="G43" s="9" t="s">
        <v>476</v>
      </c>
      <c r="H43" s="16"/>
      <c r="I43" s="16"/>
      <c r="J43" s="9"/>
      <c r="K43" s="16"/>
      <c r="L43" s="9"/>
      <c r="M43" s="9" t="s">
        <v>478</v>
      </c>
      <c r="N43" s="16" t="s">
        <v>4</v>
      </c>
      <c r="O43" s="14">
        <v>45614</v>
      </c>
      <c r="P43" s="25"/>
      <c r="Q43" s="9"/>
      <c r="R43" s="11"/>
      <c r="S43" s="11"/>
      <c r="T43" s="14"/>
      <c r="U43" s="14"/>
      <c r="V43" s="9" t="s">
        <v>472</v>
      </c>
      <c r="W43" s="21" t="str">
        <f>IF(COUNTA(N43:U43)=0,"",IF(N43="","E_MISSING_INPUT",IF(N43="TIMESTAMP",IF(OR(O43="",P43="",Q43=""),"E_MISSING_INPUT",IF(OR(NOT(ISNUMBER(O43)),NOT(ISNUMBER(P43))),"E_INVALID_DATE",IF(OR(O43&lt;&gt;INT(O43),P43&lt;0,P43&gt;=1),"E_INVALID_DATE",IF(ISNA(MATCH(Q43,nLIST_Offset,0)),"E_INVALID_UNIT","")))),IF(N43="DATE",IF(O43="","E_MISSING_INPUT",IF(NOT(ISNUMBER(O43)),"E_INVALID_DATE",IF(O43&lt;&gt;INT(O43),"E_INVALID_DATE",""))),IF(N43="MONTH",IF(OR(R43="",S43=""),"E_MISSING_INPUT",IF(OR(NOT(ISNUMBER(R43)),NOT(ISNUMBER(S43))),"E_INVALID_DATE",IF(OR(R43&lt;1900,R43&gt;9999,R43&lt;&gt;INT(R43),S43&lt;1,S43&gt;12,S43&lt;&gt;INT(S43)),"E_INVALID_DATE",""))),IF(N43="YEAR",IF(R43="","E_MISSING_INPUT",IF(NOT(ISNUMBER(R43)),"E_INVALID_DATE",IF(OR(R43&lt;1900,R43&gt;9999,R43&lt;&gt;INT(R43)),"E_INVALID_DATE",""))),IF(N43="RANGE",IF(OR(T43="",U43=""),"E_MISSING_INPUT",IF(OR(NOT(ISNUMBER(T43)),NOT(ISNUMBER(U43))),"E_INVALID_DATE",IF(OR(T43&lt;&gt;INT(T43),U43&lt;&gt;INT(U43)),"E_INVALID_DATE",IF(T43&gt;U43,"E_REVERSED_BOUNDS","")))),"E_INVALID_UNIT")))))))</f>
        <v/>
      </c>
      <c r="X43" s="22">
        <f t="shared" si="20"/>
        <v>0</v>
      </c>
      <c r="Y43" s="22">
        <f t="shared" si="21"/>
        <v>0</v>
      </c>
      <c r="Z43" s="28">
        <f t="shared" si="22"/>
        <v>45614</v>
      </c>
      <c r="AA43" s="28">
        <f t="shared" si="23"/>
        <v>45614</v>
      </c>
      <c r="AB43" s="22" t="str">
        <f t="shared" si="24"/>
        <v/>
      </c>
      <c r="AC43" s="22" t="str">
        <f t="shared" si="25"/>
        <v/>
      </c>
      <c r="AD43" s="9" t="s">
        <v>478</v>
      </c>
      <c r="AE43" s="16" t="s">
        <v>4</v>
      </c>
      <c r="AF43" s="14">
        <v>45719</v>
      </c>
      <c r="AG43" s="25"/>
      <c r="AH43" s="9"/>
      <c r="AI43" s="11"/>
      <c r="AJ43" s="11"/>
      <c r="AK43" s="14"/>
      <c r="AL43" s="14"/>
      <c r="AM43" s="9" t="s">
        <v>472</v>
      </c>
      <c r="AN43" s="21" t="str">
        <f>IF(COUNTA(AE43:AL43)=0,"",IF(AE43="","E_MISSING_INPUT",IF(AE43="TIMESTAMP",IF(OR(AF43="",AG43="",AH43=""),"E_MISSING_INPUT",IF(OR(NOT(ISNUMBER(AF43)),NOT(ISNUMBER(AG43))),"E_INVALID_DATE",IF(OR(AF43&lt;&gt;INT(AF43),AG43&lt;0,AG43&gt;=1),"E_INVALID_DATE",IF(ISNA(MATCH(AH43,nLIST_Offset,0)),"E_INVALID_UNIT","")))),IF(AE43="DATE",IF(AF43="","E_MISSING_INPUT",IF(NOT(ISNUMBER(AF43)),"E_INVALID_DATE",IF(AF43&lt;&gt;INT(AF43),"E_INVALID_DATE",""))),IF(AE43="MONTH",IF(OR(AI43="",AJ43=""),"E_MISSING_INPUT",IF(OR(NOT(ISNUMBER(AI43)),NOT(ISNUMBER(AJ43))),"E_INVALID_DATE",IF(OR(AI43&lt;1900,AI43&gt;9999,AI43&lt;&gt;INT(AI43),AJ43&lt;1,AJ43&gt;12,AJ43&lt;&gt;INT(AJ43)),"E_INVALID_DATE",""))),IF(AE43="YEAR",IF(AI43="","E_MISSING_INPUT",IF(NOT(ISNUMBER(AI43)),"E_INVALID_DATE",IF(OR(AI43&lt;1900,AI43&gt;9999,AI43&lt;&gt;INT(AI43)),"E_INVALID_DATE",""))),IF(AE43="RANGE",IF(OR(AK43="",AL43=""),"E_MISSING_INPUT",IF(OR(NOT(ISNUMBER(AK43)),NOT(ISNUMBER(AL43))),"E_INVALID_DATE",IF(OR(AK43&lt;&gt;INT(AK43),AL43&lt;&gt;INT(AL43)),"E_INVALID_DATE",IF(AK43&gt;AL43,"E_REVERSED_BOUNDS","")))),"E_INVALID_UNIT")))))))</f>
        <v/>
      </c>
      <c r="AO43" s="22">
        <f t="shared" si="26"/>
        <v>0</v>
      </c>
      <c r="AP43" s="22">
        <f t="shared" si="27"/>
        <v>0</v>
      </c>
      <c r="AQ43" s="28">
        <f t="shared" si="28"/>
        <v>45719</v>
      </c>
      <c r="AR43" s="28">
        <f t="shared" si="29"/>
        <v>45719</v>
      </c>
      <c r="AS43" s="22" t="str">
        <f t="shared" si="30"/>
        <v/>
      </c>
      <c r="AT43" s="22" t="str">
        <f t="shared" si="31"/>
        <v/>
      </c>
      <c r="AU43" s="9"/>
      <c r="AV43" s="16"/>
      <c r="AW43" s="14"/>
      <c r="AX43" s="25"/>
      <c r="AY43" s="9"/>
      <c r="AZ43" s="11"/>
      <c r="BA43" s="11"/>
      <c r="BB43" s="14"/>
      <c r="BC43" s="14"/>
      <c r="BD43" s="9"/>
      <c r="BE43" s="21" t="str">
        <f>IF(COUNTA(AV43:BC43)=0,"",IF(AV43="","E_MISSING_INPUT",IF(AV43="TIMESTAMP",IF(OR(AW43="",AX43="",AY43=""),"E_MISSING_INPUT",IF(OR(NOT(ISNUMBER(AW43)),NOT(ISNUMBER(AX43))),"E_INVALID_DATE",IF(OR(AW43&lt;&gt;INT(AW43),AX43&lt;0,AX43&gt;=1),"E_INVALID_DATE",IF(ISNA(MATCH(AY43,nLIST_Offset,0)),"E_INVALID_UNIT","")))),IF(AV43="DATE",IF(AW43="","E_MISSING_INPUT",IF(NOT(ISNUMBER(AW43)),"E_INVALID_DATE",IF(AW43&lt;&gt;INT(AW43),"E_INVALID_DATE",""))),IF(AV43="MONTH",IF(OR(AZ43="",BA43=""),"E_MISSING_INPUT",IF(OR(NOT(ISNUMBER(AZ43)),NOT(ISNUMBER(BA43))),"E_INVALID_DATE",IF(OR(AZ43&lt;1900,AZ43&gt;9999,AZ43&lt;&gt;INT(AZ43),BA43&lt;1,BA43&gt;12,BA43&lt;&gt;INT(BA43)),"E_INVALID_DATE",""))),IF(AV43="YEAR",IF(AZ43="","E_MISSING_INPUT",IF(NOT(ISNUMBER(AZ43)),"E_INVALID_DATE",IF(OR(AZ43&lt;1900,AZ43&gt;9999,AZ43&lt;&gt;INT(AZ43)),"E_INVALID_DATE",""))),IF(AV43="RANGE",IF(OR(BB43="",BC43=""),"E_MISSING_INPUT",IF(OR(NOT(ISNUMBER(BB43)),NOT(ISNUMBER(BC43))),"E_INVALID_DATE",IF(OR(BB43&lt;&gt;INT(BB43),BC43&lt;&gt;INT(BC43)),"E_INVALID_DATE",IF(BB43&gt;BC43,"E_REVERSED_BOUNDS","")))),"E_INVALID_UNIT")))))))</f>
        <v/>
      </c>
      <c r="BF43" s="22">
        <f t="shared" si="32"/>
        <v>0</v>
      </c>
      <c r="BG43" s="22">
        <f t="shared" si="33"/>
        <v>0</v>
      </c>
      <c r="BH43" s="28" t="str">
        <f t="shared" si="34"/>
        <v/>
      </c>
      <c r="BI43" s="28" t="str">
        <f t="shared" si="35"/>
        <v/>
      </c>
      <c r="BJ43" s="22" t="str">
        <f t="shared" si="36"/>
        <v/>
      </c>
      <c r="BK43" s="22" t="str">
        <f t="shared" si="37"/>
        <v/>
      </c>
      <c r="BL43" s="21" t="str">
        <f t="shared" si="38"/>
        <v>EX-C28|2|EX-RX</v>
      </c>
      <c r="BM43" s="22">
        <f>IF(BL43="",0,COUNTIF(nEXP_Key,BL43))</f>
        <v>1</v>
      </c>
      <c r="BN43" s="21" t="str">
        <f t="shared" si="39"/>
        <v/>
      </c>
      <c r="BO43" s="21" t="str">
        <f>IF(BN43="","",BN43&amp;": "&amp;SUBSTITUTE(IFERROR(INDEX(nMSG_Text,MATCH(BN43,nMSG_Code,0)),""),"[input]",IF(D43="","an Exposure_Episode_ID","the date fields required by the selected precision")))</f>
        <v/>
      </c>
    </row>
    <row r="44" spans="1:67" x14ac:dyDescent="0.2">
      <c r="A44" s="9" t="s">
        <v>299</v>
      </c>
      <c r="B44" s="11">
        <v>2</v>
      </c>
      <c r="C44" s="9" t="s">
        <v>479</v>
      </c>
      <c r="D44" s="9" t="s">
        <v>480</v>
      </c>
      <c r="E44" s="9" t="s">
        <v>481</v>
      </c>
      <c r="F44" s="16" t="s">
        <v>114</v>
      </c>
      <c r="G44" s="9" t="s">
        <v>450</v>
      </c>
      <c r="H44" s="16"/>
      <c r="I44" s="16"/>
      <c r="J44" s="9"/>
      <c r="K44" s="16"/>
      <c r="L44" s="9"/>
      <c r="M44" s="9" t="s">
        <v>482</v>
      </c>
      <c r="N44" s="16" t="s">
        <v>4</v>
      </c>
      <c r="O44" s="14">
        <v>45607</v>
      </c>
      <c r="P44" s="25"/>
      <c r="Q44" s="9"/>
      <c r="R44" s="11"/>
      <c r="S44" s="11"/>
      <c r="T44" s="14"/>
      <c r="U44" s="14"/>
      <c r="V44" s="9" t="s">
        <v>472</v>
      </c>
      <c r="W44" s="21" t="str">
        <f>IF(COUNTA(N44:U44)=0,"",IF(N44="","E_MISSING_INPUT",IF(N44="TIMESTAMP",IF(OR(O44="",P44="",Q44=""),"E_MISSING_INPUT",IF(OR(NOT(ISNUMBER(O44)),NOT(ISNUMBER(P44))),"E_INVALID_DATE",IF(OR(O44&lt;&gt;INT(O44),P44&lt;0,P44&gt;=1),"E_INVALID_DATE",IF(ISNA(MATCH(Q44,nLIST_Offset,0)),"E_INVALID_UNIT","")))),IF(N44="DATE",IF(O44="","E_MISSING_INPUT",IF(NOT(ISNUMBER(O44)),"E_INVALID_DATE",IF(O44&lt;&gt;INT(O44),"E_INVALID_DATE",""))),IF(N44="MONTH",IF(OR(R44="",S44=""),"E_MISSING_INPUT",IF(OR(NOT(ISNUMBER(R44)),NOT(ISNUMBER(S44))),"E_INVALID_DATE",IF(OR(R44&lt;1900,R44&gt;9999,R44&lt;&gt;INT(R44),S44&lt;1,S44&gt;12,S44&lt;&gt;INT(S44)),"E_INVALID_DATE",""))),IF(N44="YEAR",IF(R44="","E_MISSING_INPUT",IF(NOT(ISNUMBER(R44)),"E_INVALID_DATE",IF(OR(R44&lt;1900,R44&gt;9999,R44&lt;&gt;INT(R44)),"E_INVALID_DATE",""))),IF(N44="RANGE",IF(OR(T44="",U44=""),"E_MISSING_INPUT",IF(OR(NOT(ISNUMBER(T44)),NOT(ISNUMBER(U44))),"E_INVALID_DATE",IF(OR(T44&lt;&gt;INT(T44),U44&lt;&gt;INT(U44)),"E_INVALID_DATE",IF(T44&gt;U44,"E_REVERSED_BOUNDS","")))),"E_INVALID_UNIT")))))))</f>
        <v/>
      </c>
      <c r="X44" s="22">
        <f t="shared" si="20"/>
        <v>0</v>
      </c>
      <c r="Y44" s="22">
        <f t="shared" si="21"/>
        <v>0</v>
      </c>
      <c r="Z44" s="28">
        <f t="shared" si="22"/>
        <v>45607</v>
      </c>
      <c r="AA44" s="28">
        <f t="shared" si="23"/>
        <v>45607</v>
      </c>
      <c r="AB44" s="22" t="str">
        <f t="shared" si="24"/>
        <v/>
      </c>
      <c r="AC44" s="22" t="str">
        <f t="shared" si="25"/>
        <v/>
      </c>
      <c r="AD44" s="9" t="s">
        <v>483</v>
      </c>
      <c r="AE44" s="16" t="s">
        <v>4</v>
      </c>
      <c r="AF44" s="14">
        <v>45903</v>
      </c>
      <c r="AG44" s="25"/>
      <c r="AH44" s="9"/>
      <c r="AI44" s="11"/>
      <c r="AJ44" s="11"/>
      <c r="AK44" s="14"/>
      <c r="AL44" s="14"/>
      <c r="AM44" s="9" t="s">
        <v>472</v>
      </c>
      <c r="AN44" s="21" t="str">
        <f>IF(COUNTA(AE44:AL44)=0,"",IF(AE44="","E_MISSING_INPUT",IF(AE44="TIMESTAMP",IF(OR(AF44="",AG44="",AH44=""),"E_MISSING_INPUT",IF(OR(NOT(ISNUMBER(AF44)),NOT(ISNUMBER(AG44))),"E_INVALID_DATE",IF(OR(AF44&lt;&gt;INT(AF44),AG44&lt;0,AG44&gt;=1),"E_INVALID_DATE",IF(ISNA(MATCH(AH44,nLIST_Offset,0)),"E_INVALID_UNIT","")))),IF(AE44="DATE",IF(AF44="","E_MISSING_INPUT",IF(NOT(ISNUMBER(AF44)),"E_INVALID_DATE",IF(AF44&lt;&gt;INT(AF44),"E_INVALID_DATE",""))),IF(AE44="MONTH",IF(OR(AI44="",AJ44=""),"E_MISSING_INPUT",IF(OR(NOT(ISNUMBER(AI44)),NOT(ISNUMBER(AJ44))),"E_INVALID_DATE",IF(OR(AI44&lt;1900,AI44&gt;9999,AI44&lt;&gt;INT(AI44),AJ44&lt;1,AJ44&gt;12,AJ44&lt;&gt;INT(AJ44)),"E_INVALID_DATE",""))),IF(AE44="YEAR",IF(AI44="","E_MISSING_INPUT",IF(NOT(ISNUMBER(AI44)),"E_INVALID_DATE",IF(OR(AI44&lt;1900,AI44&gt;9999,AI44&lt;&gt;INT(AI44)),"E_INVALID_DATE",""))),IF(AE44="RANGE",IF(OR(AK44="",AL44=""),"E_MISSING_INPUT",IF(OR(NOT(ISNUMBER(AK44)),NOT(ISNUMBER(AL44))),"E_INVALID_DATE",IF(OR(AK44&lt;&gt;INT(AK44),AL44&lt;&gt;INT(AL44)),"E_INVALID_DATE",IF(AK44&gt;AL44,"E_REVERSED_BOUNDS","")))),"E_INVALID_UNIT")))))))</f>
        <v/>
      </c>
      <c r="AO44" s="22">
        <f t="shared" si="26"/>
        <v>0</v>
      </c>
      <c r="AP44" s="22">
        <f t="shared" si="27"/>
        <v>0</v>
      </c>
      <c r="AQ44" s="28">
        <f t="shared" si="28"/>
        <v>45903</v>
      </c>
      <c r="AR44" s="28">
        <f t="shared" si="29"/>
        <v>45903</v>
      </c>
      <c r="AS44" s="22" t="str">
        <f t="shared" si="30"/>
        <v/>
      </c>
      <c r="AT44" s="22" t="str">
        <f t="shared" si="31"/>
        <v/>
      </c>
      <c r="AU44" s="9"/>
      <c r="AV44" s="16"/>
      <c r="AW44" s="14"/>
      <c r="AX44" s="25"/>
      <c r="AY44" s="9"/>
      <c r="AZ44" s="11"/>
      <c r="BA44" s="11"/>
      <c r="BB44" s="14"/>
      <c r="BC44" s="14"/>
      <c r="BD44" s="9"/>
      <c r="BE44" s="21" t="str">
        <f>IF(COUNTA(AV44:BC44)=0,"",IF(AV44="","E_MISSING_INPUT",IF(AV44="TIMESTAMP",IF(OR(AW44="",AX44="",AY44=""),"E_MISSING_INPUT",IF(OR(NOT(ISNUMBER(AW44)),NOT(ISNUMBER(AX44))),"E_INVALID_DATE",IF(OR(AW44&lt;&gt;INT(AW44),AX44&lt;0,AX44&gt;=1),"E_INVALID_DATE",IF(ISNA(MATCH(AY44,nLIST_Offset,0)),"E_INVALID_UNIT","")))),IF(AV44="DATE",IF(AW44="","E_MISSING_INPUT",IF(NOT(ISNUMBER(AW44)),"E_INVALID_DATE",IF(AW44&lt;&gt;INT(AW44),"E_INVALID_DATE",""))),IF(AV44="MONTH",IF(OR(AZ44="",BA44=""),"E_MISSING_INPUT",IF(OR(NOT(ISNUMBER(AZ44)),NOT(ISNUMBER(BA44))),"E_INVALID_DATE",IF(OR(AZ44&lt;1900,AZ44&gt;9999,AZ44&lt;&gt;INT(AZ44),BA44&lt;1,BA44&gt;12,BA44&lt;&gt;INT(BA44)),"E_INVALID_DATE",""))),IF(AV44="YEAR",IF(AZ44="","E_MISSING_INPUT",IF(NOT(ISNUMBER(AZ44)),"E_INVALID_DATE",IF(OR(AZ44&lt;1900,AZ44&gt;9999,AZ44&lt;&gt;INT(AZ44)),"E_INVALID_DATE",""))),IF(AV44="RANGE",IF(OR(BB44="",BC44=""),"E_MISSING_INPUT",IF(OR(NOT(ISNUMBER(BB44)),NOT(ISNUMBER(BC44))),"E_INVALID_DATE",IF(OR(BB44&lt;&gt;INT(BB44),BC44&lt;&gt;INT(BC44)),"E_INVALID_DATE",IF(BB44&gt;BC44,"E_REVERSED_BOUNDS","")))),"E_INVALID_UNIT")))))))</f>
        <v/>
      </c>
      <c r="BF44" s="22">
        <f t="shared" si="32"/>
        <v>0</v>
      </c>
      <c r="BG44" s="22">
        <f t="shared" si="33"/>
        <v>0</v>
      </c>
      <c r="BH44" s="28" t="str">
        <f t="shared" si="34"/>
        <v/>
      </c>
      <c r="BI44" s="28" t="str">
        <f t="shared" si="35"/>
        <v/>
      </c>
      <c r="BJ44" s="22" t="str">
        <f t="shared" si="36"/>
        <v/>
      </c>
      <c r="BK44" s="22" t="str">
        <f t="shared" si="37"/>
        <v/>
      </c>
      <c r="BL44" s="21" t="str">
        <f t="shared" si="38"/>
        <v>EX-C28|2|EX-AVA</v>
      </c>
      <c r="BM44" s="22">
        <f>IF(BL44="",0,COUNTIF(nEXP_Key,BL44))</f>
        <v>1</v>
      </c>
      <c r="BN44" s="21" t="str">
        <f t="shared" si="39"/>
        <v/>
      </c>
      <c r="BO44" s="21" t="str">
        <f>IF(BN44="","",BN44&amp;": "&amp;SUBSTITUTE(IFERROR(INDEX(nMSG_Text,MATCH(BN44,nMSG_Code,0)),""),"[input]",IF(D44="","an Exposure_Episode_ID","the date fields required by the selected precision")))</f>
        <v/>
      </c>
    </row>
    <row r="45" spans="1:67" x14ac:dyDescent="0.2">
      <c r="A45" s="9" t="s">
        <v>299</v>
      </c>
      <c r="B45" s="11">
        <v>2</v>
      </c>
      <c r="C45" s="9" t="s">
        <v>485</v>
      </c>
      <c r="D45" s="9" t="s">
        <v>484</v>
      </c>
      <c r="E45" s="9" t="s">
        <v>486</v>
      </c>
      <c r="F45" s="16" t="s">
        <v>112</v>
      </c>
      <c r="G45" s="9" t="s">
        <v>450</v>
      </c>
      <c r="H45" s="16"/>
      <c r="I45" s="16"/>
      <c r="J45" s="9"/>
      <c r="K45" s="16" t="s">
        <v>147</v>
      </c>
      <c r="L45" s="9" t="s">
        <v>487</v>
      </c>
      <c r="M45" s="9" t="s">
        <v>488</v>
      </c>
      <c r="N45" s="16" t="s">
        <v>4</v>
      </c>
      <c r="O45" s="14">
        <v>46083</v>
      </c>
      <c r="P45" s="25"/>
      <c r="Q45" s="9"/>
      <c r="R45" s="11"/>
      <c r="S45" s="11"/>
      <c r="T45" s="14"/>
      <c r="U45" s="14"/>
      <c r="V45" s="9" t="s">
        <v>489</v>
      </c>
      <c r="W45" s="21" t="str">
        <f>IF(COUNTA(N45:U45)=0,"",IF(N45="","E_MISSING_INPUT",IF(N45="TIMESTAMP",IF(OR(O45="",P45="",Q45=""),"E_MISSING_INPUT",IF(OR(NOT(ISNUMBER(O45)),NOT(ISNUMBER(P45))),"E_INVALID_DATE",IF(OR(O45&lt;&gt;INT(O45),P45&lt;0,P45&gt;=1),"E_INVALID_DATE",IF(ISNA(MATCH(Q45,nLIST_Offset,0)),"E_INVALID_UNIT","")))),IF(N45="DATE",IF(O45="","E_MISSING_INPUT",IF(NOT(ISNUMBER(O45)),"E_INVALID_DATE",IF(O45&lt;&gt;INT(O45),"E_INVALID_DATE",""))),IF(N45="MONTH",IF(OR(R45="",S45=""),"E_MISSING_INPUT",IF(OR(NOT(ISNUMBER(R45)),NOT(ISNUMBER(S45))),"E_INVALID_DATE",IF(OR(R45&lt;1900,R45&gt;9999,R45&lt;&gt;INT(R45),S45&lt;1,S45&gt;12,S45&lt;&gt;INT(S45)),"E_INVALID_DATE",""))),IF(N45="YEAR",IF(R45="","E_MISSING_INPUT",IF(NOT(ISNUMBER(R45)),"E_INVALID_DATE",IF(OR(R45&lt;1900,R45&gt;9999,R45&lt;&gt;INT(R45)),"E_INVALID_DATE",""))),IF(N45="RANGE",IF(OR(T45="",U45=""),"E_MISSING_INPUT",IF(OR(NOT(ISNUMBER(T45)),NOT(ISNUMBER(U45))),"E_INVALID_DATE",IF(OR(T45&lt;&gt;INT(T45),U45&lt;&gt;INT(U45)),"E_INVALID_DATE",IF(T45&gt;U45,"E_REVERSED_BOUNDS","")))),"E_INVALID_UNIT")))))))</f>
        <v/>
      </c>
      <c r="X45" s="22">
        <f t="shared" si="20"/>
        <v>0</v>
      </c>
      <c r="Y45" s="22">
        <f t="shared" si="21"/>
        <v>0</v>
      </c>
      <c r="Z45" s="28">
        <f t="shared" si="22"/>
        <v>46083</v>
      </c>
      <c r="AA45" s="28">
        <f t="shared" si="23"/>
        <v>46083</v>
      </c>
      <c r="AB45" s="22" t="str">
        <f t="shared" si="24"/>
        <v/>
      </c>
      <c r="AC45" s="22" t="str">
        <f t="shared" si="25"/>
        <v/>
      </c>
      <c r="AD45" s="9" t="s">
        <v>488</v>
      </c>
      <c r="AE45" s="16" t="s">
        <v>4</v>
      </c>
      <c r="AF45" s="14">
        <v>46092</v>
      </c>
      <c r="AG45" s="25"/>
      <c r="AH45" s="9"/>
      <c r="AI45" s="11"/>
      <c r="AJ45" s="11"/>
      <c r="AK45" s="14"/>
      <c r="AL45" s="14"/>
      <c r="AM45" s="9" t="s">
        <v>489</v>
      </c>
      <c r="AN45" s="21" t="str">
        <f>IF(COUNTA(AE45:AL45)=0,"",IF(AE45="","E_MISSING_INPUT",IF(AE45="TIMESTAMP",IF(OR(AF45="",AG45="",AH45=""),"E_MISSING_INPUT",IF(OR(NOT(ISNUMBER(AF45)),NOT(ISNUMBER(AG45))),"E_INVALID_DATE",IF(OR(AF45&lt;&gt;INT(AF45),AG45&lt;0,AG45&gt;=1),"E_INVALID_DATE",IF(ISNA(MATCH(AH45,nLIST_Offset,0)),"E_INVALID_UNIT","")))),IF(AE45="DATE",IF(AF45="","E_MISSING_INPUT",IF(NOT(ISNUMBER(AF45)),"E_INVALID_DATE",IF(AF45&lt;&gt;INT(AF45),"E_INVALID_DATE",""))),IF(AE45="MONTH",IF(OR(AI45="",AJ45=""),"E_MISSING_INPUT",IF(OR(NOT(ISNUMBER(AI45)),NOT(ISNUMBER(AJ45))),"E_INVALID_DATE",IF(OR(AI45&lt;1900,AI45&gt;9999,AI45&lt;&gt;INT(AI45),AJ45&lt;1,AJ45&gt;12,AJ45&lt;&gt;INT(AJ45)),"E_INVALID_DATE",""))),IF(AE45="YEAR",IF(AI45="","E_MISSING_INPUT",IF(NOT(ISNUMBER(AI45)),"E_INVALID_DATE",IF(OR(AI45&lt;1900,AI45&gt;9999,AI45&lt;&gt;INT(AI45)),"E_INVALID_DATE",""))),IF(AE45="RANGE",IF(OR(AK45="",AL45=""),"E_MISSING_INPUT",IF(OR(NOT(ISNUMBER(AK45)),NOT(ISNUMBER(AL45))),"E_INVALID_DATE",IF(OR(AK45&lt;&gt;INT(AK45),AL45&lt;&gt;INT(AL45)),"E_INVALID_DATE",IF(AK45&gt;AL45,"E_REVERSED_BOUNDS","")))),"E_INVALID_UNIT")))))))</f>
        <v/>
      </c>
      <c r="AO45" s="22">
        <f t="shared" si="26"/>
        <v>0</v>
      </c>
      <c r="AP45" s="22">
        <f t="shared" si="27"/>
        <v>0</v>
      </c>
      <c r="AQ45" s="28">
        <f t="shared" si="28"/>
        <v>46092</v>
      </c>
      <c r="AR45" s="28">
        <f t="shared" si="29"/>
        <v>46092</v>
      </c>
      <c r="AS45" s="22" t="str">
        <f t="shared" si="30"/>
        <v/>
      </c>
      <c r="AT45" s="22" t="str">
        <f t="shared" si="31"/>
        <v/>
      </c>
      <c r="AU45" s="9"/>
      <c r="AV45" s="16"/>
      <c r="AW45" s="14"/>
      <c r="AX45" s="25"/>
      <c r="AY45" s="9"/>
      <c r="AZ45" s="11"/>
      <c r="BA45" s="11"/>
      <c r="BB45" s="14"/>
      <c r="BC45" s="14"/>
      <c r="BD45" s="9"/>
      <c r="BE45" s="21" t="str">
        <f>IF(COUNTA(AV45:BC45)=0,"",IF(AV45="","E_MISSING_INPUT",IF(AV45="TIMESTAMP",IF(OR(AW45="",AX45="",AY45=""),"E_MISSING_INPUT",IF(OR(NOT(ISNUMBER(AW45)),NOT(ISNUMBER(AX45))),"E_INVALID_DATE",IF(OR(AW45&lt;&gt;INT(AW45),AX45&lt;0,AX45&gt;=1),"E_INVALID_DATE",IF(ISNA(MATCH(AY45,nLIST_Offset,0)),"E_INVALID_UNIT","")))),IF(AV45="DATE",IF(AW45="","E_MISSING_INPUT",IF(NOT(ISNUMBER(AW45)),"E_INVALID_DATE",IF(AW45&lt;&gt;INT(AW45),"E_INVALID_DATE",""))),IF(AV45="MONTH",IF(OR(AZ45="",BA45=""),"E_MISSING_INPUT",IF(OR(NOT(ISNUMBER(AZ45)),NOT(ISNUMBER(BA45))),"E_INVALID_DATE",IF(OR(AZ45&lt;1900,AZ45&gt;9999,AZ45&lt;&gt;INT(AZ45),BA45&lt;1,BA45&gt;12,BA45&lt;&gt;INT(BA45)),"E_INVALID_DATE",""))),IF(AV45="YEAR",IF(AZ45="","E_MISSING_INPUT",IF(NOT(ISNUMBER(AZ45)),"E_INVALID_DATE",IF(OR(AZ45&lt;1900,AZ45&gt;9999,AZ45&lt;&gt;INT(AZ45)),"E_INVALID_DATE",""))),IF(AV45="RANGE",IF(OR(BB45="",BC45=""),"E_MISSING_INPUT",IF(OR(NOT(ISNUMBER(BB45)),NOT(ISNUMBER(BC45))),"E_INVALID_DATE",IF(OR(BB45&lt;&gt;INT(BB45),BC45&lt;&gt;INT(BC45)),"E_INVALID_DATE",IF(BB45&gt;BC45,"E_REVERSED_BOUNDS","")))),"E_INVALID_UNIT")))))))</f>
        <v/>
      </c>
      <c r="BF45" s="22">
        <f t="shared" si="32"/>
        <v>0</v>
      </c>
      <c r="BG45" s="22">
        <f t="shared" si="33"/>
        <v>0</v>
      </c>
      <c r="BH45" s="28" t="str">
        <f t="shared" si="34"/>
        <v/>
      </c>
      <c r="BI45" s="28" t="str">
        <f t="shared" si="35"/>
        <v/>
      </c>
      <c r="BJ45" s="22" t="str">
        <f t="shared" si="36"/>
        <v/>
      </c>
      <c r="BK45" s="22" t="str">
        <f t="shared" si="37"/>
        <v/>
      </c>
      <c r="BL45" s="21" t="str">
        <f t="shared" si="38"/>
        <v>EX-C28|2|EX-PRED</v>
      </c>
      <c r="BM45" s="22">
        <f>IF(BL45="",0,COUNTIF(nEXP_Key,BL45))</f>
        <v>1</v>
      </c>
      <c r="BN45" s="21" t="str">
        <f t="shared" si="39"/>
        <v/>
      </c>
      <c r="BO45" s="21" t="str">
        <f>IF(BN45="","",BN45&amp;": "&amp;SUBSTITUTE(IFERROR(INDEX(nMSG_Text,MATCH(BN45,nMSG_Code,0)),""),"[input]",IF(D45="","an Exposure_Episode_ID","the date fields required by the selected precision")))</f>
        <v/>
      </c>
    </row>
    <row r="46" spans="1:67" x14ac:dyDescent="0.2">
      <c r="A46" s="9" t="s">
        <v>299</v>
      </c>
      <c r="B46" s="11">
        <v>2</v>
      </c>
      <c r="C46" s="9" t="s">
        <v>479</v>
      </c>
      <c r="D46" s="9" t="s">
        <v>490</v>
      </c>
      <c r="E46" s="9" t="s">
        <v>491</v>
      </c>
      <c r="F46" s="16" t="s">
        <v>115</v>
      </c>
      <c r="G46" s="9" t="s">
        <v>450</v>
      </c>
      <c r="H46" s="16"/>
      <c r="I46" s="16"/>
      <c r="J46" s="9"/>
      <c r="K46" s="16"/>
      <c r="L46" s="9"/>
      <c r="M46" s="9" t="s">
        <v>492</v>
      </c>
      <c r="N46" s="16" t="s">
        <v>4</v>
      </c>
      <c r="O46" s="14">
        <v>46169</v>
      </c>
      <c r="P46" s="25"/>
      <c r="Q46" s="9"/>
      <c r="R46" s="11"/>
      <c r="S46" s="11"/>
      <c r="T46" s="14"/>
      <c r="U46" s="14"/>
      <c r="V46" s="9" t="s">
        <v>489</v>
      </c>
      <c r="W46" s="21" t="str">
        <f>IF(COUNTA(N46:U46)=0,"",IF(N46="","E_MISSING_INPUT",IF(N46="TIMESTAMP",IF(OR(O46="",P46="",Q46=""),"E_MISSING_INPUT",IF(OR(NOT(ISNUMBER(O46)),NOT(ISNUMBER(P46))),"E_INVALID_DATE",IF(OR(O46&lt;&gt;INT(O46),P46&lt;0,P46&gt;=1),"E_INVALID_DATE",IF(ISNA(MATCH(Q46,nLIST_Offset,0)),"E_INVALID_UNIT","")))),IF(N46="DATE",IF(O46="","E_MISSING_INPUT",IF(NOT(ISNUMBER(O46)),"E_INVALID_DATE",IF(O46&lt;&gt;INT(O46),"E_INVALID_DATE",""))),IF(N46="MONTH",IF(OR(R46="",S46=""),"E_MISSING_INPUT",IF(OR(NOT(ISNUMBER(R46)),NOT(ISNUMBER(S46))),"E_INVALID_DATE",IF(OR(R46&lt;1900,R46&gt;9999,R46&lt;&gt;INT(R46),S46&lt;1,S46&gt;12,S46&lt;&gt;INT(S46)),"E_INVALID_DATE",""))),IF(N46="YEAR",IF(R46="","E_MISSING_INPUT",IF(NOT(ISNUMBER(R46)),"E_INVALID_DATE",IF(OR(R46&lt;1900,R46&gt;9999,R46&lt;&gt;INT(R46)),"E_INVALID_DATE",""))),IF(N46="RANGE",IF(OR(T46="",U46=""),"E_MISSING_INPUT",IF(OR(NOT(ISNUMBER(T46)),NOT(ISNUMBER(U46))),"E_INVALID_DATE",IF(OR(T46&lt;&gt;INT(T46),U46&lt;&gt;INT(U46)),"E_INVALID_DATE",IF(T46&gt;U46,"E_REVERSED_BOUNDS","")))),"E_INVALID_UNIT")))))))</f>
        <v/>
      </c>
      <c r="X46" s="22">
        <f t="shared" si="20"/>
        <v>0</v>
      </c>
      <c r="Y46" s="22">
        <f t="shared" si="21"/>
        <v>0</v>
      </c>
      <c r="Z46" s="28">
        <f t="shared" si="22"/>
        <v>46169</v>
      </c>
      <c r="AA46" s="28">
        <f t="shared" si="23"/>
        <v>46169</v>
      </c>
      <c r="AB46" s="22" t="str">
        <f t="shared" si="24"/>
        <v/>
      </c>
      <c r="AC46" s="22" t="str">
        <f t="shared" si="25"/>
        <v/>
      </c>
      <c r="AD46" s="9"/>
      <c r="AE46" s="16"/>
      <c r="AF46" s="14"/>
      <c r="AG46" s="25"/>
      <c r="AH46" s="9"/>
      <c r="AI46" s="11"/>
      <c r="AJ46" s="11"/>
      <c r="AK46" s="14"/>
      <c r="AL46" s="14"/>
      <c r="AM46" s="9"/>
      <c r="AN46" s="21" t="str">
        <f>IF(COUNTA(AE46:AL46)=0,"",IF(AE46="","E_MISSING_INPUT",IF(AE46="TIMESTAMP",IF(OR(AF46="",AG46="",AH46=""),"E_MISSING_INPUT",IF(OR(NOT(ISNUMBER(AF46)),NOT(ISNUMBER(AG46))),"E_INVALID_DATE",IF(OR(AF46&lt;&gt;INT(AF46),AG46&lt;0,AG46&gt;=1),"E_INVALID_DATE",IF(ISNA(MATCH(AH46,nLIST_Offset,0)),"E_INVALID_UNIT","")))),IF(AE46="DATE",IF(AF46="","E_MISSING_INPUT",IF(NOT(ISNUMBER(AF46)),"E_INVALID_DATE",IF(AF46&lt;&gt;INT(AF46),"E_INVALID_DATE",""))),IF(AE46="MONTH",IF(OR(AI46="",AJ46=""),"E_MISSING_INPUT",IF(OR(NOT(ISNUMBER(AI46)),NOT(ISNUMBER(AJ46))),"E_INVALID_DATE",IF(OR(AI46&lt;1900,AI46&gt;9999,AI46&lt;&gt;INT(AI46),AJ46&lt;1,AJ46&gt;12,AJ46&lt;&gt;INT(AJ46)),"E_INVALID_DATE",""))),IF(AE46="YEAR",IF(AI46="","E_MISSING_INPUT",IF(NOT(ISNUMBER(AI46)),"E_INVALID_DATE",IF(OR(AI46&lt;1900,AI46&gt;9999,AI46&lt;&gt;INT(AI46)),"E_INVALID_DATE",""))),IF(AE46="RANGE",IF(OR(AK46="",AL46=""),"E_MISSING_INPUT",IF(OR(NOT(ISNUMBER(AK46)),NOT(ISNUMBER(AL46))),"E_INVALID_DATE",IF(OR(AK46&lt;&gt;INT(AK46),AL46&lt;&gt;INT(AL46)),"E_INVALID_DATE",IF(AK46&gt;AL46,"E_REVERSED_BOUNDS","")))),"E_INVALID_UNIT")))))))</f>
        <v/>
      </c>
      <c r="AO46" s="22">
        <f t="shared" si="26"/>
        <v>0</v>
      </c>
      <c r="AP46" s="22">
        <f t="shared" si="27"/>
        <v>0</v>
      </c>
      <c r="AQ46" s="28" t="str">
        <f t="shared" si="28"/>
        <v/>
      </c>
      <c r="AR46" s="28" t="str">
        <f t="shared" si="29"/>
        <v/>
      </c>
      <c r="AS46" s="22" t="str">
        <f t="shared" si="30"/>
        <v/>
      </c>
      <c r="AT46" s="22" t="str">
        <f t="shared" si="31"/>
        <v/>
      </c>
      <c r="AU46" s="9"/>
      <c r="AV46" s="16"/>
      <c r="AW46" s="14"/>
      <c r="AX46" s="25"/>
      <c r="AY46" s="9"/>
      <c r="AZ46" s="11"/>
      <c r="BA46" s="11"/>
      <c r="BB46" s="14"/>
      <c r="BC46" s="14"/>
      <c r="BD46" s="9"/>
      <c r="BE46" s="21" t="str">
        <f>IF(COUNTA(AV46:BC46)=0,"",IF(AV46="","E_MISSING_INPUT",IF(AV46="TIMESTAMP",IF(OR(AW46="",AX46="",AY46=""),"E_MISSING_INPUT",IF(OR(NOT(ISNUMBER(AW46)),NOT(ISNUMBER(AX46))),"E_INVALID_DATE",IF(OR(AW46&lt;&gt;INT(AW46),AX46&lt;0,AX46&gt;=1),"E_INVALID_DATE",IF(ISNA(MATCH(AY46,nLIST_Offset,0)),"E_INVALID_UNIT","")))),IF(AV46="DATE",IF(AW46="","E_MISSING_INPUT",IF(NOT(ISNUMBER(AW46)),"E_INVALID_DATE",IF(AW46&lt;&gt;INT(AW46),"E_INVALID_DATE",""))),IF(AV46="MONTH",IF(OR(AZ46="",BA46=""),"E_MISSING_INPUT",IF(OR(NOT(ISNUMBER(AZ46)),NOT(ISNUMBER(BA46))),"E_INVALID_DATE",IF(OR(AZ46&lt;1900,AZ46&gt;9999,AZ46&lt;&gt;INT(AZ46),BA46&lt;1,BA46&gt;12,BA46&lt;&gt;INT(BA46)),"E_INVALID_DATE",""))),IF(AV46="YEAR",IF(AZ46="","E_MISSING_INPUT",IF(NOT(ISNUMBER(AZ46)),"E_INVALID_DATE",IF(OR(AZ46&lt;1900,AZ46&gt;9999,AZ46&lt;&gt;INT(AZ46)),"E_INVALID_DATE",""))),IF(AV46="RANGE",IF(OR(BB46="",BC46=""),"E_MISSING_INPUT",IF(OR(NOT(ISNUMBER(BB46)),NOT(ISNUMBER(BC46))),"E_INVALID_DATE",IF(OR(BB46&lt;&gt;INT(BB46),BC46&lt;&gt;INT(BC46)),"E_INVALID_DATE",IF(BB46&gt;BC46,"E_REVERSED_BOUNDS","")))),"E_INVALID_UNIT")))))))</f>
        <v/>
      </c>
      <c r="BF46" s="22">
        <f t="shared" si="32"/>
        <v>0</v>
      </c>
      <c r="BG46" s="22">
        <f t="shared" si="33"/>
        <v>0</v>
      </c>
      <c r="BH46" s="28" t="str">
        <f t="shared" si="34"/>
        <v/>
      </c>
      <c r="BI46" s="28" t="str">
        <f t="shared" si="35"/>
        <v/>
      </c>
      <c r="BJ46" s="22" t="str">
        <f t="shared" si="36"/>
        <v/>
      </c>
      <c r="BK46" s="22" t="str">
        <f t="shared" si="37"/>
        <v/>
      </c>
      <c r="BL46" s="21" t="str">
        <f t="shared" si="38"/>
        <v>EX-C28|2|EX-AVA2</v>
      </c>
      <c r="BM46" s="22">
        <f>IF(BL46="",0,COUNTIF(nEXP_Key,BL46))</f>
        <v>1</v>
      </c>
      <c r="BN46" s="21" t="str">
        <f t="shared" si="39"/>
        <v/>
      </c>
      <c r="BO46" s="21" t="str">
        <f>IF(BN46="","",BN46&amp;": "&amp;SUBSTITUTE(IFERROR(INDEX(nMSG_Text,MATCH(BN46,nMSG_Code,0)),""),"[input]",IF(D46="","an Exposure_Episode_ID","the date fields required by the selected precision")))</f>
        <v/>
      </c>
    </row>
    <row r="47" spans="1:67" x14ac:dyDescent="0.2">
      <c r="A47" s="24" t="s">
        <v>289</v>
      </c>
      <c r="B47" s="23"/>
      <c r="C47" s="23"/>
      <c r="D47" s="23"/>
      <c r="E47" s="23"/>
      <c r="F47" s="23"/>
      <c r="G47" s="23"/>
      <c r="H47" s="23"/>
      <c r="I47" s="23"/>
      <c r="J47" s="23"/>
      <c r="K47" s="23"/>
      <c r="L47" s="23"/>
      <c r="M47" s="23"/>
      <c r="N47" s="23"/>
      <c r="O47" s="23"/>
      <c r="P47" s="23"/>
      <c r="Q47" s="23"/>
      <c r="R47" s="23"/>
      <c r="S47" s="23"/>
      <c r="T47" s="23"/>
      <c r="U47" s="23"/>
      <c r="V47" s="23"/>
      <c r="W47" s="23"/>
      <c r="X47" s="23"/>
      <c r="Y47" s="23"/>
      <c r="Z47" s="23"/>
      <c r="AA47" s="23"/>
      <c r="AB47" s="23"/>
      <c r="AC47" s="23"/>
      <c r="AD47" s="23"/>
      <c r="AE47" s="23"/>
      <c r="AF47" s="23"/>
      <c r="AG47" s="23"/>
      <c r="AH47" s="23"/>
      <c r="AI47" s="23"/>
      <c r="AJ47" s="23"/>
      <c r="AK47" s="23"/>
      <c r="AL47" s="23"/>
      <c r="AM47" s="23"/>
      <c r="AN47" s="23"/>
      <c r="AO47" s="23"/>
      <c r="AP47" s="23"/>
      <c r="AQ47" s="23"/>
      <c r="AR47" s="23"/>
      <c r="AS47" s="23"/>
      <c r="AT47" s="23"/>
      <c r="AU47" s="23"/>
      <c r="AV47" s="23"/>
      <c r="AW47" s="23"/>
      <c r="AX47" s="23"/>
      <c r="AY47" s="23"/>
      <c r="AZ47" s="23"/>
      <c r="BA47" s="23"/>
      <c r="BB47" s="23"/>
      <c r="BC47" s="23"/>
      <c r="BD47" s="23"/>
      <c r="BE47" s="23"/>
      <c r="BF47" s="23"/>
      <c r="BG47" s="23"/>
      <c r="BH47" s="23"/>
      <c r="BI47" s="23"/>
      <c r="BJ47" s="23"/>
      <c r="BK47" s="23"/>
      <c r="BL47" s="23"/>
      <c r="BM47" s="23"/>
      <c r="BN47" s="23"/>
      <c r="BO47" s="23"/>
    </row>
    <row r="48" spans="1:67" x14ac:dyDescent="0.2">
      <c r="A48" s="9" t="s">
        <v>302</v>
      </c>
      <c r="B48" s="11">
        <v>1</v>
      </c>
      <c r="C48" s="9" t="s">
        <v>493</v>
      </c>
      <c r="D48" s="9" t="s">
        <v>494</v>
      </c>
      <c r="E48" s="9" t="s">
        <v>495</v>
      </c>
      <c r="F48" s="16"/>
      <c r="G48" s="9"/>
      <c r="H48" s="16"/>
      <c r="I48" s="16"/>
      <c r="J48" s="9"/>
      <c r="K48" s="16"/>
      <c r="L48" s="9"/>
      <c r="M48" s="9" t="s">
        <v>496</v>
      </c>
      <c r="N48" s="16" t="s">
        <v>3</v>
      </c>
      <c r="O48" s="14">
        <v>46032</v>
      </c>
      <c r="P48" s="25">
        <v>0.375</v>
      </c>
      <c r="Q48" s="9" t="s">
        <v>18</v>
      </c>
      <c r="R48" s="11"/>
      <c r="S48" s="11"/>
      <c r="T48" s="14"/>
      <c r="U48" s="14"/>
      <c r="V48" s="9" t="s">
        <v>497</v>
      </c>
      <c r="W48" s="21" t="str">
        <f>IF(COUNTA(N48:U48)=0,"",IF(N48="","E_MISSING_INPUT",IF(N48="TIMESTAMP",IF(OR(O48="",P48="",Q48=""),"E_MISSING_INPUT",IF(OR(NOT(ISNUMBER(O48)),NOT(ISNUMBER(P48))),"E_INVALID_DATE",IF(OR(O48&lt;&gt;INT(O48),P48&lt;0,P48&gt;=1),"E_INVALID_DATE",IF(ISNA(MATCH(Q48,nLIST_Offset,0)),"E_INVALID_UNIT","")))),IF(N48="DATE",IF(O48="","E_MISSING_INPUT",IF(NOT(ISNUMBER(O48)),"E_INVALID_DATE",IF(O48&lt;&gt;INT(O48),"E_INVALID_DATE",""))),IF(N48="MONTH",IF(OR(R48="",S48=""),"E_MISSING_INPUT",IF(OR(NOT(ISNUMBER(R48)),NOT(ISNUMBER(S48))),"E_INVALID_DATE",IF(OR(R48&lt;1900,R48&gt;9999,R48&lt;&gt;INT(R48),S48&lt;1,S48&gt;12,S48&lt;&gt;INT(S48)),"E_INVALID_DATE",""))),IF(N48="YEAR",IF(R48="","E_MISSING_INPUT",IF(NOT(ISNUMBER(R48)),"E_INVALID_DATE",IF(OR(R48&lt;1900,R48&gt;9999,R48&lt;&gt;INT(R48)),"E_INVALID_DATE",""))),IF(N48="RANGE",IF(OR(T48="",U48=""),"E_MISSING_INPUT",IF(OR(NOT(ISNUMBER(T48)),NOT(ISNUMBER(U48))),"E_INVALID_DATE",IF(OR(T48&lt;&gt;INT(T48),U48&lt;&gt;INT(U48)),"E_INVALID_DATE",IF(T48&gt;U48,"E_REVERSED_BOUNDS","")))),"E_INVALID_UNIT")))))))</f>
        <v/>
      </c>
      <c r="X48" s="22">
        <f t="shared" ref="X48:X67" si="40">IF(AND(W48="",N48="TIMESTAMP"),1,0)</f>
        <v>1</v>
      </c>
      <c r="Y48" s="22">
        <f t="shared" ref="Y48:Y67" si="41">IF(AND(X48=1,Q48&lt;&gt;"unknown"),1,0)</f>
        <v>1</v>
      </c>
      <c r="Z48" s="28">
        <f t="shared" ref="Z48:Z67" si="42">IF(OR(W48&lt;&gt;"",N48=""),"",IF(OR(N48="TIMESTAMP",N48="DATE"),O48,IF(N48="MONTH",DATE(R48,S48,1),IF(N48="YEAR",DATE(R48,1,1),T48))))</f>
        <v>46032</v>
      </c>
      <c r="AA48" s="28">
        <f t="shared" ref="AA48:AA67" si="43">IF(OR(W48&lt;&gt;"",N48=""),"",IF(OR(N48="TIMESTAMP",N48="DATE"),O48,IF(N48="MONTH",EOMONTH(DATE(R48,S48,1),0),IF(N48="YEAR",DATE(R48,12,31),U48))))</f>
        <v>46032</v>
      </c>
      <c r="AB48" s="22">
        <f t="shared" ref="AB48:AB67" si="44">IF(X48=1,O48*1440+ROUND(P48*1440,0),"")</f>
        <v>66286620</v>
      </c>
      <c r="AC48" s="22">
        <f t="shared" ref="AC48:AC67" si="45">IF(Y48=1,AB48-(IF(LEFT(Q48,1)="-",-1,1)*(VALUE(MID(Q48,2,2))*60+VALUE(MID(Q48,5,2)))),"")</f>
        <v>66286920</v>
      </c>
      <c r="AD48" s="9"/>
      <c r="AE48" s="16"/>
      <c r="AF48" s="14"/>
      <c r="AG48" s="25"/>
      <c r="AH48" s="9"/>
      <c r="AI48" s="11"/>
      <c r="AJ48" s="11"/>
      <c r="AK48" s="14"/>
      <c r="AL48" s="14"/>
      <c r="AM48" s="9"/>
      <c r="AN48" s="21" t="str">
        <f>IF(COUNTA(AE48:AL48)=0,"",IF(AE48="","E_MISSING_INPUT",IF(AE48="TIMESTAMP",IF(OR(AF48="",AG48="",AH48=""),"E_MISSING_INPUT",IF(OR(NOT(ISNUMBER(AF48)),NOT(ISNUMBER(AG48))),"E_INVALID_DATE",IF(OR(AF48&lt;&gt;INT(AF48),AG48&lt;0,AG48&gt;=1),"E_INVALID_DATE",IF(ISNA(MATCH(AH48,nLIST_Offset,0)),"E_INVALID_UNIT","")))),IF(AE48="DATE",IF(AF48="","E_MISSING_INPUT",IF(NOT(ISNUMBER(AF48)),"E_INVALID_DATE",IF(AF48&lt;&gt;INT(AF48),"E_INVALID_DATE",""))),IF(AE48="MONTH",IF(OR(AI48="",AJ48=""),"E_MISSING_INPUT",IF(OR(NOT(ISNUMBER(AI48)),NOT(ISNUMBER(AJ48))),"E_INVALID_DATE",IF(OR(AI48&lt;1900,AI48&gt;9999,AI48&lt;&gt;INT(AI48),AJ48&lt;1,AJ48&gt;12,AJ48&lt;&gt;INT(AJ48)),"E_INVALID_DATE",""))),IF(AE48="YEAR",IF(AI48="","E_MISSING_INPUT",IF(NOT(ISNUMBER(AI48)),"E_INVALID_DATE",IF(OR(AI48&lt;1900,AI48&gt;9999,AI48&lt;&gt;INT(AI48)),"E_INVALID_DATE",""))),IF(AE48="RANGE",IF(OR(AK48="",AL48=""),"E_MISSING_INPUT",IF(OR(NOT(ISNUMBER(AK48)),NOT(ISNUMBER(AL48))),"E_INVALID_DATE",IF(OR(AK48&lt;&gt;INT(AK48),AL48&lt;&gt;INT(AL48)),"E_INVALID_DATE",IF(AK48&gt;AL48,"E_REVERSED_BOUNDS","")))),"E_INVALID_UNIT")))))))</f>
        <v/>
      </c>
      <c r="AO48" s="22">
        <f t="shared" ref="AO48:AO67" si="46">IF(AND(AN48="",AE48="TIMESTAMP"),1,0)</f>
        <v>0</v>
      </c>
      <c r="AP48" s="22">
        <f t="shared" ref="AP48:AP67" si="47">IF(AND(AO48=1,AH48&lt;&gt;"unknown"),1,0)</f>
        <v>0</v>
      </c>
      <c r="AQ48" s="28" t="str">
        <f t="shared" ref="AQ48:AQ67" si="48">IF(OR(AN48&lt;&gt;"",AE48=""),"",IF(OR(AE48="TIMESTAMP",AE48="DATE"),AF48,IF(AE48="MONTH",DATE(AI48,AJ48,1),IF(AE48="YEAR",DATE(AI48,1,1),AK48))))</f>
        <v/>
      </c>
      <c r="AR48" s="28" t="str">
        <f t="shared" ref="AR48:AR67" si="49">IF(OR(AN48&lt;&gt;"",AE48=""),"",IF(OR(AE48="TIMESTAMP",AE48="DATE"),AF48,IF(AE48="MONTH",EOMONTH(DATE(AI48,AJ48,1),0),IF(AE48="YEAR",DATE(AI48,12,31),AL48))))</f>
        <v/>
      </c>
      <c r="AS48" s="22" t="str">
        <f t="shared" ref="AS48:AS67" si="50">IF(AO48=1,AF48*1440+ROUND(AG48*1440,0),"")</f>
        <v/>
      </c>
      <c r="AT48" s="22" t="str">
        <f t="shared" ref="AT48:AT67" si="51">IF(AP48=1,AS48-(IF(LEFT(AH48,1)="-",-1,1)*(VALUE(MID(AH48,2,2))*60+VALUE(MID(AH48,5,2)))),"")</f>
        <v/>
      </c>
      <c r="AU48" s="9"/>
      <c r="AV48" s="16"/>
      <c r="AW48" s="14"/>
      <c r="AX48" s="25"/>
      <c r="AY48" s="9"/>
      <c r="AZ48" s="11"/>
      <c r="BA48" s="11"/>
      <c r="BB48" s="14"/>
      <c r="BC48" s="14"/>
      <c r="BD48" s="9"/>
      <c r="BE48" s="21" t="str">
        <f>IF(COUNTA(AV48:BC48)=0,"",IF(AV48="","E_MISSING_INPUT",IF(AV48="TIMESTAMP",IF(OR(AW48="",AX48="",AY48=""),"E_MISSING_INPUT",IF(OR(NOT(ISNUMBER(AW48)),NOT(ISNUMBER(AX48))),"E_INVALID_DATE",IF(OR(AW48&lt;&gt;INT(AW48),AX48&lt;0,AX48&gt;=1),"E_INVALID_DATE",IF(ISNA(MATCH(AY48,nLIST_Offset,0)),"E_INVALID_UNIT","")))),IF(AV48="DATE",IF(AW48="","E_MISSING_INPUT",IF(NOT(ISNUMBER(AW48)),"E_INVALID_DATE",IF(AW48&lt;&gt;INT(AW48),"E_INVALID_DATE",""))),IF(AV48="MONTH",IF(OR(AZ48="",BA48=""),"E_MISSING_INPUT",IF(OR(NOT(ISNUMBER(AZ48)),NOT(ISNUMBER(BA48))),"E_INVALID_DATE",IF(OR(AZ48&lt;1900,AZ48&gt;9999,AZ48&lt;&gt;INT(AZ48),BA48&lt;1,BA48&gt;12,BA48&lt;&gt;INT(BA48)),"E_INVALID_DATE",""))),IF(AV48="YEAR",IF(AZ48="","E_MISSING_INPUT",IF(NOT(ISNUMBER(AZ48)),"E_INVALID_DATE",IF(OR(AZ48&lt;1900,AZ48&gt;9999,AZ48&lt;&gt;INT(AZ48)),"E_INVALID_DATE",""))),IF(AV48="RANGE",IF(OR(BB48="",BC48=""),"E_MISSING_INPUT",IF(OR(NOT(ISNUMBER(BB48)),NOT(ISNUMBER(BC48))),"E_INVALID_DATE",IF(OR(BB48&lt;&gt;INT(BB48),BC48&lt;&gt;INT(BC48)),"E_INVALID_DATE",IF(BB48&gt;BC48,"E_REVERSED_BOUNDS","")))),"E_INVALID_UNIT")))))))</f>
        <v/>
      </c>
      <c r="BF48" s="22">
        <f t="shared" ref="BF48:BF67" si="52">IF(AND(BE48="",AV48="TIMESTAMP"),1,0)</f>
        <v>0</v>
      </c>
      <c r="BG48" s="22">
        <f t="shared" ref="BG48:BG67" si="53">IF(AND(BF48=1,AY48&lt;&gt;"unknown"),1,0)</f>
        <v>0</v>
      </c>
      <c r="BH48" s="28" t="str">
        <f t="shared" ref="BH48:BH67" si="54">IF(OR(BE48&lt;&gt;"",AV48=""),"",IF(OR(AV48="TIMESTAMP",AV48="DATE"),AW48,IF(AV48="MONTH",DATE(AZ48,BA48,1),IF(AV48="YEAR",DATE(AZ48,1,1),BB48))))</f>
        <v/>
      </c>
      <c r="BI48" s="28" t="str">
        <f t="shared" ref="BI48:BI67" si="55">IF(OR(BE48&lt;&gt;"",AV48=""),"",IF(OR(AV48="TIMESTAMP",AV48="DATE"),AW48,IF(AV48="MONTH",EOMONTH(DATE(AZ48,BA48,1),0),IF(AV48="YEAR",DATE(AZ48,12,31),BC48))))</f>
        <v/>
      </c>
      <c r="BJ48" s="22" t="str">
        <f t="shared" ref="BJ48:BJ67" si="56">IF(BF48=1,AW48*1440+ROUND(AX48*1440,0),"")</f>
        <v/>
      </c>
      <c r="BK48" s="22" t="str">
        <f t="shared" ref="BK48:BK67" si="57">IF(BG48=1,BJ48-(IF(LEFT(AY48,1)="-",-1,1)*(VALUE(MID(AY48,2,2))*60+VALUE(MID(AY48,5,2)))),"")</f>
        <v/>
      </c>
      <c r="BL48" s="21" t="str">
        <f t="shared" ref="BL48:BL67" si="58">IF(D48="","",A48&amp;"|"&amp;B48&amp;"|"&amp;D48)</f>
        <v>VEC-V01|1|EX1</v>
      </c>
      <c r="BM48" s="22">
        <f>IF(BL48="",0,COUNTIF(nEXP_Key,BL48))</f>
        <v>1</v>
      </c>
      <c r="BN48" s="21" t="str">
        <f t="shared" ref="BN48:BN67" si="59">IF(D48="",IF(COUNTA(C48,E48,N48,O48)&gt;0,"E_MISSING_INPUT",""),IF(BM48&gt;1,"E_DUPLICATE_ID",IF(W48&lt;&gt;"",W48,IF(AN48&lt;&gt;"",AN48,BE48))))</f>
        <v/>
      </c>
      <c r="BO48" s="21" t="str">
        <f>IF(BN48="","",BN48&amp;": "&amp;SUBSTITUTE(IFERROR(INDEX(nMSG_Text,MATCH(BN48,nMSG_Code,0)),""),"[input]",IF(D48="","an Exposure_Episode_ID","the date fields required by the selected precision")))</f>
        <v/>
      </c>
    </row>
    <row r="49" spans="1:67" x14ac:dyDescent="0.2">
      <c r="A49" s="9" t="s">
        <v>305</v>
      </c>
      <c r="B49" s="11">
        <v>1</v>
      </c>
      <c r="C49" s="9" t="s">
        <v>493</v>
      </c>
      <c r="D49" s="9" t="s">
        <v>494</v>
      </c>
      <c r="E49" s="9" t="s">
        <v>495</v>
      </c>
      <c r="F49" s="16"/>
      <c r="G49" s="9"/>
      <c r="H49" s="16"/>
      <c r="I49" s="16"/>
      <c r="J49" s="9"/>
      <c r="K49" s="16"/>
      <c r="L49" s="9"/>
      <c r="M49" s="9" t="s">
        <v>498</v>
      </c>
      <c r="N49" s="16" t="s">
        <v>4</v>
      </c>
      <c r="O49" s="14">
        <v>46023</v>
      </c>
      <c r="P49" s="25"/>
      <c r="Q49" s="9"/>
      <c r="R49" s="11"/>
      <c r="S49" s="11"/>
      <c r="T49" s="14"/>
      <c r="U49" s="14"/>
      <c r="V49" s="9" t="s">
        <v>499</v>
      </c>
      <c r="W49" s="21" t="str">
        <f>IF(COUNTA(N49:U49)=0,"",IF(N49="","E_MISSING_INPUT",IF(N49="TIMESTAMP",IF(OR(O49="",P49="",Q49=""),"E_MISSING_INPUT",IF(OR(NOT(ISNUMBER(O49)),NOT(ISNUMBER(P49))),"E_INVALID_DATE",IF(OR(O49&lt;&gt;INT(O49),P49&lt;0,P49&gt;=1),"E_INVALID_DATE",IF(ISNA(MATCH(Q49,nLIST_Offset,0)),"E_INVALID_UNIT","")))),IF(N49="DATE",IF(O49="","E_MISSING_INPUT",IF(NOT(ISNUMBER(O49)),"E_INVALID_DATE",IF(O49&lt;&gt;INT(O49),"E_INVALID_DATE",""))),IF(N49="MONTH",IF(OR(R49="",S49=""),"E_MISSING_INPUT",IF(OR(NOT(ISNUMBER(R49)),NOT(ISNUMBER(S49))),"E_INVALID_DATE",IF(OR(R49&lt;1900,R49&gt;9999,R49&lt;&gt;INT(R49),S49&lt;1,S49&gt;12,S49&lt;&gt;INT(S49)),"E_INVALID_DATE",""))),IF(N49="YEAR",IF(R49="","E_MISSING_INPUT",IF(NOT(ISNUMBER(R49)),"E_INVALID_DATE",IF(OR(R49&lt;1900,R49&gt;9999,R49&lt;&gt;INT(R49)),"E_INVALID_DATE",""))),IF(N49="RANGE",IF(OR(T49="",U49=""),"E_MISSING_INPUT",IF(OR(NOT(ISNUMBER(T49)),NOT(ISNUMBER(U49))),"E_INVALID_DATE",IF(OR(T49&lt;&gt;INT(T49),U49&lt;&gt;INT(U49)),"E_INVALID_DATE",IF(T49&gt;U49,"E_REVERSED_BOUNDS","")))),"E_INVALID_UNIT")))))))</f>
        <v/>
      </c>
      <c r="X49" s="22">
        <f t="shared" si="40"/>
        <v>0</v>
      </c>
      <c r="Y49" s="22">
        <f t="shared" si="41"/>
        <v>0</v>
      </c>
      <c r="Z49" s="28">
        <f t="shared" si="42"/>
        <v>46023</v>
      </c>
      <c r="AA49" s="28">
        <f t="shared" si="43"/>
        <v>46023</v>
      </c>
      <c r="AB49" s="22" t="str">
        <f t="shared" si="44"/>
        <v/>
      </c>
      <c r="AC49" s="22" t="str">
        <f t="shared" si="45"/>
        <v/>
      </c>
      <c r="AD49" s="9"/>
      <c r="AE49" s="16"/>
      <c r="AF49" s="14"/>
      <c r="AG49" s="25"/>
      <c r="AH49" s="9"/>
      <c r="AI49" s="11"/>
      <c r="AJ49" s="11"/>
      <c r="AK49" s="14"/>
      <c r="AL49" s="14"/>
      <c r="AM49" s="9"/>
      <c r="AN49" s="21" t="str">
        <f>IF(COUNTA(AE49:AL49)=0,"",IF(AE49="","E_MISSING_INPUT",IF(AE49="TIMESTAMP",IF(OR(AF49="",AG49="",AH49=""),"E_MISSING_INPUT",IF(OR(NOT(ISNUMBER(AF49)),NOT(ISNUMBER(AG49))),"E_INVALID_DATE",IF(OR(AF49&lt;&gt;INT(AF49),AG49&lt;0,AG49&gt;=1),"E_INVALID_DATE",IF(ISNA(MATCH(AH49,nLIST_Offset,0)),"E_INVALID_UNIT","")))),IF(AE49="DATE",IF(AF49="","E_MISSING_INPUT",IF(NOT(ISNUMBER(AF49)),"E_INVALID_DATE",IF(AF49&lt;&gt;INT(AF49),"E_INVALID_DATE",""))),IF(AE49="MONTH",IF(OR(AI49="",AJ49=""),"E_MISSING_INPUT",IF(OR(NOT(ISNUMBER(AI49)),NOT(ISNUMBER(AJ49))),"E_INVALID_DATE",IF(OR(AI49&lt;1900,AI49&gt;9999,AI49&lt;&gt;INT(AI49),AJ49&lt;1,AJ49&gt;12,AJ49&lt;&gt;INT(AJ49)),"E_INVALID_DATE",""))),IF(AE49="YEAR",IF(AI49="","E_MISSING_INPUT",IF(NOT(ISNUMBER(AI49)),"E_INVALID_DATE",IF(OR(AI49&lt;1900,AI49&gt;9999,AI49&lt;&gt;INT(AI49)),"E_INVALID_DATE",""))),IF(AE49="RANGE",IF(OR(AK49="",AL49=""),"E_MISSING_INPUT",IF(OR(NOT(ISNUMBER(AK49)),NOT(ISNUMBER(AL49))),"E_INVALID_DATE",IF(OR(AK49&lt;&gt;INT(AK49),AL49&lt;&gt;INT(AL49)),"E_INVALID_DATE",IF(AK49&gt;AL49,"E_REVERSED_BOUNDS","")))),"E_INVALID_UNIT")))))))</f>
        <v/>
      </c>
      <c r="AO49" s="22">
        <f t="shared" si="46"/>
        <v>0</v>
      </c>
      <c r="AP49" s="22">
        <f t="shared" si="47"/>
        <v>0</v>
      </c>
      <c r="AQ49" s="28" t="str">
        <f t="shared" si="48"/>
        <v/>
      </c>
      <c r="AR49" s="28" t="str">
        <f t="shared" si="49"/>
        <v/>
      </c>
      <c r="AS49" s="22" t="str">
        <f t="shared" si="50"/>
        <v/>
      </c>
      <c r="AT49" s="22" t="str">
        <f t="shared" si="51"/>
        <v/>
      </c>
      <c r="AU49" s="9"/>
      <c r="AV49" s="16"/>
      <c r="AW49" s="14"/>
      <c r="AX49" s="25"/>
      <c r="AY49" s="9"/>
      <c r="AZ49" s="11"/>
      <c r="BA49" s="11"/>
      <c r="BB49" s="14"/>
      <c r="BC49" s="14"/>
      <c r="BD49" s="9"/>
      <c r="BE49" s="21" t="str">
        <f>IF(COUNTA(AV49:BC49)=0,"",IF(AV49="","E_MISSING_INPUT",IF(AV49="TIMESTAMP",IF(OR(AW49="",AX49="",AY49=""),"E_MISSING_INPUT",IF(OR(NOT(ISNUMBER(AW49)),NOT(ISNUMBER(AX49))),"E_INVALID_DATE",IF(OR(AW49&lt;&gt;INT(AW49),AX49&lt;0,AX49&gt;=1),"E_INVALID_DATE",IF(ISNA(MATCH(AY49,nLIST_Offset,0)),"E_INVALID_UNIT","")))),IF(AV49="DATE",IF(AW49="","E_MISSING_INPUT",IF(NOT(ISNUMBER(AW49)),"E_INVALID_DATE",IF(AW49&lt;&gt;INT(AW49),"E_INVALID_DATE",""))),IF(AV49="MONTH",IF(OR(AZ49="",BA49=""),"E_MISSING_INPUT",IF(OR(NOT(ISNUMBER(AZ49)),NOT(ISNUMBER(BA49))),"E_INVALID_DATE",IF(OR(AZ49&lt;1900,AZ49&gt;9999,AZ49&lt;&gt;INT(AZ49),BA49&lt;1,BA49&gt;12,BA49&lt;&gt;INT(BA49)),"E_INVALID_DATE",""))),IF(AV49="YEAR",IF(AZ49="","E_MISSING_INPUT",IF(NOT(ISNUMBER(AZ49)),"E_INVALID_DATE",IF(OR(AZ49&lt;1900,AZ49&gt;9999,AZ49&lt;&gt;INT(AZ49)),"E_INVALID_DATE",""))),IF(AV49="RANGE",IF(OR(BB49="",BC49=""),"E_MISSING_INPUT",IF(OR(NOT(ISNUMBER(BB49)),NOT(ISNUMBER(BC49))),"E_INVALID_DATE",IF(OR(BB49&lt;&gt;INT(BB49),BC49&lt;&gt;INT(BC49)),"E_INVALID_DATE",IF(BB49&gt;BC49,"E_REVERSED_BOUNDS","")))),"E_INVALID_UNIT")))))))</f>
        <v/>
      </c>
      <c r="BF49" s="22">
        <f t="shared" si="52"/>
        <v>0</v>
      </c>
      <c r="BG49" s="22">
        <f t="shared" si="53"/>
        <v>0</v>
      </c>
      <c r="BH49" s="28" t="str">
        <f t="shared" si="54"/>
        <v/>
      </c>
      <c r="BI49" s="28" t="str">
        <f t="shared" si="55"/>
        <v/>
      </c>
      <c r="BJ49" s="22" t="str">
        <f t="shared" si="56"/>
        <v/>
      </c>
      <c r="BK49" s="22" t="str">
        <f t="shared" si="57"/>
        <v/>
      </c>
      <c r="BL49" s="21" t="str">
        <f t="shared" si="58"/>
        <v>VEC-V02|1|EX1</v>
      </c>
      <c r="BM49" s="22">
        <f>IF(BL49="",0,COUNTIF(nEXP_Key,BL49))</f>
        <v>1</v>
      </c>
      <c r="BN49" s="21" t="str">
        <f t="shared" si="59"/>
        <v/>
      </c>
      <c r="BO49" s="21" t="str">
        <f>IF(BN49="","",BN49&amp;": "&amp;SUBSTITUTE(IFERROR(INDEX(nMSG_Text,MATCH(BN49,nMSG_Code,0)),""),"[input]",IF(D49="","an Exposure_Episode_ID","the date fields required by the selected precision")))</f>
        <v/>
      </c>
    </row>
    <row r="50" spans="1:67" x14ac:dyDescent="0.2">
      <c r="A50" s="9" t="s">
        <v>307</v>
      </c>
      <c r="B50" s="11">
        <v>1</v>
      </c>
      <c r="C50" s="9" t="s">
        <v>493</v>
      </c>
      <c r="D50" s="9" t="s">
        <v>494</v>
      </c>
      <c r="E50" s="9" t="s">
        <v>495</v>
      </c>
      <c r="F50" s="16"/>
      <c r="G50" s="9"/>
      <c r="H50" s="16"/>
      <c r="I50" s="16"/>
      <c r="J50" s="9"/>
      <c r="K50" s="16"/>
      <c r="L50" s="9"/>
      <c r="M50" s="9" t="s">
        <v>500</v>
      </c>
      <c r="N50" s="16" t="s">
        <v>4</v>
      </c>
      <c r="O50" s="14">
        <v>46027</v>
      </c>
      <c r="P50" s="25"/>
      <c r="Q50" s="9"/>
      <c r="R50" s="11"/>
      <c r="S50" s="11"/>
      <c r="T50" s="14"/>
      <c r="U50" s="14"/>
      <c r="V50" s="9" t="s">
        <v>501</v>
      </c>
      <c r="W50" s="21" t="str">
        <f>IF(COUNTA(N50:U50)=0,"",IF(N50="","E_MISSING_INPUT",IF(N50="TIMESTAMP",IF(OR(O50="",P50="",Q50=""),"E_MISSING_INPUT",IF(OR(NOT(ISNUMBER(O50)),NOT(ISNUMBER(P50))),"E_INVALID_DATE",IF(OR(O50&lt;&gt;INT(O50),P50&lt;0,P50&gt;=1),"E_INVALID_DATE",IF(ISNA(MATCH(Q50,nLIST_Offset,0)),"E_INVALID_UNIT","")))),IF(N50="DATE",IF(O50="","E_MISSING_INPUT",IF(NOT(ISNUMBER(O50)),"E_INVALID_DATE",IF(O50&lt;&gt;INT(O50),"E_INVALID_DATE",""))),IF(N50="MONTH",IF(OR(R50="",S50=""),"E_MISSING_INPUT",IF(OR(NOT(ISNUMBER(R50)),NOT(ISNUMBER(S50))),"E_INVALID_DATE",IF(OR(R50&lt;1900,R50&gt;9999,R50&lt;&gt;INT(R50),S50&lt;1,S50&gt;12,S50&lt;&gt;INT(S50)),"E_INVALID_DATE",""))),IF(N50="YEAR",IF(R50="","E_MISSING_INPUT",IF(NOT(ISNUMBER(R50)),"E_INVALID_DATE",IF(OR(R50&lt;1900,R50&gt;9999,R50&lt;&gt;INT(R50)),"E_INVALID_DATE",""))),IF(N50="RANGE",IF(OR(T50="",U50=""),"E_MISSING_INPUT",IF(OR(NOT(ISNUMBER(T50)),NOT(ISNUMBER(U50))),"E_INVALID_DATE",IF(OR(T50&lt;&gt;INT(T50),U50&lt;&gt;INT(U50)),"E_INVALID_DATE",IF(T50&gt;U50,"E_REVERSED_BOUNDS","")))),"E_INVALID_UNIT")))))))</f>
        <v/>
      </c>
      <c r="X50" s="22">
        <f t="shared" si="40"/>
        <v>0</v>
      </c>
      <c r="Y50" s="22">
        <f t="shared" si="41"/>
        <v>0</v>
      </c>
      <c r="Z50" s="28">
        <f t="shared" si="42"/>
        <v>46027</v>
      </c>
      <c r="AA50" s="28">
        <f t="shared" si="43"/>
        <v>46027</v>
      </c>
      <c r="AB50" s="22" t="str">
        <f t="shared" si="44"/>
        <v/>
      </c>
      <c r="AC50" s="22" t="str">
        <f t="shared" si="45"/>
        <v/>
      </c>
      <c r="AD50" s="9"/>
      <c r="AE50" s="16"/>
      <c r="AF50" s="14"/>
      <c r="AG50" s="25"/>
      <c r="AH50" s="9"/>
      <c r="AI50" s="11"/>
      <c r="AJ50" s="11"/>
      <c r="AK50" s="14"/>
      <c r="AL50" s="14"/>
      <c r="AM50" s="9"/>
      <c r="AN50" s="21" t="str">
        <f>IF(COUNTA(AE50:AL50)=0,"",IF(AE50="","E_MISSING_INPUT",IF(AE50="TIMESTAMP",IF(OR(AF50="",AG50="",AH50=""),"E_MISSING_INPUT",IF(OR(NOT(ISNUMBER(AF50)),NOT(ISNUMBER(AG50))),"E_INVALID_DATE",IF(OR(AF50&lt;&gt;INT(AF50),AG50&lt;0,AG50&gt;=1),"E_INVALID_DATE",IF(ISNA(MATCH(AH50,nLIST_Offset,0)),"E_INVALID_UNIT","")))),IF(AE50="DATE",IF(AF50="","E_MISSING_INPUT",IF(NOT(ISNUMBER(AF50)),"E_INVALID_DATE",IF(AF50&lt;&gt;INT(AF50),"E_INVALID_DATE",""))),IF(AE50="MONTH",IF(OR(AI50="",AJ50=""),"E_MISSING_INPUT",IF(OR(NOT(ISNUMBER(AI50)),NOT(ISNUMBER(AJ50))),"E_INVALID_DATE",IF(OR(AI50&lt;1900,AI50&gt;9999,AI50&lt;&gt;INT(AI50),AJ50&lt;1,AJ50&gt;12,AJ50&lt;&gt;INT(AJ50)),"E_INVALID_DATE",""))),IF(AE50="YEAR",IF(AI50="","E_MISSING_INPUT",IF(NOT(ISNUMBER(AI50)),"E_INVALID_DATE",IF(OR(AI50&lt;1900,AI50&gt;9999,AI50&lt;&gt;INT(AI50)),"E_INVALID_DATE",""))),IF(AE50="RANGE",IF(OR(AK50="",AL50=""),"E_MISSING_INPUT",IF(OR(NOT(ISNUMBER(AK50)),NOT(ISNUMBER(AL50))),"E_INVALID_DATE",IF(OR(AK50&lt;&gt;INT(AK50),AL50&lt;&gt;INT(AL50)),"E_INVALID_DATE",IF(AK50&gt;AL50,"E_REVERSED_BOUNDS","")))),"E_INVALID_UNIT")))))))</f>
        <v/>
      </c>
      <c r="AO50" s="22">
        <f t="shared" si="46"/>
        <v>0</v>
      </c>
      <c r="AP50" s="22">
        <f t="shared" si="47"/>
        <v>0</v>
      </c>
      <c r="AQ50" s="28" t="str">
        <f t="shared" si="48"/>
        <v/>
      </c>
      <c r="AR50" s="28" t="str">
        <f t="shared" si="49"/>
        <v/>
      </c>
      <c r="AS50" s="22" t="str">
        <f t="shared" si="50"/>
        <v/>
      </c>
      <c r="AT50" s="22" t="str">
        <f t="shared" si="51"/>
        <v/>
      </c>
      <c r="AU50" s="9"/>
      <c r="AV50" s="16"/>
      <c r="AW50" s="14"/>
      <c r="AX50" s="25"/>
      <c r="AY50" s="9"/>
      <c r="AZ50" s="11"/>
      <c r="BA50" s="11"/>
      <c r="BB50" s="14"/>
      <c r="BC50" s="14"/>
      <c r="BD50" s="9"/>
      <c r="BE50" s="21" t="str">
        <f>IF(COUNTA(AV50:BC50)=0,"",IF(AV50="","E_MISSING_INPUT",IF(AV50="TIMESTAMP",IF(OR(AW50="",AX50="",AY50=""),"E_MISSING_INPUT",IF(OR(NOT(ISNUMBER(AW50)),NOT(ISNUMBER(AX50))),"E_INVALID_DATE",IF(OR(AW50&lt;&gt;INT(AW50),AX50&lt;0,AX50&gt;=1),"E_INVALID_DATE",IF(ISNA(MATCH(AY50,nLIST_Offset,0)),"E_INVALID_UNIT","")))),IF(AV50="DATE",IF(AW50="","E_MISSING_INPUT",IF(NOT(ISNUMBER(AW50)),"E_INVALID_DATE",IF(AW50&lt;&gt;INT(AW50),"E_INVALID_DATE",""))),IF(AV50="MONTH",IF(OR(AZ50="",BA50=""),"E_MISSING_INPUT",IF(OR(NOT(ISNUMBER(AZ50)),NOT(ISNUMBER(BA50))),"E_INVALID_DATE",IF(OR(AZ50&lt;1900,AZ50&gt;9999,AZ50&lt;&gt;INT(AZ50),BA50&lt;1,BA50&gt;12,BA50&lt;&gt;INT(BA50)),"E_INVALID_DATE",""))),IF(AV50="YEAR",IF(AZ50="","E_MISSING_INPUT",IF(NOT(ISNUMBER(AZ50)),"E_INVALID_DATE",IF(OR(AZ50&lt;1900,AZ50&gt;9999,AZ50&lt;&gt;INT(AZ50)),"E_INVALID_DATE",""))),IF(AV50="RANGE",IF(OR(BB50="",BC50=""),"E_MISSING_INPUT",IF(OR(NOT(ISNUMBER(BB50)),NOT(ISNUMBER(BC50))),"E_INVALID_DATE",IF(OR(BB50&lt;&gt;INT(BB50),BC50&lt;&gt;INT(BC50)),"E_INVALID_DATE",IF(BB50&gt;BC50,"E_REVERSED_BOUNDS","")))),"E_INVALID_UNIT")))))))</f>
        <v/>
      </c>
      <c r="BF50" s="22">
        <f t="shared" si="52"/>
        <v>0</v>
      </c>
      <c r="BG50" s="22">
        <f t="shared" si="53"/>
        <v>0</v>
      </c>
      <c r="BH50" s="28" t="str">
        <f t="shared" si="54"/>
        <v/>
      </c>
      <c r="BI50" s="28" t="str">
        <f t="shared" si="55"/>
        <v/>
      </c>
      <c r="BJ50" s="22" t="str">
        <f t="shared" si="56"/>
        <v/>
      </c>
      <c r="BK50" s="22" t="str">
        <f t="shared" si="57"/>
        <v/>
      </c>
      <c r="BL50" s="21" t="str">
        <f t="shared" si="58"/>
        <v>VEC-V03|1|EX1</v>
      </c>
      <c r="BM50" s="22">
        <f>IF(BL50="",0,COUNTIF(nEXP_Key,BL50))</f>
        <v>1</v>
      </c>
      <c r="BN50" s="21" t="str">
        <f t="shared" si="59"/>
        <v/>
      </c>
      <c r="BO50" s="21" t="str">
        <f>IF(BN50="","",BN50&amp;": "&amp;SUBSTITUTE(IFERROR(INDEX(nMSG_Text,MATCH(BN50,nMSG_Code,0)),""),"[input]",IF(D50="","an Exposure_Episode_ID","the date fields required by the selected precision")))</f>
        <v/>
      </c>
    </row>
    <row r="51" spans="1:67" x14ac:dyDescent="0.2">
      <c r="A51" s="9" t="s">
        <v>309</v>
      </c>
      <c r="B51" s="11">
        <v>1</v>
      </c>
      <c r="C51" s="9" t="s">
        <v>493</v>
      </c>
      <c r="D51" s="9" t="s">
        <v>494</v>
      </c>
      <c r="E51" s="9" t="s">
        <v>495</v>
      </c>
      <c r="F51" s="16"/>
      <c r="G51" s="9"/>
      <c r="H51" s="16"/>
      <c r="I51" s="16"/>
      <c r="J51" s="9"/>
      <c r="K51" s="16"/>
      <c r="L51" s="9"/>
      <c r="M51" s="9" t="s">
        <v>502</v>
      </c>
      <c r="N51" s="16" t="s">
        <v>4</v>
      </c>
      <c r="O51" s="14">
        <v>45350</v>
      </c>
      <c r="P51" s="25"/>
      <c r="Q51" s="9"/>
      <c r="R51" s="11"/>
      <c r="S51" s="11"/>
      <c r="T51" s="14"/>
      <c r="U51" s="14"/>
      <c r="V51" s="9" t="s">
        <v>503</v>
      </c>
      <c r="W51" s="21" t="str">
        <f>IF(COUNTA(N51:U51)=0,"",IF(N51="","E_MISSING_INPUT",IF(N51="TIMESTAMP",IF(OR(O51="",P51="",Q51=""),"E_MISSING_INPUT",IF(OR(NOT(ISNUMBER(O51)),NOT(ISNUMBER(P51))),"E_INVALID_DATE",IF(OR(O51&lt;&gt;INT(O51),P51&lt;0,P51&gt;=1),"E_INVALID_DATE",IF(ISNA(MATCH(Q51,nLIST_Offset,0)),"E_INVALID_UNIT","")))),IF(N51="DATE",IF(O51="","E_MISSING_INPUT",IF(NOT(ISNUMBER(O51)),"E_INVALID_DATE",IF(O51&lt;&gt;INT(O51),"E_INVALID_DATE",""))),IF(N51="MONTH",IF(OR(R51="",S51=""),"E_MISSING_INPUT",IF(OR(NOT(ISNUMBER(R51)),NOT(ISNUMBER(S51))),"E_INVALID_DATE",IF(OR(R51&lt;1900,R51&gt;9999,R51&lt;&gt;INT(R51),S51&lt;1,S51&gt;12,S51&lt;&gt;INT(S51)),"E_INVALID_DATE",""))),IF(N51="YEAR",IF(R51="","E_MISSING_INPUT",IF(NOT(ISNUMBER(R51)),"E_INVALID_DATE",IF(OR(R51&lt;1900,R51&gt;9999,R51&lt;&gt;INT(R51)),"E_INVALID_DATE",""))),IF(N51="RANGE",IF(OR(T51="",U51=""),"E_MISSING_INPUT",IF(OR(NOT(ISNUMBER(T51)),NOT(ISNUMBER(U51))),"E_INVALID_DATE",IF(OR(T51&lt;&gt;INT(T51),U51&lt;&gt;INT(U51)),"E_INVALID_DATE",IF(T51&gt;U51,"E_REVERSED_BOUNDS","")))),"E_INVALID_UNIT")))))))</f>
        <v/>
      </c>
      <c r="X51" s="22">
        <f t="shared" si="40"/>
        <v>0</v>
      </c>
      <c r="Y51" s="22">
        <f t="shared" si="41"/>
        <v>0</v>
      </c>
      <c r="Z51" s="28">
        <f t="shared" si="42"/>
        <v>45350</v>
      </c>
      <c r="AA51" s="28">
        <f t="shared" si="43"/>
        <v>45350</v>
      </c>
      <c r="AB51" s="22" t="str">
        <f t="shared" si="44"/>
        <v/>
      </c>
      <c r="AC51" s="22" t="str">
        <f t="shared" si="45"/>
        <v/>
      </c>
      <c r="AD51" s="9"/>
      <c r="AE51" s="16"/>
      <c r="AF51" s="14"/>
      <c r="AG51" s="25"/>
      <c r="AH51" s="9"/>
      <c r="AI51" s="11"/>
      <c r="AJ51" s="11"/>
      <c r="AK51" s="14"/>
      <c r="AL51" s="14"/>
      <c r="AM51" s="9"/>
      <c r="AN51" s="21" t="str">
        <f>IF(COUNTA(AE51:AL51)=0,"",IF(AE51="","E_MISSING_INPUT",IF(AE51="TIMESTAMP",IF(OR(AF51="",AG51="",AH51=""),"E_MISSING_INPUT",IF(OR(NOT(ISNUMBER(AF51)),NOT(ISNUMBER(AG51))),"E_INVALID_DATE",IF(OR(AF51&lt;&gt;INT(AF51),AG51&lt;0,AG51&gt;=1),"E_INVALID_DATE",IF(ISNA(MATCH(AH51,nLIST_Offset,0)),"E_INVALID_UNIT","")))),IF(AE51="DATE",IF(AF51="","E_MISSING_INPUT",IF(NOT(ISNUMBER(AF51)),"E_INVALID_DATE",IF(AF51&lt;&gt;INT(AF51),"E_INVALID_DATE",""))),IF(AE51="MONTH",IF(OR(AI51="",AJ51=""),"E_MISSING_INPUT",IF(OR(NOT(ISNUMBER(AI51)),NOT(ISNUMBER(AJ51))),"E_INVALID_DATE",IF(OR(AI51&lt;1900,AI51&gt;9999,AI51&lt;&gt;INT(AI51),AJ51&lt;1,AJ51&gt;12,AJ51&lt;&gt;INT(AJ51)),"E_INVALID_DATE",""))),IF(AE51="YEAR",IF(AI51="","E_MISSING_INPUT",IF(NOT(ISNUMBER(AI51)),"E_INVALID_DATE",IF(OR(AI51&lt;1900,AI51&gt;9999,AI51&lt;&gt;INT(AI51)),"E_INVALID_DATE",""))),IF(AE51="RANGE",IF(OR(AK51="",AL51=""),"E_MISSING_INPUT",IF(OR(NOT(ISNUMBER(AK51)),NOT(ISNUMBER(AL51))),"E_INVALID_DATE",IF(OR(AK51&lt;&gt;INT(AK51),AL51&lt;&gt;INT(AL51)),"E_INVALID_DATE",IF(AK51&gt;AL51,"E_REVERSED_BOUNDS","")))),"E_INVALID_UNIT")))))))</f>
        <v/>
      </c>
      <c r="AO51" s="22">
        <f t="shared" si="46"/>
        <v>0</v>
      </c>
      <c r="AP51" s="22">
        <f t="shared" si="47"/>
        <v>0</v>
      </c>
      <c r="AQ51" s="28" t="str">
        <f t="shared" si="48"/>
        <v/>
      </c>
      <c r="AR51" s="28" t="str">
        <f t="shared" si="49"/>
        <v/>
      </c>
      <c r="AS51" s="22" t="str">
        <f t="shared" si="50"/>
        <v/>
      </c>
      <c r="AT51" s="22" t="str">
        <f t="shared" si="51"/>
        <v/>
      </c>
      <c r="AU51" s="9"/>
      <c r="AV51" s="16"/>
      <c r="AW51" s="14"/>
      <c r="AX51" s="25"/>
      <c r="AY51" s="9"/>
      <c r="AZ51" s="11"/>
      <c r="BA51" s="11"/>
      <c r="BB51" s="14"/>
      <c r="BC51" s="14"/>
      <c r="BD51" s="9"/>
      <c r="BE51" s="21" t="str">
        <f>IF(COUNTA(AV51:BC51)=0,"",IF(AV51="","E_MISSING_INPUT",IF(AV51="TIMESTAMP",IF(OR(AW51="",AX51="",AY51=""),"E_MISSING_INPUT",IF(OR(NOT(ISNUMBER(AW51)),NOT(ISNUMBER(AX51))),"E_INVALID_DATE",IF(OR(AW51&lt;&gt;INT(AW51),AX51&lt;0,AX51&gt;=1),"E_INVALID_DATE",IF(ISNA(MATCH(AY51,nLIST_Offset,0)),"E_INVALID_UNIT","")))),IF(AV51="DATE",IF(AW51="","E_MISSING_INPUT",IF(NOT(ISNUMBER(AW51)),"E_INVALID_DATE",IF(AW51&lt;&gt;INT(AW51),"E_INVALID_DATE",""))),IF(AV51="MONTH",IF(OR(AZ51="",BA51=""),"E_MISSING_INPUT",IF(OR(NOT(ISNUMBER(AZ51)),NOT(ISNUMBER(BA51))),"E_INVALID_DATE",IF(OR(AZ51&lt;1900,AZ51&gt;9999,AZ51&lt;&gt;INT(AZ51),BA51&lt;1,BA51&gt;12,BA51&lt;&gt;INT(BA51)),"E_INVALID_DATE",""))),IF(AV51="YEAR",IF(AZ51="","E_MISSING_INPUT",IF(NOT(ISNUMBER(AZ51)),"E_INVALID_DATE",IF(OR(AZ51&lt;1900,AZ51&gt;9999,AZ51&lt;&gt;INT(AZ51)),"E_INVALID_DATE",""))),IF(AV51="RANGE",IF(OR(BB51="",BC51=""),"E_MISSING_INPUT",IF(OR(NOT(ISNUMBER(BB51)),NOT(ISNUMBER(BC51))),"E_INVALID_DATE",IF(OR(BB51&lt;&gt;INT(BB51),BC51&lt;&gt;INT(BC51)),"E_INVALID_DATE",IF(BB51&gt;BC51,"E_REVERSED_BOUNDS","")))),"E_INVALID_UNIT")))))))</f>
        <v/>
      </c>
      <c r="BF51" s="22">
        <f t="shared" si="52"/>
        <v>0</v>
      </c>
      <c r="BG51" s="22">
        <f t="shared" si="53"/>
        <v>0</v>
      </c>
      <c r="BH51" s="28" t="str">
        <f t="shared" si="54"/>
        <v/>
      </c>
      <c r="BI51" s="28" t="str">
        <f t="shared" si="55"/>
        <v/>
      </c>
      <c r="BJ51" s="22" t="str">
        <f t="shared" si="56"/>
        <v/>
      </c>
      <c r="BK51" s="22" t="str">
        <f t="shared" si="57"/>
        <v/>
      </c>
      <c r="BL51" s="21" t="str">
        <f t="shared" si="58"/>
        <v>VEC-V04|1|EX1</v>
      </c>
      <c r="BM51" s="22">
        <f>IF(BL51="",0,COUNTIF(nEXP_Key,BL51))</f>
        <v>1</v>
      </c>
      <c r="BN51" s="21" t="str">
        <f t="shared" si="59"/>
        <v/>
      </c>
      <c r="BO51" s="21" t="str">
        <f>IF(BN51="","",BN51&amp;": "&amp;SUBSTITUTE(IFERROR(INDEX(nMSG_Text,MATCH(BN51,nMSG_Code,0)),""),"[input]",IF(D51="","an Exposure_Episode_ID","the date fields required by the selected precision")))</f>
        <v/>
      </c>
    </row>
    <row r="52" spans="1:67" x14ac:dyDescent="0.2">
      <c r="A52" s="9" t="s">
        <v>311</v>
      </c>
      <c r="B52" s="11">
        <v>1</v>
      </c>
      <c r="C52" s="9" t="s">
        <v>493</v>
      </c>
      <c r="D52" s="9" t="s">
        <v>494</v>
      </c>
      <c r="E52" s="9" t="s">
        <v>495</v>
      </c>
      <c r="F52" s="16"/>
      <c r="G52" s="9"/>
      <c r="H52" s="16"/>
      <c r="I52" s="16"/>
      <c r="J52" s="9"/>
      <c r="K52" s="16"/>
      <c r="L52" s="9"/>
      <c r="M52" s="9" t="s">
        <v>504</v>
      </c>
      <c r="N52" s="16" t="s">
        <v>7</v>
      </c>
      <c r="O52" s="14"/>
      <c r="P52" s="25"/>
      <c r="Q52" s="9"/>
      <c r="R52" s="11"/>
      <c r="S52" s="11"/>
      <c r="T52" s="14">
        <v>46023</v>
      </c>
      <c r="U52" s="14">
        <v>46032</v>
      </c>
      <c r="V52" s="9" t="s">
        <v>505</v>
      </c>
      <c r="W52" s="21" t="str">
        <f>IF(COUNTA(N52:U52)=0,"",IF(N52="","E_MISSING_INPUT",IF(N52="TIMESTAMP",IF(OR(O52="",P52="",Q52=""),"E_MISSING_INPUT",IF(OR(NOT(ISNUMBER(O52)),NOT(ISNUMBER(P52))),"E_INVALID_DATE",IF(OR(O52&lt;&gt;INT(O52),P52&lt;0,P52&gt;=1),"E_INVALID_DATE",IF(ISNA(MATCH(Q52,nLIST_Offset,0)),"E_INVALID_UNIT","")))),IF(N52="DATE",IF(O52="","E_MISSING_INPUT",IF(NOT(ISNUMBER(O52)),"E_INVALID_DATE",IF(O52&lt;&gt;INT(O52),"E_INVALID_DATE",""))),IF(N52="MONTH",IF(OR(R52="",S52=""),"E_MISSING_INPUT",IF(OR(NOT(ISNUMBER(R52)),NOT(ISNUMBER(S52))),"E_INVALID_DATE",IF(OR(R52&lt;1900,R52&gt;9999,R52&lt;&gt;INT(R52),S52&lt;1,S52&gt;12,S52&lt;&gt;INT(S52)),"E_INVALID_DATE",""))),IF(N52="YEAR",IF(R52="","E_MISSING_INPUT",IF(NOT(ISNUMBER(R52)),"E_INVALID_DATE",IF(OR(R52&lt;1900,R52&gt;9999,R52&lt;&gt;INT(R52)),"E_INVALID_DATE",""))),IF(N52="RANGE",IF(OR(T52="",U52=""),"E_MISSING_INPUT",IF(OR(NOT(ISNUMBER(T52)),NOT(ISNUMBER(U52))),"E_INVALID_DATE",IF(OR(T52&lt;&gt;INT(T52),U52&lt;&gt;INT(U52)),"E_INVALID_DATE",IF(T52&gt;U52,"E_REVERSED_BOUNDS","")))),"E_INVALID_UNIT")))))))</f>
        <v/>
      </c>
      <c r="X52" s="22">
        <f t="shared" si="40"/>
        <v>0</v>
      </c>
      <c r="Y52" s="22">
        <f t="shared" si="41"/>
        <v>0</v>
      </c>
      <c r="Z52" s="28">
        <f t="shared" si="42"/>
        <v>46023</v>
      </c>
      <c r="AA52" s="28">
        <f t="shared" si="43"/>
        <v>46032</v>
      </c>
      <c r="AB52" s="22" t="str">
        <f t="shared" si="44"/>
        <v/>
      </c>
      <c r="AC52" s="22" t="str">
        <f t="shared" si="45"/>
        <v/>
      </c>
      <c r="AD52" s="9"/>
      <c r="AE52" s="16"/>
      <c r="AF52" s="14"/>
      <c r="AG52" s="25"/>
      <c r="AH52" s="9"/>
      <c r="AI52" s="11"/>
      <c r="AJ52" s="11"/>
      <c r="AK52" s="14"/>
      <c r="AL52" s="14"/>
      <c r="AM52" s="9"/>
      <c r="AN52" s="21" t="str">
        <f>IF(COUNTA(AE52:AL52)=0,"",IF(AE52="","E_MISSING_INPUT",IF(AE52="TIMESTAMP",IF(OR(AF52="",AG52="",AH52=""),"E_MISSING_INPUT",IF(OR(NOT(ISNUMBER(AF52)),NOT(ISNUMBER(AG52))),"E_INVALID_DATE",IF(OR(AF52&lt;&gt;INT(AF52),AG52&lt;0,AG52&gt;=1),"E_INVALID_DATE",IF(ISNA(MATCH(AH52,nLIST_Offset,0)),"E_INVALID_UNIT","")))),IF(AE52="DATE",IF(AF52="","E_MISSING_INPUT",IF(NOT(ISNUMBER(AF52)),"E_INVALID_DATE",IF(AF52&lt;&gt;INT(AF52),"E_INVALID_DATE",""))),IF(AE52="MONTH",IF(OR(AI52="",AJ52=""),"E_MISSING_INPUT",IF(OR(NOT(ISNUMBER(AI52)),NOT(ISNUMBER(AJ52))),"E_INVALID_DATE",IF(OR(AI52&lt;1900,AI52&gt;9999,AI52&lt;&gt;INT(AI52),AJ52&lt;1,AJ52&gt;12,AJ52&lt;&gt;INT(AJ52)),"E_INVALID_DATE",""))),IF(AE52="YEAR",IF(AI52="","E_MISSING_INPUT",IF(NOT(ISNUMBER(AI52)),"E_INVALID_DATE",IF(OR(AI52&lt;1900,AI52&gt;9999,AI52&lt;&gt;INT(AI52)),"E_INVALID_DATE",""))),IF(AE52="RANGE",IF(OR(AK52="",AL52=""),"E_MISSING_INPUT",IF(OR(NOT(ISNUMBER(AK52)),NOT(ISNUMBER(AL52))),"E_INVALID_DATE",IF(OR(AK52&lt;&gt;INT(AK52),AL52&lt;&gt;INT(AL52)),"E_INVALID_DATE",IF(AK52&gt;AL52,"E_REVERSED_BOUNDS","")))),"E_INVALID_UNIT")))))))</f>
        <v/>
      </c>
      <c r="AO52" s="22">
        <f t="shared" si="46"/>
        <v>0</v>
      </c>
      <c r="AP52" s="22">
        <f t="shared" si="47"/>
        <v>0</v>
      </c>
      <c r="AQ52" s="28" t="str">
        <f t="shared" si="48"/>
        <v/>
      </c>
      <c r="AR52" s="28" t="str">
        <f t="shared" si="49"/>
        <v/>
      </c>
      <c r="AS52" s="22" t="str">
        <f t="shared" si="50"/>
        <v/>
      </c>
      <c r="AT52" s="22" t="str">
        <f t="shared" si="51"/>
        <v/>
      </c>
      <c r="AU52" s="9"/>
      <c r="AV52" s="16"/>
      <c r="AW52" s="14"/>
      <c r="AX52" s="25"/>
      <c r="AY52" s="9"/>
      <c r="AZ52" s="11"/>
      <c r="BA52" s="11"/>
      <c r="BB52" s="14"/>
      <c r="BC52" s="14"/>
      <c r="BD52" s="9"/>
      <c r="BE52" s="21" t="str">
        <f>IF(COUNTA(AV52:BC52)=0,"",IF(AV52="","E_MISSING_INPUT",IF(AV52="TIMESTAMP",IF(OR(AW52="",AX52="",AY52=""),"E_MISSING_INPUT",IF(OR(NOT(ISNUMBER(AW52)),NOT(ISNUMBER(AX52))),"E_INVALID_DATE",IF(OR(AW52&lt;&gt;INT(AW52),AX52&lt;0,AX52&gt;=1),"E_INVALID_DATE",IF(ISNA(MATCH(AY52,nLIST_Offset,0)),"E_INVALID_UNIT","")))),IF(AV52="DATE",IF(AW52="","E_MISSING_INPUT",IF(NOT(ISNUMBER(AW52)),"E_INVALID_DATE",IF(AW52&lt;&gt;INT(AW52),"E_INVALID_DATE",""))),IF(AV52="MONTH",IF(OR(AZ52="",BA52=""),"E_MISSING_INPUT",IF(OR(NOT(ISNUMBER(AZ52)),NOT(ISNUMBER(BA52))),"E_INVALID_DATE",IF(OR(AZ52&lt;1900,AZ52&gt;9999,AZ52&lt;&gt;INT(AZ52),BA52&lt;1,BA52&gt;12,BA52&lt;&gt;INT(BA52)),"E_INVALID_DATE",""))),IF(AV52="YEAR",IF(AZ52="","E_MISSING_INPUT",IF(NOT(ISNUMBER(AZ52)),"E_INVALID_DATE",IF(OR(AZ52&lt;1900,AZ52&gt;9999,AZ52&lt;&gt;INT(AZ52)),"E_INVALID_DATE",""))),IF(AV52="RANGE",IF(OR(BB52="",BC52=""),"E_MISSING_INPUT",IF(OR(NOT(ISNUMBER(BB52)),NOT(ISNUMBER(BC52))),"E_INVALID_DATE",IF(OR(BB52&lt;&gt;INT(BB52),BC52&lt;&gt;INT(BC52)),"E_INVALID_DATE",IF(BB52&gt;BC52,"E_REVERSED_BOUNDS","")))),"E_INVALID_UNIT")))))))</f>
        <v/>
      </c>
      <c r="BF52" s="22">
        <f t="shared" si="52"/>
        <v>0</v>
      </c>
      <c r="BG52" s="22">
        <f t="shared" si="53"/>
        <v>0</v>
      </c>
      <c r="BH52" s="28" t="str">
        <f t="shared" si="54"/>
        <v/>
      </c>
      <c r="BI52" s="28" t="str">
        <f t="shared" si="55"/>
        <v/>
      </c>
      <c r="BJ52" s="22" t="str">
        <f t="shared" si="56"/>
        <v/>
      </c>
      <c r="BK52" s="22" t="str">
        <f t="shared" si="57"/>
        <v/>
      </c>
      <c r="BL52" s="21" t="str">
        <f t="shared" si="58"/>
        <v>VEC-V05|1|EX1</v>
      </c>
      <c r="BM52" s="22">
        <f>IF(BL52="",0,COUNTIF(nEXP_Key,BL52))</f>
        <v>1</v>
      </c>
      <c r="BN52" s="21" t="str">
        <f t="shared" si="59"/>
        <v/>
      </c>
      <c r="BO52" s="21" t="str">
        <f>IF(BN52="","",BN52&amp;": "&amp;SUBSTITUTE(IFERROR(INDEX(nMSG_Text,MATCH(BN52,nMSG_Code,0)),""),"[input]",IF(D52="","an Exposure_Episode_ID","the date fields required by the selected precision")))</f>
        <v/>
      </c>
    </row>
    <row r="53" spans="1:67" x14ac:dyDescent="0.2">
      <c r="A53" s="9" t="s">
        <v>313</v>
      </c>
      <c r="B53" s="11">
        <v>1</v>
      </c>
      <c r="C53" s="9" t="s">
        <v>493</v>
      </c>
      <c r="D53" s="9" t="s">
        <v>494</v>
      </c>
      <c r="E53" s="9" t="s">
        <v>495</v>
      </c>
      <c r="F53" s="16"/>
      <c r="G53" s="9"/>
      <c r="H53" s="16"/>
      <c r="I53" s="16"/>
      <c r="J53" s="9"/>
      <c r="K53" s="16"/>
      <c r="L53" s="9"/>
      <c r="M53" s="9" t="s">
        <v>504</v>
      </c>
      <c r="N53" s="16" t="s">
        <v>7</v>
      </c>
      <c r="O53" s="14"/>
      <c r="P53" s="25"/>
      <c r="Q53" s="9"/>
      <c r="R53" s="11"/>
      <c r="S53" s="11"/>
      <c r="T53" s="14">
        <v>46023</v>
      </c>
      <c r="U53" s="14">
        <v>46032</v>
      </c>
      <c r="V53" s="9" t="s">
        <v>506</v>
      </c>
      <c r="W53" s="21" t="str">
        <f>IF(COUNTA(N53:U53)=0,"",IF(N53="","E_MISSING_INPUT",IF(N53="TIMESTAMP",IF(OR(O53="",P53="",Q53=""),"E_MISSING_INPUT",IF(OR(NOT(ISNUMBER(O53)),NOT(ISNUMBER(P53))),"E_INVALID_DATE",IF(OR(O53&lt;&gt;INT(O53),P53&lt;0,P53&gt;=1),"E_INVALID_DATE",IF(ISNA(MATCH(Q53,nLIST_Offset,0)),"E_INVALID_UNIT","")))),IF(N53="DATE",IF(O53="","E_MISSING_INPUT",IF(NOT(ISNUMBER(O53)),"E_INVALID_DATE",IF(O53&lt;&gt;INT(O53),"E_INVALID_DATE",""))),IF(N53="MONTH",IF(OR(R53="",S53=""),"E_MISSING_INPUT",IF(OR(NOT(ISNUMBER(R53)),NOT(ISNUMBER(S53))),"E_INVALID_DATE",IF(OR(R53&lt;1900,R53&gt;9999,R53&lt;&gt;INT(R53),S53&lt;1,S53&gt;12,S53&lt;&gt;INT(S53)),"E_INVALID_DATE",""))),IF(N53="YEAR",IF(R53="","E_MISSING_INPUT",IF(NOT(ISNUMBER(R53)),"E_INVALID_DATE",IF(OR(R53&lt;1900,R53&gt;9999,R53&lt;&gt;INT(R53)),"E_INVALID_DATE",""))),IF(N53="RANGE",IF(OR(T53="",U53=""),"E_MISSING_INPUT",IF(OR(NOT(ISNUMBER(T53)),NOT(ISNUMBER(U53))),"E_INVALID_DATE",IF(OR(T53&lt;&gt;INT(T53),U53&lt;&gt;INT(U53)),"E_INVALID_DATE",IF(T53&gt;U53,"E_REVERSED_BOUNDS","")))),"E_INVALID_UNIT")))))))</f>
        <v/>
      </c>
      <c r="X53" s="22">
        <f t="shared" si="40"/>
        <v>0</v>
      </c>
      <c r="Y53" s="22">
        <f t="shared" si="41"/>
        <v>0</v>
      </c>
      <c r="Z53" s="28">
        <f t="shared" si="42"/>
        <v>46023</v>
      </c>
      <c r="AA53" s="28">
        <f t="shared" si="43"/>
        <v>46032</v>
      </c>
      <c r="AB53" s="22" t="str">
        <f t="shared" si="44"/>
        <v/>
      </c>
      <c r="AC53" s="22" t="str">
        <f t="shared" si="45"/>
        <v/>
      </c>
      <c r="AD53" s="9"/>
      <c r="AE53" s="16"/>
      <c r="AF53" s="14"/>
      <c r="AG53" s="25"/>
      <c r="AH53" s="9"/>
      <c r="AI53" s="11"/>
      <c r="AJ53" s="11"/>
      <c r="AK53" s="14"/>
      <c r="AL53" s="14"/>
      <c r="AM53" s="9"/>
      <c r="AN53" s="21" t="str">
        <f>IF(COUNTA(AE53:AL53)=0,"",IF(AE53="","E_MISSING_INPUT",IF(AE53="TIMESTAMP",IF(OR(AF53="",AG53="",AH53=""),"E_MISSING_INPUT",IF(OR(NOT(ISNUMBER(AF53)),NOT(ISNUMBER(AG53))),"E_INVALID_DATE",IF(OR(AF53&lt;&gt;INT(AF53),AG53&lt;0,AG53&gt;=1),"E_INVALID_DATE",IF(ISNA(MATCH(AH53,nLIST_Offset,0)),"E_INVALID_UNIT","")))),IF(AE53="DATE",IF(AF53="","E_MISSING_INPUT",IF(NOT(ISNUMBER(AF53)),"E_INVALID_DATE",IF(AF53&lt;&gt;INT(AF53),"E_INVALID_DATE",""))),IF(AE53="MONTH",IF(OR(AI53="",AJ53=""),"E_MISSING_INPUT",IF(OR(NOT(ISNUMBER(AI53)),NOT(ISNUMBER(AJ53))),"E_INVALID_DATE",IF(OR(AI53&lt;1900,AI53&gt;9999,AI53&lt;&gt;INT(AI53),AJ53&lt;1,AJ53&gt;12,AJ53&lt;&gt;INT(AJ53)),"E_INVALID_DATE",""))),IF(AE53="YEAR",IF(AI53="","E_MISSING_INPUT",IF(NOT(ISNUMBER(AI53)),"E_INVALID_DATE",IF(OR(AI53&lt;1900,AI53&gt;9999,AI53&lt;&gt;INT(AI53)),"E_INVALID_DATE",""))),IF(AE53="RANGE",IF(OR(AK53="",AL53=""),"E_MISSING_INPUT",IF(OR(NOT(ISNUMBER(AK53)),NOT(ISNUMBER(AL53))),"E_INVALID_DATE",IF(OR(AK53&lt;&gt;INT(AK53),AL53&lt;&gt;INT(AL53)),"E_INVALID_DATE",IF(AK53&gt;AL53,"E_REVERSED_BOUNDS","")))),"E_INVALID_UNIT")))))))</f>
        <v/>
      </c>
      <c r="AO53" s="22">
        <f t="shared" si="46"/>
        <v>0</v>
      </c>
      <c r="AP53" s="22">
        <f t="shared" si="47"/>
        <v>0</v>
      </c>
      <c r="AQ53" s="28" t="str">
        <f t="shared" si="48"/>
        <v/>
      </c>
      <c r="AR53" s="28" t="str">
        <f t="shared" si="49"/>
        <v/>
      </c>
      <c r="AS53" s="22" t="str">
        <f t="shared" si="50"/>
        <v/>
      </c>
      <c r="AT53" s="22" t="str">
        <f t="shared" si="51"/>
        <v/>
      </c>
      <c r="AU53" s="9"/>
      <c r="AV53" s="16"/>
      <c r="AW53" s="14"/>
      <c r="AX53" s="25"/>
      <c r="AY53" s="9"/>
      <c r="AZ53" s="11"/>
      <c r="BA53" s="11"/>
      <c r="BB53" s="14"/>
      <c r="BC53" s="14"/>
      <c r="BD53" s="9"/>
      <c r="BE53" s="21" t="str">
        <f>IF(COUNTA(AV53:BC53)=0,"",IF(AV53="","E_MISSING_INPUT",IF(AV53="TIMESTAMP",IF(OR(AW53="",AX53="",AY53=""),"E_MISSING_INPUT",IF(OR(NOT(ISNUMBER(AW53)),NOT(ISNUMBER(AX53))),"E_INVALID_DATE",IF(OR(AW53&lt;&gt;INT(AW53),AX53&lt;0,AX53&gt;=1),"E_INVALID_DATE",IF(ISNA(MATCH(AY53,nLIST_Offset,0)),"E_INVALID_UNIT","")))),IF(AV53="DATE",IF(AW53="","E_MISSING_INPUT",IF(NOT(ISNUMBER(AW53)),"E_INVALID_DATE",IF(AW53&lt;&gt;INT(AW53),"E_INVALID_DATE",""))),IF(AV53="MONTH",IF(OR(AZ53="",BA53=""),"E_MISSING_INPUT",IF(OR(NOT(ISNUMBER(AZ53)),NOT(ISNUMBER(BA53))),"E_INVALID_DATE",IF(OR(AZ53&lt;1900,AZ53&gt;9999,AZ53&lt;&gt;INT(AZ53),BA53&lt;1,BA53&gt;12,BA53&lt;&gt;INT(BA53)),"E_INVALID_DATE",""))),IF(AV53="YEAR",IF(AZ53="","E_MISSING_INPUT",IF(NOT(ISNUMBER(AZ53)),"E_INVALID_DATE",IF(OR(AZ53&lt;1900,AZ53&gt;9999,AZ53&lt;&gt;INT(AZ53)),"E_INVALID_DATE",""))),IF(AV53="RANGE",IF(OR(BB53="",BC53=""),"E_MISSING_INPUT",IF(OR(NOT(ISNUMBER(BB53)),NOT(ISNUMBER(BC53))),"E_INVALID_DATE",IF(OR(BB53&lt;&gt;INT(BB53),BC53&lt;&gt;INT(BC53)),"E_INVALID_DATE",IF(BB53&gt;BC53,"E_REVERSED_BOUNDS","")))),"E_INVALID_UNIT")))))))</f>
        <v/>
      </c>
      <c r="BF53" s="22">
        <f t="shared" si="52"/>
        <v>0</v>
      </c>
      <c r="BG53" s="22">
        <f t="shared" si="53"/>
        <v>0</v>
      </c>
      <c r="BH53" s="28" t="str">
        <f t="shared" si="54"/>
        <v/>
      </c>
      <c r="BI53" s="28" t="str">
        <f t="shared" si="55"/>
        <v/>
      </c>
      <c r="BJ53" s="22" t="str">
        <f t="shared" si="56"/>
        <v/>
      </c>
      <c r="BK53" s="22" t="str">
        <f t="shared" si="57"/>
        <v/>
      </c>
      <c r="BL53" s="21" t="str">
        <f t="shared" si="58"/>
        <v>VEC-V06|1|EX1</v>
      </c>
      <c r="BM53" s="22">
        <f>IF(BL53="",0,COUNTIF(nEXP_Key,BL53))</f>
        <v>1</v>
      </c>
      <c r="BN53" s="21" t="str">
        <f t="shared" si="59"/>
        <v/>
      </c>
      <c r="BO53" s="21" t="str">
        <f>IF(BN53="","",BN53&amp;": "&amp;SUBSTITUTE(IFERROR(INDEX(nMSG_Text,MATCH(BN53,nMSG_Code,0)),""),"[input]",IF(D53="","an Exposure_Episode_ID","the date fields required by the selected precision")))</f>
        <v/>
      </c>
    </row>
    <row r="54" spans="1:67" x14ac:dyDescent="0.2">
      <c r="A54" s="9" t="s">
        <v>315</v>
      </c>
      <c r="B54" s="11">
        <v>1</v>
      </c>
      <c r="C54" s="9" t="s">
        <v>493</v>
      </c>
      <c r="D54" s="9" t="s">
        <v>494</v>
      </c>
      <c r="E54" s="9" t="s">
        <v>495</v>
      </c>
      <c r="F54" s="16"/>
      <c r="G54" s="9"/>
      <c r="H54" s="16"/>
      <c r="I54" s="16"/>
      <c r="J54" s="9"/>
      <c r="K54" s="16"/>
      <c r="L54" s="9"/>
      <c r="M54" s="9" t="s">
        <v>507</v>
      </c>
      <c r="N54" s="16" t="s">
        <v>3</v>
      </c>
      <c r="O54" s="14">
        <v>46082</v>
      </c>
      <c r="P54" s="25">
        <v>0.33333333333333298</v>
      </c>
      <c r="Q54" s="9" t="s">
        <v>18</v>
      </c>
      <c r="R54" s="11"/>
      <c r="S54" s="11"/>
      <c r="T54" s="14"/>
      <c r="U54" s="14"/>
      <c r="V54" s="9" t="s">
        <v>508</v>
      </c>
      <c r="W54" s="21" t="str">
        <f>IF(COUNTA(N54:U54)=0,"",IF(N54="","E_MISSING_INPUT",IF(N54="TIMESTAMP",IF(OR(O54="",P54="",Q54=""),"E_MISSING_INPUT",IF(OR(NOT(ISNUMBER(O54)),NOT(ISNUMBER(P54))),"E_INVALID_DATE",IF(OR(O54&lt;&gt;INT(O54),P54&lt;0,P54&gt;=1),"E_INVALID_DATE",IF(ISNA(MATCH(Q54,nLIST_Offset,0)),"E_INVALID_UNIT","")))),IF(N54="DATE",IF(O54="","E_MISSING_INPUT",IF(NOT(ISNUMBER(O54)),"E_INVALID_DATE",IF(O54&lt;&gt;INT(O54),"E_INVALID_DATE",""))),IF(N54="MONTH",IF(OR(R54="",S54=""),"E_MISSING_INPUT",IF(OR(NOT(ISNUMBER(R54)),NOT(ISNUMBER(S54))),"E_INVALID_DATE",IF(OR(R54&lt;1900,R54&gt;9999,R54&lt;&gt;INT(R54),S54&lt;1,S54&gt;12,S54&lt;&gt;INT(S54)),"E_INVALID_DATE",""))),IF(N54="YEAR",IF(R54="","E_MISSING_INPUT",IF(NOT(ISNUMBER(R54)),"E_INVALID_DATE",IF(OR(R54&lt;1900,R54&gt;9999,R54&lt;&gt;INT(R54)),"E_INVALID_DATE",""))),IF(N54="RANGE",IF(OR(T54="",U54=""),"E_MISSING_INPUT",IF(OR(NOT(ISNUMBER(T54)),NOT(ISNUMBER(U54))),"E_INVALID_DATE",IF(OR(T54&lt;&gt;INT(T54),U54&lt;&gt;INT(U54)),"E_INVALID_DATE",IF(T54&gt;U54,"E_REVERSED_BOUNDS","")))),"E_INVALID_UNIT")))))))</f>
        <v/>
      </c>
      <c r="X54" s="22">
        <f t="shared" si="40"/>
        <v>1</v>
      </c>
      <c r="Y54" s="22">
        <f t="shared" si="41"/>
        <v>1</v>
      </c>
      <c r="Z54" s="28">
        <f t="shared" si="42"/>
        <v>46082</v>
      </c>
      <c r="AA54" s="28">
        <f t="shared" si="43"/>
        <v>46082</v>
      </c>
      <c r="AB54" s="22">
        <f t="shared" si="44"/>
        <v>66358560</v>
      </c>
      <c r="AC54" s="22">
        <f t="shared" si="45"/>
        <v>66358860</v>
      </c>
      <c r="AD54" s="9"/>
      <c r="AE54" s="16"/>
      <c r="AF54" s="14"/>
      <c r="AG54" s="25"/>
      <c r="AH54" s="9"/>
      <c r="AI54" s="11"/>
      <c r="AJ54" s="11"/>
      <c r="AK54" s="14"/>
      <c r="AL54" s="14"/>
      <c r="AM54" s="9"/>
      <c r="AN54" s="21" t="str">
        <f>IF(COUNTA(AE54:AL54)=0,"",IF(AE54="","E_MISSING_INPUT",IF(AE54="TIMESTAMP",IF(OR(AF54="",AG54="",AH54=""),"E_MISSING_INPUT",IF(OR(NOT(ISNUMBER(AF54)),NOT(ISNUMBER(AG54))),"E_INVALID_DATE",IF(OR(AF54&lt;&gt;INT(AF54),AG54&lt;0,AG54&gt;=1),"E_INVALID_DATE",IF(ISNA(MATCH(AH54,nLIST_Offset,0)),"E_INVALID_UNIT","")))),IF(AE54="DATE",IF(AF54="","E_MISSING_INPUT",IF(NOT(ISNUMBER(AF54)),"E_INVALID_DATE",IF(AF54&lt;&gt;INT(AF54),"E_INVALID_DATE",""))),IF(AE54="MONTH",IF(OR(AI54="",AJ54=""),"E_MISSING_INPUT",IF(OR(NOT(ISNUMBER(AI54)),NOT(ISNUMBER(AJ54))),"E_INVALID_DATE",IF(OR(AI54&lt;1900,AI54&gt;9999,AI54&lt;&gt;INT(AI54),AJ54&lt;1,AJ54&gt;12,AJ54&lt;&gt;INT(AJ54)),"E_INVALID_DATE",""))),IF(AE54="YEAR",IF(AI54="","E_MISSING_INPUT",IF(NOT(ISNUMBER(AI54)),"E_INVALID_DATE",IF(OR(AI54&lt;1900,AI54&gt;9999,AI54&lt;&gt;INT(AI54)),"E_INVALID_DATE",""))),IF(AE54="RANGE",IF(OR(AK54="",AL54=""),"E_MISSING_INPUT",IF(OR(NOT(ISNUMBER(AK54)),NOT(ISNUMBER(AL54))),"E_INVALID_DATE",IF(OR(AK54&lt;&gt;INT(AK54),AL54&lt;&gt;INT(AL54)),"E_INVALID_DATE",IF(AK54&gt;AL54,"E_REVERSED_BOUNDS","")))),"E_INVALID_UNIT")))))))</f>
        <v/>
      </c>
      <c r="AO54" s="22">
        <f t="shared" si="46"/>
        <v>0</v>
      </c>
      <c r="AP54" s="22">
        <f t="shared" si="47"/>
        <v>0</v>
      </c>
      <c r="AQ54" s="28" t="str">
        <f t="shared" si="48"/>
        <v/>
      </c>
      <c r="AR54" s="28" t="str">
        <f t="shared" si="49"/>
        <v/>
      </c>
      <c r="AS54" s="22" t="str">
        <f t="shared" si="50"/>
        <v/>
      </c>
      <c r="AT54" s="22" t="str">
        <f t="shared" si="51"/>
        <v/>
      </c>
      <c r="AU54" s="9"/>
      <c r="AV54" s="16"/>
      <c r="AW54" s="14"/>
      <c r="AX54" s="25"/>
      <c r="AY54" s="9"/>
      <c r="AZ54" s="11"/>
      <c r="BA54" s="11"/>
      <c r="BB54" s="14"/>
      <c r="BC54" s="14"/>
      <c r="BD54" s="9"/>
      <c r="BE54" s="21" t="str">
        <f>IF(COUNTA(AV54:BC54)=0,"",IF(AV54="","E_MISSING_INPUT",IF(AV54="TIMESTAMP",IF(OR(AW54="",AX54="",AY54=""),"E_MISSING_INPUT",IF(OR(NOT(ISNUMBER(AW54)),NOT(ISNUMBER(AX54))),"E_INVALID_DATE",IF(OR(AW54&lt;&gt;INT(AW54),AX54&lt;0,AX54&gt;=1),"E_INVALID_DATE",IF(ISNA(MATCH(AY54,nLIST_Offset,0)),"E_INVALID_UNIT","")))),IF(AV54="DATE",IF(AW54="","E_MISSING_INPUT",IF(NOT(ISNUMBER(AW54)),"E_INVALID_DATE",IF(AW54&lt;&gt;INT(AW54),"E_INVALID_DATE",""))),IF(AV54="MONTH",IF(OR(AZ54="",BA54=""),"E_MISSING_INPUT",IF(OR(NOT(ISNUMBER(AZ54)),NOT(ISNUMBER(BA54))),"E_INVALID_DATE",IF(OR(AZ54&lt;1900,AZ54&gt;9999,AZ54&lt;&gt;INT(AZ54),BA54&lt;1,BA54&gt;12,BA54&lt;&gt;INT(BA54)),"E_INVALID_DATE",""))),IF(AV54="YEAR",IF(AZ54="","E_MISSING_INPUT",IF(NOT(ISNUMBER(AZ54)),"E_INVALID_DATE",IF(OR(AZ54&lt;1900,AZ54&gt;9999,AZ54&lt;&gt;INT(AZ54)),"E_INVALID_DATE",""))),IF(AV54="RANGE",IF(OR(BB54="",BC54=""),"E_MISSING_INPUT",IF(OR(NOT(ISNUMBER(BB54)),NOT(ISNUMBER(BC54))),"E_INVALID_DATE",IF(OR(BB54&lt;&gt;INT(BB54),BC54&lt;&gt;INT(BC54)),"E_INVALID_DATE",IF(BB54&gt;BC54,"E_REVERSED_BOUNDS","")))),"E_INVALID_UNIT")))))))</f>
        <v/>
      </c>
      <c r="BF54" s="22">
        <f t="shared" si="52"/>
        <v>0</v>
      </c>
      <c r="BG54" s="22">
        <f t="shared" si="53"/>
        <v>0</v>
      </c>
      <c r="BH54" s="28" t="str">
        <f t="shared" si="54"/>
        <v/>
      </c>
      <c r="BI54" s="28" t="str">
        <f t="shared" si="55"/>
        <v/>
      </c>
      <c r="BJ54" s="22" t="str">
        <f t="shared" si="56"/>
        <v/>
      </c>
      <c r="BK54" s="22" t="str">
        <f t="shared" si="57"/>
        <v/>
      </c>
      <c r="BL54" s="21" t="str">
        <f t="shared" si="58"/>
        <v>VEC-V07|1|EX1</v>
      </c>
      <c r="BM54" s="22">
        <f>IF(BL54="",0,COUNTIF(nEXP_Key,BL54))</f>
        <v>1</v>
      </c>
      <c r="BN54" s="21" t="str">
        <f t="shared" si="59"/>
        <v/>
      </c>
      <c r="BO54" s="21" t="str">
        <f>IF(BN54="","",BN54&amp;": "&amp;SUBSTITUTE(IFERROR(INDEX(nMSG_Text,MATCH(BN54,nMSG_Code,0)),""),"[input]",IF(D54="","an Exposure_Episode_ID","the date fields required by the selected precision")))</f>
        <v/>
      </c>
    </row>
    <row r="55" spans="1:67" x14ac:dyDescent="0.2">
      <c r="A55" s="9" t="s">
        <v>317</v>
      </c>
      <c r="B55" s="11">
        <v>1</v>
      </c>
      <c r="C55" s="9" t="s">
        <v>493</v>
      </c>
      <c r="D55" s="9" t="s">
        <v>494</v>
      </c>
      <c r="E55" s="9" t="s">
        <v>495</v>
      </c>
      <c r="F55" s="16"/>
      <c r="G55" s="9"/>
      <c r="H55" s="16"/>
      <c r="I55" s="16"/>
      <c r="J55" s="9"/>
      <c r="K55" s="16"/>
      <c r="L55" s="9"/>
      <c r="M55" s="9" t="s">
        <v>509</v>
      </c>
      <c r="N55" s="16" t="s">
        <v>4</v>
      </c>
      <c r="O55" s="14">
        <v>46023</v>
      </c>
      <c r="P55" s="25"/>
      <c r="Q55" s="9"/>
      <c r="R55" s="11"/>
      <c r="S55" s="11"/>
      <c r="T55" s="14"/>
      <c r="U55" s="14"/>
      <c r="V55" s="9" t="s">
        <v>510</v>
      </c>
      <c r="W55" s="21" t="str">
        <f>IF(COUNTA(N55:U55)=0,"",IF(N55="","E_MISSING_INPUT",IF(N55="TIMESTAMP",IF(OR(O55="",P55="",Q55=""),"E_MISSING_INPUT",IF(OR(NOT(ISNUMBER(O55)),NOT(ISNUMBER(P55))),"E_INVALID_DATE",IF(OR(O55&lt;&gt;INT(O55),P55&lt;0,P55&gt;=1),"E_INVALID_DATE",IF(ISNA(MATCH(Q55,nLIST_Offset,0)),"E_INVALID_UNIT","")))),IF(N55="DATE",IF(O55="","E_MISSING_INPUT",IF(NOT(ISNUMBER(O55)),"E_INVALID_DATE",IF(O55&lt;&gt;INT(O55),"E_INVALID_DATE",""))),IF(N55="MONTH",IF(OR(R55="",S55=""),"E_MISSING_INPUT",IF(OR(NOT(ISNUMBER(R55)),NOT(ISNUMBER(S55))),"E_INVALID_DATE",IF(OR(R55&lt;1900,R55&gt;9999,R55&lt;&gt;INT(R55),S55&lt;1,S55&gt;12,S55&lt;&gt;INT(S55)),"E_INVALID_DATE",""))),IF(N55="YEAR",IF(R55="","E_MISSING_INPUT",IF(NOT(ISNUMBER(R55)),"E_INVALID_DATE",IF(OR(R55&lt;1900,R55&gt;9999,R55&lt;&gt;INT(R55)),"E_INVALID_DATE",""))),IF(N55="RANGE",IF(OR(T55="",U55=""),"E_MISSING_INPUT",IF(OR(NOT(ISNUMBER(T55)),NOT(ISNUMBER(U55))),"E_INVALID_DATE",IF(OR(T55&lt;&gt;INT(T55),U55&lt;&gt;INT(U55)),"E_INVALID_DATE",IF(T55&gt;U55,"E_REVERSED_BOUNDS","")))),"E_INVALID_UNIT")))))))</f>
        <v/>
      </c>
      <c r="X55" s="22">
        <f t="shared" si="40"/>
        <v>0</v>
      </c>
      <c r="Y55" s="22">
        <f t="shared" si="41"/>
        <v>0</v>
      </c>
      <c r="Z55" s="28">
        <f t="shared" si="42"/>
        <v>46023</v>
      </c>
      <c r="AA55" s="28">
        <f t="shared" si="43"/>
        <v>46023</v>
      </c>
      <c r="AB55" s="22" t="str">
        <f t="shared" si="44"/>
        <v/>
      </c>
      <c r="AC55" s="22" t="str">
        <f t="shared" si="45"/>
        <v/>
      </c>
      <c r="AD55" s="9" t="s">
        <v>511</v>
      </c>
      <c r="AE55" s="16" t="s">
        <v>4</v>
      </c>
      <c r="AF55" s="14">
        <v>46042</v>
      </c>
      <c r="AG55" s="25"/>
      <c r="AH55" s="9"/>
      <c r="AI55" s="11"/>
      <c r="AJ55" s="11"/>
      <c r="AK55" s="14"/>
      <c r="AL55" s="14"/>
      <c r="AM55" s="9" t="s">
        <v>510</v>
      </c>
      <c r="AN55" s="21" t="str">
        <f>IF(COUNTA(AE55:AL55)=0,"",IF(AE55="","E_MISSING_INPUT",IF(AE55="TIMESTAMP",IF(OR(AF55="",AG55="",AH55=""),"E_MISSING_INPUT",IF(OR(NOT(ISNUMBER(AF55)),NOT(ISNUMBER(AG55))),"E_INVALID_DATE",IF(OR(AF55&lt;&gt;INT(AF55),AG55&lt;0,AG55&gt;=1),"E_INVALID_DATE",IF(ISNA(MATCH(AH55,nLIST_Offset,0)),"E_INVALID_UNIT","")))),IF(AE55="DATE",IF(AF55="","E_MISSING_INPUT",IF(NOT(ISNUMBER(AF55)),"E_INVALID_DATE",IF(AF55&lt;&gt;INT(AF55),"E_INVALID_DATE",""))),IF(AE55="MONTH",IF(OR(AI55="",AJ55=""),"E_MISSING_INPUT",IF(OR(NOT(ISNUMBER(AI55)),NOT(ISNUMBER(AJ55))),"E_INVALID_DATE",IF(OR(AI55&lt;1900,AI55&gt;9999,AI55&lt;&gt;INT(AI55),AJ55&lt;1,AJ55&gt;12,AJ55&lt;&gt;INT(AJ55)),"E_INVALID_DATE",""))),IF(AE55="YEAR",IF(AI55="","E_MISSING_INPUT",IF(NOT(ISNUMBER(AI55)),"E_INVALID_DATE",IF(OR(AI55&lt;1900,AI55&gt;9999,AI55&lt;&gt;INT(AI55)),"E_INVALID_DATE",""))),IF(AE55="RANGE",IF(OR(AK55="",AL55=""),"E_MISSING_INPUT",IF(OR(NOT(ISNUMBER(AK55)),NOT(ISNUMBER(AL55))),"E_INVALID_DATE",IF(OR(AK55&lt;&gt;INT(AK55),AL55&lt;&gt;INT(AL55)),"E_INVALID_DATE",IF(AK55&gt;AL55,"E_REVERSED_BOUNDS","")))),"E_INVALID_UNIT")))))))</f>
        <v/>
      </c>
      <c r="AO55" s="22">
        <f t="shared" si="46"/>
        <v>0</v>
      </c>
      <c r="AP55" s="22">
        <f t="shared" si="47"/>
        <v>0</v>
      </c>
      <c r="AQ55" s="28">
        <f t="shared" si="48"/>
        <v>46042</v>
      </c>
      <c r="AR55" s="28">
        <f t="shared" si="49"/>
        <v>46042</v>
      </c>
      <c r="AS55" s="22" t="str">
        <f t="shared" si="50"/>
        <v/>
      </c>
      <c r="AT55" s="22" t="str">
        <f t="shared" si="51"/>
        <v/>
      </c>
      <c r="AU55" s="9" t="s">
        <v>512</v>
      </c>
      <c r="AV55" s="16" t="s">
        <v>4</v>
      </c>
      <c r="AW55" s="14">
        <v>46063</v>
      </c>
      <c r="AX55" s="25"/>
      <c r="AY55" s="9"/>
      <c r="AZ55" s="11"/>
      <c r="BA55" s="11"/>
      <c r="BB55" s="14"/>
      <c r="BC55" s="14"/>
      <c r="BD55" s="9" t="s">
        <v>510</v>
      </c>
      <c r="BE55" s="21" t="str">
        <f>IF(COUNTA(AV55:BC55)=0,"",IF(AV55="","E_MISSING_INPUT",IF(AV55="TIMESTAMP",IF(OR(AW55="",AX55="",AY55=""),"E_MISSING_INPUT",IF(OR(NOT(ISNUMBER(AW55)),NOT(ISNUMBER(AX55))),"E_INVALID_DATE",IF(OR(AW55&lt;&gt;INT(AW55),AX55&lt;0,AX55&gt;=1),"E_INVALID_DATE",IF(ISNA(MATCH(AY55,nLIST_Offset,0)),"E_INVALID_UNIT","")))),IF(AV55="DATE",IF(AW55="","E_MISSING_INPUT",IF(NOT(ISNUMBER(AW55)),"E_INVALID_DATE",IF(AW55&lt;&gt;INT(AW55),"E_INVALID_DATE",""))),IF(AV55="MONTH",IF(OR(AZ55="",BA55=""),"E_MISSING_INPUT",IF(OR(NOT(ISNUMBER(AZ55)),NOT(ISNUMBER(BA55))),"E_INVALID_DATE",IF(OR(AZ55&lt;1900,AZ55&gt;9999,AZ55&lt;&gt;INT(AZ55),BA55&lt;1,BA55&gt;12,BA55&lt;&gt;INT(BA55)),"E_INVALID_DATE",""))),IF(AV55="YEAR",IF(AZ55="","E_MISSING_INPUT",IF(NOT(ISNUMBER(AZ55)),"E_INVALID_DATE",IF(OR(AZ55&lt;1900,AZ55&gt;9999,AZ55&lt;&gt;INT(AZ55)),"E_INVALID_DATE",""))),IF(AV55="RANGE",IF(OR(BB55="",BC55=""),"E_MISSING_INPUT",IF(OR(NOT(ISNUMBER(BB55)),NOT(ISNUMBER(BC55))),"E_INVALID_DATE",IF(OR(BB55&lt;&gt;INT(BB55),BC55&lt;&gt;INT(BC55)),"E_INVALID_DATE",IF(BB55&gt;BC55,"E_REVERSED_BOUNDS","")))),"E_INVALID_UNIT")))))))</f>
        <v/>
      </c>
      <c r="BF55" s="22">
        <f t="shared" si="52"/>
        <v>0</v>
      </c>
      <c r="BG55" s="22">
        <f t="shared" si="53"/>
        <v>0</v>
      </c>
      <c r="BH55" s="28">
        <f t="shared" si="54"/>
        <v>46063</v>
      </c>
      <c r="BI55" s="28">
        <f t="shared" si="55"/>
        <v>46063</v>
      </c>
      <c r="BJ55" s="22" t="str">
        <f t="shared" si="56"/>
        <v/>
      </c>
      <c r="BK55" s="22" t="str">
        <f t="shared" si="57"/>
        <v/>
      </c>
      <c r="BL55" s="21" t="str">
        <f t="shared" si="58"/>
        <v>VEC-V08|1|EX1</v>
      </c>
      <c r="BM55" s="22">
        <f>IF(BL55="",0,COUNTIF(nEXP_Key,BL55))</f>
        <v>1</v>
      </c>
      <c r="BN55" s="21" t="str">
        <f t="shared" si="59"/>
        <v/>
      </c>
      <c r="BO55" s="21" t="str">
        <f>IF(BN55="","",BN55&amp;": "&amp;SUBSTITUTE(IFERROR(INDEX(nMSG_Text,MATCH(BN55,nMSG_Code,0)),""),"[input]",IF(D55="","an Exposure_Episode_ID","the date fields required by the selected precision")))</f>
        <v/>
      </c>
    </row>
    <row r="56" spans="1:67" x14ac:dyDescent="0.2">
      <c r="A56" s="9" t="s">
        <v>319</v>
      </c>
      <c r="B56" s="11">
        <v>1</v>
      </c>
      <c r="C56" s="9" t="s">
        <v>493</v>
      </c>
      <c r="D56" s="9" t="s">
        <v>494</v>
      </c>
      <c r="E56" s="9" t="s">
        <v>495</v>
      </c>
      <c r="F56" s="16"/>
      <c r="G56" s="9"/>
      <c r="H56" s="16"/>
      <c r="I56" s="16"/>
      <c r="J56" s="9"/>
      <c r="K56" s="16"/>
      <c r="L56" s="9"/>
      <c r="M56" s="9" t="s">
        <v>513</v>
      </c>
      <c r="N56" s="16" t="s">
        <v>3</v>
      </c>
      <c r="O56" s="14">
        <v>46327</v>
      </c>
      <c r="P56" s="25">
        <v>6.25E-2</v>
      </c>
      <c r="Q56" s="9" t="s">
        <v>19</v>
      </c>
      <c r="R56" s="11"/>
      <c r="S56" s="11"/>
      <c r="T56" s="14"/>
      <c r="U56" s="14"/>
      <c r="V56" s="9" t="s">
        <v>514</v>
      </c>
      <c r="W56" s="21" t="str">
        <f>IF(COUNTA(N56:U56)=0,"",IF(N56="","E_MISSING_INPUT",IF(N56="TIMESTAMP",IF(OR(O56="",P56="",Q56=""),"E_MISSING_INPUT",IF(OR(NOT(ISNUMBER(O56)),NOT(ISNUMBER(P56))),"E_INVALID_DATE",IF(OR(O56&lt;&gt;INT(O56),P56&lt;0,P56&gt;=1),"E_INVALID_DATE",IF(ISNA(MATCH(Q56,nLIST_Offset,0)),"E_INVALID_UNIT","")))),IF(N56="DATE",IF(O56="","E_MISSING_INPUT",IF(NOT(ISNUMBER(O56)),"E_INVALID_DATE",IF(O56&lt;&gt;INT(O56),"E_INVALID_DATE",""))),IF(N56="MONTH",IF(OR(R56="",S56=""),"E_MISSING_INPUT",IF(OR(NOT(ISNUMBER(R56)),NOT(ISNUMBER(S56))),"E_INVALID_DATE",IF(OR(R56&lt;1900,R56&gt;9999,R56&lt;&gt;INT(R56),S56&lt;1,S56&gt;12,S56&lt;&gt;INT(S56)),"E_INVALID_DATE",""))),IF(N56="YEAR",IF(R56="","E_MISSING_INPUT",IF(NOT(ISNUMBER(R56)),"E_INVALID_DATE",IF(OR(R56&lt;1900,R56&gt;9999,R56&lt;&gt;INT(R56)),"E_INVALID_DATE",""))),IF(N56="RANGE",IF(OR(T56="",U56=""),"E_MISSING_INPUT",IF(OR(NOT(ISNUMBER(T56)),NOT(ISNUMBER(U56))),"E_INVALID_DATE",IF(OR(T56&lt;&gt;INT(T56),U56&lt;&gt;INT(U56)),"E_INVALID_DATE",IF(T56&gt;U56,"E_REVERSED_BOUNDS","")))),"E_INVALID_UNIT")))))))</f>
        <v/>
      </c>
      <c r="X56" s="22">
        <f t="shared" si="40"/>
        <v>1</v>
      </c>
      <c r="Y56" s="22">
        <f t="shared" si="41"/>
        <v>1</v>
      </c>
      <c r="Z56" s="28">
        <f t="shared" si="42"/>
        <v>46327</v>
      </c>
      <c r="AA56" s="28">
        <f t="shared" si="43"/>
        <v>46327</v>
      </c>
      <c r="AB56" s="22">
        <f t="shared" si="44"/>
        <v>66710970</v>
      </c>
      <c r="AC56" s="22">
        <f t="shared" si="45"/>
        <v>66711210</v>
      </c>
      <c r="AD56" s="9"/>
      <c r="AE56" s="16"/>
      <c r="AF56" s="14"/>
      <c r="AG56" s="25"/>
      <c r="AH56" s="9"/>
      <c r="AI56" s="11"/>
      <c r="AJ56" s="11"/>
      <c r="AK56" s="14"/>
      <c r="AL56" s="14"/>
      <c r="AM56" s="9"/>
      <c r="AN56" s="21" t="str">
        <f>IF(COUNTA(AE56:AL56)=0,"",IF(AE56="","E_MISSING_INPUT",IF(AE56="TIMESTAMP",IF(OR(AF56="",AG56="",AH56=""),"E_MISSING_INPUT",IF(OR(NOT(ISNUMBER(AF56)),NOT(ISNUMBER(AG56))),"E_INVALID_DATE",IF(OR(AF56&lt;&gt;INT(AF56),AG56&lt;0,AG56&gt;=1),"E_INVALID_DATE",IF(ISNA(MATCH(AH56,nLIST_Offset,0)),"E_INVALID_UNIT","")))),IF(AE56="DATE",IF(AF56="","E_MISSING_INPUT",IF(NOT(ISNUMBER(AF56)),"E_INVALID_DATE",IF(AF56&lt;&gt;INT(AF56),"E_INVALID_DATE",""))),IF(AE56="MONTH",IF(OR(AI56="",AJ56=""),"E_MISSING_INPUT",IF(OR(NOT(ISNUMBER(AI56)),NOT(ISNUMBER(AJ56))),"E_INVALID_DATE",IF(OR(AI56&lt;1900,AI56&gt;9999,AI56&lt;&gt;INT(AI56),AJ56&lt;1,AJ56&gt;12,AJ56&lt;&gt;INT(AJ56)),"E_INVALID_DATE",""))),IF(AE56="YEAR",IF(AI56="","E_MISSING_INPUT",IF(NOT(ISNUMBER(AI56)),"E_INVALID_DATE",IF(OR(AI56&lt;1900,AI56&gt;9999,AI56&lt;&gt;INT(AI56)),"E_INVALID_DATE",""))),IF(AE56="RANGE",IF(OR(AK56="",AL56=""),"E_MISSING_INPUT",IF(OR(NOT(ISNUMBER(AK56)),NOT(ISNUMBER(AL56))),"E_INVALID_DATE",IF(OR(AK56&lt;&gt;INT(AK56),AL56&lt;&gt;INT(AL56)),"E_INVALID_DATE",IF(AK56&gt;AL56,"E_REVERSED_BOUNDS","")))),"E_INVALID_UNIT")))))))</f>
        <v/>
      </c>
      <c r="AO56" s="22">
        <f t="shared" si="46"/>
        <v>0</v>
      </c>
      <c r="AP56" s="22">
        <f t="shared" si="47"/>
        <v>0</v>
      </c>
      <c r="AQ56" s="28" t="str">
        <f t="shared" si="48"/>
        <v/>
      </c>
      <c r="AR56" s="28" t="str">
        <f t="shared" si="49"/>
        <v/>
      </c>
      <c r="AS56" s="22" t="str">
        <f t="shared" si="50"/>
        <v/>
      </c>
      <c r="AT56" s="22" t="str">
        <f t="shared" si="51"/>
        <v/>
      </c>
      <c r="AU56" s="9"/>
      <c r="AV56" s="16"/>
      <c r="AW56" s="14"/>
      <c r="AX56" s="25"/>
      <c r="AY56" s="9"/>
      <c r="AZ56" s="11"/>
      <c r="BA56" s="11"/>
      <c r="BB56" s="14"/>
      <c r="BC56" s="14"/>
      <c r="BD56" s="9"/>
      <c r="BE56" s="21" t="str">
        <f>IF(COUNTA(AV56:BC56)=0,"",IF(AV56="","E_MISSING_INPUT",IF(AV56="TIMESTAMP",IF(OR(AW56="",AX56="",AY56=""),"E_MISSING_INPUT",IF(OR(NOT(ISNUMBER(AW56)),NOT(ISNUMBER(AX56))),"E_INVALID_DATE",IF(OR(AW56&lt;&gt;INT(AW56),AX56&lt;0,AX56&gt;=1),"E_INVALID_DATE",IF(ISNA(MATCH(AY56,nLIST_Offset,0)),"E_INVALID_UNIT","")))),IF(AV56="DATE",IF(AW56="","E_MISSING_INPUT",IF(NOT(ISNUMBER(AW56)),"E_INVALID_DATE",IF(AW56&lt;&gt;INT(AW56),"E_INVALID_DATE",""))),IF(AV56="MONTH",IF(OR(AZ56="",BA56=""),"E_MISSING_INPUT",IF(OR(NOT(ISNUMBER(AZ56)),NOT(ISNUMBER(BA56))),"E_INVALID_DATE",IF(OR(AZ56&lt;1900,AZ56&gt;9999,AZ56&lt;&gt;INT(AZ56),BA56&lt;1,BA56&gt;12,BA56&lt;&gt;INT(BA56)),"E_INVALID_DATE",""))),IF(AV56="YEAR",IF(AZ56="","E_MISSING_INPUT",IF(NOT(ISNUMBER(AZ56)),"E_INVALID_DATE",IF(OR(AZ56&lt;1900,AZ56&gt;9999,AZ56&lt;&gt;INT(AZ56)),"E_INVALID_DATE",""))),IF(AV56="RANGE",IF(OR(BB56="",BC56=""),"E_MISSING_INPUT",IF(OR(NOT(ISNUMBER(BB56)),NOT(ISNUMBER(BC56))),"E_INVALID_DATE",IF(OR(BB56&lt;&gt;INT(BB56),BC56&lt;&gt;INT(BC56)),"E_INVALID_DATE",IF(BB56&gt;BC56,"E_REVERSED_BOUNDS","")))),"E_INVALID_UNIT")))))))</f>
        <v/>
      </c>
      <c r="BF56" s="22">
        <f t="shared" si="52"/>
        <v>0</v>
      </c>
      <c r="BG56" s="22">
        <f t="shared" si="53"/>
        <v>0</v>
      </c>
      <c r="BH56" s="28" t="str">
        <f t="shared" si="54"/>
        <v/>
      </c>
      <c r="BI56" s="28" t="str">
        <f t="shared" si="55"/>
        <v/>
      </c>
      <c r="BJ56" s="22" t="str">
        <f t="shared" si="56"/>
        <v/>
      </c>
      <c r="BK56" s="22" t="str">
        <f t="shared" si="57"/>
        <v/>
      </c>
      <c r="BL56" s="21" t="str">
        <f t="shared" si="58"/>
        <v>VEC-V09|1|EX1</v>
      </c>
      <c r="BM56" s="22">
        <f>IF(BL56="",0,COUNTIF(nEXP_Key,BL56))</f>
        <v>1</v>
      </c>
      <c r="BN56" s="21" t="str">
        <f t="shared" si="59"/>
        <v/>
      </c>
      <c r="BO56" s="21" t="str">
        <f>IF(BN56="","",BN56&amp;": "&amp;SUBSTITUTE(IFERROR(INDEX(nMSG_Text,MATCH(BN56,nMSG_Code,0)),""),"[input]",IF(D56="","an Exposure_Episode_ID","the date fields required by the selected precision")))</f>
        <v/>
      </c>
    </row>
    <row r="57" spans="1:67" x14ac:dyDescent="0.2">
      <c r="A57" s="9" t="s">
        <v>321</v>
      </c>
      <c r="B57" s="11">
        <v>1</v>
      </c>
      <c r="C57" s="9" t="s">
        <v>493</v>
      </c>
      <c r="D57" s="9" t="s">
        <v>494</v>
      </c>
      <c r="E57" s="9" t="s">
        <v>495</v>
      </c>
      <c r="F57" s="16"/>
      <c r="G57" s="9"/>
      <c r="H57" s="16"/>
      <c r="I57" s="16"/>
      <c r="J57" s="9"/>
      <c r="K57" s="16"/>
      <c r="L57" s="9"/>
      <c r="M57" s="9" t="s">
        <v>515</v>
      </c>
      <c r="N57" s="16" t="s">
        <v>3</v>
      </c>
      <c r="O57" s="14">
        <v>46089</v>
      </c>
      <c r="P57" s="25">
        <v>6.25E-2</v>
      </c>
      <c r="Q57" s="9" t="s">
        <v>9</v>
      </c>
      <c r="R57" s="11"/>
      <c r="S57" s="11"/>
      <c r="T57" s="14"/>
      <c r="U57" s="14"/>
      <c r="V57" s="9" t="s">
        <v>516</v>
      </c>
      <c r="W57" s="21" t="str">
        <f>IF(COUNTA(N57:U57)=0,"",IF(N57="","E_MISSING_INPUT",IF(N57="TIMESTAMP",IF(OR(O57="",P57="",Q57=""),"E_MISSING_INPUT",IF(OR(NOT(ISNUMBER(O57)),NOT(ISNUMBER(P57))),"E_INVALID_DATE",IF(OR(O57&lt;&gt;INT(O57),P57&lt;0,P57&gt;=1),"E_INVALID_DATE",IF(ISNA(MATCH(Q57,nLIST_Offset,0)),"E_INVALID_UNIT","")))),IF(N57="DATE",IF(O57="","E_MISSING_INPUT",IF(NOT(ISNUMBER(O57)),"E_INVALID_DATE",IF(O57&lt;&gt;INT(O57),"E_INVALID_DATE",""))),IF(N57="MONTH",IF(OR(R57="",S57=""),"E_MISSING_INPUT",IF(OR(NOT(ISNUMBER(R57)),NOT(ISNUMBER(S57))),"E_INVALID_DATE",IF(OR(R57&lt;1900,R57&gt;9999,R57&lt;&gt;INT(R57),S57&lt;1,S57&gt;12,S57&lt;&gt;INT(S57)),"E_INVALID_DATE",""))),IF(N57="YEAR",IF(R57="","E_MISSING_INPUT",IF(NOT(ISNUMBER(R57)),"E_INVALID_DATE",IF(OR(R57&lt;1900,R57&gt;9999,R57&lt;&gt;INT(R57)),"E_INVALID_DATE",""))),IF(N57="RANGE",IF(OR(T57="",U57=""),"E_MISSING_INPUT",IF(OR(NOT(ISNUMBER(T57)),NOT(ISNUMBER(U57))),"E_INVALID_DATE",IF(OR(T57&lt;&gt;INT(T57),U57&lt;&gt;INT(U57)),"E_INVALID_DATE",IF(T57&gt;U57,"E_REVERSED_BOUNDS","")))),"E_INVALID_UNIT")))))))</f>
        <v/>
      </c>
      <c r="X57" s="22">
        <f t="shared" si="40"/>
        <v>1</v>
      </c>
      <c r="Y57" s="22">
        <f t="shared" si="41"/>
        <v>0</v>
      </c>
      <c r="Z57" s="28">
        <f t="shared" si="42"/>
        <v>46089</v>
      </c>
      <c r="AA57" s="28">
        <f t="shared" si="43"/>
        <v>46089</v>
      </c>
      <c r="AB57" s="22">
        <f t="shared" si="44"/>
        <v>66368250</v>
      </c>
      <c r="AC57" s="22" t="str">
        <f t="shared" si="45"/>
        <v/>
      </c>
      <c r="AD57" s="9"/>
      <c r="AE57" s="16"/>
      <c r="AF57" s="14"/>
      <c r="AG57" s="25"/>
      <c r="AH57" s="9"/>
      <c r="AI57" s="11"/>
      <c r="AJ57" s="11"/>
      <c r="AK57" s="14"/>
      <c r="AL57" s="14"/>
      <c r="AM57" s="9"/>
      <c r="AN57" s="21" t="str">
        <f>IF(COUNTA(AE57:AL57)=0,"",IF(AE57="","E_MISSING_INPUT",IF(AE57="TIMESTAMP",IF(OR(AF57="",AG57="",AH57=""),"E_MISSING_INPUT",IF(OR(NOT(ISNUMBER(AF57)),NOT(ISNUMBER(AG57))),"E_INVALID_DATE",IF(OR(AF57&lt;&gt;INT(AF57),AG57&lt;0,AG57&gt;=1),"E_INVALID_DATE",IF(ISNA(MATCH(AH57,nLIST_Offset,0)),"E_INVALID_UNIT","")))),IF(AE57="DATE",IF(AF57="","E_MISSING_INPUT",IF(NOT(ISNUMBER(AF57)),"E_INVALID_DATE",IF(AF57&lt;&gt;INT(AF57),"E_INVALID_DATE",""))),IF(AE57="MONTH",IF(OR(AI57="",AJ57=""),"E_MISSING_INPUT",IF(OR(NOT(ISNUMBER(AI57)),NOT(ISNUMBER(AJ57))),"E_INVALID_DATE",IF(OR(AI57&lt;1900,AI57&gt;9999,AI57&lt;&gt;INT(AI57),AJ57&lt;1,AJ57&gt;12,AJ57&lt;&gt;INT(AJ57)),"E_INVALID_DATE",""))),IF(AE57="YEAR",IF(AI57="","E_MISSING_INPUT",IF(NOT(ISNUMBER(AI57)),"E_INVALID_DATE",IF(OR(AI57&lt;1900,AI57&gt;9999,AI57&lt;&gt;INT(AI57)),"E_INVALID_DATE",""))),IF(AE57="RANGE",IF(OR(AK57="",AL57=""),"E_MISSING_INPUT",IF(OR(NOT(ISNUMBER(AK57)),NOT(ISNUMBER(AL57))),"E_INVALID_DATE",IF(OR(AK57&lt;&gt;INT(AK57),AL57&lt;&gt;INT(AL57)),"E_INVALID_DATE",IF(AK57&gt;AL57,"E_REVERSED_BOUNDS","")))),"E_INVALID_UNIT")))))))</f>
        <v/>
      </c>
      <c r="AO57" s="22">
        <f t="shared" si="46"/>
        <v>0</v>
      </c>
      <c r="AP57" s="22">
        <f t="shared" si="47"/>
        <v>0</v>
      </c>
      <c r="AQ57" s="28" t="str">
        <f t="shared" si="48"/>
        <v/>
      </c>
      <c r="AR57" s="28" t="str">
        <f t="shared" si="49"/>
        <v/>
      </c>
      <c r="AS57" s="22" t="str">
        <f t="shared" si="50"/>
        <v/>
      </c>
      <c r="AT57" s="22" t="str">
        <f t="shared" si="51"/>
        <v/>
      </c>
      <c r="AU57" s="9"/>
      <c r="AV57" s="16"/>
      <c r="AW57" s="14"/>
      <c r="AX57" s="25"/>
      <c r="AY57" s="9"/>
      <c r="AZ57" s="11"/>
      <c r="BA57" s="11"/>
      <c r="BB57" s="14"/>
      <c r="BC57" s="14"/>
      <c r="BD57" s="9"/>
      <c r="BE57" s="21" t="str">
        <f>IF(COUNTA(AV57:BC57)=0,"",IF(AV57="","E_MISSING_INPUT",IF(AV57="TIMESTAMP",IF(OR(AW57="",AX57="",AY57=""),"E_MISSING_INPUT",IF(OR(NOT(ISNUMBER(AW57)),NOT(ISNUMBER(AX57))),"E_INVALID_DATE",IF(OR(AW57&lt;&gt;INT(AW57),AX57&lt;0,AX57&gt;=1),"E_INVALID_DATE",IF(ISNA(MATCH(AY57,nLIST_Offset,0)),"E_INVALID_UNIT","")))),IF(AV57="DATE",IF(AW57="","E_MISSING_INPUT",IF(NOT(ISNUMBER(AW57)),"E_INVALID_DATE",IF(AW57&lt;&gt;INT(AW57),"E_INVALID_DATE",""))),IF(AV57="MONTH",IF(OR(AZ57="",BA57=""),"E_MISSING_INPUT",IF(OR(NOT(ISNUMBER(AZ57)),NOT(ISNUMBER(BA57))),"E_INVALID_DATE",IF(OR(AZ57&lt;1900,AZ57&gt;9999,AZ57&lt;&gt;INT(AZ57),BA57&lt;1,BA57&gt;12,BA57&lt;&gt;INT(BA57)),"E_INVALID_DATE",""))),IF(AV57="YEAR",IF(AZ57="","E_MISSING_INPUT",IF(NOT(ISNUMBER(AZ57)),"E_INVALID_DATE",IF(OR(AZ57&lt;1900,AZ57&gt;9999,AZ57&lt;&gt;INT(AZ57)),"E_INVALID_DATE",""))),IF(AV57="RANGE",IF(OR(BB57="",BC57=""),"E_MISSING_INPUT",IF(OR(NOT(ISNUMBER(BB57)),NOT(ISNUMBER(BC57))),"E_INVALID_DATE",IF(OR(BB57&lt;&gt;INT(BB57),BC57&lt;&gt;INT(BC57)),"E_INVALID_DATE",IF(BB57&gt;BC57,"E_REVERSED_BOUNDS","")))),"E_INVALID_UNIT")))))))</f>
        <v/>
      </c>
      <c r="BF57" s="22">
        <f t="shared" si="52"/>
        <v>0</v>
      </c>
      <c r="BG57" s="22">
        <f t="shared" si="53"/>
        <v>0</v>
      </c>
      <c r="BH57" s="28" t="str">
        <f t="shared" si="54"/>
        <v/>
      </c>
      <c r="BI57" s="28" t="str">
        <f t="shared" si="55"/>
        <v/>
      </c>
      <c r="BJ57" s="22" t="str">
        <f t="shared" si="56"/>
        <v/>
      </c>
      <c r="BK57" s="22" t="str">
        <f t="shared" si="57"/>
        <v/>
      </c>
      <c r="BL57" s="21" t="str">
        <f t="shared" si="58"/>
        <v>VEC-V10|1|EX1</v>
      </c>
      <c r="BM57" s="22">
        <f>IF(BL57="",0,COUNTIF(nEXP_Key,BL57))</f>
        <v>1</v>
      </c>
      <c r="BN57" s="21" t="str">
        <f t="shared" si="59"/>
        <v/>
      </c>
      <c r="BO57" s="21" t="str">
        <f>IF(BN57="","",BN57&amp;": "&amp;SUBSTITUTE(IFERROR(INDEX(nMSG_Text,MATCH(BN57,nMSG_Code,0)),""),"[input]",IF(D57="","an Exposure_Episode_ID","the date fields required by the selected precision")))</f>
        <v/>
      </c>
    </row>
    <row r="58" spans="1:67" x14ac:dyDescent="0.2">
      <c r="A58" s="9" t="s">
        <v>323</v>
      </c>
      <c r="B58" s="11">
        <v>1</v>
      </c>
      <c r="C58" s="9" t="s">
        <v>493</v>
      </c>
      <c r="D58" s="9" t="s">
        <v>494</v>
      </c>
      <c r="E58" s="9" t="s">
        <v>495</v>
      </c>
      <c r="F58" s="16"/>
      <c r="G58" s="9"/>
      <c r="H58" s="16"/>
      <c r="I58" s="16"/>
      <c r="J58" s="9"/>
      <c r="K58" s="16"/>
      <c r="L58" s="9"/>
      <c r="M58" s="9" t="s">
        <v>517</v>
      </c>
      <c r="N58" s="16" t="s">
        <v>3</v>
      </c>
      <c r="O58" s="14">
        <v>46113</v>
      </c>
      <c r="P58" s="25">
        <v>0.33333333333333298</v>
      </c>
      <c r="Q58" s="9" t="s">
        <v>18</v>
      </c>
      <c r="R58" s="11"/>
      <c r="S58" s="11"/>
      <c r="T58" s="14"/>
      <c r="U58" s="14"/>
      <c r="V58" s="9" t="s">
        <v>518</v>
      </c>
      <c r="W58" s="21" t="str">
        <f>IF(COUNTA(N58:U58)=0,"",IF(N58="","E_MISSING_INPUT",IF(N58="TIMESTAMP",IF(OR(O58="",P58="",Q58=""),"E_MISSING_INPUT",IF(OR(NOT(ISNUMBER(O58)),NOT(ISNUMBER(P58))),"E_INVALID_DATE",IF(OR(O58&lt;&gt;INT(O58),P58&lt;0,P58&gt;=1),"E_INVALID_DATE",IF(ISNA(MATCH(Q58,nLIST_Offset,0)),"E_INVALID_UNIT","")))),IF(N58="DATE",IF(O58="","E_MISSING_INPUT",IF(NOT(ISNUMBER(O58)),"E_INVALID_DATE",IF(O58&lt;&gt;INT(O58),"E_INVALID_DATE",""))),IF(N58="MONTH",IF(OR(R58="",S58=""),"E_MISSING_INPUT",IF(OR(NOT(ISNUMBER(R58)),NOT(ISNUMBER(S58))),"E_INVALID_DATE",IF(OR(R58&lt;1900,R58&gt;9999,R58&lt;&gt;INT(R58),S58&lt;1,S58&gt;12,S58&lt;&gt;INT(S58)),"E_INVALID_DATE",""))),IF(N58="YEAR",IF(R58="","E_MISSING_INPUT",IF(NOT(ISNUMBER(R58)),"E_INVALID_DATE",IF(OR(R58&lt;1900,R58&gt;9999,R58&lt;&gt;INT(R58)),"E_INVALID_DATE",""))),IF(N58="RANGE",IF(OR(T58="",U58=""),"E_MISSING_INPUT",IF(OR(NOT(ISNUMBER(T58)),NOT(ISNUMBER(U58))),"E_INVALID_DATE",IF(OR(T58&lt;&gt;INT(T58),U58&lt;&gt;INT(U58)),"E_INVALID_DATE",IF(T58&gt;U58,"E_REVERSED_BOUNDS","")))),"E_INVALID_UNIT")))))))</f>
        <v/>
      </c>
      <c r="X58" s="22">
        <f t="shared" si="40"/>
        <v>1</v>
      </c>
      <c r="Y58" s="22">
        <f t="shared" si="41"/>
        <v>1</v>
      </c>
      <c r="Z58" s="28">
        <f t="shared" si="42"/>
        <v>46113</v>
      </c>
      <c r="AA58" s="28">
        <f t="shared" si="43"/>
        <v>46113</v>
      </c>
      <c r="AB58" s="22">
        <f t="shared" si="44"/>
        <v>66403200</v>
      </c>
      <c r="AC58" s="22">
        <f t="shared" si="45"/>
        <v>66403500</v>
      </c>
      <c r="AD58" s="9"/>
      <c r="AE58" s="16"/>
      <c r="AF58" s="14"/>
      <c r="AG58" s="25"/>
      <c r="AH58" s="9"/>
      <c r="AI58" s="11"/>
      <c r="AJ58" s="11"/>
      <c r="AK58" s="14"/>
      <c r="AL58" s="14"/>
      <c r="AM58" s="9"/>
      <c r="AN58" s="21" t="str">
        <f>IF(COUNTA(AE58:AL58)=0,"",IF(AE58="","E_MISSING_INPUT",IF(AE58="TIMESTAMP",IF(OR(AF58="",AG58="",AH58=""),"E_MISSING_INPUT",IF(OR(NOT(ISNUMBER(AF58)),NOT(ISNUMBER(AG58))),"E_INVALID_DATE",IF(OR(AF58&lt;&gt;INT(AF58),AG58&lt;0,AG58&gt;=1),"E_INVALID_DATE",IF(ISNA(MATCH(AH58,nLIST_Offset,0)),"E_INVALID_UNIT","")))),IF(AE58="DATE",IF(AF58="","E_MISSING_INPUT",IF(NOT(ISNUMBER(AF58)),"E_INVALID_DATE",IF(AF58&lt;&gt;INT(AF58),"E_INVALID_DATE",""))),IF(AE58="MONTH",IF(OR(AI58="",AJ58=""),"E_MISSING_INPUT",IF(OR(NOT(ISNUMBER(AI58)),NOT(ISNUMBER(AJ58))),"E_INVALID_DATE",IF(OR(AI58&lt;1900,AI58&gt;9999,AI58&lt;&gt;INT(AI58),AJ58&lt;1,AJ58&gt;12,AJ58&lt;&gt;INT(AJ58)),"E_INVALID_DATE",""))),IF(AE58="YEAR",IF(AI58="","E_MISSING_INPUT",IF(NOT(ISNUMBER(AI58)),"E_INVALID_DATE",IF(OR(AI58&lt;1900,AI58&gt;9999,AI58&lt;&gt;INT(AI58)),"E_INVALID_DATE",""))),IF(AE58="RANGE",IF(OR(AK58="",AL58=""),"E_MISSING_INPUT",IF(OR(NOT(ISNUMBER(AK58)),NOT(ISNUMBER(AL58))),"E_INVALID_DATE",IF(OR(AK58&lt;&gt;INT(AK58),AL58&lt;&gt;INT(AL58)),"E_INVALID_DATE",IF(AK58&gt;AL58,"E_REVERSED_BOUNDS","")))),"E_INVALID_UNIT")))))))</f>
        <v/>
      </c>
      <c r="AO58" s="22">
        <f t="shared" si="46"/>
        <v>0</v>
      </c>
      <c r="AP58" s="22">
        <f t="shared" si="47"/>
        <v>0</v>
      </c>
      <c r="AQ58" s="28" t="str">
        <f t="shared" si="48"/>
        <v/>
      </c>
      <c r="AR58" s="28" t="str">
        <f t="shared" si="49"/>
        <v/>
      </c>
      <c r="AS58" s="22" t="str">
        <f t="shared" si="50"/>
        <v/>
      </c>
      <c r="AT58" s="22" t="str">
        <f t="shared" si="51"/>
        <v/>
      </c>
      <c r="AU58" s="9"/>
      <c r="AV58" s="16"/>
      <c r="AW58" s="14"/>
      <c r="AX58" s="25"/>
      <c r="AY58" s="9"/>
      <c r="AZ58" s="11"/>
      <c r="BA58" s="11"/>
      <c r="BB58" s="14"/>
      <c r="BC58" s="14"/>
      <c r="BD58" s="9"/>
      <c r="BE58" s="21" t="str">
        <f>IF(COUNTA(AV58:BC58)=0,"",IF(AV58="","E_MISSING_INPUT",IF(AV58="TIMESTAMP",IF(OR(AW58="",AX58="",AY58=""),"E_MISSING_INPUT",IF(OR(NOT(ISNUMBER(AW58)),NOT(ISNUMBER(AX58))),"E_INVALID_DATE",IF(OR(AW58&lt;&gt;INT(AW58),AX58&lt;0,AX58&gt;=1),"E_INVALID_DATE",IF(ISNA(MATCH(AY58,nLIST_Offset,0)),"E_INVALID_UNIT","")))),IF(AV58="DATE",IF(AW58="","E_MISSING_INPUT",IF(NOT(ISNUMBER(AW58)),"E_INVALID_DATE",IF(AW58&lt;&gt;INT(AW58),"E_INVALID_DATE",""))),IF(AV58="MONTH",IF(OR(AZ58="",BA58=""),"E_MISSING_INPUT",IF(OR(NOT(ISNUMBER(AZ58)),NOT(ISNUMBER(BA58))),"E_INVALID_DATE",IF(OR(AZ58&lt;1900,AZ58&gt;9999,AZ58&lt;&gt;INT(AZ58),BA58&lt;1,BA58&gt;12,BA58&lt;&gt;INT(BA58)),"E_INVALID_DATE",""))),IF(AV58="YEAR",IF(AZ58="","E_MISSING_INPUT",IF(NOT(ISNUMBER(AZ58)),"E_INVALID_DATE",IF(OR(AZ58&lt;1900,AZ58&gt;9999,AZ58&lt;&gt;INT(AZ58)),"E_INVALID_DATE",""))),IF(AV58="RANGE",IF(OR(BB58="",BC58=""),"E_MISSING_INPUT",IF(OR(NOT(ISNUMBER(BB58)),NOT(ISNUMBER(BC58))),"E_INVALID_DATE",IF(OR(BB58&lt;&gt;INT(BB58),BC58&lt;&gt;INT(BC58)),"E_INVALID_DATE",IF(BB58&gt;BC58,"E_REVERSED_BOUNDS","")))),"E_INVALID_UNIT")))))))</f>
        <v/>
      </c>
      <c r="BF58" s="22">
        <f t="shared" si="52"/>
        <v>0</v>
      </c>
      <c r="BG58" s="22">
        <f t="shared" si="53"/>
        <v>0</v>
      </c>
      <c r="BH58" s="28" t="str">
        <f t="shared" si="54"/>
        <v/>
      </c>
      <c r="BI58" s="28" t="str">
        <f t="shared" si="55"/>
        <v/>
      </c>
      <c r="BJ58" s="22" t="str">
        <f t="shared" si="56"/>
        <v/>
      </c>
      <c r="BK58" s="22" t="str">
        <f t="shared" si="57"/>
        <v/>
      </c>
      <c r="BL58" s="21" t="str">
        <f t="shared" si="58"/>
        <v>VEC-V11|1|EX1</v>
      </c>
      <c r="BM58" s="22">
        <f>IF(BL58="",0,COUNTIF(nEXP_Key,BL58))</f>
        <v>1</v>
      </c>
      <c r="BN58" s="21" t="str">
        <f t="shared" si="59"/>
        <v/>
      </c>
      <c r="BO58" s="21" t="str">
        <f>IF(BN58="","",BN58&amp;": "&amp;SUBSTITUTE(IFERROR(INDEX(nMSG_Text,MATCH(BN58,nMSG_Code,0)),""),"[input]",IF(D58="","an Exposure_Episode_ID","the date fields required by the selected precision")))</f>
        <v/>
      </c>
    </row>
    <row r="59" spans="1:67" x14ac:dyDescent="0.2">
      <c r="A59" s="9" t="s">
        <v>325</v>
      </c>
      <c r="B59" s="11">
        <v>1</v>
      </c>
      <c r="C59" s="9" t="s">
        <v>493</v>
      </c>
      <c r="D59" s="9" t="s">
        <v>494</v>
      </c>
      <c r="E59" s="9" t="s">
        <v>495</v>
      </c>
      <c r="F59" s="16"/>
      <c r="G59" s="9"/>
      <c r="H59" s="16"/>
      <c r="I59" s="16"/>
      <c r="J59" s="9"/>
      <c r="K59" s="16"/>
      <c r="L59" s="9"/>
      <c r="M59" s="9" t="s">
        <v>519</v>
      </c>
      <c r="N59" s="16" t="s">
        <v>4</v>
      </c>
      <c r="O59" s="14">
        <v>46143</v>
      </c>
      <c r="P59" s="25"/>
      <c r="Q59" s="9"/>
      <c r="R59" s="11"/>
      <c r="S59" s="11"/>
      <c r="T59" s="14"/>
      <c r="U59" s="14"/>
      <c r="V59" s="9" t="s">
        <v>520</v>
      </c>
      <c r="W59" s="21" t="str">
        <f>IF(COUNTA(N59:U59)=0,"",IF(N59="","E_MISSING_INPUT",IF(N59="TIMESTAMP",IF(OR(O59="",P59="",Q59=""),"E_MISSING_INPUT",IF(OR(NOT(ISNUMBER(O59)),NOT(ISNUMBER(P59))),"E_INVALID_DATE",IF(OR(O59&lt;&gt;INT(O59),P59&lt;0,P59&gt;=1),"E_INVALID_DATE",IF(ISNA(MATCH(Q59,nLIST_Offset,0)),"E_INVALID_UNIT","")))),IF(N59="DATE",IF(O59="","E_MISSING_INPUT",IF(NOT(ISNUMBER(O59)),"E_INVALID_DATE",IF(O59&lt;&gt;INT(O59),"E_INVALID_DATE",""))),IF(N59="MONTH",IF(OR(R59="",S59=""),"E_MISSING_INPUT",IF(OR(NOT(ISNUMBER(R59)),NOT(ISNUMBER(S59))),"E_INVALID_DATE",IF(OR(R59&lt;1900,R59&gt;9999,R59&lt;&gt;INT(R59),S59&lt;1,S59&gt;12,S59&lt;&gt;INT(S59)),"E_INVALID_DATE",""))),IF(N59="YEAR",IF(R59="","E_MISSING_INPUT",IF(NOT(ISNUMBER(R59)),"E_INVALID_DATE",IF(OR(R59&lt;1900,R59&gt;9999,R59&lt;&gt;INT(R59)),"E_INVALID_DATE",""))),IF(N59="RANGE",IF(OR(T59="",U59=""),"E_MISSING_INPUT",IF(OR(NOT(ISNUMBER(T59)),NOT(ISNUMBER(U59))),"E_INVALID_DATE",IF(OR(T59&lt;&gt;INT(T59),U59&lt;&gt;INT(U59)),"E_INVALID_DATE",IF(T59&gt;U59,"E_REVERSED_BOUNDS","")))),"E_INVALID_UNIT")))))))</f>
        <v/>
      </c>
      <c r="X59" s="22">
        <f t="shared" si="40"/>
        <v>0</v>
      </c>
      <c r="Y59" s="22">
        <f t="shared" si="41"/>
        <v>0</v>
      </c>
      <c r="Z59" s="28">
        <f t="shared" si="42"/>
        <v>46143</v>
      </c>
      <c r="AA59" s="28">
        <f t="shared" si="43"/>
        <v>46143</v>
      </c>
      <c r="AB59" s="22" t="str">
        <f t="shared" si="44"/>
        <v/>
      </c>
      <c r="AC59" s="22" t="str">
        <f t="shared" si="45"/>
        <v/>
      </c>
      <c r="AD59" s="9"/>
      <c r="AE59" s="16"/>
      <c r="AF59" s="14"/>
      <c r="AG59" s="25"/>
      <c r="AH59" s="9"/>
      <c r="AI59" s="11"/>
      <c r="AJ59" s="11"/>
      <c r="AK59" s="14"/>
      <c r="AL59" s="14"/>
      <c r="AM59" s="9"/>
      <c r="AN59" s="21" t="str">
        <f>IF(COUNTA(AE59:AL59)=0,"",IF(AE59="","E_MISSING_INPUT",IF(AE59="TIMESTAMP",IF(OR(AF59="",AG59="",AH59=""),"E_MISSING_INPUT",IF(OR(NOT(ISNUMBER(AF59)),NOT(ISNUMBER(AG59))),"E_INVALID_DATE",IF(OR(AF59&lt;&gt;INT(AF59),AG59&lt;0,AG59&gt;=1),"E_INVALID_DATE",IF(ISNA(MATCH(AH59,nLIST_Offset,0)),"E_INVALID_UNIT","")))),IF(AE59="DATE",IF(AF59="","E_MISSING_INPUT",IF(NOT(ISNUMBER(AF59)),"E_INVALID_DATE",IF(AF59&lt;&gt;INT(AF59),"E_INVALID_DATE",""))),IF(AE59="MONTH",IF(OR(AI59="",AJ59=""),"E_MISSING_INPUT",IF(OR(NOT(ISNUMBER(AI59)),NOT(ISNUMBER(AJ59))),"E_INVALID_DATE",IF(OR(AI59&lt;1900,AI59&gt;9999,AI59&lt;&gt;INT(AI59),AJ59&lt;1,AJ59&gt;12,AJ59&lt;&gt;INT(AJ59)),"E_INVALID_DATE",""))),IF(AE59="YEAR",IF(AI59="","E_MISSING_INPUT",IF(NOT(ISNUMBER(AI59)),"E_INVALID_DATE",IF(OR(AI59&lt;1900,AI59&gt;9999,AI59&lt;&gt;INT(AI59)),"E_INVALID_DATE",""))),IF(AE59="RANGE",IF(OR(AK59="",AL59=""),"E_MISSING_INPUT",IF(OR(NOT(ISNUMBER(AK59)),NOT(ISNUMBER(AL59))),"E_INVALID_DATE",IF(OR(AK59&lt;&gt;INT(AK59),AL59&lt;&gt;INT(AL59)),"E_INVALID_DATE",IF(AK59&gt;AL59,"E_REVERSED_BOUNDS","")))),"E_INVALID_UNIT")))))))</f>
        <v/>
      </c>
      <c r="AO59" s="22">
        <f t="shared" si="46"/>
        <v>0</v>
      </c>
      <c r="AP59" s="22">
        <f t="shared" si="47"/>
        <v>0</v>
      </c>
      <c r="AQ59" s="28" t="str">
        <f t="shared" si="48"/>
        <v/>
      </c>
      <c r="AR59" s="28" t="str">
        <f t="shared" si="49"/>
        <v/>
      </c>
      <c r="AS59" s="22" t="str">
        <f t="shared" si="50"/>
        <v/>
      </c>
      <c r="AT59" s="22" t="str">
        <f t="shared" si="51"/>
        <v/>
      </c>
      <c r="AU59" s="9"/>
      <c r="AV59" s="16"/>
      <c r="AW59" s="14"/>
      <c r="AX59" s="25"/>
      <c r="AY59" s="9"/>
      <c r="AZ59" s="11"/>
      <c r="BA59" s="11"/>
      <c r="BB59" s="14"/>
      <c r="BC59" s="14"/>
      <c r="BD59" s="9"/>
      <c r="BE59" s="21" t="str">
        <f>IF(COUNTA(AV59:BC59)=0,"",IF(AV59="","E_MISSING_INPUT",IF(AV59="TIMESTAMP",IF(OR(AW59="",AX59="",AY59=""),"E_MISSING_INPUT",IF(OR(NOT(ISNUMBER(AW59)),NOT(ISNUMBER(AX59))),"E_INVALID_DATE",IF(OR(AW59&lt;&gt;INT(AW59),AX59&lt;0,AX59&gt;=1),"E_INVALID_DATE",IF(ISNA(MATCH(AY59,nLIST_Offset,0)),"E_INVALID_UNIT","")))),IF(AV59="DATE",IF(AW59="","E_MISSING_INPUT",IF(NOT(ISNUMBER(AW59)),"E_INVALID_DATE",IF(AW59&lt;&gt;INT(AW59),"E_INVALID_DATE",""))),IF(AV59="MONTH",IF(OR(AZ59="",BA59=""),"E_MISSING_INPUT",IF(OR(NOT(ISNUMBER(AZ59)),NOT(ISNUMBER(BA59))),"E_INVALID_DATE",IF(OR(AZ59&lt;1900,AZ59&gt;9999,AZ59&lt;&gt;INT(AZ59),BA59&lt;1,BA59&gt;12,BA59&lt;&gt;INT(BA59)),"E_INVALID_DATE",""))),IF(AV59="YEAR",IF(AZ59="","E_MISSING_INPUT",IF(NOT(ISNUMBER(AZ59)),"E_INVALID_DATE",IF(OR(AZ59&lt;1900,AZ59&gt;9999,AZ59&lt;&gt;INT(AZ59)),"E_INVALID_DATE",""))),IF(AV59="RANGE",IF(OR(BB59="",BC59=""),"E_MISSING_INPUT",IF(OR(NOT(ISNUMBER(BB59)),NOT(ISNUMBER(BC59))),"E_INVALID_DATE",IF(OR(BB59&lt;&gt;INT(BB59),BC59&lt;&gt;INT(BC59)),"E_INVALID_DATE",IF(BB59&gt;BC59,"E_REVERSED_BOUNDS","")))),"E_INVALID_UNIT")))))))</f>
        <v/>
      </c>
      <c r="BF59" s="22">
        <f t="shared" si="52"/>
        <v>0</v>
      </c>
      <c r="BG59" s="22">
        <f t="shared" si="53"/>
        <v>0</v>
      </c>
      <c r="BH59" s="28" t="str">
        <f t="shared" si="54"/>
        <v/>
      </c>
      <c r="BI59" s="28" t="str">
        <f t="shared" si="55"/>
        <v/>
      </c>
      <c r="BJ59" s="22" t="str">
        <f t="shared" si="56"/>
        <v/>
      </c>
      <c r="BK59" s="22" t="str">
        <f t="shared" si="57"/>
        <v/>
      </c>
      <c r="BL59" s="21" t="str">
        <f t="shared" si="58"/>
        <v>VEC-V12|1|EX1</v>
      </c>
      <c r="BM59" s="22">
        <f>IF(BL59="",0,COUNTIF(nEXP_Key,BL59))</f>
        <v>1</v>
      </c>
      <c r="BN59" s="21" t="str">
        <f t="shared" si="59"/>
        <v/>
      </c>
      <c r="BO59" s="21" t="str">
        <f>IF(BN59="","",BN59&amp;": "&amp;SUBSTITUTE(IFERROR(INDEX(nMSG_Text,MATCH(BN59,nMSG_Code,0)),""),"[input]",IF(D59="","an Exposure_Episode_ID","the date fields required by the selected precision")))</f>
        <v/>
      </c>
    </row>
    <row r="60" spans="1:67" x14ac:dyDescent="0.2">
      <c r="A60" s="9" t="s">
        <v>325</v>
      </c>
      <c r="B60" s="11">
        <v>2</v>
      </c>
      <c r="C60" s="9" t="s">
        <v>493</v>
      </c>
      <c r="D60" s="9" t="s">
        <v>494</v>
      </c>
      <c r="E60" s="9" t="s">
        <v>495</v>
      </c>
      <c r="F60" s="16"/>
      <c r="G60" s="9"/>
      <c r="H60" s="16"/>
      <c r="I60" s="16"/>
      <c r="J60" s="9"/>
      <c r="K60" s="16"/>
      <c r="L60" s="9"/>
      <c r="M60" s="9" t="s">
        <v>519</v>
      </c>
      <c r="N60" s="16" t="s">
        <v>4</v>
      </c>
      <c r="O60" s="14">
        <v>46143</v>
      </c>
      <c r="P60" s="25"/>
      <c r="Q60" s="9"/>
      <c r="R60" s="11"/>
      <c r="S60" s="11"/>
      <c r="T60" s="14"/>
      <c r="U60" s="14"/>
      <c r="V60" s="9" t="s">
        <v>520</v>
      </c>
      <c r="W60" s="21" t="str">
        <f>IF(COUNTA(N60:U60)=0,"",IF(N60="","E_MISSING_INPUT",IF(N60="TIMESTAMP",IF(OR(O60="",P60="",Q60=""),"E_MISSING_INPUT",IF(OR(NOT(ISNUMBER(O60)),NOT(ISNUMBER(P60))),"E_INVALID_DATE",IF(OR(O60&lt;&gt;INT(O60),P60&lt;0,P60&gt;=1),"E_INVALID_DATE",IF(ISNA(MATCH(Q60,nLIST_Offset,0)),"E_INVALID_UNIT","")))),IF(N60="DATE",IF(O60="","E_MISSING_INPUT",IF(NOT(ISNUMBER(O60)),"E_INVALID_DATE",IF(O60&lt;&gt;INT(O60),"E_INVALID_DATE",""))),IF(N60="MONTH",IF(OR(R60="",S60=""),"E_MISSING_INPUT",IF(OR(NOT(ISNUMBER(R60)),NOT(ISNUMBER(S60))),"E_INVALID_DATE",IF(OR(R60&lt;1900,R60&gt;9999,R60&lt;&gt;INT(R60),S60&lt;1,S60&gt;12,S60&lt;&gt;INT(S60)),"E_INVALID_DATE",""))),IF(N60="YEAR",IF(R60="","E_MISSING_INPUT",IF(NOT(ISNUMBER(R60)),"E_INVALID_DATE",IF(OR(R60&lt;1900,R60&gt;9999,R60&lt;&gt;INT(R60)),"E_INVALID_DATE",""))),IF(N60="RANGE",IF(OR(T60="",U60=""),"E_MISSING_INPUT",IF(OR(NOT(ISNUMBER(T60)),NOT(ISNUMBER(U60))),"E_INVALID_DATE",IF(OR(T60&lt;&gt;INT(T60),U60&lt;&gt;INT(U60)),"E_INVALID_DATE",IF(T60&gt;U60,"E_REVERSED_BOUNDS","")))),"E_INVALID_UNIT")))))))</f>
        <v/>
      </c>
      <c r="X60" s="22">
        <f t="shared" si="40"/>
        <v>0</v>
      </c>
      <c r="Y60" s="22">
        <f t="shared" si="41"/>
        <v>0</v>
      </c>
      <c r="Z60" s="28">
        <f t="shared" si="42"/>
        <v>46143</v>
      </c>
      <c r="AA60" s="28">
        <f t="shared" si="43"/>
        <v>46143</v>
      </c>
      <c r="AB60" s="22" t="str">
        <f t="shared" si="44"/>
        <v/>
      </c>
      <c r="AC60" s="22" t="str">
        <f t="shared" si="45"/>
        <v/>
      </c>
      <c r="AD60" s="9"/>
      <c r="AE60" s="16"/>
      <c r="AF60" s="14"/>
      <c r="AG60" s="25"/>
      <c r="AH60" s="9"/>
      <c r="AI60" s="11"/>
      <c r="AJ60" s="11"/>
      <c r="AK60" s="14"/>
      <c r="AL60" s="14"/>
      <c r="AM60" s="9"/>
      <c r="AN60" s="21" t="str">
        <f>IF(COUNTA(AE60:AL60)=0,"",IF(AE60="","E_MISSING_INPUT",IF(AE60="TIMESTAMP",IF(OR(AF60="",AG60="",AH60=""),"E_MISSING_INPUT",IF(OR(NOT(ISNUMBER(AF60)),NOT(ISNUMBER(AG60))),"E_INVALID_DATE",IF(OR(AF60&lt;&gt;INT(AF60),AG60&lt;0,AG60&gt;=1),"E_INVALID_DATE",IF(ISNA(MATCH(AH60,nLIST_Offset,0)),"E_INVALID_UNIT","")))),IF(AE60="DATE",IF(AF60="","E_MISSING_INPUT",IF(NOT(ISNUMBER(AF60)),"E_INVALID_DATE",IF(AF60&lt;&gt;INT(AF60),"E_INVALID_DATE",""))),IF(AE60="MONTH",IF(OR(AI60="",AJ60=""),"E_MISSING_INPUT",IF(OR(NOT(ISNUMBER(AI60)),NOT(ISNUMBER(AJ60))),"E_INVALID_DATE",IF(OR(AI60&lt;1900,AI60&gt;9999,AI60&lt;&gt;INT(AI60),AJ60&lt;1,AJ60&gt;12,AJ60&lt;&gt;INT(AJ60)),"E_INVALID_DATE",""))),IF(AE60="YEAR",IF(AI60="","E_MISSING_INPUT",IF(NOT(ISNUMBER(AI60)),"E_INVALID_DATE",IF(OR(AI60&lt;1900,AI60&gt;9999,AI60&lt;&gt;INT(AI60)),"E_INVALID_DATE",""))),IF(AE60="RANGE",IF(OR(AK60="",AL60=""),"E_MISSING_INPUT",IF(OR(NOT(ISNUMBER(AK60)),NOT(ISNUMBER(AL60))),"E_INVALID_DATE",IF(OR(AK60&lt;&gt;INT(AK60),AL60&lt;&gt;INT(AL60)),"E_INVALID_DATE",IF(AK60&gt;AL60,"E_REVERSED_BOUNDS","")))),"E_INVALID_UNIT")))))))</f>
        <v/>
      </c>
      <c r="AO60" s="22">
        <f t="shared" si="46"/>
        <v>0</v>
      </c>
      <c r="AP60" s="22">
        <f t="shared" si="47"/>
        <v>0</v>
      </c>
      <c r="AQ60" s="28" t="str">
        <f t="shared" si="48"/>
        <v/>
      </c>
      <c r="AR60" s="28" t="str">
        <f t="shared" si="49"/>
        <v/>
      </c>
      <c r="AS60" s="22" t="str">
        <f t="shared" si="50"/>
        <v/>
      </c>
      <c r="AT60" s="22" t="str">
        <f t="shared" si="51"/>
        <v/>
      </c>
      <c r="AU60" s="9"/>
      <c r="AV60" s="16"/>
      <c r="AW60" s="14"/>
      <c r="AX60" s="25"/>
      <c r="AY60" s="9"/>
      <c r="AZ60" s="11"/>
      <c r="BA60" s="11"/>
      <c r="BB60" s="14"/>
      <c r="BC60" s="14"/>
      <c r="BD60" s="9"/>
      <c r="BE60" s="21" t="str">
        <f>IF(COUNTA(AV60:BC60)=0,"",IF(AV60="","E_MISSING_INPUT",IF(AV60="TIMESTAMP",IF(OR(AW60="",AX60="",AY60=""),"E_MISSING_INPUT",IF(OR(NOT(ISNUMBER(AW60)),NOT(ISNUMBER(AX60))),"E_INVALID_DATE",IF(OR(AW60&lt;&gt;INT(AW60),AX60&lt;0,AX60&gt;=1),"E_INVALID_DATE",IF(ISNA(MATCH(AY60,nLIST_Offset,0)),"E_INVALID_UNIT","")))),IF(AV60="DATE",IF(AW60="","E_MISSING_INPUT",IF(NOT(ISNUMBER(AW60)),"E_INVALID_DATE",IF(AW60&lt;&gt;INT(AW60),"E_INVALID_DATE",""))),IF(AV60="MONTH",IF(OR(AZ60="",BA60=""),"E_MISSING_INPUT",IF(OR(NOT(ISNUMBER(AZ60)),NOT(ISNUMBER(BA60))),"E_INVALID_DATE",IF(OR(AZ60&lt;1900,AZ60&gt;9999,AZ60&lt;&gt;INT(AZ60),BA60&lt;1,BA60&gt;12,BA60&lt;&gt;INT(BA60)),"E_INVALID_DATE",""))),IF(AV60="YEAR",IF(AZ60="","E_MISSING_INPUT",IF(NOT(ISNUMBER(AZ60)),"E_INVALID_DATE",IF(OR(AZ60&lt;1900,AZ60&gt;9999,AZ60&lt;&gt;INT(AZ60)),"E_INVALID_DATE",""))),IF(AV60="RANGE",IF(OR(BB60="",BC60=""),"E_MISSING_INPUT",IF(OR(NOT(ISNUMBER(BB60)),NOT(ISNUMBER(BC60))),"E_INVALID_DATE",IF(OR(BB60&lt;&gt;INT(BB60),BC60&lt;&gt;INT(BC60)),"E_INVALID_DATE",IF(BB60&gt;BC60,"E_REVERSED_BOUNDS","")))),"E_INVALID_UNIT")))))))</f>
        <v/>
      </c>
      <c r="BF60" s="22">
        <f t="shared" si="52"/>
        <v>0</v>
      </c>
      <c r="BG60" s="22">
        <f t="shared" si="53"/>
        <v>0</v>
      </c>
      <c r="BH60" s="28" t="str">
        <f t="shared" si="54"/>
        <v/>
      </c>
      <c r="BI60" s="28" t="str">
        <f t="shared" si="55"/>
        <v/>
      </c>
      <c r="BJ60" s="22" t="str">
        <f t="shared" si="56"/>
        <v/>
      </c>
      <c r="BK60" s="22" t="str">
        <f t="shared" si="57"/>
        <v/>
      </c>
      <c r="BL60" s="21" t="str">
        <f t="shared" si="58"/>
        <v>VEC-V12|2|EX1</v>
      </c>
      <c r="BM60" s="22">
        <f>IF(BL60="",0,COUNTIF(nEXP_Key,BL60))</f>
        <v>1</v>
      </c>
      <c r="BN60" s="21" t="str">
        <f t="shared" si="59"/>
        <v/>
      </c>
      <c r="BO60" s="21" t="str">
        <f>IF(BN60="","",BN60&amp;": "&amp;SUBSTITUTE(IFERROR(INDEX(nMSG_Text,MATCH(BN60,nMSG_Code,0)),""),"[input]",IF(D60="","an Exposure_Episode_ID","the date fields required by the selected precision")))</f>
        <v/>
      </c>
    </row>
    <row r="61" spans="1:67" x14ac:dyDescent="0.2">
      <c r="A61" s="9" t="s">
        <v>329</v>
      </c>
      <c r="B61" s="11">
        <v>1</v>
      </c>
      <c r="C61" s="9" t="s">
        <v>493</v>
      </c>
      <c r="D61" s="9" t="s">
        <v>494</v>
      </c>
      <c r="E61" s="9" t="s">
        <v>495</v>
      </c>
      <c r="F61" s="16"/>
      <c r="G61" s="9"/>
      <c r="H61" s="16"/>
      <c r="I61" s="16"/>
      <c r="J61" s="9"/>
      <c r="K61" s="16"/>
      <c r="L61" s="9"/>
      <c r="M61" s="9" t="s">
        <v>521</v>
      </c>
      <c r="N61" s="16" t="s">
        <v>4</v>
      </c>
      <c r="O61" s="14">
        <v>46023</v>
      </c>
      <c r="P61" s="25"/>
      <c r="Q61" s="9"/>
      <c r="R61" s="11"/>
      <c r="S61" s="11"/>
      <c r="T61" s="14"/>
      <c r="U61" s="14"/>
      <c r="V61" s="9" t="s">
        <v>522</v>
      </c>
      <c r="W61" s="21" t="str">
        <f>IF(COUNTA(N61:U61)=0,"",IF(N61="","E_MISSING_INPUT",IF(N61="TIMESTAMP",IF(OR(O61="",P61="",Q61=""),"E_MISSING_INPUT",IF(OR(NOT(ISNUMBER(O61)),NOT(ISNUMBER(P61))),"E_INVALID_DATE",IF(OR(O61&lt;&gt;INT(O61),P61&lt;0,P61&gt;=1),"E_INVALID_DATE",IF(ISNA(MATCH(Q61,nLIST_Offset,0)),"E_INVALID_UNIT","")))),IF(N61="DATE",IF(O61="","E_MISSING_INPUT",IF(NOT(ISNUMBER(O61)),"E_INVALID_DATE",IF(O61&lt;&gt;INT(O61),"E_INVALID_DATE",""))),IF(N61="MONTH",IF(OR(R61="",S61=""),"E_MISSING_INPUT",IF(OR(NOT(ISNUMBER(R61)),NOT(ISNUMBER(S61))),"E_INVALID_DATE",IF(OR(R61&lt;1900,R61&gt;9999,R61&lt;&gt;INT(R61),S61&lt;1,S61&gt;12,S61&lt;&gt;INT(S61)),"E_INVALID_DATE",""))),IF(N61="YEAR",IF(R61="","E_MISSING_INPUT",IF(NOT(ISNUMBER(R61)),"E_INVALID_DATE",IF(OR(R61&lt;1900,R61&gt;9999,R61&lt;&gt;INT(R61)),"E_INVALID_DATE",""))),IF(N61="RANGE",IF(OR(T61="",U61=""),"E_MISSING_INPUT",IF(OR(NOT(ISNUMBER(T61)),NOT(ISNUMBER(U61))),"E_INVALID_DATE",IF(OR(T61&lt;&gt;INT(T61),U61&lt;&gt;INT(U61)),"E_INVALID_DATE",IF(T61&gt;U61,"E_REVERSED_BOUNDS","")))),"E_INVALID_UNIT")))))))</f>
        <v/>
      </c>
      <c r="X61" s="22">
        <f t="shared" si="40"/>
        <v>0</v>
      </c>
      <c r="Y61" s="22">
        <f t="shared" si="41"/>
        <v>0</v>
      </c>
      <c r="Z61" s="28">
        <f t="shared" si="42"/>
        <v>46023</v>
      </c>
      <c r="AA61" s="28">
        <f t="shared" si="43"/>
        <v>46023</v>
      </c>
      <c r="AB61" s="22" t="str">
        <f t="shared" si="44"/>
        <v/>
      </c>
      <c r="AC61" s="22" t="str">
        <f t="shared" si="45"/>
        <v/>
      </c>
      <c r="AD61" s="9"/>
      <c r="AE61" s="16"/>
      <c r="AF61" s="14"/>
      <c r="AG61" s="25"/>
      <c r="AH61" s="9"/>
      <c r="AI61" s="11"/>
      <c r="AJ61" s="11"/>
      <c r="AK61" s="14"/>
      <c r="AL61" s="14"/>
      <c r="AM61" s="9"/>
      <c r="AN61" s="21" t="str">
        <f>IF(COUNTA(AE61:AL61)=0,"",IF(AE61="","E_MISSING_INPUT",IF(AE61="TIMESTAMP",IF(OR(AF61="",AG61="",AH61=""),"E_MISSING_INPUT",IF(OR(NOT(ISNUMBER(AF61)),NOT(ISNUMBER(AG61))),"E_INVALID_DATE",IF(OR(AF61&lt;&gt;INT(AF61),AG61&lt;0,AG61&gt;=1),"E_INVALID_DATE",IF(ISNA(MATCH(AH61,nLIST_Offset,0)),"E_INVALID_UNIT","")))),IF(AE61="DATE",IF(AF61="","E_MISSING_INPUT",IF(NOT(ISNUMBER(AF61)),"E_INVALID_DATE",IF(AF61&lt;&gt;INT(AF61),"E_INVALID_DATE",""))),IF(AE61="MONTH",IF(OR(AI61="",AJ61=""),"E_MISSING_INPUT",IF(OR(NOT(ISNUMBER(AI61)),NOT(ISNUMBER(AJ61))),"E_INVALID_DATE",IF(OR(AI61&lt;1900,AI61&gt;9999,AI61&lt;&gt;INT(AI61),AJ61&lt;1,AJ61&gt;12,AJ61&lt;&gt;INT(AJ61)),"E_INVALID_DATE",""))),IF(AE61="YEAR",IF(AI61="","E_MISSING_INPUT",IF(NOT(ISNUMBER(AI61)),"E_INVALID_DATE",IF(OR(AI61&lt;1900,AI61&gt;9999,AI61&lt;&gt;INT(AI61)),"E_INVALID_DATE",""))),IF(AE61="RANGE",IF(OR(AK61="",AL61=""),"E_MISSING_INPUT",IF(OR(NOT(ISNUMBER(AK61)),NOT(ISNUMBER(AL61))),"E_INVALID_DATE",IF(OR(AK61&lt;&gt;INT(AK61),AL61&lt;&gt;INT(AL61)),"E_INVALID_DATE",IF(AK61&gt;AL61,"E_REVERSED_BOUNDS","")))),"E_INVALID_UNIT")))))))</f>
        <v/>
      </c>
      <c r="AO61" s="22">
        <f t="shared" si="46"/>
        <v>0</v>
      </c>
      <c r="AP61" s="22">
        <f t="shared" si="47"/>
        <v>0</v>
      </c>
      <c r="AQ61" s="28" t="str">
        <f t="shared" si="48"/>
        <v/>
      </c>
      <c r="AR61" s="28" t="str">
        <f t="shared" si="49"/>
        <v/>
      </c>
      <c r="AS61" s="22" t="str">
        <f t="shared" si="50"/>
        <v/>
      </c>
      <c r="AT61" s="22" t="str">
        <f t="shared" si="51"/>
        <v/>
      </c>
      <c r="AU61" s="9"/>
      <c r="AV61" s="16"/>
      <c r="AW61" s="14"/>
      <c r="AX61" s="25"/>
      <c r="AY61" s="9"/>
      <c r="AZ61" s="11"/>
      <c r="BA61" s="11"/>
      <c r="BB61" s="14"/>
      <c r="BC61" s="14"/>
      <c r="BD61" s="9"/>
      <c r="BE61" s="21" t="str">
        <f>IF(COUNTA(AV61:BC61)=0,"",IF(AV61="","E_MISSING_INPUT",IF(AV61="TIMESTAMP",IF(OR(AW61="",AX61="",AY61=""),"E_MISSING_INPUT",IF(OR(NOT(ISNUMBER(AW61)),NOT(ISNUMBER(AX61))),"E_INVALID_DATE",IF(OR(AW61&lt;&gt;INT(AW61),AX61&lt;0,AX61&gt;=1),"E_INVALID_DATE",IF(ISNA(MATCH(AY61,nLIST_Offset,0)),"E_INVALID_UNIT","")))),IF(AV61="DATE",IF(AW61="","E_MISSING_INPUT",IF(NOT(ISNUMBER(AW61)),"E_INVALID_DATE",IF(AW61&lt;&gt;INT(AW61),"E_INVALID_DATE",""))),IF(AV61="MONTH",IF(OR(AZ61="",BA61=""),"E_MISSING_INPUT",IF(OR(NOT(ISNUMBER(AZ61)),NOT(ISNUMBER(BA61))),"E_INVALID_DATE",IF(OR(AZ61&lt;1900,AZ61&gt;9999,AZ61&lt;&gt;INT(AZ61),BA61&lt;1,BA61&gt;12,BA61&lt;&gt;INT(BA61)),"E_INVALID_DATE",""))),IF(AV61="YEAR",IF(AZ61="","E_MISSING_INPUT",IF(NOT(ISNUMBER(AZ61)),"E_INVALID_DATE",IF(OR(AZ61&lt;1900,AZ61&gt;9999,AZ61&lt;&gt;INT(AZ61)),"E_INVALID_DATE",""))),IF(AV61="RANGE",IF(OR(BB61="",BC61=""),"E_MISSING_INPUT",IF(OR(NOT(ISNUMBER(BB61)),NOT(ISNUMBER(BC61))),"E_INVALID_DATE",IF(OR(BB61&lt;&gt;INT(BB61),BC61&lt;&gt;INT(BC61)),"E_INVALID_DATE",IF(BB61&gt;BC61,"E_REVERSED_BOUNDS","")))),"E_INVALID_UNIT")))))))</f>
        <v/>
      </c>
      <c r="BF61" s="22">
        <f t="shared" si="52"/>
        <v>0</v>
      </c>
      <c r="BG61" s="22">
        <f t="shared" si="53"/>
        <v>0</v>
      </c>
      <c r="BH61" s="28" t="str">
        <f t="shared" si="54"/>
        <v/>
      </c>
      <c r="BI61" s="28" t="str">
        <f t="shared" si="55"/>
        <v/>
      </c>
      <c r="BJ61" s="22" t="str">
        <f t="shared" si="56"/>
        <v/>
      </c>
      <c r="BK61" s="22" t="str">
        <f t="shared" si="57"/>
        <v/>
      </c>
      <c r="BL61" s="21" t="str">
        <f t="shared" si="58"/>
        <v>VEC-V13|1|EX1</v>
      </c>
      <c r="BM61" s="22">
        <f>IF(BL61="",0,COUNTIF(nEXP_Key,BL61))</f>
        <v>2</v>
      </c>
      <c r="BN61" s="21" t="str">
        <f t="shared" si="59"/>
        <v>E_DUPLICATE_ID</v>
      </c>
      <c r="BO61" s="21" t="str">
        <f>IF(BN61="","",BN61&amp;": "&amp;SUBSTITUTE(IFERROR(INDEX(nMSG_Text,MATCH(BN61,nMSG_Code,0)),""),"[input]",IF(D61="","an Exposure_Episode_ID","the date fields required by the selected precision")))</f>
        <v>E_DUPLICATE_ID: This identifier is already used in this case. Each episode needs its own ID.</v>
      </c>
    </row>
    <row r="62" spans="1:67" x14ac:dyDescent="0.2">
      <c r="A62" s="9" t="s">
        <v>329</v>
      </c>
      <c r="B62" s="11">
        <v>1</v>
      </c>
      <c r="C62" s="9" t="s">
        <v>493</v>
      </c>
      <c r="D62" s="9" t="s">
        <v>494</v>
      </c>
      <c r="E62" s="9" t="s">
        <v>495</v>
      </c>
      <c r="F62" s="16"/>
      <c r="G62" s="9"/>
      <c r="H62" s="16"/>
      <c r="I62" s="16"/>
      <c r="J62" s="9"/>
      <c r="K62" s="16"/>
      <c r="L62" s="9"/>
      <c r="M62" s="9" t="s">
        <v>523</v>
      </c>
      <c r="N62" s="16" t="s">
        <v>4</v>
      </c>
      <c r="O62" s="14">
        <v>46024</v>
      </c>
      <c r="P62" s="25"/>
      <c r="Q62" s="9"/>
      <c r="R62" s="11"/>
      <c r="S62" s="11"/>
      <c r="T62" s="14"/>
      <c r="U62" s="14"/>
      <c r="V62" s="9" t="s">
        <v>522</v>
      </c>
      <c r="W62" s="21" t="str">
        <f>IF(COUNTA(N62:U62)=0,"",IF(N62="","E_MISSING_INPUT",IF(N62="TIMESTAMP",IF(OR(O62="",P62="",Q62=""),"E_MISSING_INPUT",IF(OR(NOT(ISNUMBER(O62)),NOT(ISNUMBER(P62))),"E_INVALID_DATE",IF(OR(O62&lt;&gt;INT(O62),P62&lt;0,P62&gt;=1),"E_INVALID_DATE",IF(ISNA(MATCH(Q62,nLIST_Offset,0)),"E_INVALID_UNIT","")))),IF(N62="DATE",IF(O62="","E_MISSING_INPUT",IF(NOT(ISNUMBER(O62)),"E_INVALID_DATE",IF(O62&lt;&gt;INT(O62),"E_INVALID_DATE",""))),IF(N62="MONTH",IF(OR(R62="",S62=""),"E_MISSING_INPUT",IF(OR(NOT(ISNUMBER(R62)),NOT(ISNUMBER(S62))),"E_INVALID_DATE",IF(OR(R62&lt;1900,R62&gt;9999,R62&lt;&gt;INT(R62),S62&lt;1,S62&gt;12,S62&lt;&gt;INT(S62)),"E_INVALID_DATE",""))),IF(N62="YEAR",IF(R62="","E_MISSING_INPUT",IF(NOT(ISNUMBER(R62)),"E_INVALID_DATE",IF(OR(R62&lt;1900,R62&gt;9999,R62&lt;&gt;INT(R62)),"E_INVALID_DATE",""))),IF(N62="RANGE",IF(OR(T62="",U62=""),"E_MISSING_INPUT",IF(OR(NOT(ISNUMBER(T62)),NOT(ISNUMBER(U62))),"E_INVALID_DATE",IF(OR(T62&lt;&gt;INT(T62),U62&lt;&gt;INT(U62)),"E_INVALID_DATE",IF(T62&gt;U62,"E_REVERSED_BOUNDS","")))),"E_INVALID_UNIT")))))))</f>
        <v/>
      </c>
      <c r="X62" s="22">
        <f t="shared" si="40"/>
        <v>0</v>
      </c>
      <c r="Y62" s="22">
        <f t="shared" si="41"/>
        <v>0</v>
      </c>
      <c r="Z62" s="28">
        <f t="shared" si="42"/>
        <v>46024</v>
      </c>
      <c r="AA62" s="28">
        <f t="shared" si="43"/>
        <v>46024</v>
      </c>
      <c r="AB62" s="22" t="str">
        <f t="shared" si="44"/>
        <v/>
      </c>
      <c r="AC62" s="22" t="str">
        <f t="shared" si="45"/>
        <v/>
      </c>
      <c r="AD62" s="9"/>
      <c r="AE62" s="16"/>
      <c r="AF62" s="14"/>
      <c r="AG62" s="25"/>
      <c r="AH62" s="9"/>
      <c r="AI62" s="11"/>
      <c r="AJ62" s="11"/>
      <c r="AK62" s="14"/>
      <c r="AL62" s="14"/>
      <c r="AM62" s="9"/>
      <c r="AN62" s="21" t="str">
        <f>IF(COUNTA(AE62:AL62)=0,"",IF(AE62="","E_MISSING_INPUT",IF(AE62="TIMESTAMP",IF(OR(AF62="",AG62="",AH62=""),"E_MISSING_INPUT",IF(OR(NOT(ISNUMBER(AF62)),NOT(ISNUMBER(AG62))),"E_INVALID_DATE",IF(OR(AF62&lt;&gt;INT(AF62),AG62&lt;0,AG62&gt;=1),"E_INVALID_DATE",IF(ISNA(MATCH(AH62,nLIST_Offset,0)),"E_INVALID_UNIT","")))),IF(AE62="DATE",IF(AF62="","E_MISSING_INPUT",IF(NOT(ISNUMBER(AF62)),"E_INVALID_DATE",IF(AF62&lt;&gt;INT(AF62),"E_INVALID_DATE",""))),IF(AE62="MONTH",IF(OR(AI62="",AJ62=""),"E_MISSING_INPUT",IF(OR(NOT(ISNUMBER(AI62)),NOT(ISNUMBER(AJ62))),"E_INVALID_DATE",IF(OR(AI62&lt;1900,AI62&gt;9999,AI62&lt;&gt;INT(AI62),AJ62&lt;1,AJ62&gt;12,AJ62&lt;&gt;INT(AJ62)),"E_INVALID_DATE",""))),IF(AE62="YEAR",IF(AI62="","E_MISSING_INPUT",IF(NOT(ISNUMBER(AI62)),"E_INVALID_DATE",IF(OR(AI62&lt;1900,AI62&gt;9999,AI62&lt;&gt;INT(AI62)),"E_INVALID_DATE",""))),IF(AE62="RANGE",IF(OR(AK62="",AL62=""),"E_MISSING_INPUT",IF(OR(NOT(ISNUMBER(AK62)),NOT(ISNUMBER(AL62))),"E_INVALID_DATE",IF(OR(AK62&lt;&gt;INT(AK62),AL62&lt;&gt;INT(AL62)),"E_INVALID_DATE",IF(AK62&gt;AL62,"E_REVERSED_BOUNDS","")))),"E_INVALID_UNIT")))))))</f>
        <v/>
      </c>
      <c r="AO62" s="22">
        <f t="shared" si="46"/>
        <v>0</v>
      </c>
      <c r="AP62" s="22">
        <f t="shared" si="47"/>
        <v>0</v>
      </c>
      <c r="AQ62" s="28" t="str">
        <f t="shared" si="48"/>
        <v/>
      </c>
      <c r="AR62" s="28" t="str">
        <f t="shared" si="49"/>
        <v/>
      </c>
      <c r="AS62" s="22" t="str">
        <f t="shared" si="50"/>
        <v/>
      </c>
      <c r="AT62" s="22" t="str">
        <f t="shared" si="51"/>
        <v/>
      </c>
      <c r="AU62" s="9"/>
      <c r="AV62" s="16"/>
      <c r="AW62" s="14"/>
      <c r="AX62" s="25"/>
      <c r="AY62" s="9"/>
      <c r="AZ62" s="11"/>
      <c r="BA62" s="11"/>
      <c r="BB62" s="14"/>
      <c r="BC62" s="14"/>
      <c r="BD62" s="9"/>
      <c r="BE62" s="21" t="str">
        <f>IF(COUNTA(AV62:BC62)=0,"",IF(AV62="","E_MISSING_INPUT",IF(AV62="TIMESTAMP",IF(OR(AW62="",AX62="",AY62=""),"E_MISSING_INPUT",IF(OR(NOT(ISNUMBER(AW62)),NOT(ISNUMBER(AX62))),"E_INVALID_DATE",IF(OR(AW62&lt;&gt;INT(AW62),AX62&lt;0,AX62&gt;=1),"E_INVALID_DATE",IF(ISNA(MATCH(AY62,nLIST_Offset,0)),"E_INVALID_UNIT","")))),IF(AV62="DATE",IF(AW62="","E_MISSING_INPUT",IF(NOT(ISNUMBER(AW62)),"E_INVALID_DATE",IF(AW62&lt;&gt;INT(AW62),"E_INVALID_DATE",""))),IF(AV62="MONTH",IF(OR(AZ62="",BA62=""),"E_MISSING_INPUT",IF(OR(NOT(ISNUMBER(AZ62)),NOT(ISNUMBER(BA62))),"E_INVALID_DATE",IF(OR(AZ62&lt;1900,AZ62&gt;9999,AZ62&lt;&gt;INT(AZ62),BA62&lt;1,BA62&gt;12,BA62&lt;&gt;INT(BA62)),"E_INVALID_DATE",""))),IF(AV62="YEAR",IF(AZ62="","E_MISSING_INPUT",IF(NOT(ISNUMBER(AZ62)),"E_INVALID_DATE",IF(OR(AZ62&lt;1900,AZ62&gt;9999,AZ62&lt;&gt;INT(AZ62)),"E_INVALID_DATE",""))),IF(AV62="RANGE",IF(OR(BB62="",BC62=""),"E_MISSING_INPUT",IF(OR(NOT(ISNUMBER(BB62)),NOT(ISNUMBER(BC62))),"E_INVALID_DATE",IF(OR(BB62&lt;&gt;INT(BB62),BC62&lt;&gt;INT(BC62)),"E_INVALID_DATE",IF(BB62&gt;BC62,"E_REVERSED_BOUNDS","")))),"E_INVALID_UNIT")))))))</f>
        <v/>
      </c>
      <c r="BF62" s="22">
        <f t="shared" si="52"/>
        <v>0</v>
      </c>
      <c r="BG62" s="22">
        <f t="shared" si="53"/>
        <v>0</v>
      </c>
      <c r="BH62" s="28" t="str">
        <f t="shared" si="54"/>
        <v/>
      </c>
      <c r="BI62" s="28" t="str">
        <f t="shared" si="55"/>
        <v/>
      </c>
      <c r="BJ62" s="22" t="str">
        <f t="shared" si="56"/>
        <v/>
      </c>
      <c r="BK62" s="22" t="str">
        <f t="shared" si="57"/>
        <v/>
      </c>
      <c r="BL62" s="21" t="str">
        <f t="shared" si="58"/>
        <v>VEC-V13|1|EX1</v>
      </c>
      <c r="BM62" s="22">
        <f>IF(BL62="",0,COUNTIF(nEXP_Key,BL62))</f>
        <v>2</v>
      </c>
      <c r="BN62" s="21" t="str">
        <f t="shared" si="59"/>
        <v>E_DUPLICATE_ID</v>
      </c>
      <c r="BO62" s="21" t="str">
        <f>IF(BN62="","",BN62&amp;": "&amp;SUBSTITUTE(IFERROR(INDEX(nMSG_Text,MATCH(BN62,nMSG_Code,0)),""),"[input]",IF(D62="","an Exposure_Episode_ID","the date fields required by the selected precision")))</f>
        <v>E_DUPLICATE_ID: This identifier is already used in this case. Each episode needs its own ID.</v>
      </c>
    </row>
    <row r="63" spans="1:67" x14ac:dyDescent="0.2">
      <c r="A63" s="9" t="s">
        <v>329</v>
      </c>
      <c r="B63" s="11">
        <v>1</v>
      </c>
      <c r="C63" s="9" t="s">
        <v>493</v>
      </c>
      <c r="D63" s="9" t="s">
        <v>524</v>
      </c>
      <c r="E63" s="9" t="s">
        <v>495</v>
      </c>
      <c r="F63" s="16"/>
      <c r="G63" s="9"/>
      <c r="H63" s="16"/>
      <c r="I63" s="16"/>
      <c r="J63" s="9"/>
      <c r="K63" s="16"/>
      <c r="L63" s="9"/>
      <c r="M63" s="9" t="s">
        <v>525</v>
      </c>
      <c r="N63" s="16" t="s">
        <v>7</v>
      </c>
      <c r="O63" s="14"/>
      <c r="P63" s="25"/>
      <c r="Q63" s="9"/>
      <c r="R63" s="11"/>
      <c r="S63" s="11"/>
      <c r="T63" s="14">
        <v>46032</v>
      </c>
      <c r="U63" s="14">
        <v>46023</v>
      </c>
      <c r="V63" s="9" t="s">
        <v>522</v>
      </c>
      <c r="W63" s="21" t="str">
        <f>IF(COUNTA(N63:U63)=0,"",IF(N63="","E_MISSING_INPUT",IF(N63="TIMESTAMP",IF(OR(O63="",P63="",Q63=""),"E_MISSING_INPUT",IF(OR(NOT(ISNUMBER(O63)),NOT(ISNUMBER(P63))),"E_INVALID_DATE",IF(OR(O63&lt;&gt;INT(O63),P63&lt;0,P63&gt;=1),"E_INVALID_DATE",IF(ISNA(MATCH(Q63,nLIST_Offset,0)),"E_INVALID_UNIT","")))),IF(N63="DATE",IF(O63="","E_MISSING_INPUT",IF(NOT(ISNUMBER(O63)),"E_INVALID_DATE",IF(O63&lt;&gt;INT(O63),"E_INVALID_DATE",""))),IF(N63="MONTH",IF(OR(R63="",S63=""),"E_MISSING_INPUT",IF(OR(NOT(ISNUMBER(R63)),NOT(ISNUMBER(S63))),"E_INVALID_DATE",IF(OR(R63&lt;1900,R63&gt;9999,R63&lt;&gt;INT(R63),S63&lt;1,S63&gt;12,S63&lt;&gt;INT(S63)),"E_INVALID_DATE",""))),IF(N63="YEAR",IF(R63="","E_MISSING_INPUT",IF(NOT(ISNUMBER(R63)),"E_INVALID_DATE",IF(OR(R63&lt;1900,R63&gt;9999,R63&lt;&gt;INT(R63)),"E_INVALID_DATE",""))),IF(N63="RANGE",IF(OR(T63="",U63=""),"E_MISSING_INPUT",IF(OR(NOT(ISNUMBER(T63)),NOT(ISNUMBER(U63))),"E_INVALID_DATE",IF(OR(T63&lt;&gt;INT(T63),U63&lt;&gt;INT(U63)),"E_INVALID_DATE",IF(T63&gt;U63,"E_REVERSED_BOUNDS","")))),"E_INVALID_UNIT")))))))</f>
        <v>E_REVERSED_BOUNDS</v>
      </c>
      <c r="X63" s="22">
        <f t="shared" si="40"/>
        <v>0</v>
      </c>
      <c r="Y63" s="22">
        <f t="shared" si="41"/>
        <v>0</v>
      </c>
      <c r="Z63" s="28" t="str">
        <f t="shared" si="42"/>
        <v/>
      </c>
      <c r="AA63" s="28" t="str">
        <f t="shared" si="43"/>
        <v/>
      </c>
      <c r="AB63" s="22" t="str">
        <f t="shared" si="44"/>
        <v/>
      </c>
      <c r="AC63" s="22" t="str">
        <f t="shared" si="45"/>
        <v/>
      </c>
      <c r="AD63" s="9"/>
      <c r="AE63" s="16"/>
      <c r="AF63" s="14"/>
      <c r="AG63" s="25"/>
      <c r="AH63" s="9"/>
      <c r="AI63" s="11"/>
      <c r="AJ63" s="11"/>
      <c r="AK63" s="14"/>
      <c r="AL63" s="14"/>
      <c r="AM63" s="9"/>
      <c r="AN63" s="21" t="str">
        <f>IF(COUNTA(AE63:AL63)=0,"",IF(AE63="","E_MISSING_INPUT",IF(AE63="TIMESTAMP",IF(OR(AF63="",AG63="",AH63=""),"E_MISSING_INPUT",IF(OR(NOT(ISNUMBER(AF63)),NOT(ISNUMBER(AG63))),"E_INVALID_DATE",IF(OR(AF63&lt;&gt;INT(AF63),AG63&lt;0,AG63&gt;=1),"E_INVALID_DATE",IF(ISNA(MATCH(AH63,nLIST_Offset,0)),"E_INVALID_UNIT","")))),IF(AE63="DATE",IF(AF63="","E_MISSING_INPUT",IF(NOT(ISNUMBER(AF63)),"E_INVALID_DATE",IF(AF63&lt;&gt;INT(AF63),"E_INVALID_DATE",""))),IF(AE63="MONTH",IF(OR(AI63="",AJ63=""),"E_MISSING_INPUT",IF(OR(NOT(ISNUMBER(AI63)),NOT(ISNUMBER(AJ63))),"E_INVALID_DATE",IF(OR(AI63&lt;1900,AI63&gt;9999,AI63&lt;&gt;INT(AI63),AJ63&lt;1,AJ63&gt;12,AJ63&lt;&gt;INT(AJ63)),"E_INVALID_DATE",""))),IF(AE63="YEAR",IF(AI63="","E_MISSING_INPUT",IF(NOT(ISNUMBER(AI63)),"E_INVALID_DATE",IF(OR(AI63&lt;1900,AI63&gt;9999,AI63&lt;&gt;INT(AI63)),"E_INVALID_DATE",""))),IF(AE63="RANGE",IF(OR(AK63="",AL63=""),"E_MISSING_INPUT",IF(OR(NOT(ISNUMBER(AK63)),NOT(ISNUMBER(AL63))),"E_INVALID_DATE",IF(OR(AK63&lt;&gt;INT(AK63),AL63&lt;&gt;INT(AL63)),"E_INVALID_DATE",IF(AK63&gt;AL63,"E_REVERSED_BOUNDS","")))),"E_INVALID_UNIT")))))))</f>
        <v/>
      </c>
      <c r="AO63" s="22">
        <f t="shared" si="46"/>
        <v>0</v>
      </c>
      <c r="AP63" s="22">
        <f t="shared" si="47"/>
        <v>0</v>
      </c>
      <c r="AQ63" s="28" t="str">
        <f t="shared" si="48"/>
        <v/>
      </c>
      <c r="AR63" s="28" t="str">
        <f t="shared" si="49"/>
        <v/>
      </c>
      <c r="AS63" s="22" t="str">
        <f t="shared" si="50"/>
        <v/>
      </c>
      <c r="AT63" s="22" t="str">
        <f t="shared" si="51"/>
        <v/>
      </c>
      <c r="AU63" s="9"/>
      <c r="AV63" s="16"/>
      <c r="AW63" s="14"/>
      <c r="AX63" s="25"/>
      <c r="AY63" s="9"/>
      <c r="AZ63" s="11"/>
      <c r="BA63" s="11"/>
      <c r="BB63" s="14"/>
      <c r="BC63" s="14"/>
      <c r="BD63" s="9"/>
      <c r="BE63" s="21" t="str">
        <f>IF(COUNTA(AV63:BC63)=0,"",IF(AV63="","E_MISSING_INPUT",IF(AV63="TIMESTAMP",IF(OR(AW63="",AX63="",AY63=""),"E_MISSING_INPUT",IF(OR(NOT(ISNUMBER(AW63)),NOT(ISNUMBER(AX63))),"E_INVALID_DATE",IF(OR(AW63&lt;&gt;INT(AW63),AX63&lt;0,AX63&gt;=1),"E_INVALID_DATE",IF(ISNA(MATCH(AY63,nLIST_Offset,0)),"E_INVALID_UNIT","")))),IF(AV63="DATE",IF(AW63="","E_MISSING_INPUT",IF(NOT(ISNUMBER(AW63)),"E_INVALID_DATE",IF(AW63&lt;&gt;INT(AW63),"E_INVALID_DATE",""))),IF(AV63="MONTH",IF(OR(AZ63="",BA63=""),"E_MISSING_INPUT",IF(OR(NOT(ISNUMBER(AZ63)),NOT(ISNUMBER(BA63))),"E_INVALID_DATE",IF(OR(AZ63&lt;1900,AZ63&gt;9999,AZ63&lt;&gt;INT(AZ63),BA63&lt;1,BA63&gt;12,BA63&lt;&gt;INT(BA63)),"E_INVALID_DATE",""))),IF(AV63="YEAR",IF(AZ63="","E_MISSING_INPUT",IF(NOT(ISNUMBER(AZ63)),"E_INVALID_DATE",IF(OR(AZ63&lt;1900,AZ63&gt;9999,AZ63&lt;&gt;INT(AZ63)),"E_INVALID_DATE",""))),IF(AV63="RANGE",IF(OR(BB63="",BC63=""),"E_MISSING_INPUT",IF(OR(NOT(ISNUMBER(BB63)),NOT(ISNUMBER(BC63))),"E_INVALID_DATE",IF(OR(BB63&lt;&gt;INT(BB63),BC63&lt;&gt;INT(BC63)),"E_INVALID_DATE",IF(BB63&gt;BC63,"E_REVERSED_BOUNDS","")))),"E_INVALID_UNIT")))))))</f>
        <v/>
      </c>
      <c r="BF63" s="22">
        <f t="shared" si="52"/>
        <v>0</v>
      </c>
      <c r="BG63" s="22">
        <f t="shared" si="53"/>
        <v>0</v>
      </c>
      <c r="BH63" s="28" t="str">
        <f t="shared" si="54"/>
        <v/>
      </c>
      <c r="BI63" s="28" t="str">
        <f t="shared" si="55"/>
        <v/>
      </c>
      <c r="BJ63" s="22" t="str">
        <f t="shared" si="56"/>
        <v/>
      </c>
      <c r="BK63" s="22" t="str">
        <f t="shared" si="57"/>
        <v/>
      </c>
      <c r="BL63" s="21" t="str">
        <f t="shared" si="58"/>
        <v>VEC-V13|1|EX2</v>
      </c>
      <c r="BM63" s="22">
        <f>IF(BL63="",0,COUNTIF(nEXP_Key,BL63))</f>
        <v>1</v>
      </c>
      <c r="BN63" s="21" t="str">
        <f t="shared" si="59"/>
        <v>E_REVERSED_BOUNDS</v>
      </c>
      <c r="BO63" s="21" t="str">
        <f>IF(BN63="","",BN63&amp;": "&amp;SUBSTITUTE(IFERROR(INDEX(nMSG_Text,MATCH(BN63,nMSG_Code,0)),""),"[input]",IF(D63="","an Exposure_Episode_ID","the date fields required by the selected precision")))</f>
        <v>E_REVERSED_BOUNDS: The earliest value is after the latest value. Check the order of the bounds.</v>
      </c>
    </row>
    <row r="64" spans="1:67" x14ac:dyDescent="0.2">
      <c r="A64" s="9" t="s">
        <v>329</v>
      </c>
      <c r="B64" s="11">
        <v>1</v>
      </c>
      <c r="C64" s="9" t="s">
        <v>493</v>
      </c>
      <c r="D64" s="9" t="s">
        <v>526</v>
      </c>
      <c r="E64" s="9" t="s">
        <v>495</v>
      </c>
      <c r="F64" s="16"/>
      <c r="G64" s="9"/>
      <c r="H64" s="16"/>
      <c r="I64" s="16"/>
      <c r="J64" s="9"/>
      <c r="K64" s="16"/>
      <c r="L64" s="9"/>
      <c r="M64" s="9" t="s">
        <v>527</v>
      </c>
      <c r="N64" s="16" t="s">
        <v>4</v>
      </c>
      <c r="O64" s="14">
        <v>46037</v>
      </c>
      <c r="P64" s="25"/>
      <c r="Q64" s="9"/>
      <c r="R64" s="11"/>
      <c r="S64" s="11"/>
      <c r="T64" s="14"/>
      <c r="U64" s="14"/>
      <c r="V64" s="9" t="s">
        <v>522</v>
      </c>
      <c r="W64" s="21" t="str">
        <f>IF(COUNTA(N64:U64)=0,"",IF(N64="","E_MISSING_INPUT",IF(N64="TIMESTAMP",IF(OR(O64="",P64="",Q64=""),"E_MISSING_INPUT",IF(OR(NOT(ISNUMBER(O64)),NOT(ISNUMBER(P64))),"E_INVALID_DATE",IF(OR(O64&lt;&gt;INT(O64),P64&lt;0,P64&gt;=1),"E_INVALID_DATE",IF(ISNA(MATCH(Q64,nLIST_Offset,0)),"E_INVALID_UNIT","")))),IF(N64="DATE",IF(O64="","E_MISSING_INPUT",IF(NOT(ISNUMBER(O64)),"E_INVALID_DATE",IF(O64&lt;&gt;INT(O64),"E_INVALID_DATE",""))),IF(N64="MONTH",IF(OR(R64="",S64=""),"E_MISSING_INPUT",IF(OR(NOT(ISNUMBER(R64)),NOT(ISNUMBER(S64))),"E_INVALID_DATE",IF(OR(R64&lt;1900,R64&gt;9999,R64&lt;&gt;INT(R64),S64&lt;1,S64&gt;12,S64&lt;&gt;INT(S64)),"E_INVALID_DATE",""))),IF(N64="YEAR",IF(R64="","E_MISSING_INPUT",IF(NOT(ISNUMBER(R64)),"E_INVALID_DATE",IF(OR(R64&lt;1900,R64&gt;9999,R64&lt;&gt;INT(R64)),"E_INVALID_DATE",""))),IF(N64="RANGE",IF(OR(T64="",U64=""),"E_MISSING_INPUT",IF(OR(NOT(ISNUMBER(T64)),NOT(ISNUMBER(U64))),"E_INVALID_DATE",IF(OR(T64&lt;&gt;INT(T64),U64&lt;&gt;INT(U64)),"E_INVALID_DATE",IF(T64&gt;U64,"E_REVERSED_BOUNDS","")))),"E_INVALID_UNIT")))))))</f>
        <v/>
      </c>
      <c r="X64" s="22">
        <f t="shared" si="40"/>
        <v>0</v>
      </c>
      <c r="Y64" s="22">
        <f t="shared" si="41"/>
        <v>0</v>
      </c>
      <c r="Z64" s="28">
        <f t="shared" si="42"/>
        <v>46037</v>
      </c>
      <c r="AA64" s="28">
        <f t="shared" si="43"/>
        <v>46037</v>
      </c>
      <c r="AB64" s="22" t="str">
        <f t="shared" si="44"/>
        <v/>
      </c>
      <c r="AC64" s="22" t="str">
        <f t="shared" si="45"/>
        <v/>
      </c>
      <c r="AD64" s="9"/>
      <c r="AE64" s="16"/>
      <c r="AF64" s="14"/>
      <c r="AG64" s="25"/>
      <c r="AH64" s="9"/>
      <c r="AI64" s="11"/>
      <c r="AJ64" s="11"/>
      <c r="AK64" s="14"/>
      <c r="AL64" s="14"/>
      <c r="AM64" s="9"/>
      <c r="AN64" s="21" t="str">
        <f>IF(COUNTA(AE64:AL64)=0,"",IF(AE64="","E_MISSING_INPUT",IF(AE64="TIMESTAMP",IF(OR(AF64="",AG64="",AH64=""),"E_MISSING_INPUT",IF(OR(NOT(ISNUMBER(AF64)),NOT(ISNUMBER(AG64))),"E_INVALID_DATE",IF(OR(AF64&lt;&gt;INT(AF64),AG64&lt;0,AG64&gt;=1),"E_INVALID_DATE",IF(ISNA(MATCH(AH64,nLIST_Offset,0)),"E_INVALID_UNIT","")))),IF(AE64="DATE",IF(AF64="","E_MISSING_INPUT",IF(NOT(ISNUMBER(AF64)),"E_INVALID_DATE",IF(AF64&lt;&gt;INT(AF64),"E_INVALID_DATE",""))),IF(AE64="MONTH",IF(OR(AI64="",AJ64=""),"E_MISSING_INPUT",IF(OR(NOT(ISNUMBER(AI64)),NOT(ISNUMBER(AJ64))),"E_INVALID_DATE",IF(OR(AI64&lt;1900,AI64&gt;9999,AI64&lt;&gt;INT(AI64),AJ64&lt;1,AJ64&gt;12,AJ64&lt;&gt;INT(AJ64)),"E_INVALID_DATE",""))),IF(AE64="YEAR",IF(AI64="","E_MISSING_INPUT",IF(NOT(ISNUMBER(AI64)),"E_INVALID_DATE",IF(OR(AI64&lt;1900,AI64&gt;9999,AI64&lt;&gt;INT(AI64)),"E_INVALID_DATE",""))),IF(AE64="RANGE",IF(OR(AK64="",AL64=""),"E_MISSING_INPUT",IF(OR(NOT(ISNUMBER(AK64)),NOT(ISNUMBER(AL64))),"E_INVALID_DATE",IF(OR(AK64&lt;&gt;INT(AK64),AL64&lt;&gt;INT(AL64)),"E_INVALID_DATE",IF(AK64&gt;AL64,"E_REVERSED_BOUNDS","")))),"E_INVALID_UNIT")))))))</f>
        <v/>
      </c>
      <c r="AO64" s="22">
        <f t="shared" si="46"/>
        <v>0</v>
      </c>
      <c r="AP64" s="22">
        <f t="shared" si="47"/>
        <v>0</v>
      </c>
      <c r="AQ64" s="28" t="str">
        <f t="shared" si="48"/>
        <v/>
      </c>
      <c r="AR64" s="28" t="str">
        <f t="shared" si="49"/>
        <v/>
      </c>
      <c r="AS64" s="22" t="str">
        <f t="shared" si="50"/>
        <v/>
      </c>
      <c r="AT64" s="22" t="str">
        <f t="shared" si="51"/>
        <v/>
      </c>
      <c r="AU64" s="9"/>
      <c r="AV64" s="16"/>
      <c r="AW64" s="14"/>
      <c r="AX64" s="25"/>
      <c r="AY64" s="9"/>
      <c r="AZ64" s="11"/>
      <c r="BA64" s="11"/>
      <c r="BB64" s="14"/>
      <c r="BC64" s="14"/>
      <c r="BD64" s="9"/>
      <c r="BE64" s="21" t="str">
        <f>IF(COUNTA(AV64:BC64)=0,"",IF(AV64="","E_MISSING_INPUT",IF(AV64="TIMESTAMP",IF(OR(AW64="",AX64="",AY64=""),"E_MISSING_INPUT",IF(OR(NOT(ISNUMBER(AW64)),NOT(ISNUMBER(AX64))),"E_INVALID_DATE",IF(OR(AW64&lt;&gt;INT(AW64),AX64&lt;0,AX64&gt;=1),"E_INVALID_DATE",IF(ISNA(MATCH(AY64,nLIST_Offset,0)),"E_INVALID_UNIT","")))),IF(AV64="DATE",IF(AW64="","E_MISSING_INPUT",IF(NOT(ISNUMBER(AW64)),"E_INVALID_DATE",IF(AW64&lt;&gt;INT(AW64),"E_INVALID_DATE",""))),IF(AV64="MONTH",IF(OR(AZ64="",BA64=""),"E_MISSING_INPUT",IF(OR(NOT(ISNUMBER(AZ64)),NOT(ISNUMBER(BA64))),"E_INVALID_DATE",IF(OR(AZ64&lt;1900,AZ64&gt;9999,AZ64&lt;&gt;INT(AZ64),BA64&lt;1,BA64&gt;12,BA64&lt;&gt;INT(BA64)),"E_INVALID_DATE",""))),IF(AV64="YEAR",IF(AZ64="","E_MISSING_INPUT",IF(NOT(ISNUMBER(AZ64)),"E_INVALID_DATE",IF(OR(AZ64&lt;1900,AZ64&gt;9999,AZ64&lt;&gt;INT(AZ64)),"E_INVALID_DATE",""))),IF(AV64="RANGE",IF(OR(BB64="",BC64=""),"E_MISSING_INPUT",IF(OR(NOT(ISNUMBER(BB64)),NOT(ISNUMBER(BC64))),"E_INVALID_DATE",IF(OR(BB64&lt;&gt;INT(BB64),BC64&lt;&gt;INT(BC64)),"E_INVALID_DATE",IF(BB64&gt;BC64,"E_REVERSED_BOUNDS","")))),"E_INVALID_UNIT")))))))</f>
        <v/>
      </c>
      <c r="BF64" s="22">
        <f t="shared" si="52"/>
        <v>0</v>
      </c>
      <c r="BG64" s="22">
        <f t="shared" si="53"/>
        <v>0</v>
      </c>
      <c r="BH64" s="28" t="str">
        <f t="shared" si="54"/>
        <v/>
      </c>
      <c r="BI64" s="28" t="str">
        <f t="shared" si="55"/>
        <v/>
      </c>
      <c r="BJ64" s="22" t="str">
        <f t="shared" si="56"/>
        <v/>
      </c>
      <c r="BK64" s="22" t="str">
        <f t="shared" si="57"/>
        <v/>
      </c>
      <c r="BL64" s="21" t="str">
        <f t="shared" si="58"/>
        <v>VEC-V13|1|EX3</v>
      </c>
      <c r="BM64" s="22">
        <f>IF(BL64="",0,COUNTIF(nEXP_Key,BL64))</f>
        <v>1</v>
      </c>
      <c r="BN64" s="21" t="str">
        <f t="shared" si="59"/>
        <v/>
      </c>
      <c r="BO64" s="21" t="str">
        <f>IF(BN64="","",BN64&amp;": "&amp;SUBSTITUTE(IFERROR(INDEX(nMSG_Text,MATCH(BN64,nMSG_Code,0)),""),"[input]",IF(D64="","an Exposure_Episode_ID","the date fields required by the selected precision")))</f>
        <v/>
      </c>
    </row>
    <row r="65" spans="1:67" x14ac:dyDescent="0.2">
      <c r="A65" s="9" t="s">
        <v>331</v>
      </c>
      <c r="B65" s="11">
        <v>1</v>
      </c>
      <c r="C65" s="9" t="s">
        <v>493</v>
      </c>
      <c r="D65" s="9" t="s">
        <v>494</v>
      </c>
      <c r="E65" s="9" t="s">
        <v>495</v>
      </c>
      <c r="F65" s="16"/>
      <c r="G65" s="9"/>
      <c r="H65" s="16"/>
      <c r="I65" s="16"/>
      <c r="J65" s="9"/>
      <c r="K65" s="16"/>
      <c r="L65" s="9" t="s">
        <v>528</v>
      </c>
      <c r="M65" s="9"/>
      <c r="N65" s="16"/>
      <c r="O65" s="14"/>
      <c r="P65" s="25"/>
      <c r="Q65" s="9"/>
      <c r="R65" s="11"/>
      <c r="S65" s="11"/>
      <c r="T65" s="14"/>
      <c r="U65" s="14"/>
      <c r="V65" s="9"/>
      <c r="W65" s="21" t="str">
        <f>IF(COUNTA(N65:U65)=0,"",IF(N65="","E_MISSING_INPUT",IF(N65="TIMESTAMP",IF(OR(O65="",P65="",Q65=""),"E_MISSING_INPUT",IF(OR(NOT(ISNUMBER(O65)),NOT(ISNUMBER(P65))),"E_INVALID_DATE",IF(OR(O65&lt;&gt;INT(O65),P65&lt;0,P65&gt;=1),"E_INVALID_DATE",IF(ISNA(MATCH(Q65,nLIST_Offset,0)),"E_INVALID_UNIT","")))),IF(N65="DATE",IF(O65="","E_MISSING_INPUT",IF(NOT(ISNUMBER(O65)),"E_INVALID_DATE",IF(O65&lt;&gt;INT(O65),"E_INVALID_DATE",""))),IF(N65="MONTH",IF(OR(R65="",S65=""),"E_MISSING_INPUT",IF(OR(NOT(ISNUMBER(R65)),NOT(ISNUMBER(S65))),"E_INVALID_DATE",IF(OR(R65&lt;1900,R65&gt;9999,R65&lt;&gt;INT(R65),S65&lt;1,S65&gt;12,S65&lt;&gt;INT(S65)),"E_INVALID_DATE",""))),IF(N65="YEAR",IF(R65="","E_MISSING_INPUT",IF(NOT(ISNUMBER(R65)),"E_INVALID_DATE",IF(OR(R65&lt;1900,R65&gt;9999,R65&lt;&gt;INT(R65)),"E_INVALID_DATE",""))),IF(N65="RANGE",IF(OR(T65="",U65=""),"E_MISSING_INPUT",IF(OR(NOT(ISNUMBER(T65)),NOT(ISNUMBER(U65))),"E_INVALID_DATE",IF(OR(T65&lt;&gt;INT(T65),U65&lt;&gt;INT(U65)),"E_INVALID_DATE",IF(T65&gt;U65,"E_REVERSED_BOUNDS","")))),"E_INVALID_UNIT")))))))</f>
        <v/>
      </c>
      <c r="X65" s="22">
        <f t="shared" si="40"/>
        <v>0</v>
      </c>
      <c r="Y65" s="22">
        <f t="shared" si="41"/>
        <v>0</v>
      </c>
      <c r="Z65" s="28" t="str">
        <f t="shared" si="42"/>
        <v/>
      </c>
      <c r="AA65" s="28" t="str">
        <f t="shared" si="43"/>
        <v/>
      </c>
      <c r="AB65" s="22" t="str">
        <f t="shared" si="44"/>
        <v/>
      </c>
      <c r="AC65" s="22" t="str">
        <f t="shared" si="45"/>
        <v/>
      </c>
      <c r="AD65" s="9"/>
      <c r="AE65" s="16"/>
      <c r="AF65" s="14"/>
      <c r="AG65" s="25"/>
      <c r="AH65" s="9"/>
      <c r="AI65" s="11"/>
      <c r="AJ65" s="11"/>
      <c r="AK65" s="14"/>
      <c r="AL65" s="14"/>
      <c r="AM65" s="9"/>
      <c r="AN65" s="21" t="str">
        <f>IF(COUNTA(AE65:AL65)=0,"",IF(AE65="","E_MISSING_INPUT",IF(AE65="TIMESTAMP",IF(OR(AF65="",AG65="",AH65=""),"E_MISSING_INPUT",IF(OR(NOT(ISNUMBER(AF65)),NOT(ISNUMBER(AG65))),"E_INVALID_DATE",IF(OR(AF65&lt;&gt;INT(AF65),AG65&lt;0,AG65&gt;=1),"E_INVALID_DATE",IF(ISNA(MATCH(AH65,nLIST_Offset,0)),"E_INVALID_UNIT","")))),IF(AE65="DATE",IF(AF65="","E_MISSING_INPUT",IF(NOT(ISNUMBER(AF65)),"E_INVALID_DATE",IF(AF65&lt;&gt;INT(AF65),"E_INVALID_DATE",""))),IF(AE65="MONTH",IF(OR(AI65="",AJ65=""),"E_MISSING_INPUT",IF(OR(NOT(ISNUMBER(AI65)),NOT(ISNUMBER(AJ65))),"E_INVALID_DATE",IF(OR(AI65&lt;1900,AI65&gt;9999,AI65&lt;&gt;INT(AI65),AJ65&lt;1,AJ65&gt;12,AJ65&lt;&gt;INT(AJ65)),"E_INVALID_DATE",""))),IF(AE65="YEAR",IF(AI65="","E_MISSING_INPUT",IF(NOT(ISNUMBER(AI65)),"E_INVALID_DATE",IF(OR(AI65&lt;1900,AI65&gt;9999,AI65&lt;&gt;INT(AI65)),"E_INVALID_DATE",""))),IF(AE65="RANGE",IF(OR(AK65="",AL65=""),"E_MISSING_INPUT",IF(OR(NOT(ISNUMBER(AK65)),NOT(ISNUMBER(AL65))),"E_INVALID_DATE",IF(OR(AK65&lt;&gt;INT(AK65),AL65&lt;&gt;INT(AL65)),"E_INVALID_DATE",IF(AK65&gt;AL65,"E_REVERSED_BOUNDS","")))),"E_INVALID_UNIT")))))))</f>
        <v/>
      </c>
      <c r="AO65" s="22">
        <f t="shared" si="46"/>
        <v>0</v>
      </c>
      <c r="AP65" s="22">
        <f t="shared" si="47"/>
        <v>0</v>
      </c>
      <c r="AQ65" s="28" t="str">
        <f t="shared" si="48"/>
        <v/>
      </c>
      <c r="AR65" s="28" t="str">
        <f t="shared" si="49"/>
        <v/>
      </c>
      <c r="AS65" s="22" t="str">
        <f t="shared" si="50"/>
        <v/>
      </c>
      <c r="AT65" s="22" t="str">
        <f t="shared" si="51"/>
        <v/>
      </c>
      <c r="AU65" s="9"/>
      <c r="AV65" s="16"/>
      <c r="AW65" s="14"/>
      <c r="AX65" s="25"/>
      <c r="AY65" s="9"/>
      <c r="AZ65" s="11"/>
      <c r="BA65" s="11"/>
      <c r="BB65" s="14"/>
      <c r="BC65" s="14"/>
      <c r="BD65" s="9"/>
      <c r="BE65" s="21" t="str">
        <f>IF(COUNTA(AV65:BC65)=0,"",IF(AV65="","E_MISSING_INPUT",IF(AV65="TIMESTAMP",IF(OR(AW65="",AX65="",AY65=""),"E_MISSING_INPUT",IF(OR(NOT(ISNUMBER(AW65)),NOT(ISNUMBER(AX65))),"E_INVALID_DATE",IF(OR(AW65&lt;&gt;INT(AW65),AX65&lt;0,AX65&gt;=1),"E_INVALID_DATE",IF(ISNA(MATCH(AY65,nLIST_Offset,0)),"E_INVALID_UNIT","")))),IF(AV65="DATE",IF(AW65="","E_MISSING_INPUT",IF(NOT(ISNUMBER(AW65)),"E_INVALID_DATE",IF(AW65&lt;&gt;INT(AW65),"E_INVALID_DATE",""))),IF(AV65="MONTH",IF(OR(AZ65="",BA65=""),"E_MISSING_INPUT",IF(OR(NOT(ISNUMBER(AZ65)),NOT(ISNUMBER(BA65))),"E_INVALID_DATE",IF(OR(AZ65&lt;1900,AZ65&gt;9999,AZ65&lt;&gt;INT(AZ65),BA65&lt;1,BA65&gt;12,BA65&lt;&gt;INT(BA65)),"E_INVALID_DATE",""))),IF(AV65="YEAR",IF(AZ65="","E_MISSING_INPUT",IF(NOT(ISNUMBER(AZ65)),"E_INVALID_DATE",IF(OR(AZ65&lt;1900,AZ65&gt;9999,AZ65&lt;&gt;INT(AZ65)),"E_INVALID_DATE",""))),IF(AV65="RANGE",IF(OR(BB65="",BC65=""),"E_MISSING_INPUT",IF(OR(NOT(ISNUMBER(BB65)),NOT(ISNUMBER(BC65))),"E_INVALID_DATE",IF(OR(BB65&lt;&gt;INT(BB65),BC65&lt;&gt;INT(BC65)),"E_INVALID_DATE",IF(BB65&gt;BC65,"E_REVERSED_BOUNDS","")))),"E_INVALID_UNIT")))))))</f>
        <v/>
      </c>
      <c r="BF65" s="22">
        <f t="shared" si="52"/>
        <v>0</v>
      </c>
      <c r="BG65" s="22">
        <f t="shared" si="53"/>
        <v>0</v>
      </c>
      <c r="BH65" s="28" t="str">
        <f t="shared" si="54"/>
        <v/>
      </c>
      <c r="BI65" s="28" t="str">
        <f t="shared" si="55"/>
        <v/>
      </c>
      <c r="BJ65" s="22" t="str">
        <f t="shared" si="56"/>
        <v/>
      </c>
      <c r="BK65" s="22" t="str">
        <f t="shared" si="57"/>
        <v/>
      </c>
      <c r="BL65" s="21" t="str">
        <f t="shared" si="58"/>
        <v>VEC-V15|1|EX1</v>
      </c>
      <c r="BM65" s="22">
        <f>IF(BL65="",0,COUNTIF(nEXP_Key,BL65))</f>
        <v>1</v>
      </c>
      <c r="BN65" s="21" t="str">
        <f t="shared" si="59"/>
        <v/>
      </c>
      <c r="BO65" s="21" t="str">
        <f>IF(BN65="","",BN65&amp;": "&amp;SUBSTITUTE(IFERROR(INDEX(nMSG_Text,MATCH(BN65,nMSG_Code,0)),""),"[input]",IF(D65="","an Exposure_Episode_ID","the date fields required by the selected precision")))</f>
        <v/>
      </c>
    </row>
    <row r="66" spans="1:67" x14ac:dyDescent="0.2">
      <c r="A66" s="9" t="s">
        <v>351</v>
      </c>
      <c r="B66" s="11">
        <v>1</v>
      </c>
      <c r="C66" s="9" t="s">
        <v>493</v>
      </c>
      <c r="D66" s="9" t="s">
        <v>494</v>
      </c>
      <c r="E66" s="9" t="s">
        <v>495</v>
      </c>
      <c r="F66" s="16"/>
      <c r="G66" s="9"/>
      <c r="H66" s="16"/>
      <c r="I66" s="16"/>
      <c r="J66" s="9"/>
      <c r="K66" s="16"/>
      <c r="L66" s="9"/>
      <c r="M66" s="9" t="s">
        <v>529</v>
      </c>
      <c r="N66" s="16" t="s">
        <v>3</v>
      </c>
      <c r="O66" s="14">
        <v>46032</v>
      </c>
      <c r="P66" s="25">
        <v>0.375</v>
      </c>
      <c r="Q66" s="9" t="s">
        <v>18</v>
      </c>
      <c r="R66" s="11"/>
      <c r="S66" s="11"/>
      <c r="T66" s="14"/>
      <c r="U66" s="14"/>
      <c r="V66" s="9" t="s">
        <v>530</v>
      </c>
      <c r="W66" s="21" t="str">
        <f>IF(COUNTA(N66:U66)=0,"",IF(N66="","E_MISSING_INPUT",IF(N66="TIMESTAMP",IF(OR(O66="",P66="",Q66=""),"E_MISSING_INPUT",IF(OR(NOT(ISNUMBER(O66)),NOT(ISNUMBER(P66))),"E_INVALID_DATE",IF(OR(O66&lt;&gt;INT(O66),P66&lt;0,P66&gt;=1),"E_INVALID_DATE",IF(ISNA(MATCH(Q66,nLIST_Offset,0)),"E_INVALID_UNIT","")))),IF(N66="DATE",IF(O66="","E_MISSING_INPUT",IF(NOT(ISNUMBER(O66)),"E_INVALID_DATE",IF(O66&lt;&gt;INT(O66),"E_INVALID_DATE",""))),IF(N66="MONTH",IF(OR(R66="",S66=""),"E_MISSING_INPUT",IF(OR(NOT(ISNUMBER(R66)),NOT(ISNUMBER(S66))),"E_INVALID_DATE",IF(OR(R66&lt;1900,R66&gt;9999,R66&lt;&gt;INT(R66),S66&lt;1,S66&gt;12,S66&lt;&gt;INT(S66)),"E_INVALID_DATE",""))),IF(N66="YEAR",IF(R66="","E_MISSING_INPUT",IF(NOT(ISNUMBER(R66)),"E_INVALID_DATE",IF(OR(R66&lt;1900,R66&gt;9999,R66&lt;&gt;INT(R66)),"E_INVALID_DATE",""))),IF(N66="RANGE",IF(OR(T66="",U66=""),"E_MISSING_INPUT",IF(OR(NOT(ISNUMBER(T66)),NOT(ISNUMBER(U66))),"E_INVALID_DATE",IF(OR(T66&lt;&gt;INT(T66),U66&lt;&gt;INT(U66)),"E_INVALID_DATE",IF(T66&gt;U66,"E_REVERSED_BOUNDS","")))),"E_INVALID_UNIT")))))))</f>
        <v/>
      </c>
      <c r="X66" s="22">
        <f t="shared" si="40"/>
        <v>1</v>
      </c>
      <c r="Y66" s="22">
        <f t="shared" si="41"/>
        <v>1</v>
      </c>
      <c r="Z66" s="28">
        <f t="shared" si="42"/>
        <v>46032</v>
      </c>
      <c r="AA66" s="28">
        <f t="shared" si="43"/>
        <v>46032</v>
      </c>
      <c r="AB66" s="22">
        <f t="shared" si="44"/>
        <v>66286620</v>
      </c>
      <c r="AC66" s="22">
        <f t="shared" si="45"/>
        <v>66286920</v>
      </c>
      <c r="AD66" s="9"/>
      <c r="AE66" s="16"/>
      <c r="AF66" s="14"/>
      <c r="AG66" s="25"/>
      <c r="AH66" s="9"/>
      <c r="AI66" s="11"/>
      <c r="AJ66" s="11"/>
      <c r="AK66" s="14"/>
      <c r="AL66" s="14"/>
      <c r="AM66" s="9"/>
      <c r="AN66" s="21" t="str">
        <f>IF(COUNTA(AE66:AL66)=0,"",IF(AE66="","E_MISSING_INPUT",IF(AE66="TIMESTAMP",IF(OR(AF66="",AG66="",AH66=""),"E_MISSING_INPUT",IF(OR(NOT(ISNUMBER(AF66)),NOT(ISNUMBER(AG66))),"E_INVALID_DATE",IF(OR(AF66&lt;&gt;INT(AF66),AG66&lt;0,AG66&gt;=1),"E_INVALID_DATE",IF(ISNA(MATCH(AH66,nLIST_Offset,0)),"E_INVALID_UNIT","")))),IF(AE66="DATE",IF(AF66="","E_MISSING_INPUT",IF(NOT(ISNUMBER(AF66)),"E_INVALID_DATE",IF(AF66&lt;&gt;INT(AF66),"E_INVALID_DATE",""))),IF(AE66="MONTH",IF(OR(AI66="",AJ66=""),"E_MISSING_INPUT",IF(OR(NOT(ISNUMBER(AI66)),NOT(ISNUMBER(AJ66))),"E_INVALID_DATE",IF(OR(AI66&lt;1900,AI66&gt;9999,AI66&lt;&gt;INT(AI66),AJ66&lt;1,AJ66&gt;12,AJ66&lt;&gt;INT(AJ66)),"E_INVALID_DATE",""))),IF(AE66="YEAR",IF(AI66="","E_MISSING_INPUT",IF(NOT(ISNUMBER(AI66)),"E_INVALID_DATE",IF(OR(AI66&lt;1900,AI66&gt;9999,AI66&lt;&gt;INT(AI66)),"E_INVALID_DATE",""))),IF(AE66="RANGE",IF(OR(AK66="",AL66=""),"E_MISSING_INPUT",IF(OR(NOT(ISNUMBER(AK66)),NOT(ISNUMBER(AL66))),"E_INVALID_DATE",IF(OR(AK66&lt;&gt;INT(AK66),AL66&lt;&gt;INT(AL66)),"E_INVALID_DATE",IF(AK66&gt;AL66,"E_REVERSED_BOUNDS","")))),"E_INVALID_UNIT")))))))</f>
        <v/>
      </c>
      <c r="AO66" s="22">
        <f t="shared" si="46"/>
        <v>0</v>
      </c>
      <c r="AP66" s="22">
        <f t="shared" si="47"/>
        <v>0</v>
      </c>
      <c r="AQ66" s="28" t="str">
        <f t="shared" si="48"/>
        <v/>
      </c>
      <c r="AR66" s="28" t="str">
        <f t="shared" si="49"/>
        <v/>
      </c>
      <c r="AS66" s="22" t="str">
        <f t="shared" si="50"/>
        <v/>
      </c>
      <c r="AT66" s="22" t="str">
        <f t="shared" si="51"/>
        <v/>
      </c>
      <c r="AU66" s="9"/>
      <c r="AV66" s="16"/>
      <c r="AW66" s="14"/>
      <c r="AX66" s="25"/>
      <c r="AY66" s="9"/>
      <c r="AZ66" s="11"/>
      <c r="BA66" s="11"/>
      <c r="BB66" s="14"/>
      <c r="BC66" s="14"/>
      <c r="BD66" s="9"/>
      <c r="BE66" s="21" t="str">
        <f>IF(COUNTA(AV66:BC66)=0,"",IF(AV66="","E_MISSING_INPUT",IF(AV66="TIMESTAMP",IF(OR(AW66="",AX66="",AY66=""),"E_MISSING_INPUT",IF(OR(NOT(ISNUMBER(AW66)),NOT(ISNUMBER(AX66))),"E_INVALID_DATE",IF(OR(AW66&lt;&gt;INT(AW66),AX66&lt;0,AX66&gt;=1),"E_INVALID_DATE",IF(ISNA(MATCH(AY66,nLIST_Offset,0)),"E_INVALID_UNIT","")))),IF(AV66="DATE",IF(AW66="","E_MISSING_INPUT",IF(NOT(ISNUMBER(AW66)),"E_INVALID_DATE",IF(AW66&lt;&gt;INT(AW66),"E_INVALID_DATE",""))),IF(AV66="MONTH",IF(OR(AZ66="",BA66=""),"E_MISSING_INPUT",IF(OR(NOT(ISNUMBER(AZ66)),NOT(ISNUMBER(BA66))),"E_INVALID_DATE",IF(OR(AZ66&lt;1900,AZ66&gt;9999,AZ66&lt;&gt;INT(AZ66),BA66&lt;1,BA66&gt;12,BA66&lt;&gt;INT(BA66)),"E_INVALID_DATE",""))),IF(AV66="YEAR",IF(AZ66="","E_MISSING_INPUT",IF(NOT(ISNUMBER(AZ66)),"E_INVALID_DATE",IF(OR(AZ66&lt;1900,AZ66&gt;9999,AZ66&lt;&gt;INT(AZ66)),"E_INVALID_DATE",""))),IF(AV66="RANGE",IF(OR(BB66="",BC66=""),"E_MISSING_INPUT",IF(OR(NOT(ISNUMBER(BB66)),NOT(ISNUMBER(BC66))),"E_INVALID_DATE",IF(OR(BB66&lt;&gt;INT(BB66),BC66&lt;&gt;INT(BC66)),"E_INVALID_DATE",IF(BB66&gt;BC66,"E_REVERSED_BOUNDS","")))),"E_INVALID_UNIT")))))))</f>
        <v/>
      </c>
      <c r="BF66" s="22">
        <f t="shared" si="52"/>
        <v>0</v>
      </c>
      <c r="BG66" s="22">
        <f t="shared" si="53"/>
        <v>0</v>
      </c>
      <c r="BH66" s="28" t="str">
        <f t="shared" si="54"/>
        <v/>
      </c>
      <c r="BI66" s="28" t="str">
        <f t="shared" si="55"/>
        <v/>
      </c>
      <c r="BJ66" s="22" t="str">
        <f t="shared" si="56"/>
        <v/>
      </c>
      <c r="BK66" s="22" t="str">
        <f t="shared" si="57"/>
        <v/>
      </c>
      <c r="BL66" s="21" t="str">
        <f t="shared" si="58"/>
        <v>VEC-V25|1|EX1</v>
      </c>
      <c r="BM66" s="22">
        <f>IF(BL66="",0,COUNTIF(nEXP_Key,BL66))</f>
        <v>1</v>
      </c>
      <c r="BN66" s="21" t="str">
        <f t="shared" si="59"/>
        <v/>
      </c>
      <c r="BO66" s="21" t="str">
        <f>IF(BN66="","",BN66&amp;": "&amp;SUBSTITUTE(IFERROR(INDEX(nMSG_Text,MATCH(BN66,nMSG_Code,0)),""),"[input]",IF(D66="","an Exposure_Episode_ID","the date fields required by the selected precision")))</f>
        <v/>
      </c>
    </row>
    <row r="67" spans="1:67" x14ac:dyDescent="0.2">
      <c r="A67" s="9" t="s">
        <v>353</v>
      </c>
      <c r="B67" s="11">
        <v>1</v>
      </c>
      <c r="C67" s="9" t="s">
        <v>493</v>
      </c>
      <c r="D67" s="9" t="s">
        <v>494</v>
      </c>
      <c r="E67" s="9" t="s">
        <v>495</v>
      </c>
      <c r="F67" s="16"/>
      <c r="G67" s="9"/>
      <c r="H67" s="16"/>
      <c r="I67" s="16"/>
      <c r="J67" s="9"/>
      <c r="K67" s="16"/>
      <c r="L67" s="9" t="s">
        <v>531</v>
      </c>
      <c r="M67" s="9"/>
      <c r="N67" s="16"/>
      <c r="O67" s="14"/>
      <c r="P67" s="25"/>
      <c r="Q67" s="9"/>
      <c r="R67" s="11"/>
      <c r="S67" s="11"/>
      <c r="T67" s="14"/>
      <c r="U67" s="14"/>
      <c r="V67" s="9"/>
      <c r="W67" s="21" t="str">
        <f>IF(COUNTA(N67:U67)=0,"",IF(N67="","E_MISSING_INPUT",IF(N67="TIMESTAMP",IF(OR(O67="",P67="",Q67=""),"E_MISSING_INPUT",IF(OR(NOT(ISNUMBER(O67)),NOT(ISNUMBER(P67))),"E_INVALID_DATE",IF(OR(O67&lt;&gt;INT(O67),P67&lt;0,P67&gt;=1),"E_INVALID_DATE",IF(ISNA(MATCH(Q67,nLIST_Offset,0)),"E_INVALID_UNIT","")))),IF(N67="DATE",IF(O67="","E_MISSING_INPUT",IF(NOT(ISNUMBER(O67)),"E_INVALID_DATE",IF(O67&lt;&gt;INT(O67),"E_INVALID_DATE",""))),IF(N67="MONTH",IF(OR(R67="",S67=""),"E_MISSING_INPUT",IF(OR(NOT(ISNUMBER(R67)),NOT(ISNUMBER(S67))),"E_INVALID_DATE",IF(OR(R67&lt;1900,R67&gt;9999,R67&lt;&gt;INT(R67),S67&lt;1,S67&gt;12,S67&lt;&gt;INT(S67)),"E_INVALID_DATE",""))),IF(N67="YEAR",IF(R67="","E_MISSING_INPUT",IF(NOT(ISNUMBER(R67)),"E_INVALID_DATE",IF(OR(R67&lt;1900,R67&gt;9999,R67&lt;&gt;INT(R67)),"E_INVALID_DATE",""))),IF(N67="RANGE",IF(OR(T67="",U67=""),"E_MISSING_INPUT",IF(OR(NOT(ISNUMBER(T67)),NOT(ISNUMBER(U67))),"E_INVALID_DATE",IF(OR(T67&lt;&gt;INT(T67),U67&lt;&gt;INT(U67)),"E_INVALID_DATE",IF(T67&gt;U67,"E_REVERSED_BOUNDS","")))),"E_INVALID_UNIT")))))))</f>
        <v/>
      </c>
      <c r="X67" s="22">
        <f t="shared" si="40"/>
        <v>0</v>
      </c>
      <c r="Y67" s="22">
        <f t="shared" si="41"/>
        <v>0</v>
      </c>
      <c r="Z67" s="28" t="str">
        <f t="shared" si="42"/>
        <v/>
      </c>
      <c r="AA67" s="28" t="str">
        <f t="shared" si="43"/>
        <v/>
      </c>
      <c r="AB67" s="22" t="str">
        <f t="shared" si="44"/>
        <v/>
      </c>
      <c r="AC67" s="22" t="str">
        <f t="shared" si="45"/>
        <v/>
      </c>
      <c r="AD67" s="9"/>
      <c r="AE67" s="16"/>
      <c r="AF67" s="14"/>
      <c r="AG67" s="25"/>
      <c r="AH67" s="9"/>
      <c r="AI67" s="11"/>
      <c r="AJ67" s="11"/>
      <c r="AK67" s="14"/>
      <c r="AL67" s="14"/>
      <c r="AM67" s="9"/>
      <c r="AN67" s="21" t="str">
        <f>IF(COUNTA(AE67:AL67)=0,"",IF(AE67="","E_MISSING_INPUT",IF(AE67="TIMESTAMP",IF(OR(AF67="",AG67="",AH67=""),"E_MISSING_INPUT",IF(OR(NOT(ISNUMBER(AF67)),NOT(ISNUMBER(AG67))),"E_INVALID_DATE",IF(OR(AF67&lt;&gt;INT(AF67),AG67&lt;0,AG67&gt;=1),"E_INVALID_DATE",IF(ISNA(MATCH(AH67,nLIST_Offset,0)),"E_INVALID_UNIT","")))),IF(AE67="DATE",IF(AF67="","E_MISSING_INPUT",IF(NOT(ISNUMBER(AF67)),"E_INVALID_DATE",IF(AF67&lt;&gt;INT(AF67),"E_INVALID_DATE",""))),IF(AE67="MONTH",IF(OR(AI67="",AJ67=""),"E_MISSING_INPUT",IF(OR(NOT(ISNUMBER(AI67)),NOT(ISNUMBER(AJ67))),"E_INVALID_DATE",IF(OR(AI67&lt;1900,AI67&gt;9999,AI67&lt;&gt;INT(AI67),AJ67&lt;1,AJ67&gt;12,AJ67&lt;&gt;INT(AJ67)),"E_INVALID_DATE",""))),IF(AE67="YEAR",IF(AI67="","E_MISSING_INPUT",IF(NOT(ISNUMBER(AI67)),"E_INVALID_DATE",IF(OR(AI67&lt;1900,AI67&gt;9999,AI67&lt;&gt;INT(AI67)),"E_INVALID_DATE",""))),IF(AE67="RANGE",IF(OR(AK67="",AL67=""),"E_MISSING_INPUT",IF(OR(NOT(ISNUMBER(AK67)),NOT(ISNUMBER(AL67))),"E_INVALID_DATE",IF(OR(AK67&lt;&gt;INT(AK67),AL67&lt;&gt;INT(AL67)),"E_INVALID_DATE",IF(AK67&gt;AL67,"E_REVERSED_BOUNDS","")))),"E_INVALID_UNIT")))))))</f>
        <v/>
      </c>
      <c r="AO67" s="22">
        <f t="shared" si="46"/>
        <v>0</v>
      </c>
      <c r="AP67" s="22">
        <f t="shared" si="47"/>
        <v>0</v>
      </c>
      <c r="AQ67" s="28" t="str">
        <f t="shared" si="48"/>
        <v/>
      </c>
      <c r="AR67" s="28" t="str">
        <f t="shared" si="49"/>
        <v/>
      </c>
      <c r="AS67" s="22" t="str">
        <f t="shared" si="50"/>
        <v/>
      </c>
      <c r="AT67" s="22" t="str">
        <f t="shared" si="51"/>
        <v/>
      </c>
      <c r="AU67" s="9"/>
      <c r="AV67" s="16"/>
      <c r="AW67" s="14"/>
      <c r="AX67" s="25"/>
      <c r="AY67" s="9"/>
      <c r="AZ67" s="11"/>
      <c r="BA67" s="11"/>
      <c r="BB67" s="14"/>
      <c r="BC67" s="14"/>
      <c r="BD67" s="9"/>
      <c r="BE67" s="21" t="str">
        <f>IF(COUNTA(AV67:BC67)=0,"",IF(AV67="","E_MISSING_INPUT",IF(AV67="TIMESTAMP",IF(OR(AW67="",AX67="",AY67=""),"E_MISSING_INPUT",IF(OR(NOT(ISNUMBER(AW67)),NOT(ISNUMBER(AX67))),"E_INVALID_DATE",IF(OR(AW67&lt;&gt;INT(AW67),AX67&lt;0,AX67&gt;=1),"E_INVALID_DATE",IF(ISNA(MATCH(AY67,nLIST_Offset,0)),"E_INVALID_UNIT","")))),IF(AV67="DATE",IF(AW67="","E_MISSING_INPUT",IF(NOT(ISNUMBER(AW67)),"E_INVALID_DATE",IF(AW67&lt;&gt;INT(AW67),"E_INVALID_DATE",""))),IF(AV67="MONTH",IF(OR(AZ67="",BA67=""),"E_MISSING_INPUT",IF(OR(NOT(ISNUMBER(AZ67)),NOT(ISNUMBER(BA67))),"E_INVALID_DATE",IF(OR(AZ67&lt;1900,AZ67&gt;9999,AZ67&lt;&gt;INT(AZ67),BA67&lt;1,BA67&gt;12,BA67&lt;&gt;INT(BA67)),"E_INVALID_DATE",""))),IF(AV67="YEAR",IF(AZ67="","E_MISSING_INPUT",IF(NOT(ISNUMBER(AZ67)),"E_INVALID_DATE",IF(OR(AZ67&lt;1900,AZ67&gt;9999,AZ67&lt;&gt;INT(AZ67)),"E_INVALID_DATE",""))),IF(AV67="RANGE",IF(OR(BB67="",BC67=""),"E_MISSING_INPUT",IF(OR(NOT(ISNUMBER(BB67)),NOT(ISNUMBER(BC67))),"E_INVALID_DATE",IF(OR(BB67&lt;&gt;INT(BB67),BC67&lt;&gt;INT(BC67)),"E_INVALID_DATE",IF(BB67&gt;BC67,"E_REVERSED_BOUNDS","")))),"E_INVALID_UNIT")))))))</f>
        <v/>
      </c>
      <c r="BF67" s="22">
        <f t="shared" si="52"/>
        <v>0</v>
      </c>
      <c r="BG67" s="22">
        <f t="shared" si="53"/>
        <v>0</v>
      </c>
      <c r="BH67" s="28" t="str">
        <f t="shared" si="54"/>
        <v/>
      </c>
      <c r="BI67" s="28" t="str">
        <f t="shared" si="55"/>
        <v/>
      </c>
      <c r="BJ67" s="22" t="str">
        <f t="shared" si="56"/>
        <v/>
      </c>
      <c r="BK67" s="22" t="str">
        <f t="shared" si="57"/>
        <v/>
      </c>
      <c r="BL67" s="21" t="str">
        <f t="shared" si="58"/>
        <v>VEC-V26|1|EX1</v>
      </c>
      <c r="BM67" s="22">
        <f>IF(BL67="",0,COUNTIF(nEXP_Key,BL67))</f>
        <v>1</v>
      </c>
      <c r="BN67" s="21" t="str">
        <f t="shared" si="59"/>
        <v/>
      </c>
      <c r="BO67" s="21" t="str">
        <f>IF(BN67="","",BN67&amp;": "&amp;SUBSTITUTE(IFERROR(INDEX(nMSG_Text,MATCH(BN67,nMSG_Code,0)),""),"[input]",IF(D67="","an Exposure_Episode_ID","the date fields required by the selected precision")))</f>
        <v/>
      </c>
    </row>
  </sheetData>
  <sheetProtection sheet="1" objects="1" scenarios="1" formatColumns="0" formatRows="0" autoFilter="0"/>
  <autoFilter ref="A4:BO67" xr:uid="{A854527E-959D-433B-B4C4-3E466E5815B9}"/>
  <dataValidations count="13">
    <dataValidation type="whole" operator="greaterThanOrEqual" allowBlank="1" showInputMessage="1" showErrorMessage="1" sqref="B5:B34" xr:uid="{FDF51372-CC14-43F2-85EA-99A7E8699EF5}">
      <formula1>1</formula1>
    </dataValidation>
    <dataValidation type="list" allowBlank="1" showInputMessage="1" showErrorMessage="1" sqref="F5:F34" xr:uid="{9AFF9F6F-8357-4335-8725-E8193FE059EC}">
      <formula1>nLIST_Role</formula1>
    </dataValidation>
    <dataValidation type="decimal" allowBlank="1" showInputMessage="1" showErrorMessage="1" sqref="H5:H34" xr:uid="{CDD1B4F8-14F0-4439-87FB-01FCE4E1E238}">
      <formula1>-1000000000000</formula1>
      <formula2>1000000000000</formula2>
    </dataValidation>
    <dataValidation type="list" allowBlank="1" showInputMessage="1" showErrorMessage="1" sqref="I5:I34" xr:uid="{7B4F4BAD-D454-4965-B131-07B0C5ED7930}">
      <formula1>nLIST_DoseUnit</formula1>
    </dataValidation>
    <dataValidation type="list" errorStyle="information" allowBlank="1" showInputMessage="1" showErrorMessage="1" sqref="K5:K34" xr:uid="{DDE39533-9C6E-499C-B83A-FE44034D2FBE}">
      <formula1>nLIST_MissingReason</formula1>
    </dataValidation>
    <dataValidation type="list" allowBlank="1" showInputMessage="1" showErrorMessage="1" prompt="TIMESTAMP: Date + Time + UTC offset (choose unknown if not recorded). DATE: Date only. MONTH: Year + Month. YEAR: Year. RANGE: earliest and latest dates as stated, with the source." sqref="N5:N34" xr:uid="{1E504DD0-7757-4F88-A78B-2C361CE6949F}">
      <formula1>nLIST_Precision</formula1>
    </dataValidation>
    <dataValidation type="date" allowBlank="1" showInputMessage="1" showErrorMessage="1" sqref="O5:O34 T5:T34 U5:U34 AF5:AF34 AK5:AK34 AL5:AL34 AW5:AW34 BB5:BB34 BC5:BC34" xr:uid="{B7390CEC-F75B-4814-BB2D-D7BE561AB3F7}">
      <formula1>1</formula1>
      <formula2>2958465</formula2>
    </dataValidation>
    <dataValidation type="time" allowBlank="1" showInputMessage="1" showErrorMessage="1" sqref="P5:P34" xr:uid="{CF280F4F-0444-4EB9-9472-EC39992321ED}">
      <formula1>0</formula1>
      <formula2>0.9993055</formula2>
    </dataValidation>
    <dataValidation type="list" allowBlank="1" showInputMessage="1" showErrorMessage="1" sqref="Q5:Q34 AH5:AH34 AY5:AY34" xr:uid="{8444F82A-E865-4BB4-8DC0-C695B7F726CB}">
      <formula1>nLIST_Offset</formula1>
    </dataValidation>
    <dataValidation type="whole" allowBlank="1" showInputMessage="1" showErrorMessage="1" sqref="R5:R34 AI5:AI34 AZ5:AZ34" xr:uid="{AA596B39-57D8-482E-A7E8-0F29A4AC8AF3}">
      <formula1>1900</formula1>
      <formula2>9999</formula2>
    </dataValidation>
    <dataValidation type="whole" allowBlank="1" showInputMessage="1" showErrorMessage="1" sqref="S5:S34 AJ5:AJ34 BA5:BA34" xr:uid="{6193210B-17DF-4F0A-B66A-297936F0CF7A}">
      <formula1>1</formula1>
      <formula2>12</formula2>
    </dataValidation>
    <dataValidation type="list" allowBlank="1" showInputMessage="1" showErrorMessage="1" sqref="AE5:AE34 AV5:AV34" xr:uid="{86BDA318-82B1-42DB-BCA6-655EA93B4612}">
      <formula1>nLIST_Precision</formula1>
    </dataValidation>
    <dataValidation type="time" allowBlank="1" showInputMessage="1" showErrorMessage="1" sqref="AG5:AG34 AX5:AX34" xr:uid="{DD154089-A5F3-4380-9CD1-AAD3BFED7E5D}">
      <formula1>0</formula1>
      <formula2>0.999305555555556</formula2>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FEC5E2-628A-4620-9CD2-01F9A000AF6B}">
  <dimension ref="A1:BL78"/>
  <sheetViews>
    <sheetView zoomScale="90" zoomScaleNormal="90" workbookViewId="0">
      <pane xSplit="3" ySplit="4" topLeftCell="D5" activePane="bottomRight" state="frozenSplit"/>
      <selection pane="topRight" activeCell="D1" sqref="D1"/>
      <selection pane="bottomLeft" activeCell="A5" sqref="A5"/>
      <selection pane="bottomRight"/>
    </sheetView>
  </sheetViews>
  <sheetFormatPr defaultRowHeight="12.75" x14ac:dyDescent="0.2"/>
  <cols>
    <col min="1" max="1" width="10.7109375" style="1" customWidth="1"/>
    <col min="2" max="2" width="7.7109375" style="1" customWidth="1"/>
    <col min="3" max="3" width="12.7109375" style="1" customWidth="1"/>
    <col min="4" max="4" width="11.7109375" style="1" customWidth="1"/>
    <col min="5" max="5" width="13.7109375" style="1" customWidth="1"/>
    <col min="6" max="6" width="8.7109375" style="1" customWidth="1"/>
    <col min="7" max="7" width="9.7109375" style="1" customWidth="1"/>
    <col min="8" max="8" width="8.7109375" style="1" customWidth="1"/>
    <col min="9" max="9" width="9.7109375" style="1" customWidth="1"/>
    <col min="10" max="10" width="8.7109375" style="1" customWidth="1"/>
    <col min="11" max="11" width="12.7109375" style="1" customWidth="1"/>
    <col min="12" max="12" width="24.7109375" style="1" customWidth="1"/>
    <col min="13" max="13" width="26.7109375" style="1" customWidth="1"/>
    <col min="14" max="14" width="11.7109375" style="1" customWidth="1"/>
    <col min="15" max="15" width="15.7109375" style="1" customWidth="1"/>
    <col min="16" max="17" width="9.7109375" style="1" customWidth="1"/>
    <col min="18" max="19" width="7.7109375" style="1" customWidth="1"/>
    <col min="20" max="21" width="15.7109375" style="1" customWidth="1"/>
    <col min="22" max="22" width="22.7109375" style="1" customWidth="1"/>
    <col min="23" max="23" width="12.7109375" style="1" customWidth="1"/>
    <col min="24" max="25" width="6.7109375" style="1" customWidth="1"/>
    <col min="26" max="27" width="14.7109375" style="1" customWidth="1"/>
    <col min="28" max="29" width="11.7109375" style="1" customWidth="1"/>
    <col min="30" max="30" width="15.7109375" style="1" customWidth="1"/>
    <col min="31" max="32" width="9.7109375" style="1" customWidth="1"/>
    <col min="33" max="33" width="18.7109375" style="1" customWidth="1"/>
    <col min="34" max="35" width="10.7109375" style="1" customWidth="1"/>
    <col min="36" max="36" width="5.7109375" style="1" customWidth="1"/>
    <col min="37" max="37" width="10.7109375" style="1" customWidth="1"/>
    <col min="38" max="38" width="14.7109375" style="1" customWidth="1"/>
    <col min="39" max="39" width="5.7109375" style="1" customWidth="1"/>
    <col min="40" max="40" width="14.7109375" style="1" customWidth="1"/>
    <col min="41" max="41" width="5.7109375" style="1" customWidth="1"/>
    <col min="42" max="43" width="9.7109375" style="1" customWidth="1"/>
    <col min="44" max="44" width="7.7109375" style="1" customWidth="1"/>
    <col min="45" max="45" width="9.7109375" style="1" customWidth="1"/>
    <col min="46" max="47" width="6.7109375" style="1" customWidth="1"/>
    <col min="48" max="48" width="5.7109375" style="1" customWidth="1"/>
    <col min="49" max="49" width="6.7109375" style="1" customWidth="1"/>
    <col min="50" max="50" width="5.7109375" style="1" customWidth="1"/>
    <col min="51" max="51" width="6.7109375" style="1" customWidth="1"/>
    <col min="52" max="52" width="8.7109375" style="1" customWidth="1"/>
    <col min="53" max="53" width="5.7109375" style="1" customWidth="1"/>
    <col min="54" max="59" width="9.7109375" style="1" customWidth="1"/>
    <col min="60" max="60" width="5.7109375" style="1" customWidth="1"/>
    <col min="61" max="61" width="14.7109375" style="1" customWidth="1"/>
    <col min="62" max="62" width="5.7109375" style="1" customWidth="1"/>
    <col min="63" max="63" width="14.7109375" style="1" customWidth="1"/>
    <col min="64" max="64" width="40.7109375" style="1" customWidth="1"/>
    <col min="65" max="16384" width="9.140625" style="1"/>
  </cols>
  <sheetData>
    <row r="1" spans="1:64" ht="17.25" x14ac:dyDescent="0.3">
      <c r="A1" s="6" t="s">
        <v>532</v>
      </c>
    </row>
    <row r="2" spans="1:64" x14ac:dyDescent="0.2">
      <c r="A2" s="7" t="s">
        <v>272</v>
      </c>
    </row>
    <row r="3" spans="1:64" x14ac:dyDescent="0.2">
      <c r="A3" s="2" t="s">
        <v>533</v>
      </c>
      <c r="M3" s="2" t="s">
        <v>541</v>
      </c>
      <c r="AD3" s="2" t="s">
        <v>559</v>
      </c>
      <c r="AL3" s="2" t="s">
        <v>568</v>
      </c>
    </row>
    <row r="4" spans="1:64" ht="66" customHeight="1" x14ac:dyDescent="0.2">
      <c r="A4" s="8" t="s">
        <v>274</v>
      </c>
      <c r="B4" s="8" t="s">
        <v>275</v>
      </c>
      <c r="C4" s="8" t="s">
        <v>534</v>
      </c>
      <c r="D4" s="8" t="s">
        <v>535</v>
      </c>
      <c r="E4" s="8" t="s">
        <v>536</v>
      </c>
      <c r="F4" s="8" t="s">
        <v>537</v>
      </c>
      <c r="G4" s="8" t="s">
        <v>364</v>
      </c>
      <c r="H4" s="8" t="s">
        <v>538</v>
      </c>
      <c r="I4" s="8" t="s">
        <v>539</v>
      </c>
      <c r="J4" s="8" t="s">
        <v>540</v>
      </c>
      <c r="K4" s="8" t="s">
        <v>366</v>
      </c>
      <c r="L4" s="8" t="s">
        <v>367</v>
      </c>
      <c r="M4" s="8" t="s">
        <v>542</v>
      </c>
      <c r="N4" s="8" t="s">
        <v>543</v>
      </c>
      <c r="O4" s="8" t="s">
        <v>544</v>
      </c>
      <c r="P4" s="8" t="s">
        <v>545</v>
      </c>
      <c r="Q4" s="8" t="s">
        <v>546</v>
      </c>
      <c r="R4" s="8" t="s">
        <v>547</v>
      </c>
      <c r="S4" s="8" t="s">
        <v>548</v>
      </c>
      <c r="T4" s="8" t="s">
        <v>549</v>
      </c>
      <c r="U4" s="8" t="s">
        <v>550</v>
      </c>
      <c r="V4" s="8" t="s">
        <v>551</v>
      </c>
      <c r="W4" s="19" t="s">
        <v>552</v>
      </c>
      <c r="X4" s="19" t="s">
        <v>553</v>
      </c>
      <c r="Y4" s="19" t="s">
        <v>554</v>
      </c>
      <c r="Z4" s="19" t="s">
        <v>555</v>
      </c>
      <c r="AA4" s="19" t="s">
        <v>556</v>
      </c>
      <c r="AB4" s="19" t="s">
        <v>557</v>
      </c>
      <c r="AC4" s="19" t="s">
        <v>558</v>
      </c>
      <c r="AD4" s="8" t="s">
        <v>560</v>
      </c>
      <c r="AE4" s="8" t="s">
        <v>561</v>
      </c>
      <c r="AF4" s="8" t="s">
        <v>562</v>
      </c>
      <c r="AG4" s="8" t="s">
        <v>563</v>
      </c>
      <c r="AH4" s="19" t="s">
        <v>564</v>
      </c>
      <c r="AI4" s="19" t="s">
        <v>565</v>
      </c>
      <c r="AJ4" s="19" t="s">
        <v>566</v>
      </c>
      <c r="AK4" s="19" t="s">
        <v>567</v>
      </c>
      <c r="AL4" s="19" t="s">
        <v>569</v>
      </c>
      <c r="AM4" s="19" t="s">
        <v>285</v>
      </c>
      <c r="AN4" s="19" t="s">
        <v>570</v>
      </c>
      <c r="AO4" s="19" t="s">
        <v>571</v>
      </c>
      <c r="AP4" s="19" t="s">
        <v>572</v>
      </c>
      <c r="AQ4" s="19" t="s">
        <v>573</v>
      </c>
      <c r="AR4" s="19" t="s">
        <v>574</v>
      </c>
      <c r="AS4" s="19" t="s">
        <v>575</v>
      </c>
      <c r="AT4" s="19" t="s">
        <v>576</v>
      </c>
      <c r="AU4" s="19" t="s">
        <v>577</v>
      </c>
      <c r="AV4" s="19" t="s">
        <v>578</v>
      </c>
      <c r="AW4" s="19" t="s">
        <v>579</v>
      </c>
      <c r="AX4" s="19" t="s">
        <v>580</v>
      </c>
      <c r="AY4" s="19" t="s">
        <v>581</v>
      </c>
      <c r="AZ4" s="19" t="s">
        <v>582</v>
      </c>
      <c r="BA4" s="19" t="s">
        <v>583</v>
      </c>
      <c r="BB4" s="19" t="s">
        <v>584</v>
      </c>
      <c r="BC4" s="19" t="s">
        <v>585</v>
      </c>
      <c r="BD4" s="19" t="s">
        <v>586</v>
      </c>
      <c r="BE4" s="19" t="s">
        <v>587</v>
      </c>
      <c r="BF4" s="19" t="s">
        <v>588</v>
      </c>
      <c r="BG4" s="19" t="s">
        <v>589</v>
      </c>
      <c r="BH4" s="19" t="s">
        <v>590</v>
      </c>
      <c r="BI4" s="19" t="s">
        <v>591</v>
      </c>
      <c r="BJ4" s="19" t="s">
        <v>592</v>
      </c>
      <c r="BK4" s="19" t="s">
        <v>423</v>
      </c>
      <c r="BL4" s="19" t="s">
        <v>287</v>
      </c>
    </row>
    <row r="5" spans="1:64" x14ac:dyDescent="0.2">
      <c r="A5" s="10"/>
      <c r="B5" s="12"/>
      <c r="C5" s="10"/>
      <c r="D5" s="10"/>
      <c r="E5" s="17"/>
      <c r="F5" s="17"/>
      <c r="G5" s="17"/>
      <c r="H5" s="17"/>
      <c r="I5" s="17"/>
      <c r="J5" s="17"/>
      <c r="K5" s="17"/>
      <c r="L5" s="10"/>
      <c r="M5" s="10"/>
      <c r="N5" s="17"/>
      <c r="O5" s="15"/>
      <c r="P5" s="26"/>
      <c r="Q5" s="10"/>
      <c r="R5" s="12"/>
      <c r="S5" s="12"/>
      <c r="T5" s="15"/>
      <c r="U5" s="15"/>
      <c r="V5" s="10"/>
      <c r="W5" s="21" t="str">
        <f>IF(COUNTA(N5:U5)=0,"",IF(N5="","E_MISSING_INPUT",IF(N5="TIMESTAMP",IF(OR(O5="",P5="",Q5=""),"E_MISSING_INPUT",IF(OR(NOT(ISNUMBER(O5)),NOT(ISNUMBER(P5))),"E_INVALID_DATE",IF(OR(O5&lt;&gt;INT(O5),P5&lt;0,P5&gt;=1),"E_INVALID_DATE",IF(ISNA(MATCH(Q5,nLIST_Offset,0)),"E_INVALID_UNIT","")))),IF(N5="DATE",IF(O5="","E_MISSING_INPUT",IF(NOT(ISNUMBER(O5)),"E_INVALID_DATE",IF(O5&lt;&gt;INT(O5),"E_INVALID_DATE",""))),IF(N5="MONTH",IF(OR(R5="",S5=""),"E_MISSING_INPUT",IF(OR(NOT(ISNUMBER(R5)),NOT(ISNUMBER(S5))),"E_INVALID_DATE",IF(OR(R5&lt;1900,R5&gt;9999,R5&lt;&gt;INT(R5),S5&lt;1,S5&gt;12,S5&lt;&gt;INT(S5)),"E_INVALID_DATE",""))),IF(N5="YEAR",IF(R5="","E_MISSING_INPUT",IF(NOT(ISNUMBER(R5)),"E_INVALID_DATE",IF(OR(R5&lt;1900,R5&gt;9999,R5&lt;&gt;INT(R5)),"E_INVALID_DATE",""))),IF(N5="RANGE",IF(OR(T5="",U5=""),"E_MISSING_INPUT",IF(OR(NOT(ISNUMBER(T5)),NOT(ISNUMBER(U5))),"E_INVALID_DATE",IF(OR(T5&lt;&gt;INT(T5),U5&lt;&gt;INT(U5)),"E_INVALID_DATE",IF(T5&gt;U5,"E_REVERSED_BOUNDS","")))),"E_INVALID_UNIT")))))))</f>
        <v/>
      </c>
      <c r="X5" s="22">
        <f t="shared" ref="X5:X36" si="0">IF(AND(W5="",N5="TIMESTAMP"),1,0)</f>
        <v>0</v>
      </c>
      <c r="Y5" s="22">
        <f t="shared" ref="Y5:Y36" si="1">IF(AND(X5=1,Q5&lt;&gt;"unknown"),1,0)</f>
        <v>0</v>
      </c>
      <c r="Z5" s="28" t="str">
        <f t="shared" ref="Z5:Z36" si="2">IF(OR(W5&lt;&gt;"",N5=""),"",IF(OR(N5="TIMESTAMP",N5="DATE"),O5,IF(N5="MONTH",DATE(R5,S5,1),IF(N5="YEAR",DATE(R5,1,1),T5))))</f>
        <v/>
      </c>
      <c r="AA5" s="28" t="str">
        <f t="shared" ref="AA5:AA36" si="3">IF(OR(W5&lt;&gt;"",N5=""),"",IF(OR(N5="TIMESTAMP",N5="DATE"),O5,IF(N5="MONTH",EOMONTH(DATE(R5,S5,1),0),IF(N5="YEAR",DATE(R5,12,31),U5))))</f>
        <v/>
      </c>
      <c r="AB5" s="22" t="str">
        <f t="shared" ref="AB5:AB36" si="4">IF(X5=1,O5*1440+ROUND(P5*1440,0),"")</f>
        <v/>
      </c>
      <c r="AC5" s="22" t="str">
        <f t="shared" ref="AC5:AC36" si="5">IF(Y5=1,AB5-(IF(LEFT(Q5,1)="-",-1,1)*(VALUE(MID(Q5,2,2))*60+VALUE(MID(Q5,5,2)))),"")</f>
        <v/>
      </c>
      <c r="AD5" s="15"/>
      <c r="AE5" s="26"/>
      <c r="AF5" s="10"/>
      <c r="AG5" s="10"/>
      <c r="AH5" s="21" t="str">
        <f>IF(COUNTA(AD5:AF5)=0,"",IF(OR(AD5="",AE5="",AF5=""),"E_MISSING_INPUT",IF(OR(NOT(ISNUMBER(AD5)),NOT(ISNUMBER(AE5))),"E_INVALID_DATE",IF(OR(AD5&lt;&gt;INT(AD5),AE5&lt;0,AE5&gt;=1),"E_INVALID_DATE",IF(ISNA(MATCH(AF5,nLIST_Offset,0)),"E_INVALID_UNIT","")))))</f>
        <v/>
      </c>
      <c r="AI5" s="22" t="str">
        <f t="shared" ref="AI5:AI36" si="6">IF(AND(AH5="",ISNUMBER(AD5),ISNUMBER(AE5)),AD5*1440+ROUND(AE5*1440,0),"")</f>
        <v/>
      </c>
      <c r="AJ5" s="22">
        <f t="shared" ref="AJ5:AJ36" si="7">IF(AND(AI5&lt;&gt;"",AF5&lt;&gt;"unknown"),1,0)</f>
        <v>0</v>
      </c>
      <c r="AK5" s="22" t="str">
        <f t="shared" ref="AK5:AK36" si="8">IF(AJ5=1,AI5-(IF(LEFT(AF5,1)="-",-1,1)*(VALUE(MID(AF5,2,2))*60+VALUE(MID(AF5,5,2)))),"")</f>
        <v/>
      </c>
      <c r="AL5" s="21" t="str">
        <f t="shared" ref="AL5:AL36" si="9">IF(C5="","",A5&amp;"|"&amp;B5&amp;"|"&amp;C5)</f>
        <v/>
      </c>
      <c r="AM5" s="22">
        <f>IF(AL5="",0,COUNTIF(nADM_Key,AL5))</f>
        <v>0</v>
      </c>
      <c r="AN5" s="21" t="str">
        <f t="shared" ref="AN5:AN36" si="10">IF(C5="","",A5&amp;"|"&amp;B5&amp;"|"&amp;D5)</f>
        <v/>
      </c>
      <c r="AO5" s="22">
        <f t="shared" ref="AO5:AO36" si="11">IF(AND(C5&lt;&gt;"",W5="",Z5&lt;&gt;"",Z5=AA5),1,0)</f>
        <v>0</v>
      </c>
      <c r="AP5" s="22">
        <f t="shared" ref="AP5:AP36" si="12">IF(X5=1,AB5,0)</f>
        <v>0</v>
      </c>
      <c r="AQ5" s="22">
        <f t="shared" ref="AQ5:AQ36" si="13">IF(Y5=1,AC5,0)</f>
        <v>0</v>
      </c>
      <c r="AR5" s="22">
        <f t="shared" ref="AR5:AR36" si="14">IF(AO5=1,Z5,0)</f>
        <v>0</v>
      </c>
      <c r="AS5" s="22">
        <f t="shared" ref="AS5:AS36" si="15">IF(AO5=1,IF(Y5=1,AC5,IF(X5=1,AB5,Z5*1440)),0)</f>
        <v>0</v>
      </c>
      <c r="AT5" s="21">
        <f t="shared" ref="AT5:AT36" si="16">IF(ISNUMBER(H5),H5,0)</f>
        <v>0</v>
      </c>
      <c r="AU5" s="21">
        <f t="shared" ref="AU5:AU36" si="17">IF(ISNUMBER(F5),F5,0)</f>
        <v>0</v>
      </c>
      <c r="AV5" s="22">
        <f t="shared" ref="AV5:AV36" si="18">IF(AND(C5&lt;&gt;"",ISNUMBER(F5)),1,0)</f>
        <v>0</v>
      </c>
      <c r="AW5" s="21">
        <f t="shared" ref="AW5:AW36" si="19">IF(ISNUMBER(J5),J5,0)</f>
        <v>0</v>
      </c>
      <c r="AX5" s="22">
        <f t="shared" ref="AX5:AX36" si="20">IF(AND(C5&lt;&gt;"",ISNUMBER(J5)),1,0)</f>
        <v>0</v>
      </c>
      <c r="AY5" s="21">
        <f t="shared" ref="AY5:AY36" si="21">IF(AND(ISNUMBER(J5),J5&gt;0),J5,1)</f>
        <v>1</v>
      </c>
      <c r="AZ5" s="21">
        <f t="shared" ref="AZ5:AZ36" si="22">IF(AND(AV5=1,AX5=1),AU5/AY5,0)</f>
        <v>0</v>
      </c>
      <c r="BA5" s="22">
        <f t="shared" ref="BA5:BA36" si="23">IF(AND(E5="INFUSION_SEGMENT",Y5=1,AJ5=1),1,0)</f>
        <v>0</v>
      </c>
      <c r="BB5" s="22">
        <f t="shared" ref="BB5:BB36" si="24">IF(BA5=1,AC5,0)</f>
        <v>0</v>
      </c>
      <c r="BC5" s="22">
        <f t="shared" ref="BC5:BC36" si="25">IF(BA5=1,AK5,0)</f>
        <v>0</v>
      </c>
      <c r="BD5" s="22">
        <f t="shared" ref="BD5:BD36" si="26">IF(AND(E5="INFUSION_SEGMENT",X5=1),AB5,0)</f>
        <v>0</v>
      </c>
      <c r="BE5" s="22">
        <f t="shared" ref="BE5:BE36" si="27">IF(AND(E5="INFUSION_SEGMENT",AI5&lt;&gt;""),AI5,0)</f>
        <v>0</v>
      </c>
      <c r="BF5" s="22">
        <f t="shared" ref="BF5:BF36" si="28">IF(BA5=1,BB5,BD5)</f>
        <v>0</v>
      </c>
      <c r="BG5" s="22">
        <f t="shared" ref="BG5:BG36" si="29">IF(BA5=1,BC5,BE5)</f>
        <v>0</v>
      </c>
      <c r="BH5" s="22">
        <f>IF(OR(E5&lt;&gt;"INFUSION_SEGMENT",BF5=0,BG5=0),0,COUNTIFS(nADM_SelKey,AN5,nADM_Kind,"INFUSION_SEGMENT",nADM_SegS_cmp,"&lt;"&amp;BG5,nADM_SegE_cmp,"&gt;"&amp;BF5)-IF(BG5&gt;BF5,1,0))</f>
        <v>0</v>
      </c>
      <c r="BI5" s="21" t="str">
        <f t="shared" ref="BI5:BI36" si="30">IF(E5&lt;&gt;"INFUSION_SEGMENT","",IF(W5&lt;&gt;"",W5,IF(AH5&lt;&gt;"",AH5,IF(OR(X5=0,AI5=""),"E_MISSING_INPUT",IF(NOT(ISNUMBER(H5)),"E_MISSING_INPUT",IF(I5&lt;&gt;"mg/hour",IF(I5="","E_MISSING_INPUT","E_INVALID_UNIT"),IF(H5&lt;=0,"E_NONPOSITIVE_PARAMETER",IF(BG5&lt;BF5,"E_REVERSED_BOUNDS",IF(BH5&gt;0,"E_OVERLAPPING_SEGMENTS","")))))))))</f>
        <v/>
      </c>
      <c r="BJ5" s="22">
        <f>IF(C5="",1,IF(COUNTIF(nEXP_Key,AN5)&gt;0,1,0))</f>
        <v>1</v>
      </c>
      <c r="BK5" s="21" t="str">
        <f t="shared" ref="BK5:BK36" si="31">IF(C5="",IF(COUNTA(D5,F5,H5,N5,O5)&gt;0,"E_MISSING_INPUT",""),IF(AM5&gt;1,"E_DUPLICATE_ID",IF(BJ5=0,"E_MISSING_INPUT",IF(W5&lt;&gt;"",W5,IF(BI5&lt;&gt;"",BI5,IF(AND(ISNUMBER(F5),F5&lt;=0),"E_NONPOSITIVE_PARAMETER",IF(AND(ISNUMBER(J5),J5&lt;=0),"E_NONPOSITIVE_PARAMETER","")))))))</f>
        <v/>
      </c>
      <c r="BL5" s="21" t="str">
        <f>IF(BK5="","",BK5&amp;": "&amp;SUBSTITUTE(IFERROR(INDEX(nMSG_Text,MATCH(BK5,nMSG_Code,0)),""),"[input]",IF(C5="","an Admin_ID",IF(BJ5=0,"an Exposures row for episode "&amp;D5,IF(BI5="E_MISSING_INPUT","segment start and end timestamps and a rate in mg/hour","the date fields required by the selected precision")))))</f>
        <v/>
      </c>
    </row>
    <row r="6" spans="1:64" x14ac:dyDescent="0.2">
      <c r="A6" s="10"/>
      <c r="B6" s="12"/>
      <c r="C6" s="10"/>
      <c r="D6" s="10"/>
      <c r="E6" s="17"/>
      <c r="F6" s="17"/>
      <c r="G6" s="17"/>
      <c r="H6" s="17"/>
      <c r="I6" s="17"/>
      <c r="J6" s="17"/>
      <c r="K6" s="17"/>
      <c r="L6" s="10"/>
      <c r="M6" s="10"/>
      <c r="N6" s="17"/>
      <c r="O6" s="15"/>
      <c r="P6" s="26"/>
      <c r="Q6" s="10"/>
      <c r="R6" s="12"/>
      <c r="S6" s="12"/>
      <c r="T6" s="15"/>
      <c r="U6" s="15"/>
      <c r="V6" s="10"/>
      <c r="W6" s="21" t="str">
        <f>IF(COUNTA(N6:U6)=0,"",IF(N6="","E_MISSING_INPUT",IF(N6="TIMESTAMP",IF(OR(O6="",P6="",Q6=""),"E_MISSING_INPUT",IF(OR(NOT(ISNUMBER(O6)),NOT(ISNUMBER(P6))),"E_INVALID_DATE",IF(OR(O6&lt;&gt;INT(O6),P6&lt;0,P6&gt;=1),"E_INVALID_DATE",IF(ISNA(MATCH(Q6,nLIST_Offset,0)),"E_INVALID_UNIT","")))),IF(N6="DATE",IF(O6="","E_MISSING_INPUT",IF(NOT(ISNUMBER(O6)),"E_INVALID_DATE",IF(O6&lt;&gt;INT(O6),"E_INVALID_DATE",""))),IF(N6="MONTH",IF(OR(R6="",S6=""),"E_MISSING_INPUT",IF(OR(NOT(ISNUMBER(R6)),NOT(ISNUMBER(S6))),"E_INVALID_DATE",IF(OR(R6&lt;1900,R6&gt;9999,R6&lt;&gt;INT(R6),S6&lt;1,S6&gt;12,S6&lt;&gt;INT(S6)),"E_INVALID_DATE",""))),IF(N6="YEAR",IF(R6="","E_MISSING_INPUT",IF(NOT(ISNUMBER(R6)),"E_INVALID_DATE",IF(OR(R6&lt;1900,R6&gt;9999,R6&lt;&gt;INT(R6)),"E_INVALID_DATE",""))),IF(N6="RANGE",IF(OR(T6="",U6=""),"E_MISSING_INPUT",IF(OR(NOT(ISNUMBER(T6)),NOT(ISNUMBER(U6))),"E_INVALID_DATE",IF(OR(T6&lt;&gt;INT(T6),U6&lt;&gt;INT(U6)),"E_INVALID_DATE",IF(T6&gt;U6,"E_REVERSED_BOUNDS","")))),"E_INVALID_UNIT")))))))</f>
        <v/>
      </c>
      <c r="X6" s="22">
        <f t="shared" si="0"/>
        <v>0</v>
      </c>
      <c r="Y6" s="22">
        <f t="shared" si="1"/>
        <v>0</v>
      </c>
      <c r="Z6" s="28" t="str">
        <f t="shared" si="2"/>
        <v/>
      </c>
      <c r="AA6" s="28" t="str">
        <f t="shared" si="3"/>
        <v/>
      </c>
      <c r="AB6" s="22" t="str">
        <f t="shared" si="4"/>
        <v/>
      </c>
      <c r="AC6" s="22" t="str">
        <f t="shared" si="5"/>
        <v/>
      </c>
      <c r="AD6" s="15"/>
      <c r="AE6" s="26"/>
      <c r="AF6" s="10"/>
      <c r="AG6" s="10"/>
      <c r="AH6" s="21" t="str">
        <f>IF(COUNTA(AD6:AF6)=0,"",IF(OR(AD6="",AE6="",AF6=""),"E_MISSING_INPUT",IF(OR(NOT(ISNUMBER(AD6)),NOT(ISNUMBER(AE6))),"E_INVALID_DATE",IF(OR(AD6&lt;&gt;INT(AD6),AE6&lt;0,AE6&gt;=1),"E_INVALID_DATE",IF(ISNA(MATCH(AF6,nLIST_Offset,0)),"E_INVALID_UNIT","")))))</f>
        <v/>
      </c>
      <c r="AI6" s="22" t="str">
        <f t="shared" si="6"/>
        <v/>
      </c>
      <c r="AJ6" s="22">
        <f t="shared" si="7"/>
        <v>0</v>
      </c>
      <c r="AK6" s="22" t="str">
        <f t="shared" si="8"/>
        <v/>
      </c>
      <c r="AL6" s="21" t="str">
        <f t="shared" si="9"/>
        <v/>
      </c>
      <c r="AM6" s="22">
        <f>IF(AL6="",0,COUNTIF(nADM_Key,AL6))</f>
        <v>0</v>
      </c>
      <c r="AN6" s="21" t="str">
        <f t="shared" si="10"/>
        <v/>
      </c>
      <c r="AO6" s="22">
        <f t="shared" si="11"/>
        <v>0</v>
      </c>
      <c r="AP6" s="22">
        <f t="shared" si="12"/>
        <v>0</v>
      </c>
      <c r="AQ6" s="22">
        <f t="shared" si="13"/>
        <v>0</v>
      </c>
      <c r="AR6" s="22">
        <f t="shared" si="14"/>
        <v>0</v>
      </c>
      <c r="AS6" s="22">
        <f t="shared" si="15"/>
        <v>0</v>
      </c>
      <c r="AT6" s="21">
        <f t="shared" si="16"/>
        <v>0</v>
      </c>
      <c r="AU6" s="21">
        <f t="shared" si="17"/>
        <v>0</v>
      </c>
      <c r="AV6" s="22">
        <f t="shared" si="18"/>
        <v>0</v>
      </c>
      <c r="AW6" s="21">
        <f t="shared" si="19"/>
        <v>0</v>
      </c>
      <c r="AX6" s="22">
        <f t="shared" si="20"/>
        <v>0</v>
      </c>
      <c r="AY6" s="21">
        <f t="shared" si="21"/>
        <v>1</v>
      </c>
      <c r="AZ6" s="21">
        <f t="shared" si="22"/>
        <v>0</v>
      </c>
      <c r="BA6" s="22">
        <f t="shared" si="23"/>
        <v>0</v>
      </c>
      <c r="BB6" s="22">
        <f t="shared" si="24"/>
        <v>0</v>
      </c>
      <c r="BC6" s="22">
        <f t="shared" si="25"/>
        <v>0</v>
      </c>
      <c r="BD6" s="22">
        <f t="shared" si="26"/>
        <v>0</v>
      </c>
      <c r="BE6" s="22">
        <f t="shared" si="27"/>
        <v>0</v>
      </c>
      <c r="BF6" s="22">
        <f t="shared" si="28"/>
        <v>0</v>
      </c>
      <c r="BG6" s="22">
        <f t="shared" si="29"/>
        <v>0</v>
      </c>
      <c r="BH6" s="22">
        <f>IF(OR(E6&lt;&gt;"INFUSION_SEGMENT",BF6=0,BG6=0),0,COUNTIFS(nADM_SelKey,AN6,nADM_Kind,"INFUSION_SEGMENT",nADM_SegS_cmp,"&lt;"&amp;BG6,nADM_SegE_cmp,"&gt;"&amp;BF6)-IF(BG6&gt;BF6,1,0))</f>
        <v>0</v>
      </c>
      <c r="BI6" s="21" t="str">
        <f t="shared" si="30"/>
        <v/>
      </c>
      <c r="BJ6" s="22">
        <f>IF(C6="",1,IF(COUNTIF(nEXP_Key,AN6)&gt;0,1,0))</f>
        <v>1</v>
      </c>
      <c r="BK6" s="21" t="str">
        <f t="shared" si="31"/>
        <v/>
      </c>
      <c r="BL6" s="21" t="str">
        <f>IF(BK6="","",BK6&amp;": "&amp;SUBSTITUTE(IFERROR(INDEX(nMSG_Text,MATCH(BK6,nMSG_Code,0)),""),"[input]",IF(C6="","an Admin_ID",IF(BJ6=0,"an Exposures row for episode "&amp;D6,IF(BI6="E_MISSING_INPUT","segment start and end timestamps and a rate in mg/hour","the date fields required by the selected precision")))))</f>
        <v/>
      </c>
    </row>
    <row r="7" spans="1:64" x14ac:dyDescent="0.2">
      <c r="A7" s="10"/>
      <c r="B7" s="12"/>
      <c r="C7" s="10"/>
      <c r="D7" s="10"/>
      <c r="E7" s="17"/>
      <c r="F7" s="17"/>
      <c r="G7" s="17"/>
      <c r="H7" s="17"/>
      <c r="I7" s="17"/>
      <c r="J7" s="17"/>
      <c r="K7" s="17"/>
      <c r="L7" s="10"/>
      <c r="M7" s="10"/>
      <c r="N7" s="17"/>
      <c r="O7" s="15"/>
      <c r="P7" s="26"/>
      <c r="Q7" s="10"/>
      <c r="R7" s="12"/>
      <c r="S7" s="12"/>
      <c r="T7" s="15"/>
      <c r="U7" s="15"/>
      <c r="V7" s="10"/>
      <c r="W7" s="21" t="str">
        <f>IF(COUNTA(N7:U7)=0,"",IF(N7="","E_MISSING_INPUT",IF(N7="TIMESTAMP",IF(OR(O7="",P7="",Q7=""),"E_MISSING_INPUT",IF(OR(NOT(ISNUMBER(O7)),NOT(ISNUMBER(P7))),"E_INVALID_DATE",IF(OR(O7&lt;&gt;INT(O7),P7&lt;0,P7&gt;=1),"E_INVALID_DATE",IF(ISNA(MATCH(Q7,nLIST_Offset,0)),"E_INVALID_UNIT","")))),IF(N7="DATE",IF(O7="","E_MISSING_INPUT",IF(NOT(ISNUMBER(O7)),"E_INVALID_DATE",IF(O7&lt;&gt;INT(O7),"E_INVALID_DATE",""))),IF(N7="MONTH",IF(OR(R7="",S7=""),"E_MISSING_INPUT",IF(OR(NOT(ISNUMBER(R7)),NOT(ISNUMBER(S7))),"E_INVALID_DATE",IF(OR(R7&lt;1900,R7&gt;9999,R7&lt;&gt;INT(R7),S7&lt;1,S7&gt;12,S7&lt;&gt;INT(S7)),"E_INVALID_DATE",""))),IF(N7="YEAR",IF(R7="","E_MISSING_INPUT",IF(NOT(ISNUMBER(R7)),"E_INVALID_DATE",IF(OR(R7&lt;1900,R7&gt;9999,R7&lt;&gt;INT(R7)),"E_INVALID_DATE",""))),IF(N7="RANGE",IF(OR(T7="",U7=""),"E_MISSING_INPUT",IF(OR(NOT(ISNUMBER(T7)),NOT(ISNUMBER(U7))),"E_INVALID_DATE",IF(OR(T7&lt;&gt;INT(T7),U7&lt;&gt;INT(U7)),"E_INVALID_DATE",IF(T7&gt;U7,"E_REVERSED_BOUNDS","")))),"E_INVALID_UNIT")))))))</f>
        <v/>
      </c>
      <c r="X7" s="22">
        <f t="shared" si="0"/>
        <v>0</v>
      </c>
      <c r="Y7" s="22">
        <f t="shared" si="1"/>
        <v>0</v>
      </c>
      <c r="Z7" s="28" t="str">
        <f t="shared" si="2"/>
        <v/>
      </c>
      <c r="AA7" s="28" t="str">
        <f t="shared" si="3"/>
        <v/>
      </c>
      <c r="AB7" s="22" t="str">
        <f t="shared" si="4"/>
        <v/>
      </c>
      <c r="AC7" s="22" t="str">
        <f t="shared" si="5"/>
        <v/>
      </c>
      <c r="AD7" s="15"/>
      <c r="AE7" s="26"/>
      <c r="AF7" s="10"/>
      <c r="AG7" s="10"/>
      <c r="AH7" s="21" t="str">
        <f>IF(COUNTA(AD7:AF7)=0,"",IF(OR(AD7="",AE7="",AF7=""),"E_MISSING_INPUT",IF(OR(NOT(ISNUMBER(AD7)),NOT(ISNUMBER(AE7))),"E_INVALID_DATE",IF(OR(AD7&lt;&gt;INT(AD7),AE7&lt;0,AE7&gt;=1),"E_INVALID_DATE",IF(ISNA(MATCH(AF7,nLIST_Offset,0)),"E_INVALID_UNIT","")))))</f>
        <v/>
      </c>
      <c r="AI7" s="22" t="str">
        <f t="shared" si="6"/>
        <v/>
      </c>
      <c r="AJ7" s="22">
        <f t="shared" si="7"/>
        <v>0</v>
      </c>
      <c r="AK7" s="22" t="str">
        <f t="shared" si="8"/>
        <v/>
      </c>
      <c r="AL7" s="21" t="str">
        <f t="shared" si="9"/>
        <v/>
      </c>
      <c r="AM7" s="22">
        <f>IF(AL7="",0,COUNTIF(nADM_Key,AL7))</f>
        <v>0</v>
      </c>
      <c r="AN7" s="21" t="str">
        <f t="shared" si="10"/>
        <v/>
      </c>
      <c r="AO7" s="22">
        <f t="shared" si="11"/>
        <v>0</v>
      </c>
      <c r="AP7" s="22">
        <f t="shared" si="12"/>
        <v>0</v>
      </c>
      <c r="AQ7" s="22">
        <f t="shared" si="13"/>
        <v>0</v>
      </c>
      <c r="AR7" s="22">
        <f t="shared" si="14"/>
        <v>0</v>
      </c>
      <c r="AS7" s="22">
        <f t="shared" si="15"/>
        <v>0</v>
      </c>
      <c r="AT7" s="21">
        <f t="shared" si="16"/>
        <v>0</v>
      </c>
      <c r="AU7" s="21">
        <f t="shared" si="17"/>
        <v>0</v>
      </c>
      <c r="AV7" s="22">
        <f t="shared" si="18"/>
        <v>0</v>
      </c>
      <c r="AW7" s="21">
        <f t="shared" si="19"/>
        <v>0</v>
      </c>
      <c r="AX7" s="22">
        <f t="shared" si="20"/>
        <v>0</v>
      </c>
      <c r="AY7" s="21">
        <f t="shared" si="21"/>
        <v>1</v>
      </c>
      <c r="AZ7" s="21">
        <f t="shared" si="22"/>
        <v>0</v>
      </c>
      <c r="BA7" s="22">
        <f t="shared" si="23"/>
        <v>0</v>
      </c>
      <c r="BB7" s="22">
        <f t="shared" si="24"/>
        <v>0</v>
      </c>
      <c r="BC7" s="22">
        <f t="shared" si="25"/>
        <v>0</v>
      </c>
      <c r="BD7" s="22">
        <f t="shared" si="26"/>
        <v>0</v>
      </c>
      <c r="BE7" s="22">
        <f t="shared" si="27"/>
        <v>0</v>
      </c>
      <c r="BF7" s="22">
        <f t="shared" si="28"/>
        <v>0</v>
      </c>
      <c r="BG7" s="22">
        <f t="shared" si="29"/>
        <v>0</v>
      </c>
      <c r="BH7" s="22">
        <f>IF(OR(E7&lt;&gt;"INFUSION_SEGMENT",BF7=0,BG7=0),0,COUNTIFS(nADM_SelKey,AN7,nADM_Kind,"INFUSION_SEGMENT",nADM_SegS_cmp,"&lt;"&amp;BG7,nADM_SegE_cmp,"&gt;"&amp;BF7)-IF(BG7&gt;BF7,1,0))</f>
        <v>0</v>
      </c>
      <c r="BI7" s="21" t="str">
        <f t="shared" si="30"/>
        <v/>
      </c>
      <c r="BJ7" s="22">
        <f>IF(C7="",1,IF(COUNTIF(nEXP_Key,AN7)&gt;0,1,0))</f>
        <v>1</v>
      </c>
      <c r="BK7" s="21" t="str">
        <f t="shared" si="31"/>
        <v/>
      </c>
      <c r="BL7" s="21" t="str">
        <f>IF(BK7="","",BK7&amp;": "&amp;SUBSTITUTE(IFERROR(INDEX(nMSG_Text,MATCH(BK7,nMSG_Code,0)),""),"[input]",IF(C7="","an Admin_ID",IF(BJ7=0,"an Exposures row for episode "&amp;D7,IF(BI7="E_MISSING_INPUT","segment start and end timestamps and a rate in mg/hour","the date fields required by the selected precision")))))</f>
        <v/>
      </c>
    </row>
    <row r="8" spans="1:64" x14ac:dyDescent="0.2">
      <c r="A8" s="10"/>
      <c r="B8" s="12"/>
      <c r="C8" s="10"/>
      <c r="D8" s="10"/>
      <c r="E8" s="17"/>
      <c r="F8" s="17"/>
      <c r="G8" s="17"/>
      <c r="H8" s="17"/>
      <c r="I8" s="17"/>
      <c r="J8" s="17"/>
      <c r="K8" s="17"/>
      <c r="L8" s="10"/>
      <c r="M8" s="10"/>
      <c r="N8" s="17"/>
      <c r="O8" s="15"/>
      <c r="P8" s="26"/>
      <c r="Q8" s="10"/>
      <c r="R8" s="12"/>
      <c r="S8" s="12"/>
      <c r="T8" s="15"/>
      <c r="U8" s="15"/>
      <c r="V8" s="10"/>
      <c r="W8" s="21" t="str">
        <f>IF(COUNTA(N8:U8)=0,"",IF(N8="","E_MISSING_INPUT",IF(N8="TIMESTAMP",IF(OR(O8="",P8="",Q8=""),"E_MISSING_INPUT",IF(OR(NOT(ISNUMBER(O8)),NOT(ISNUMBER(P8))),"E_INVALID_DATE",IF(OR(O8&lt;&gt;INT(O8),P8&lt;0,P8&gt;=1),"E_INVALID_DATE",IF(ISNA(MATCH(Q8,nLIST_Offset,0)),"E_INVALID_UNIT","")))),IF(N8="DATE",IF(O8="","E_MISSING_INPUT",IF(NOT(ISNUMBER(O8)),"E_INVALID_DATE",IF(O8&lt;&gt;INT(O8),"E_INVALID_DATE",""))),IF(N8="MONTH",IF(OR(R8="",S8=""),"E_MISSING_INPUT",IF(OR(NOT(ISNUMBER(R8)),NOT(ISNUMBER(S8))),"E_INVALID_DATE",IF(OR(R8&lt;1900,R8&gt;9999,R8&lt;&gt;INT(R8),S8&lt;1,S8&gt;12,S8&lt;&gt;INT(S8)),"E_INVALID_DATE",""))),IF(N8="YEAR",IF(R8="","E_MISSING_INPUT",IF(NOT(ISNUMBER(R8)),"E_INVALID_DATE",IF(OR(R8&lt;1900,R8&gt;9999,R8&lt;&gt;INT(R8)),"E_INVALID_DATE",""))),IF(N8="RANGE",IF(OR(T8="",U8=""),"E_MISSING_INPUT",IF(OR(NOT(ISNUMBER(T8)),NOT(ISNUMBER(U8))),"E_INVALID_DATE",IF(OR(T8&lt;&gt;INT(T8),U8&lt;&gt;INT(U8)),"E_INVALID_DATE",IF(T8&gt;U8,"E_REVERSED_BOUNDS","")))),"E_INVALID_UNIT")))))))</f>
        <v/>
      </c>
      <c r="X8" s="22">
        <f t="shared" si="0"/>
        <v>0</v>
      </c>
      <c r="Y8" s="22">
        <f t="shared" si="1"/>
        <v>0</v>
      </c>
      <c r="Z8" s="28" t="str">
        <f t="shared" si="2"/>
        <v/>
      </c>
      <c r="AA8" s="28" t="str">
        <f t="shared" si="3"/>
        <v/>
      </c>
      <c r="AB8" s="22" t="str">
        <f t="shared" si="4"/>
        <v/>
      </c>
      <c r="AC8" s="22" t="str">
        <f t="shared" si="5"/>
        <v/>
      </c>
      <c r="AD8" s="15"/>
      <c r="AE8" s="26"/>
      <c r="AF8" s="10"/>
      <c r="AG8" s="10"/>
      <c r="AH8" s="21" t="str">
        <f>IF(COUNTA(AD8:AF8)=0,"",IF(OR(AD8="",AE8="",AF8=""),"E_MISSING_INPUT",IF(OR(NOT(ISNUMBER(AD8)),NOT(ISNUMBER(AE8))),"E_INVALID_DATE",IF(OR(AD8&lt;&gt;INT(AD8),AE8&lt;0,AE8&gt;=1),"E_INVALID_DATE",IF(ISNA(MATCH(AF8,nLIST_Offset,0)),"E_INVALID_UNIT","")))))</f>
        <v/>
      </c>
      <c r="AI8" s="22" t="str">
        <f t="shared" si="6"/>
        <v/>
      </c>
      <c r="AJ8" s="22">
        <f t="shared" si="7"/>
        <v>0</v>
      </c>
      <c r="AK8" s="22" t="str">
        <f t="shared" si="8"/>
        <v/>
      </c>
      <c r="AL8" s="21" t="str">
        <f t="shared" si="9"/>
        <v/>
      </c>
      <c r="AM8" s="22">
        <f>IF(AL8="",0,COUNTIF(nADM_Key,AL8))</f>
        <v>0</v>
      </c>
      <c r="AN8" s="21" t="str">
        <f t="shared" si="10"/>
        <v/>
      </c>
      <c r="AO8" s="22">
        <f t="shared" si="11"/>
        <v>0</v>
      </c>
      <c r="AP8" s="22">
        <f t="shared" si="12"/>
        <v>0</v>
      </c>
      <c r="AQ8" s="22">
        <f t="shared" si="13"/>
        <v>0</v>
      </c>
      <c r="AR8" s="22">
        <f t="shared" si="14"/>
        <v>0</v>
      </c>
      <c r="AS8" s="22">
        <f t="shared" si="15"/>
        <v>0</v>
      </c>
      <c r="AT8" s="21">
        <f t="shared" si="16"/>
        <v>0</v>
      </c>
      <c r="AU8" s="21">
        <f t="shared" si="17"/>
        <v>0</v>
      </c>
      <c r="AV8" s="22">
        <f t="shared" si="18"/>
        <v>0</v>
      </c>
      <c r="AW8" s="21">
        <f t="shared" si="19"/>
        <v>0</v>
      </c>
      <c r="AX8" s="22">
        <f t="shared" si="20"/>
        <v>0</v>
      </c>
      <c r="AY8" s="21">
        <f t="shared" si="21"/>
        <v>1</v>
      </c>
      <c r="AZ8" s="21">
        <f t="shared" si="22"/>
        <v>0</v>
      </c>
      <c r="BA8" s="22">
        <f t="shared" si="23"/>
        <v>0</v>
      </c>
      <c r="BB8" s="22">
        <f t="shared" si="24"/>
        <v>0</v>
      </c>
      <c r="BC8" s="22">
        <f t="shared" si="25"/>
        <v>0</v>
      </c>
      <c r="BD8" s="22">
        <f t="shared" si="26"/>
        <v>0</v>
      </c>
      <c r="BE8" s="22">
        <f t="shared" si="27"/>
        <v>0</v>
      </c>
      <c r="BF8" s="22">
        <f t="shared" si="28"/>
        <v>0</v>
      </c>
      <c r="BG8" s="22">
        <f t="shared" si="29"/>
        <v>0</v>
      </c>
      <c r="BH8" s="22">
        <f>IF(OR(E8&lt;&gt;"INFUSION_SEGMENT",BF8=0,BG8=0),0,COUNTIFS(nADM_SelKey,AN8,nADM_Kind,"INFUSION_SEGMENT",nADM_SegS_cmp,"&lt;"&amp;BG8,nADM_SegE_cmp,"&gt;"&amp;BF8)-IF(BG8&gt;BF8,1,0))</f>
        <v>0</v>
      </c>
      <c r="BI8" s="21" t="str">
        <f t="shared" si="30"/>
        <v/>
      </c>
      <c r="BJ8" s="22">
        <f>IF(C8="",1,IF(COUNTIF(nEXP_Key,AN8)&gt;0,1,0))</f>
        <v>1</v>
      </c>
      <c r="BK8" s="21" t="str">
        <f t="shared" si="31"/>
        <v/>
      </c>
      <c r="BL8" s="21" t="str">
        <f>IF(BK8="","",BK8&amp;": "&amp;SUBSTITUTE(IFERROR(INDEX(nMSG_Text,MATCH(BK8,nMSG_Code,0)),""),"[input]",IF(C8="","an Admin_ID",IF(BJ8=0,"an Exposures row for episode "&amp;D8,IF(BI8="E_MISSING_INPUT","segment start and end timestamps and a rate in mg/hour","the date fields required by the selected precision")))))</f>
        <v/>
      </c>
    </row>
    <row r="9" spans="1:64" x14ac:dyDescent="0.2">
      <c r="A9" s="10"/>
      <c r="B9" s="12"/>
      <c r="C9" s="10"/>
      <c r="D9" s="10"/>
      <c r="E9" s="17"/>
      <c r="F9" s="17"/>
      <c r="G9" s="17"/>
      <c r="H9" s="17"/>
      <c r="I9" s="17"/>
      <c r="J9" s="17"/>
      <c r="K9" s="17"/>
      <c r="L9" s="10"/>
      <c r="M9" s="10"/>
      <c r="N9" s="17"/>
      <c r="O9" s="15"/>
      <c r="P9" s="26"/>
      <c r="Q9" s="10"/>
      <c r="R9" s="12"/>
      <c r="S9" s="12"/>
      <c r="T9" s="15"/>
      <c r="U9" s="15"/>
      <c r="V9" s="10"/>
      <c r="W9" s="21" t="str">
        <f>IF(COUNTA(N9:U9)=0,"",IF(N9="","E_MISSING_INPUT",IF(N9="TIMESTAMP",IF(OR(O9="",P9="",Q9=""),"E_MISSING_INPUT",IF(OR(NOT(ISNUMBER(O9)),NOT(ISNUMBER(P9))),"E_INVALID_DATE",IF(OR(O9&lt;&gt;INT(O9),P9&lt;0,P9&gt;=1),"E_INVALID_DATE",IF(ISNA(MATCH(Q9,nLIST_Offset,0)),"E_INVALID_UNIT","")))),IF(N9="DATE",IF(O9="","E_MISSING_INPUT",IF(NOT(ISNUMBER(O9)),"E_INVALID_DATE",IF(O9&lt;&gt;INT(O9),"E_INVALID_DATE",""))),IF(N9="MONTH",IF(OR(R9="",S9=""),"E_MISSING_INPUT",IF(OR(NOT(ISNUMBER(R9)),NOT(ISNUMBER(S9))),"E_INVALID_DATE",IF(OR(R9&lt;1900,R9&gt;9999,R9&lt;&gt;INT(R9),S9&lt;1,S9&gt;12,S9&lt;&gt;INT(S9)),"E_INVALID_DATE",""))),IF(N9="YEAR",IF(R9="","E_MISSING_INPUT",IF(NOT(ISNUMBER(R9)),"E_INVALID_DATE",IF(OR(R9&lt;1900,R9&gt;9999,R9&lt;&gt;INT(R9)),"E_INVALID_DATE",""))),IF(N9="RANGE",IF(OR(T9="",U9=""),"E_MISSING_INPUT",IF(OR(NOT(ISNUMBER(T9)),NOT(ISNUMBER(U9))),"E_INVALID_DATE",IF(OR(T9&lt;&gt;INT(T9),U9&lt;&gt;INT(U9)),"E_INVALID_DATE",IF(T9&gt;U9,"E_REVERSED_BOUNDS","")))),"E_INVALID_UNIT")))))))</f>
        <v/>
      </c>
      <c r="X9" s="22">
        <f t="shared" si="0"/>
        <v>0</v>
      </c>
      <c r="Y9" s="22">
        <f t="shared" si="1"/>
        <v>0</v>
      </c>
      <c r="Z9" s="28" t="str">
        <f t="shared" si="2"/>
        <v/>
      </c>
      <c r="AA9" s="28" t="str">
        <f t="shared" si="3"/>
        <v/>
      </c>
      <c r="AB9" s="22" t="str">
        <f t="shared" si="4"/>
        <v/>
      </c>
      <c r="AC9" s="22" t="str">
        <f t="shared" si="5"/>
        <v/>
      </c>
      <c r="AD9" s="15"/>
      <c r="AE9" s="26"/>
      <c r="AF9" s="10"/>
      <c r="AG9" s="10"/>
      <c r="AH9" s="21" t="str">
        <f>IF(COUNTA(AD9:AF9)=0,"",IF(OR(AD9="",AE9="",AF9=""),"E_MISSING_INPUT",IF(OR(NOT(ISNUMBER(AD9)),NOT(ISNUMBER(AE9))),"E_INVALID_DATE",IF(OR(AD9&lt;&gt;INT(AD9),AE9&lt;0,AE9&gt;=1),"E_INVALID_DATE",IF(ISNA(MATCH(AF9,nLIST_Offset,0)),"E_INVALID_UNIT","")))))</f>
        <v/>
      </c>
      <c r="AI9" s="22" t="str">
        <f t="shared" si="6"/>
        <v/>
      </c>
      <c r="AJ9" s="22">
        <f t="shared" si="7"/>
        <v>0</v>
      </c>
      <c r="AK9" s="22" t="str">
        <f t="shared" si="8"/>
        <v/>
      </c>
      <c r="AL9" s="21" t="str">
        <f t="shared" si="9"/>
        <v/>
      </c>
      <c r="AM9" s="22">
        <f>IF(AL9="",0,COUNTIF(nADM_Key,AL9))</f>
        <v>0</v>
      </c>
      <c r="AN9" s="21" t="str">
        <f t="shared" si="10"/>
        <v/>
      </c>
      <c r="AO9" s="22">
        <f t="shared" si="11"/>
        <v>0</v>
      </c>
      <c r="AP9" s="22">
        <f t="shared" si="12"/>
        <v>0</v>
      </c>
      <c r="AQ9" s="22">
        <f t="shared" si="13"/>
        <v>0</v>
      </c>
      <c r="AR9" s="22">
        <f t="shared" si="14"/>
        <v>0</v>
      </c>
      <c r="AS9" s="22">
        <f t="shared" si="15"/>
        <v>0</v>
      </c>
      <c r="AT9" s="21">
        <f t="shared" si="16"/>
        <v>0</v>
      </c>
      <c r="AU9" s="21">
        <f t="shared" si="17"/>
        <v>0</v>
      </c>
      <c r="AV9" s="22">
        <f t="shared" si="18"/>
        <v>0</v>
      </c>
      <c r="AW9" s="21">
        <f t="shared" si="19"/>
        <v>0</v>
      </c>
      <c r="AX9" s="22">
        <f t="shared" si="20"/>
        <v>0</v>
      </c>
      <c r="AY9" s="21">
        <f t="shared" si="21"/>
        <v>1</v>
      </c>
      <c r="AZ9" s="21">
        <f t="shared" si="22"/>
        <v>0</v>
      </c>
      <c r="BA9" s="22">
        <f t="shared" si="23"/>
        <v>0</v>
      </c>
      <c r="BB9" s="22">
        <f t="shared" si="24"/>
        <v>0</v>
      </c>
      <c r="BC9" s="22">
        <f t="shared" si="25"/>
        <v>0</v>
      </c>
      <c r="BD9" s="22">
        <f t="shared" si="26"/>
        <v>0</v>
      </c>
      <c r="BE9" s="22">
        <f t="shared" si="27"/>
        <v>0</v>
      </c>
      <c r="BF9" s="22">
        <f t="shared" si="28"/>
        <v>0</v>
      </c>
      <c r="BG9" s="22">
        <f t="shared" si="29"/>
        <v>0</v>
      </c>
      <c r="BH9" s="22">
        <f>IF(OR(E9&lt;&gt;"INFUSION_SEGMENT",BF9=0,BG9=0),0,COUNTIFS(nADM_SelKey,AN9,nADM_Kind,"INFUSION_SEGMENT",nADM_SegS_cmp,"&lt;"&amp;BG9,nADM_SegE_cmp,"&gt;"&amp;BF9)-IF(BG9&gt;BF9,1,0))</f>
        <v>0</v>
      </c>
      <c r="BI9" s="21" t="str">
        <f t="shared" si="30"/>
        <v/>
      </c>
      <c r="BJ9" s="22">
        <f>IF(C9="",1,IF(COUNTIF(nEXP_Key,AN9)&gt;0,1,0))</f>
        <v>1</v>
      </c>
      <c r="BK9" s="21" t="str">
        <f t="shared" si="31"/>
        <v/>
      </c>
      <c r="BL9" s="21" t="str">
        <f>IF(BK9="","",BK9&amp;": "&amp;SUBSTITUTE(IFERROR(INDEX(nMSG_Text,MATCH(BK9,nMSG_Code,0)),""),"[input]",IF(C9="","an Admin_ID",IF(BJ9=0,"an Exposures row for episode "&amp;D9,IF(BI9="E_MISSING_INPUT","segment start and end timestamps and a rate in mg/hour","the date fields required by the selected precision")))))</f>
        <v/>
      </c>
    </row>
    <row r="10" spans="1:64" x14ac:dyDescent="0.2">
      <c r="A10" s="10"/>
      <c r="B10" s="12"/>
      <c r="C10" s="10"/>
      <c r="D10" s="10"/>
      <c r="E10" s="17"/>
      <c r="F10" s="17"/>
      <c r="G10" s="17"/>
      <c r="H10" s="17"/>
      <c r="I10" s="17"/>
      <c r="J10" s="17"/>
      <c r="K10" s="17"/>
      <c r="L10" s="10"/>
      <c r="M10" s="10"/>
      <c r="N10" s="17"/>
      <c r="O10" s="15"/>
      <c r="P10" s="26"/>
      <c r="Q10" s="10"/>
      <c r="R10" s="12"/>
      <c r="S10" s="12"/>
      <c r="T10" s="15"/>
      <c r="U10" s="15"/>
      <c r="V10" s="10"/>
      <c r="W10" s="21" t="str">
        <f>IF(COUNTA(N10:U10)=0,"",IF(N10="","E_MISSING_INPUT",IF(N10="TIMESTAMP",IF(OR(O10="",P10="",Q10=""),"E_MISSING_INPUT",IF(OR(NOT(ISNUMBER(O10)),NOT(ISNUMBER(P10))),"E_INVALID_DATE",IF(OR(O10&lt;&gt;INT(O10),P10&lt;0,P10&gt;=1),"E_INVALID_DATE",IF(ISNA(MATCH(Q10,nLIST_Offset,0)),"E_INVALID_UNIT","")))),IF(N10="DATE",IF(O10="","E_MISSING_INPUT",IF(NOT(ISNUMBER(O10)),"E_INVALID_DATE",IF(O10&lt;&gt;INT(O10),"E_INVALID_DATE",""))),IF(N10="MONTH",IF(OR(R10="",S10=""),"E_MISSING_INPUT",IF(OR(NOT(ISNUMBER(R10)),NOT(ISNUMBER(S10))),"E_INVALID_DATE",IF(OR(R10&lt;1900,R10&gt;9999,R10&lt;&gt;INT(R10),S10&lt;1,S10&gt;12,S10&lt;&gt;INT(S10)),"E_INVALID_DATE",""))),IF(N10="YEAR",IF(R10="","E_MISSING_INPUT",IF(NOT(ISNUMBER(R10)),"E_INVALID_DATE",IF(OR(R10&lt;1900,R10&gt;9999,R10&lt;&gt;INT(R10)),"E_INVALID_DATE",""))),IF(N10="RANGE",IF(OR(T10="",U10=""),"E_MISSING_INPUT",IF(OR(NOT(ISNUMBER(T10)),NOT(ISNUMBER(U10))),"E_INVALID_DATE",IF(OR(T10&lt;&gt;INT(T10),U10&lt;&gt;INT(U10)),"E_INVALID_DATE",IF(T10&gt;U10,"E_REVERSED_BOUNDS","")))),"E_INVALID_UNIT")))))))</f>
        <v/>
      </c>
      <c r="X10" s="22">
        <f t="shared" si="0"/>
        <v>0</v>
      </c>
      <c r="Y10" s="22">
        <f t="shared" si="1"/>
        <v>0</v>
      </c>
      <c r="Z10" s="28" t="str">
        <f t="shared" si="2"/>
        <v/>
      </c>
      <c r="AA10" s="28" t="str">
        <f t="shared" si="3"/>
        <v/>
      </c>
      <c r="AB10" s="22" t="str">
        <f t="shared" si="4"/>
        <v/>
      </c>
      <c r="AC10" s="22" t="str">
        <f t="shared" si="5"/>
        <v/>
      </c>
      <c r="AD10" s="15"/>
      <c r="AE10" s="26"/>
      <c r="AF10" s="10"/>
      <c r="AG10" s="10"/>
      <c r="AH10" s="21" t="str">
        <f>IF(COUNTA(AD10:AF10)=0,"",IF(OR(AD10="",AE10="",AF10=""),"E_MISSING_INPUT",IF(OR(NOT(ISNUMBER(AD10)),NOT(ISNUMBER(AE10))),"E_INVALID_DATE",IF(OR(AD10&lt;&gt;INT(AD10),AE10&lt;0,AE10&gt;=1),"E_INVALID_DATE",IF(ISNA(MATCH(AF10,nLIST_Offset,0)),"E_INVALID_UNIT","")))))</f>
        <v/>
      </c>
      <c r="AI10" s="22" t="str">
        <f t="shared" si="6"/>
        <v/>
      </c>
      <c r="AJ10" s="22">
        <f t="shared" si="7"/>
        <v>0</v>
      </c>
      <c r="AK10" s="22" t="str">
        <f t="shared" si="8"/>
        <v/>
      </c>
      <c r="AL10" s="21" t="str">
        <f t="shared" si="9"/>
        <v/>
      </c>
      <c r="AM10" s="22">
        <f>IF(AL10="",0,COUNTIF(nADM_Key,AL10))</f>
        <v>0</v>
      </c>
      <c r="AN10" s="21" t="str">
        <f t="shared" si="10"/>
        <v/>
      </c>
      <c r="AO10" s="22">
        <f t="shared" si="11"/>
        <v>0</v>
      </c>
      <c r="AP10" s="22">
        <f t="shared" si="12"/>
        <v>0</v>
      </c>
      <c r="AQ10" s="22">
        <f t="shared" si="13"/>
        <v>0</v>
      </c>
      <c r="AR10" s="22">
        <f t="shared" si="14"/>
        <v>0</v>
      </c>
      <c r="AS10" s="22">
        <f t="shared" si="15"/>
        <v>0</v>
      </c>
      <c r="AT10" s="21">
        <f t="shared" si="16"/>
        <v>0</v>
      </c>
      <c r="AU10" s="21">
        <f t="shared" si="17"/>
        <v>0</v>
      </c>
      <c r="AV10" s="22">
        <f t="shared" si="18"/>
        <v>0</v>
      </c>
      <c r="AW10" s="21">
        <f t="shared" si="19"/>
        <v>0</v>
      </c>
      <c r="AX10" s="22">
        <f t="shared" si="20"/>
        <v>0</v>
      </c>
      <c r="AY10" s="21">
        <f t="shared" si="21"/>
        <v>1</v>
      </c>
      <c r="AZ10" s="21">
        <f t="shared" si="22"/>
        <v>0</v>
      </c>
      <c r="BA10" s="22">
        <f t="shared" si="23"/>
        <v>0</v>
      </c>
      <c r="BB10" s="22">
        <f t="shared" si="24"/>
        <v>0</v>
      </c>
      <c r="BC10" s="22">
        <f t="shared" si="25"/>
        <v>0</v>
      </c>
      <c r="BD10" s="22">
        <f t="shared" si="26"/>
        <v>0</v>
      </c>
      <c r="BE10" s="22">
        <f t="shared" si="27"/>
        <v>0</v>
      </c>
      <c r="BF10" s="22">
        <f t="shared" si="28"/>
        <v>0</v>
      </c>
      <c r="BG10" s="22">
        <f t="shared" si="29"/>
        <v>0</v>
      </c>
      <c r="BH10" s="22">
        <f>IF(OR(E10&lt;&gt;"INFUSION_SEGMENT",BF10=0,BG10=0),0,COUNTIFS(nADM_SelKey,AN10,nADM_Kind,"INFUSION_SEGMENT",nADM_SegS_cmp,"&lt;"&amp;BG10,nADM_SegE_cmp,"&gt;"&amp;BF10)-IF(BG10&gt;BF10,1,0))</f>
        <v>0</v>
      </c>
      <c r="BI10" s="21" t="str">
        <f t="shared" si="30"/>
        <v/>
      </c>
      <c r="BJ10" s="22">
        <f>IF(C10="",1,IF(COUNTIF(nEXP_Key,AN10)&gt;0,1,0))</f>
        <v>1</v>
      </c>
      <c r="BK10" s="21" t="str">
        <f t="shared" si="31"/>
        <v/>
      </c>
      <c r="BL10" s="21" t="str">
        <f>IF(BK10="","",BK10&amp;": "&amp;SUBSTITUTE(IFERROR(INDEX(nMSG_Text,MATCH(BK10,nMSG_Code,0)),""),"[input]",IF(C10="","an Admin_ID",IF(BJ10=0,"an Exposures row for episode "&amp;D10,IF(BI10="E_MISSING_INPUT","segment start and end timestamps and a rate in mg/hour","the date fields required by the selected precision")))))</f>
        <v/>
      </c>
    </row>
    <row r="11" spans="1:64" x14ac:dyDescent="0.2">
      <c r="A11" s="10"/>
      <c r="B11" s="12"/>
      <c r="C11" s="10"/>
      <c r="D11" s="10"/>
      <c r="E11" s="17"/>
      <c r="F11" s="17"/>
      <c r="G11" s="17"/>
      <c r="H11" s="17"/>
      <c r="I11" s="17"/>
      <c r="J11" s="17"/>
      <c r="K11" s="17"/>
      <c r="L11" s="10"/>
      <c r="M11" s="10"/>
      <c r="N11" s="17"/>
      <c r="O11" s="15"/>
      <c r="P11" s="26"/>
      <c r="Q11" s="10"/>
      <c r="R11" s="12"/>
      <c r="S11" s="12"/>
      <c r="T11" s="15"/>
      <c r="U11" s="15"/>
      <c r="V11" s="10"/>
      <c r="W11" s="21" t="str">
        <f>IF(COUNTA(N11:U11)=0,"",IF(N11="","E_MISSING_INPUT",IF(N11="TIMESTAMP",IF(OR(O11="",P11="",Q11=""),"E_MISSING_INPUT",IF(OR(NOT(ISNUMBER(O11)),NOT(ISNUMBER(P11))),"E_INVALID_DATE",IF(OR(O11&lt;&gt;INT(O11),P11&lt;0,P11&gt;=1),"E_INVALID_DATE",IF(ISNA(MATCH(Q11,nLIST_Offset,0)),"E_INVALID_UNIT","")))),IF(N11="DATE",IF(O11="","E_MISSING_INPUT",IF(NOT(ISNUMBER(O11)),"E_INVALID_DATE",IF(O11&lt;&gt;INT(O11),"E_INVALID_DATE",""))),IF(N11="MONTH",IF(OR(R11="",S11=""),"E_MISSING_INPUT",IF(OR(NOT(ISNUMBER(R11)),NOT(ISNUMBER(S11))),"E_INVALID_DATE",IF(OR(R11&lt;1900,R11&gt;9999,R11&lt;&gt;INT(R11),S11&lt;1,S11&gt;12,S11&lt;&gt;INT(S11)),"E_INVALID_DATE",""))),IF(N11="YEAR",IF(R11="","E_MISSING_INPUT",IF(NOT(ISNUMBER(R11)),"E_INVALID_DATE",IF(OR(R11&lt;1900,R11&gt;9999,R11&lt;&gt;INT(R11)),"E_INVALID_DATE",""))),IF(N11="RANGE",IF(OR(T11="",U11=""),"E_MISSING_INPUT",IF(OR(NOT(ISNUMBER(T11)),NOT(ISNUMBER(U11))),"E_INVALID_DATE",IF(OR(T11&lt;&gt;INT(T11),U11&lt;&gt;INT(U11)),"E_INVALID_DATE",IF(T11&gt;U11,"E_REVERSED_BOUNDS","")))),"E_INVALID_UNIT")))))))</f>
        <v/>
      </c>
      <c r="X11" s="22">
        <f t="shared" si="0"/>
        <v>0</v>
      </c>
      <c r="Y11" s="22">
        <f t="shared" si="1"/>
        <v>0</v>
      </c>
      <c r="Z11" s="28" t="str">
        <f t="shared" si="2"/>
        <v/>
      </c>
      <c r="AA11" s="28" t="str">
        <f t="shared" si="3"/>
        <v/>
      </c>
      <c r="AB11" s="22" t="str">
        <f t="shared" si="4"/>
        <v/>
      </c>
      <c r="AC11" s="22" t="str">
        <f t="shared" si="5"/>
        <v/>
      </c>
      <c r="AD11" s="15"/>
      <c r="AE11" s="26"/>
      <c r="AF11" s="10"/>
      <c r="AG11" s="10"/>
      <c r="AH11" s="21" t="str">
        <f>IF(COUNTA(AD11:AF11)=0,"",IF(OR(AD11="",AE11="",AF11=""),"E_MISSING_INPUT",IF(OR(NOT(ISNUMBER(AD11)),NOT(ISNUMBER(AE11))),"E_INVALID_DATE",IF(OR(AD11&lt;&gt;INT(AD11),AE11&lt;0,AE11&gt;=1),"E_INVALID_DATE",IF(ISNA(MATCH(AF11,nLIST_Offset,0)),"E_INVALID_UNIT","")))))</f>
        <v/>
      </c>
      <c r="AI11" s="22" t="str">
        <f t="shared" si="6"/>
        <v/>
      </c>
      <c r="AJ11" s="22">
        <f t="shared" si="7"/>
        <v>0</v>
      </c>
      <c r="AK11" s="22" t="str">
        <f t="shared" si="8"/>
        <v/>
      </c>
      <c r="AL11" s="21" t="str">
        <f t="shared" si="9"/>
        <v/>
      </c>
      <c r="AM11" s="22">
        <f>IF(AL11="",0,COUNTIF(nADM_Key,AL11))</f>
        <v>0</v>
      </c>
      <c r="AN11" s="21" t="str">
        <f t="shared" si="10"/>
        <v/>
      </c>
      <c r="AO11" s="22">
        <f t="shared" si="11"/>
        <v>0</v>
      </c>
      <c r="AP11" s="22">
        <f t="shared" si="12"/>
        <v>0</v>
      </c>
      <c r="AQ11" s="22">
        <f t="shared" si="13"/>
        <v>0</v>
      </c>
      <c r="AR11" s="22">
        <f t="shared" si="14"/>
        <v>0</v>
      </c>
      <c r="AS11" s="22">
        <f t="shared" si="15"/>
        <v>0</v>
      </c>
      <c r="AT11" s="21">
        <f t="shared" si="16"/>
        <v>0</v>
      </c>
      <c r="AU11" s="21">
        <f t="shared" si="17"/>
        <v>0</v>
      </c>
      <c r="AV11" s="22">
        <f t="shared" si="18"/>
        <v>0</v>
      </c>
      <c r="AW11" s="21">
        <f t="shared" si="19"/>
        <v>0</v>
      </c>
      <c r="AX11" s="22">
        <f t="shared" si="20"/>
        <v>0</v>
      </c>
      <c r="AY11" s="21">
        <f t="shared" si="21"/>
        <v>1</v>
      </c>
      <c r="AZ11" s="21">
        <f t="shared" si="22"/>
        <v>0</v>
      </c>
      <c r="BA11" s="22">
        <f t="shared" si="23"/>
        <v>0</v>
      </c>
      <c r="BB11" s="22">
        <f t="shared" si="24"/>
        <v>0</v>
      </c>
      <c r="BC11" s="22">
        <f t="shared" si="25"/>
        <v>0</v>
      </c>
      <c r="BD11" s="22">
        <f t="shared" si="26"/>
        <v>0</v>
      </c>
      <c r="BE11" s="22">
        <f t="shared" si="27"/>
        <v>0</v>
      </c>
      <c r="BF11" s="22">
        <f t="shared" si="28"/>
        <v>0</v>
      </c>
      <c r="BG11" s="22">
        <f t="shared" si="29"/>
        <v>0</v>
      </c>
      <c r="BH11" s="22">
        <f>IF(OR(E11&lt;&gt;"INFUSION_SEGMENT",BF11=0,BG11=0),0,COUNTIFS(nADM_SelKey,AN11,nADM_Kind,"INFUSION_SEGMENT",nADM_SegS_cmp,"&lt;"&amp;BG11,nADM_SegE_cmp,"&gt;"&amp;BF11)-IF(BG11&gt;BF11,1,0))</f>
        <v>0</v>
      </c>
      <c r="BI11" s="21" t="str">
        <f t="shared" si="30"/>
        <v/>
      </c>
      <c r="BJ11" s="22">
        <f>IF(C11="",1,IF(COUNTIF(nEXP_Key,AN11)&gt;0,1,0))</f>
        <v>1</v>
      </c>
      <c r="BK11" s="21" t="str">
        <f t="shared" si="31"/>
        <v/>
      </c>
      <c r="BL11" s="21" t="str">
        <f>IF(BK11="","",BK11&amp;": "&amp;SUBSTITUTE(IFERROR(INDEX(nMSG_Text,MATCH(BK11,nMSG_Code,0)),""),"[input]",IF(C11="","an Admin_ID",IF(BJ11=0,"an Exposures row for episode "&amp;D11,IF(BI11="E_MISSING_INPUT","segment start and end timestamps and a rate in mg/hour","the date fields required by the selected precision")))))</f>
        <v/>
      </c>
    </row>
    <row r="12" spans="1:64" x14ac:dyDescent="0.2">
      <c r="A12" s="10"/>
      <c r="B12" s="12"/>
      <c r="C12" s="10"/>
      <c r="D12" s="10"/>
      <c r="E12" s="17"/>
      <c r="F12" s="17"/>
      <c r="G12" s="17"/>
      <c r="H12" s="17"/>
      <c r="I12" s="17"/>
      <c r="J12" s="17"/>
      <c r="K12" s="17"/>
      <c r="L12" s="10"/>
      <c r="M12" s="10"/>
      <c r="N12" s="17"/>
      <c r="O12" s="15"/>
      <c r="P12" s="26"/>
      <c r="Q12" s="10"/>
      <c r="R12" s="12"/>
      <c r="S12" s="12"/>
      <c r="T12" s="15"/>
      <c r="U12" s="15"/>
      <c r="V12" s="10"/>
      <c r="W12" s="21" t="str">
        <f>IF(COUNTA(N12:U12)=0,"",IF(N12="","E_MISSING_INPUT",IF(N12="TIMESTAMP",IF(OR(O12="",P12="",Q12=""),"E_MISSING_INPUT",IF(OR(NOT(ISNUMBER(O12)),NOT(ISNUMBER(P12))),"E_INVALID_DATE",IF(OR(O12&lt;&gt;INT(O12),P12&lt;0,P12&gt;=1),"E_INVALID_DATE",IF(ISNA(MATCH(Q12,nLIST_Offset,0)),"E_INVALID_UNIT","")))),IF(N12="DATE",IF(O12="","E_MISSING_INPUT",IF(NOT(ISNUMBER(O12)),"E_INVALID_DATE",IF(O12&lt;&gt;INT(O12),"E_INVALID_DATE",""))),IF(N12="MONTH",IF(OR(R12="",S12=""),"E_MISSING_INPUT",IF(OR(NOT(ISNUMBER(R12)),NOT(ISNUMBER(S12))),"E_INVALID_DATE",IF(OR(R12&lt;1900,R12&gt;9999,R12&lt;&gt;INT(R12),S12&lt;1,S12&gt;12,S12&lt;&gt;INT(S12)),"E_INVALID_DATE",""))),IF(N12="YEAR",IF(R12="","E_MISSING_INPUT",IF(NOT(ISNUMBER(R12)),"E_INVALID_DATE",IF(OR(R12&lt;1900,R12&gt;9999,R12&lt;&gt;INT(R12)),"E_INVALID_DATE",""))),IF(N12="RANGE",IF(OR(T12="",U12=""),"E_MISSING_INPUT",IF(OR(NOT(ISNUMBER(T12)),NOT(ISNUMBER(U12))),"E_INVALID_DATE",IF(OR(T12&lt;&gt;INT(T12),U12&lt;&gt;INT(U12)),"E_INVALID_DATE",IF(T12&gt;U12,"E_REVERSED_BOUNDS","")))),"E_INVALID_UNIT")))))))</f>
        <v/>
      </c>
      <c r="X12" s="22">
        <f t="shared" si="0"/>
        <v>0</v>
      </c>
      <c r="Y12" s="22">
        <f t="shared" si="1"/>
        <v>0</v>
      </c>
      <c r="Z12" s="28" t="str">
        <f t="shared" si="2"/>
        <v/>
      </c>
      <c r="AA12" s="28" t="str">
        <f t="shared" si="3"/>
        <v/>
      </c>
      <c r="AB12" s="22" t="str">
        <f t="shared" si="4"/>
        <v/>
      </c>
      <c r="AC12" s="22" t="str">
        <f t="shared" si="5"/>
        <v/>
      </c>
      <c r="AD12" s="15"/>
      <c r="AE12" s="26"/>
      <c r="AF12" s="10"/>
      <c r="AG12" s="10"/>
      <c r="AH12" s="21" t="str">
        <f>IF(COUNTA(AD12:AF12)=0,"",IF(OR(AD12="",AE12="",AF12=""),"E_MISSING_INPUT",IF(OR(NOT(ISNUMBER(AD12)),NOT(ISNUMBER(AE12))),"E_INVALID_DATE",IF(OR(AD12&lt;&gt;INT(AD12),AE12&lt;0,AE12&gt;=1),"E_INVALID_DATE",IF(ISNA(MATCH(AF12,nLIST_Offset,0)),"E_INVALID_UNIT","")))))</f>
        <v/>
      </c>
      <c r="AI12" s="22" t="str">
        <f t="shared" si="6"/>
        <v/>
      </c>
      <c r="AJ12" s="22">
        <f t="shared" si="7"/>
        <v>0</v>
      </c>
      <c r="AK12" s="22" t="str">
        <f t="shared" si="8"/>
        <v/>
      </c>
      <c r="AL12" s="21" t="str">
        <f t="shared" si="9"/>
        <v/>
      </c>
      <c r="AM12" s="22">
        <f>IF(AL12="",0,COUNTIF(nADM_Key,AL12))</f>
        <v>0</v>
      </c>
      <c r="AN12" s="21" t="str">
        <f t="shared" si="10"/>
        <v/>
      </c>
      <c r="AO12" s="22">
        <f t="shared" si="11"/>
        <v>0</v>
      </c>
      <c r="AP12" s="22">
        <f t="shared" si="12"/>
        <v>0</v>
      </c>
      <c r="AQ12" s="22">
        <f t="shared" si="13"/>
        <v>0</v>
      </c>
      <c r="AR12" s="22">
        <f t="shared" si="14"/>
        <v>0</v>
      </c>
      <c r="AS12" s="22">
        <f t="shared" si="15"/>
        <v>0</v>
      </c>
      <c r="AT12" s="21">
        <f t="shared" si="16"/>
        <v>0</v>
      </c>
      <c r="AU12" s="21">
        <f t="shared" si="17"/>
        <v>0</v>
      </c>
      <c r="AV12" s="22">
        <f t="shared" si="18"/>
        <v>0</v>
      </c>
      <c r="AW12" s="21">
        <f t="shared" si="19"/>
        <v>0</v>
      </c>
      <c r="AX12" s="22">
        <f t="shared" si="20"/>
        <v>0</v>
      </c>
      <c r="AY12" s="21">
        <f t="shared" si="21"/>
        <v>1</v>
      </c>
      <c r="AZ12" s="21">
        <f t="shared" si="22"/>
        <v>0</v>
      </c>
      <c r="BA12" s="22">
        <f t="shared" si="23"/>
        <v>0</v>
      </c>
      <c r="BB12" s="22">
        <f t="shared" si="24"/>
        <v>0</v>
      </c>
      <c r="BC12" s="22">
        <f t="shared" si="25"/>
        <v>0</v>
      </c>
      <c r="BD12" s="22">
        <f t="shared" si="26"/>
        <v>0</v>
      </c>
      <c r="BE12" s="22">
        <f t="shared" si="27"/>
        <v>0</v>
      </c>
      <c r="BF12" s="22">
        <f t="shared" si="28"/>
        <v>0</v>
      </c>
      <c r="BG12" s="22">
        <f t="shared" si="29"/>
        <v>0</v>
      </c>
      <c r="BH12" s="22">
        <f>IF(OR(E12&lt;&gt;"INFUSION_SEGMENT",BF12=0,BG12=0),0,COUNTIFS(nADM_SelKey,AN12,nADM_Kind,"INFUSION_SEGMENT",nADM_SegS_cmp,"&lt;"&amp;BG12,nADM_SegE_cmp,"&gt;"&amp;BF12)-IF(BG12&gt;BF12,1,0))</f>
        <v>0</v>
      </c>
      <c r="BI12" s="21" t="str">
        <f t="shared" si="30"/>
        <v/>
      </c>
      <c r="BJ12" s="22">
        <f>IF(C12="",1,IF(COUNTIF(nEXP_Key,AN12)&gt;0,1,0))</f>
        <v>1</v>
      </c>
      <c r="BK12" s="21" t="str">
        <f t="shared" si="31"/>
        <v/>
      </c>
      <c r="BL12" s="21" t="str">
        <f>IF(BK12="","",BK12&amp;": "&amp;SUBSTITUTE(IFERROR(INDEX(nMSG_Text,MATCH(BK12,nMSG_Code,0)),""),"[input]",IF(C12="","an Admin_ID",IF(BJ12=0,"an Exposures row for episode "&amp;D12,IF(BI12="E_MISSING_INPUT","segment start and end timestamps and a rate in mg/hour","the date fields required by the selected precision")))))</f>
        <v/>
      </c>
    </row>
    <row r="13" spans="1:64" x14ac:dyDescent="0.2">
      <c r="A13" s="10"/>
      <c r="B13" s="12"/>
      <c r="C13" s="10"/>
      <c r="D13" s="10"/>
      <c r="E13" s="17"/>
      <c r="F13" s="17"/>
      <c r="G13" s="17"/>
      <c r="H13" s="17"/>
      <c r="I13" s="17"/>
      <c r="J13" s="17"/>
      <c r="K13" s="17"/>
      <c r="L13" s="10"/>
      <c r="M13" s="10"/>
      <c r="N13" s="17"/>
      <c r="O13" s="15"/>
      <c r="P13" s="26"/>
      <c r="Q13" s="10"/>
      <c r="R13" s="12"/>
      <c r="S13" s="12"/>
      <c r="T13" s="15"/>
      <c r="U13" s="15"/>
      <c r="V13" s="10"/>
      <c r="W13" s="21" t="str">
        <f>IF(COUNTA(N13:U13)=0,"",IF(N13="","E_MISSING_INPUT",IF(N13="TIMESTAMP",IF(OR(O13="",P13="",Q13=""),"E_MISSING_INPUT",IF(OR(NOT(ISNUMBER(O13)),NOT(ISNUMBER(P13))),"E_INVALID_DATE",IF(OR(O13&lt;&gt;INT(O13),P13&lt;0,P13&gt;=1),"E_INVALID_DATE",IF(ISNA(MATCH(Q13,nLIST_Offset,0)),"E_INVALID_UNIT","")))),IF(N13="DATE",IF(O13="","E_MISSING_INPUT",IF(NOT(ISNUMBER(O13)),"E_INVALID_DATE",IF(O13&lt;&gt;INT(O13),"E_INVALID_DATE",""))),IF(N13="MONTH",IF(OR(R13="",S13=""),"E_MISSING_INPUT",IF(OR(NOT(ISNUMBER(R13)),NOT(ISNUMBER(S13))),"E_INVALID_DATE",IF(OR(R13&lt;1900,R13&gt;9999,R13&lt;&gt;INT(R13),S13&lt;1,S13&gt;12,S13&lt;&gt;INT(S13)),"E_INVALID_DATE",""))),IF(N13="YEAR",IF(R13="","E_MISSING_INPUT",IF(NOT(ISNUMBER(R13)),"E_INVALID_DATE",IF(OR(R13&lt;1900,R13&gt;9999,R13&lt;&gt;INT(R13)),"E_INVALID_DATE",""))),IF(N13="RANGE",IF(OR(T13="",U13=""),"E_MISSING_INPUT",IF(OR(NOT(ISNUMBER(T13)),NOT(ISNUMBER(U13))),"E_INVALID_DATE",IF(OR(T13&lt;&gt;INT(T13),U13&lt;&gt;INT(U13)),"E_INVALID_DATE",IF(T13&gt;U13,"E_REVERSED_BOUNDS","")))),"E_INVALID_UNIT")))))))</f>
        <v/>
      </c>
      <c r="X13" s="22">
        <f t="shared" si="0"/>
        <v>0</v>
      </c>
      <c r="Y13" s="22">
        <f t="shared" si="1"/>
        <v>0</v>
      </c>
      <c r="Z13" s="28" t="str">
        <f t="shared" si="2"/>
        <v/>
      </c>
      <c r="AA13" s="28" t="str">
        <f t="shared" si="3"/>
        <v/>
      </c>
      <c r="AB13" s="22" t="str">
        <f t="shared" si="4"/>
        <v/>
      </c>
      <c r="AC13" s="22" t="str">
        <f t="shared" si="5"/>
        <v/>
      </c>
      <c r="AD13" s="15"/>
      <c r="AE13" s="26"/>
      <c r="AF13" s="10"/>
      <c r="AG13" s="10"/>
      <c r="AH13" s="21" t="str">
        <f>IF(COUNTA(AD13:AF13)=0,"",IF(OR(AD13="",AE13="",AF13=""),"E_MISSING_INPUT",IF(OR(NOT(ISNUMBER(AD13)),NOT(ISNUMBER(AE13))),"E_INVALID_DATE",IF(OR(AD13&lt;&gt;INT(AD13),AE13&lt;0,AE13&gt;=1),"E_INVALID_DATE",IF(ISNA(MATCH(AF13,nLIST_Offset,0)),"E_INVALID_UNIT","")))))</f>
        <v/>
      </c>
      <c r="AI13" s="22" t="str">
        <f t="shared" si="6"/>
        <v/>
      </c>
      <c r="AJ13" s="22">
        <f t="shared" si="7"/>
        <v>0</v>
      </c>
      <c r="AK13" s="22" t="str">
        <f t="shared" si="8"/>
        <v/>
      </c>
      <c r="AL13" s="21" t="str">
        <f t="shared" si="9"/>
        <v/>
      </c>
      <c r="AM13" s="22">
        <f>IF(AL13="",0,COUNTIF(nADM_Key,AL13))</f>
        <v>0</v>
      </c>
      <c r="AN13" s="21" t="str">
        <f t="shared" si="10"/>
        <v/>
      </c>
      <c r="AO13" s="22">
        <f t="shared" si="11"/>
        <v>0</v>
      </c>
      <c r="AP13" s="22">
        <f t="shared" si="12"/>
        <v>0</v>
      </c>
      <c r="AQ13" s="22">
        <f t="shared" si="13"/>
        <v>0</v>
      </c>
      <c r="AR13" s="22">
        <f t="shared" si="14"/>
        <v>0</v>
      </c>
      <c r="AS13" s="22">
        <f t="shared" si="15"/>
        <v>0</v>
      </c>
      <c r="AT13" s="21">
        <f t="shared" si="16"/>
        <v>0</v>
      </c>
      <c r="AU13" s="21">
        <f t="shared" si="17"/>
        <v>0</v>
      </c>
      <c r="AV13" s="22">
        <f t="shared" si="18"/>
        <v>0</v>
      </c>
      <c r="AW13" s="21">
        <f t="shared" si="19"/>
        <v>0</v>
      </c>
      <c r="AX13" s="22">
        <f t="shared" si="20"/>
        <v>0</v>
      </c>
      <c r="AY13" s="21">
        <f t="shared" si="21"/>
        <v>1</v>
      </c>
      <c r="AZ13" s="21">
        <f t="shared" si="22"/>
        <v>0</v>
      </c>
      <c r="BA13" s="22">
        <f t="shared" si="23"/>
        <v>0</v>
      </c>
      <c r="BB13" s="22">
        <f t="shared" si="24"/>
        <v>0</v>
      </c>
      <c r="BC13" s="22">
        <f t="shared" si="25"/>
        <v>0</v>
      </c>
      <c r="BD13" s="22">
        <f t="shared" si="26"/>
        <v>0</v>
      </c>
      <c r="BE13" s="22">
        <f t="shared" si="27"/>
        <v>0</v>
      </c>
      <c r="BF13" s="22">
        <f t="shared" si="28"/>
        <v>0</v>
      </c>
      <c r="BG13" s="22">
        <f t="shared" si="29"/>
        <v>0</v>
      </c>
      <c r="BH13" s="22">
        <f>IF(OR(E13&lt;&gt;"INFUSION_SEGMENT",BF13=0,BG13=0),0,COUNTIFS(nADM_SelKey,AN13,nADM_Kind,"INFUSION_SEGMENT",nADM_SegS_cmp,"&lt;"&amp;BG13,nADM_SegE_cmp,"&gt;"&amp;BF13)-IF(BG13&gt;BF13,1,0))</f>
        <v>0</v>
      </c>
      <c r="BI13" s="21" t="str">
        <f t="shared" si="30"/>
        <v/>
      </c>
      <c r="BJ13" s="22">
        <f>IF(C13="",1,IF(COUNTIF(nEXP_Key,AN13)&gt;0,1,0))</f>
        <v>1</v>
      </c>
      <c r="BK13" s="21" t="str">
        <f t="shared" si="31"/>
        <v/>
      </c>
      <c r="BL13" s="21" t="str">
        <f>IF(BK13="","",BK13&amp;": "&amp;SUBSTITUTE(IFERROR(INDEX(nMSG_Text,MATCH(BK13,nMSG_Code,0)),""),"[input]",IF(C13="","an Admin_ID",IF(BJ13=0,"an Exposures row for episode "&amp;D13,IF(BI13="E_MISSING_INPUT","segment start and end timestamps and a rate in mg/hour","the date fields required by the selected precision")))))</f>
        <v/>
      </c>
    </row>
    <row r="14" spans="1:64" x14ac:dyDescent="0.2">
      <c r="A14" s="10"/>
      <c r="B14" s="12"/>
      <c r="C14" s="10"/>
      <c r="D14" s="10"/>
      <c r="E14" s="17"/>
      <c r="F14" s="17"/>
      <c r="G14" s="17"/>
      <c r="H14" s="17"/>
      <c r="I14" s="17"/>
      <c r="J14" s="17"/>
      <c r="K14" s="17"/>
      <c r="L14" s="10"/>
      <c r="M14" s="10"/>
      <c r="N14" s="17"/>
      <c r="O14" s="15"/>
      <c r="P14" s="26"/>
      <c r="Q14" s="10"/>
      <c r="R14" s="12"/>
      <c r="S14" s="12"/>
      <c r="T14" s="15"/>
      <c r="U14" s="15"/>
      <c r="V14" s="10"/>
      <c r="W14" s="21" t="str">
        <f>IF(COUNTA(N14:U14)=0,"",IF(N14="","E_MISSING_INPUT",IF(N14="TIMESTAMP",IF(OR(O14="",P14="",Q14=""),"E_MISSING_INPUT",IF(OR(NOT(ISNUMBER(O14)),NOT(ISNUMBER(P14))),"E_INVALID_DATE",IF(OR(O14&lt;&gt;INT(O14),P14&lt;0,P14&gt;=1),"E_INVALID_DATE",IF(ISNA(MATCH(Q14,nLIST_Offset,0)),"E_INVALID_UNIT","")))),IF(N14="DATE",IF(O14="","E_MISSING_INPUT",IF(NOT(ISNUMBER(O14)),"E_INVALID_DATE",IF(O14&lt;&gt;INT(O14),"E_INVALID_DATE",""))),IF(N14="MONTH",IF(OR(R14="",S14=""),"E_MISSING_INPUT",IF(OR(NOT(ISNUMBER(R14)),NOT(ISNUMBER(S14))),"E_INVALID_DATE",IF(OR(R14&lt;1900,R14&gt;9999,R14&lt;&gt;INT(R14),S14&lt;1,S14&gt;12,S14&lt;&gt;INT(S14)),"E_INVALID_DATE",""))),IF(N14="YEAR",IF(R14="","E_MISSING_INPUT",IF(NOT(ISNUMBER(R14)),"E_INVALID_DATE",IF(OR(R14&lt;1900,R14&gt;9999,R14&lt;&gt;INT(R14)),"E_INVALID_DATE",""))),IF(N14="RANGE",IF(OR(T14="",U14=""),"E_MISSING_INPUT",IF(OR(NOT(ISNUMBER(T14)),NOT(ISNUMBER(U14))),"E_INVALID_DATE",IF(OR(T14&lt;&gt;INT(T14),U14&lt;&gt;INT(U14)),"E_INVALID_DATE",IF(T14&gt;U14,"E_REVERSED_BOUNDS","")))),"E_INVALID_UNIT")))))))</f>
        <v/>
      </c>
      <c r="X14" s="22">
        <f t="shared" si="0"/>
        <v>0</v>
      </c>
      <c r="Y14" s="22">
        <f t="shared" si="1"/>
        <v>0</v>
      </c>
      <c r="Z14" s="28" t="str">
        <f t="shared" si="2"/>
        <v/>
      </c>
      <c r="AA14" s="28" t="str">
        <f t="shared" si="3"/>
        <v/>
      </c>
      <c r="AB14" s="22" t="str">
        <f t="shared" si="4"/>
        <v/>
      </c>
      <c r="AC14" s="22" t="str">
        <f t="shared" si="5"/>
        <v/>
      </c>
      <c r="AD14" s="15"/>
      <c r="AE14" s="26"/>
      <c r="AF14" s="10"/>
      <c r="AG14" s="10"/>
      <c r="AH14" s="21" t="str">
        <f>IF(COUNTA(AD14:AF14)=0,"",IF(OR(AD14="",AE14="",AF14=""),"E_MISSING_INPUT",IF(OR(NOT(ISNUMBER(AD14)),NOT(ISNUMBER(AE14))),"E_INVALID_DATE",IF(OR(AD14&lt;&gt;INT(AD14),AE14&lt;0,AE14&gt;=1),"E_INVALID_DATE",IF(ISNA(MATCH(AF14,nLIST_Offset,0)),"E_INVALID_UNIT","")))))</f>
        <v/>
      </c>
      <c r="AI14" s="22" t="str">
        <f t="shared" si="6"/>
        <v/>
      </c>
      <c r="AJ14" s="22">
        <f t="shared" si="7"/>
        <v>0</v>
      </c>
      <c r="AK14" s="22" t="str">
        <f t="shared" si="8"/>
        <v/>
      </c>
      <c r="AL14" s="21" t="str">
        <f t="shared" si="9"/>
        <v/>
      </c>
      <c r="AM14" s="22">
        <f>IF(AL14="",0,COUNTIF(nADM_Key,AL14))</f>
        <v>0</v>
      </c>
      <c r="AN14" s="21" t="str">
        <f t="shared" si="10"/>
        <v/>
      </c>
      <c r="AO14" s="22">
        <f t="shared" si="11"/>
        <v>0</v>
      </c>
      <c r="AP14" s="22">
        <f t="shared" si="12"/>
        <v>0</v>
      </c>
      <c r="AQ14" s="22">
        <f t="shared" si="13"/>
        <v>0</v>
      </c>
      <c r="AR14" s="22">
        <f t="shared" si="14"/>
        <v>0</v>
      </c>
      <c r="AS14" s="22">
        <f t="shared" si="15"/>
        <v>0</v>
      </c>
      <c r="AT14" s="21">
        <f t="shared" si="16"/>
        <v>0</v>
      </c>
      <c r="AU14" s="21">
        <f t="shared" si="17"/>
        <v>0</v>
      </c>
      <c r="AV14" s="22">
        <f t="shared" si="18"/>
        <v>0</v>
      </c>
      <c r="AW14" s="21">
        <f t="shared" si="19"/>
        <v>0</v>
      </c>
      <c r="AX14" s="22">
        <f t="shared" si="20"/>
        <v>0</v>
      </c>
      <c r="AY14" s="21">
        <f t="shared" si="21"/>
        <v>1</v>
      </c>
      <c r="AZ14" s="21">
        <f t="shared" si="22"/>
        <v>0</v>
      </c>
      <c r="BA14" s="22">
        <f t="shared" si="23"/>
        <v>0</v>
      </c>
      <c r="BB14" s="22">
        <f t="shared" si="24"/>
        <v>0</v>
      </c>
      <c r="BC14" s="22">
        <f t="shared" si="25"/>
        <v>0</v>
      </c>
      <c r="BD14" s="22">
        <f t="shared" si="26"/>
        <v>0</v>
      </c>
      <c r="BE14" s="22">
        <f t="shared" si="27"/>
        <v>0</v>
      </c>
      <c r="BF14" s="22">
        <f t="shared" si="28"/>
        <v>0</v>
      </c>
      <c r="BG14" s="22">
        <f t="shared" si="29"/>
        <v>0</v>
      </c>
      <c r="BH14" s="22">
        <f>IF(OR(E14&lt;&gt;"INFUSION_SEGMENT",BF14=0,BG14=0),0,COUNTIFS(nADM_SelKey,AN14,nADM_Kind,"INFUSION_SEGMENT",nADM_SegS_cmp,"&lt;"&amp;BG14,nADM_SegE_cmp,"&gt;"&amp;BF14)-IF(BG14&gt;BF14,1,0))</f>
        <v>0</v>
      </c>
      <c r="BI14" s="21" t="str">
        <f t="shared" si="30"/>
        <v/>
      </c>
      <c r="BJ14" s="22">
        <f>IF(C14="",1,IF(COUNTIF(nEXP_Key,AN14)&gt;0,1,0))</f>
        <v>1</v>
      </c>
      <c r="BK14" s="21" t="str">
        <f t="shared" si="31"/>
        <v/>
      </c>
      <c r="BL14" s="21" t="str">
        <f>IF(BK14="","",BK14&amp;": "&amp;SUBSTITUTE(IFERROR(INDEX(nMSG_Text,MATCH(BK14,nMSG_Code,0)),""),"[input]",IF(C14="","an Admin_ID",IF(BJ14=0,"an Exposures row for episode "&amp;D14,IF(BI14="E_MISSING_INPUT","segment start and end timestamps and a rate in mg/hour","the date fields required by the selected precision")))))</f>
        <v/>
      </c>
    </row>
    <row r="15" spans="1:64" x14ac:dyDescent="0.2">
      <c r="A15" s="10"/>
      <c r="B15" s="12"/>
      <c r="C15" s="10"/>
      <c r="D15" s="10"/>
      <c r="E15" s="17"/>
      <c r="F15" s="17"/>
      <c r="G15" s="17"/>
      <c r="H15" s="17"/>
      <c r="I15" s="17"/>
      <c r="J15" s="17"/>
      <c r="K15" s="17"/>
      <c r="L15" s="10"/>
      <c r="M15" s="10"/>
      <c r="N15" s="17"/>
      <c r="O15" s="15"/>
      <c r="P15" s="26"/>
      <c r="Q15" s="10"/>
      <c r="R15" s="12"/>
      <c r="S15" s="12"/>
      <c r="T15" s="15"/>
      <c r="U15" s="15"/>
      <c r="V15" s="10"/>
      <c r="W15" s="21" t="str">
        <f>IF(COUNTA(N15:U15)=0,"",IF(N15="","E_MISSING_INPUT",IF(N15="TIMESTAMP",IF(OR(O15="",P15="",Q15=""),"E_MISSING_INPUT",IF(OR(NOT(ISNUMBER(O15)),NOT(ISNUMBER(P15))),"E_INVALID_DATE",IF(OR(O15&lt;&gt;INT(O15),P15&lt;0,P15&gt;=1),"E_INVALID_DATE",IF(ISNA(MATCH(Q15,nLIST_Offset,0)),"E_INVALID_UNIT","")))),IF(N15="DATE",IF(O15="","E_MISSING_INPUT",IF(NOT(ISNUMBER(O15)),"E_INVALID_DATE",IF(O15&lt;&gt;INT(O15),"E_INVALID_DATE",""))),IF(N15="MONTH",IF(OR(R15="",S15=""),"E_MISSING_INPUT",IF(OR(NOT(ISNUMBER(R15)),NOT(ISNUMBER(S15))),"E_INVALID_DATE",IF(OR(R15&lt;1900,R15&gt;9999,R15&lt;&gt;INT(R15),S15&lt;1,S15&gt;12,S15&lt;&gt;INT(S15)),"E_INVALID_DATE",""))),IF(N15="YEAR",IF(R15="","E_MISSING_INPUT",IF(NOT(ISNUMBER(R15)),"E_INVALID_DATE",IF(OR(R15&lt;1900,R15&gt;9999,R15&lt;&gt;INT(R15)),"E_INVALID_DATE",""))),IF(N15="RANGE",IF(OR(T15="",U15=""),"E_MISSING_INPUT",IF(OR(NOT(ISNUMBER(T15)),NOT(ISNUMBER(U15))),"E_INVALID_DATE",IF(OR(T15&lt;&gt;INT(T15),U15&lt;&gt;INT(U15)),"E_INVALID_DATE",IF(T15&gt;U15,"E_REVERSED_BOUNDS","")))),"E_INVALID_UNIT")))))))</f>
        <v/>
      </c>
      <c r="X15" s="22">
        <f t="shared" si="0"/>
        <v>0</v>
      </c>
      <c r="Y15" s="22">
        <f t="shared" si="1"/>
        <v>0</v>
      </c>
      <c r="Z15" s="28" t="str">
        <f t="shared" si="2"/>
        <v/>
      </c>
      <c r="AA15" s="28" t="str">
        <f t="shared" si="3"/>
        <v/>
      </c>
      <c r="AB15" s="22" t="str">
        <f t="shared" si="4"/>
        <v/>
      </c>
      <c r="AC15" s="22" t="str">
        <f t="shared" si="5"/>
        <v/>
      </c>
      <c r="AD15" s="15"/>
      <c r="AE15" s="26"/>
      <c r="AF15" s="10"/>
      <c r="AG15" s="10"/>
      <c r="AH15" s="21" t="str">
        <f>IF(COUNTA(AD15:AF15)=0,"",IF(OR(AD15="",AE15="",AF15=""),"E_MISSING_INPUT",IF(OR(NOT(ISNUMBER(AD15)),NOT(ISNUMBER(AE15))),"E_INVALID_DATE",IF(OR(AD15&lt;&gt;INT(AD15),AE15&lt;0,AE15&gt;=1),"E_INVALID_DATE",IF(ISNA(MATCH(AF15,nLIST_Offset,0)),"E_INVALID_UNIT","")))))</f>
        <v/>
      </c>
      <c r="AI15" s="22" t="str">
        <f t="shared" si="6"/>
        <v/>
      </c>
      <c r="AJ15" s="22">
        <f t="shared" si="7"/>
        <v>0</v>
      </c>
      <c r="AK15" s="22" t="str">
        <f t="shared" si="8"/>
        <v/>
      </c>
      <c r="AL15" s="21" t="str">
        <f t="shared" si="9"/>
        <v/>
      </c>
      <c r="AM15" s="22">
        <f>IF(AL15="",0,COUNTIF(nADM_Key,AL15))</f>
        <v>0</v>
      </c>
      <c r="AN15" s="21" t="str">
        <f t="shared" si="10"/>
        <v/>
      </c>
      <c r="AO15" s="22">
        <f t="shared" si="11"/>
        <v>0</v>
      </c>
      <c r="AP15" s="22">
        <f t="shared" si="12"/>
        <v>0</v>
      </c>
      <c r="AQ15" s="22">
        <f t="shared" si="13"/>
        <v>0</v>
      </c>
      <c r="AR15" s="22">
        <f t="shared" si="14"/>
        <v>0</v>
      </c>
      <c r="AS15" s="22">
        <f t="shared" si="15"/>
        <v>0</v>
      </c>
      <c r="AT15" s="21">
        <f t="shared" si="16"/>
        <v>0</v>
      </c>
      <c r="AU15" s="21">
        <f t="shared" si="17"/>
        <v>0</v>
      </c>
      <c r="AV15" s="22">
        <f t="shared" si="18"/>
        <v>0</v>
      </c>
      <c r="AW15" s="21">
        <f t="shared" si="19"/>
        <v>0</v>
      </c>
      <c r="AX15" s="22">
        <f t="shared" si="20"/>
        <v>0</v>
      </c>
      <c r="AY15" s="21">
        <f t="shared" si="21"/>
        <v>1</v>
      </c>
      <c r="AZ15" s="21">
        <f t="shared" si="22"/>
        <v>0</v>
      </c>
      <c r="BA15" s="22">
        <f t="shared" si="23"/>
        <v>0</v>
      </c>
      <c r="BB15" s="22">
        <f t="shared" si="24"/>
        <v>0</v>
      </c>
      <c r="BC15" s="22">
        <f t="shared" si="25"/>
        <v>0</v>
      </c>
      <c r="BD15" s="22">
        <f t="shared" si="26"/>
        <v>0</v>
      </c>
      <c r="BE15" s="22">
        <f t="shared" si="27"/>
        <v>0</v>
      </c>
      <c r="BF15" s="22">
        <f t="shared" si="28"/>
        <v>0</v>
      </c>
      <c r="BG15" s="22">
        <f t="shared" si="29"/>
        <v>0</v>
      </c>
      <c r="BH15" s="22">
        <f>IF(OR(E15&lt;&gt;"INFUSION_SEGMENT",BF15=0,BG15=0),0,COUNTIFS(nADM_SelKey,AN15,nADM_Kind,"INFUSION_SEGMENT",nADM_SegS_cmp,"&lt;"&amp;BG15,nADM_SegE_cmp,"&gt;"&amp;BF15)-IF(BG15&gt;BF15,1,0))</f>
        <v>0</v>
      </c>
      <c r="BI15" s="21" t="str">
        <f t="shared" si="30"/>
        <v/>
      </c>
      <c r="BJ15" s="22">
        <f>IF(C15="",1,IF(COUNTIF(nEXP_Key,AN15)&gt;0,1,0))</f>
        <v>1</v>
      </c>
      <c r="BK15" s="21" t="str">
        <f t="shared" si="31"/>
        <v/>
      </c>
      <c r="BL15" s="21" t="str">
        <f>IF(BK15="","",BK15&amp;": "&amp;SUBSTITUTE(IFERROR(INDEX(nMSG_Text,MATCH(BK15,nMSG_Code,0)),""),"[input]",IF(C15="","an Admin_ID",IF(BJ15=0,"an Exposures row for episode "&amp;D15,IF(BI15="E_MISSING_INPUT","segment start and end timestamps and a rate in mg/hour","the date fields required by the selected precision")))))</f>
        <v/>
      </c>
    </row>
    <row r="16" spans="1:64" x14ac:dyDescent="0.2">
      <c r="A16" s="10"/>
      <c r="B16" s="12"/>
      <c r="C16" s="10"/>
      <c r="D16" s="10"/>
      <c r="E16" s="17"/>
      <c r="F16" s="17"/>
      <c r="G16" s="17"/>
      <c r="H16" s="17"/>
      <c r="I16" s="17"/>
      <c r="J16" s="17"/>
      <c r="K16" s="17"/>
      <c r="L16" s="10"/>
      <c r="M16" s="10"/>
      <c r="N16" s="17"/>
      <c r="O16" s="15"/>
      <c r="P16" s="26"/>
      <c r="Q16" s="10"/>
      <c r="R16" s="12"/>
      <c r="S16" s="12"/>
      <c r="T16" s="15"/>
      <c r="U16" s="15"/>
      <c r="V16" s="10"/>
      <c r="W16" s="21" t="str">
        <f>IF(COUNTA(N16:U16)=0,"",IF(N16="","E_MISSING_INPUT",IF(N16="TIMESTAMP",IF(OR(O16="",P16="",Q16=""),"E_MISSING_INPUT",IF(OR(NOT(ISNUMBER(O16)),NOT(ISNUMBER(P16))),"E_INVALID_DATE",IF(OR(O16&lt;&gt;INT(O16),P16&lt;0,P16&gt;=1),"E_INVALID_DATE",IF(ISNA(MATCH(Q16,nLIST_Offset,0)),"E_INVALID_UNIT","")))),IF(N16="DATE",IF(O16="","E_MISSING_INPUT",IF(NOT(ISNUMBER(O16)),"E_INVALID_DATE",IF(O16&lt;&gt;INT(O16),"E_INVALID_DATE",""))),IF(N16="MONTH",IF(OR(R16="",S16=""),"E_MISSING_INPUT",IF(OR(NOT(ISNUMBER(R16)),NOT(ISNUMBER(S16))),"E_INVALID_DATE",IF(OR(R16&lt;1900,R16&gt;9999,R16&lt;&gt;INT(R16),S16&lt;1,S16&gt;12,S16&lt;&gt;INT(S16)),"E_INVALID_DATE",""))),IF(N16="YEAR",IF(R16="","E_MISSING_INPUT",IF(NOT(ISNUMBER(R16)),"E_INVALID_DATE",IF(OR(R16&lt;1900,R16&gt;9999,R16&lt;&gt;INT(R16)),"E_INVALID_DATE",""))),IF(N16="RANGE",IF(OR(T16="",U16=""),"E_MISSING_INPUT",IF(OR(NOT(ISNUMBER(T16)),NOT(ISNUMBER(U16))),"E_INVALID_DATE",IF(OR(T16&lt;&gt;INT(T16),U16&lt;&gt;INT(U16)),"E_INVALID_DATE",IF(T16&gt;U16,"E_REVERSED_BOUNDS","")))),"E_INVALID_UNIT")))))))</f>
        <v/>
      </c>
      <c r="X16" s="22">
        <f t="shared" si="0"/>
        <v>0</v>
      </c>
      <c r="Y16" s="22">
        <f t="shared" si="1"/>
        <v>0</v>
      </c>
      <c r="Z16" s="28" t="str">
        <f t="shared" si="2"/>
        <v/>
      </c>
      <c r="AA16" s="28" t="str">
        <f t="shared" si="3"/>
        <v/>
      </c>
      <c r="AB16" s="22" t="str">
        <f t="shared" si="4"/>
        <v/>
      </c>
      <c r="AC16" s="22" t="str">
        <f t="shared" si="5"/>
        <v/>
      </c>
      <c r="AD16" s="15"/>
      <c r="AE16" s="26"/>
      <c r="AF16" s="10"/>
      <c r="AG16" s="10"/>
      <c r="AH16" s="21" t="str">
        <f>IF(COUNTA(AD16:AF16)=0,"",IF(OR(AD16="",AE16="",AF16=""),"E_MISSING_INPUT",IF(OR(NOT(ISNUMBER(AD16)),NOT(ISNUMBER(AE16))),"E_INVALID_DATE",IF(OR(AD16&lt;&gt;INT(AD16),AE16&lt;0,AE16&gt;=1),"E_INVALID_DATE",IF(ISNA(MATCH(AF16,nLIST_Offset,0)),"E_INVALID_UNIT","")))))</f>
        <v/>
      </c>
      <c r="AI16" s="22" t="str">
        <f t="shared" si="6"/>
        <v/>
      </c>
      <c r="AJ16" s="22">
        <f t="shared" si="7"/>
        <v>0</v>
      </c>
      <c r="AK16" s="22" t="str">
        <f t="shared" si="8"/>
        <v/>
      </c>
      <c r="AL16" s="21" t="str">
        <f t="shared" si="9"/>
        <v/>
      </c>
      <c r="AM16" s="22">
        <f>IF(AL16="",0,COUNTIF(nADM_Key,AL16))</f>
        <v>0</v>
      </c>
      <c r="AN16" s="21" t="str">
        <f t="shared" si="10"/>
        <v/>
      </c>
      <c r="AO16" s="22">
        <f t="shared" si="11"/>
        <v>0</v>
      </c>
      <c r="AP16" s="22">
        <f t="shared" si="12"/>
        <v>0</v>
      </c>
      <c r="AQ16" s="22">
        <f t="shared" si="13"/>
        <v>0</v>
      </c>
      <c r="AR16" s="22">
        <f t="shared" si="14"/>
        <v>0</v>
      </c>
      <c r="AS16" s="22">
        <f t="shared" si="15"/>
        <v>0</v>
      </c>
      <c r="AT16" s="21">
        <f t="shared" si="16"/>
        <v>0</v>
      </c>
      <c r="AU16" s="21">
        <f t="shared" si="17"/>
        <v>0</v>
      </c>
      <c r="AV16" s="22">
        <f t="shared" si="18"/>
        <v>0</v>
      </c>
      <c r="AW16" s="21">
        <f t="shared" si="19"/>
        <v>0</v>
      </c>
      <c r="AX16" s="22">
        <f t="shared" si="20"/>
        <v>0</v>
      </c>
      <c r="AY16" s="21">
        <f t="shared" si="21"/>
        <v>1</v>
      </c>
      <c r="AZ16" s="21">
        <f t="shared" si="22"/>
        <v>0</v>
      </c>
      <c r="BA16" s="22">
        <f t="shared" si="23"/>
        <v>0</v>
      </c>
      <c r="BB16" s="22">
        <f t="shared" si="24"/>
        <v>0</v>
      </c>
      <c r="BC16" s="22">
        <f t="shared" si="25"/>
        <v>0</v>
      </c>
      <c r="BD16" s="22">
        <f t="shared" si="26"/>
        <v>0</v>
      </c>
      <c r="BE16" s="22">
        <f t="shared" si="27"/>
        <v>0</v>
      </c>
      <c r="BF16" s="22">
        <f t="shared" si="28"/>
        <v>0</v>
      </c>
      <c r="BG16" s="22">
        <f t="shared" si="29"/>
        <v>0</v>
      </c>
      <c r="BH16" s="22">
        <f>IF(OR(E16&lt;&gt;"INFUSION_SEGMENT",BF16=0,BG16=0),0,COUNTIFS(nADM_SelKey,AN16,nADM_Kind,"INFUSION_SEGMENT",nADM_SegS_cmp,"&lt;"&amp;BG16,nADM_SegE_cmp,"&gt;"&amp;BF16)-IF(BG16&gt;BF16,1,0))</f>
        <v>0</v>
      </c>
      <c r="BI16" s="21" t="str">
        <f t="shared" si="30"/>
        <v/>
      </c>
      <c r="BJ16" s="22">
        <f>IF(C16="",1,IF(COUNTIF(nEXP_Key,AN16)&gt;0,1,0))</f>
        <v>1</v>
      </c>
      <c r="BK16" s="21" t="str">
        <f t="shared" si="31"/>
        <v/>
      </c>
      <c r="BL16" s="21" t="str">
        <f>IF(BK16="","",BK16&amp;": "&amp;SUBSTITUTE(IFERROR(INDEX(nMSG_Text,MATCH(BK16,nMSG_Code,0)),""),"[input]",IF(C16="","an Admin_ID",IF(BJ16=0,"an Exposures row for episode "&amp;D16,IF(BI16="E_MISSING_INPUT","segment start and end timestamps and a rate in mg/hour","the date fields required by the selected precision")))))</f>
        <v/>
      </c>
    </row>
    <row r="17" spans="1:64" x14ac:dyDescent="0.2">
      <c r="A17" s="10"/>
      <c r="B17" s="12"/>
      <c r="C17" s="10"/>
      <c r="D17" s="10"/>
      <c r="E17" s="17"/>
      <c r="F17" s="17"/>
      <c r="G17" s="17"/>
      <c r="H17" s="17"/>
      <c r="I17" s="17"/>
      <c r="J17" s="17"/>
      <c r="K17" s="17"/>
      <c r="L17" s="10"/>
      <c r="M17" s="10"/>
      <c r="N17" s="17"/>
      <c r="O17" s="15"/>
      <c r="P17" s="26"/>
      <c r="Q17" s="10"/>
      <c r="R17" s="12"/>
      <c r="S17" s="12"/>
      <c r="T17" s="15"/>
      <c r="U17" s="15"/>
      <c r="V17" s="10"/>
      <c r="W17" s="21" t="str">
        <f>IF(COUNTA(N17:U17)=0,"",IF(N17="","E_MISSING_INPUT",IF(N17="TIMESTAMP",IF(OR(O17="",P17="",Q17=""),"E_MISSING_INPUT",IF(OR(NOT(ISNUMBER(O17)),NOT(ISNUMBER(P17))),"E_INVALID_DATE",IF(OR(O17&lt;&gt;INT(O17),P17&lt;0,P17&gt;=1),"E_INVALID_DATE",IF(ISNA(MATCH(Q17,nLIST_Offset,0)),"E_INVALID_UNIT","")))),IF(N17="DATE",IF(O17="","E_MISSING_INPUT",IF(NOT(ISNUMBER(O17)),"E_INVALID_DATE",IF(O17&lt;&gt;INT(O17),"E_INVALID_DATE",""))),IF(N17="MONTH",IF(OR(R17="",S17=""),"E_MISSING_INPUT",IF(OR(NOT(ISNUMBER(R17)),NOT(ISNUMBER(S17))),"E_INVALID_DATE",IF(OR(R17&lt;1900,R17&gt;9999,R17&lt;&gt;INT(R17),S17&lt;1,S17&gt;12,S17&lt;&gt;INT(S17)),"E_INVALID_DATE",""))),IF(N17="YEAR",IF(R17="","E_MISSING_INPUT",IF(NOT(ISNUMBER(R17)),"E_INVALID_DATE",IF(OR(R17&lt;1900,R17&gt;9999,R17&lt;&gt;INT(R17)),"E_INVALID_DATE",""))),IF(N17="RANGE",IF(OR(T17="",U17=""),"E_MISSING_INPUT",IF(OR(NOT(ISNUMBER(T17)),NOT(ISNUMBER(U17))),"E_INVALID_DATE",IF(OR(T17&lt;&gt;INT(T17),U17&lt;&gt;INT(U17)),"E_INVALID_DATE",IF(T17&gt;U17,"E_REVERSED_BOUNDS","")))),"E_INVALID_UNIT")))))))</f>
        <v/>
      </c>
      <c r="X17" s="22">
        <f t="shared" si="0"/>
        <v>0</v>
      </c>
      <c r="Y17" s="22">
        <f t="shared" si="1"/>
        <v>0</v>
      </c>
      <c r="Z17" s="28" t="str">
        <f t="shared" si="2"/>
        <v/>
      </c>
      <c r="AA17" s="28" t="str">
        <f t="shared" si="3"/>
        <v/>
      </c>
      <c r="AB17" s="22" t="str">
        <f t="shared" si="4"/>
        <v/>
      </c>
      <c r="AC17" s="22" t="str">
        <f t="shared" si="5"/>
        <v/>
      </c>
      <c r="AD17" s="15"/>
      <c r="AE17" s="26"/>
      <c r="AF17" s="10"/>
      <c r="AG17" s="10"/>
      <c r="AH17" s="21" t="str">
        <f>IF(COUNTA(AD17:AF17)=0,"",IF(OR(AD17="",AE17="",AF17=""),"E_MISSING_INPUT",IF(OR(NOT(ISNUMBER(AD17)),NOT(ISNUMBER(AE17))),"E_INVALID_DATE",IF(OR(AD17&lt;&gt;INT(AD17),AE17&lt;0,AE17&gt;=1),"E_INVALID_DATE",IF(ISNA(MATCH(AF17,nLIST_Offset,0)),"E_INVALID_UNIT","")))))</f>
        <v/>
      </c>
      <c r="AI17" s="22" t="str">
        <f t="shared" si="6"/>
        <v/>
      </c>
      <c r="AJ17" s="22">
        <f t="shared" si="7"/>
        <v>0</v>
      </c>
      <c r="AK17" s="22" t="str">
        <f t="shared" si="8"/>
        <v/>
      </c>
      <c r="AL17" s="21" t="str">
        <f t="shared" si="9"/>
        <v/>
      </c>
      <c r="AM17" s="22">
        <f>IF(AL17="",0,COUNTIF(nADM_Key,AL17))</f>
        <v>0</v>
      </c>
      <c r="AN17" s="21" t="str">
        <f t="shared" si="10"/>
        <v/>
      </c>
      <c r="AO17" s="22">
        <f t="shared" si="11"/>
        <v>0</v>
      </c>
      <c r="AP17" s="22">
        <f t="shared" si="12"/>
        <v>0</v>
      </c>
      <c r="AQ17" s="22">
        <f t="shared" si="13"/>
        <v>0</v>
      </c>
      <c r="AR17" s="22">
        <f t="shared" si="14"/>
        <v>0</v>
      </c>
      <c r="AS17" s="22">
        <f t="shared" si="15"/>
        <v>0</v>
      </c>
      <c r="AT17" s="21">
        <f t="shared" si="16"/>
        <v>0</v>
      </c>
      <c r="AU17" s="21">
        <f t="shared" si="17"/>
        <v>0</v>
      </c>
      <c r="AV17" s="22">
        <f t="shared" si="18"/>
        <v>0</v>
      </c>
      <c r="AW17" s="21">
        <f t="shared" si="19"/>
        <v>0</v>
      </c>
      <c r="AX17" s="22">
        <f t="shared" si="20"/>
        <v>0</v>
      </c>
      <c r="AY17" s="21">
        <f t="shared" si="21"/>
        <v>1</v>
      </c>
      <c r="AZ17" s="21">
        <f t="shared" si="22"/>
        <v>0</v>
      </c>
      <c r="BA17" s="22">
        <f t="shared" si="23"/>
        <v>0</v>
      </c>
      <c r="BB17" s="22">
        <f t="shared" si="24"/>
        <v>0</v>
      </c>
      <c r="BC17" s="22">
        <f t="shared" si="25"/>
        <v>0</v>
      </c>
      <c r="BD17" s="22">
        <f t="shared" si="26"/>
        <v>0</v>
      </c>
      <c r="BE17" s="22">
        <f t="shared" si="27"/>
        <v>0</v>
      </c>
      <c r="BF17" s="22">
        <f t="shared" si="28"/>
        <v>0</v>
      </c>
      <c r="BG17" s="22">
        <f t="shared" si="29"/>
        <v>0</v>
      </c>
      <c r="BH17" s="22">
        <f>IF(OR(E17&lt;&gt;"INFUSION_SEGMENT",BF17=0,BG17=0),0,COUNTIFS(nADM_SelKey,AN17,nADM_Kind,"INFUSION_SEGMENT",nADM_SegS_cmp,"&lt;"&amp;BG17,nADM_SegE_cmp,"&gt;"&amp;BF17)-IF(BG17&gt;BF17,1,0))</f>
        <v>0</v>
      </c>
      <c r="BI17" s="21" t="str">
        <f t="shared" si="30"/>
        <v/>
      </c>
      <c r="BJ17" s="22">
        <f>IF(C17="",1,IF(COUNTIF(nEXP_Key,AN17)&gt;0,1,0))</f>
        <v>1</v>
      </c>
      <c r="BK17" s="21" t="str">
        <f t="shared" si="31"/>
        <v/>
      </c>
      <c r="BL17" s="21" t="str">
        <f>IF(BK17="","",BK17&amp;": "&amp;SUBSTITUTE(IFERROR(INDEX(nMSG_Text,MATCH(BK17,nMSG_Code,0)),""),"[input]",IF(C17="","an Admin_ID",IF(BJ17=0,"an Exposures row for episode "&amp;D17,IF(BI17="E_MISSING_INPUT","segment start and end timestamps and a rate in mg/hour","the date fields required by the selected precision")))))</f>
        <v/>
      </c>
    </row>
    <row r="18" spans="1:64" x14ac:dyDescent="0.2">
      <c r="A18" s="10"/>
      <c r="B18" s="12"/>
      <c r="C18" s="10"/>
      <c r="D18" s="10"/>
      <c r="E18" s="17"/>
      <c r="F18" s="17"/>
      <c r="G18" s="17"/>
      <c r="H18" s="17"/>
      <c r="I18" s="17"/>
      <c r="J18" s="17"/>
      <c r="K18" s="17"/>
      <c r="L18" s="10"/>
      <c r="M18" s="10"/>
      <c r="N18" s="17"/>
      <c r="O18" s="15"/>
      <c r="P18" s="26"/>
      <c r="Q18" s="10"/>
      <c r="R18" s="12"/>
      <c r="S18" s="12"/>
      <c r="T18" s="15"/>
      <c r="U18" s="15"/>
      <c r="V18" s="10"/>
      <c r="W18" s="21" t="str">
        <f>IF(COUNTA(N18:U18)=0,"",IF(N18="","E_MISSING_INPUT",IF(N18="TIMESTAMP",IF(OR(O18="",P18="",Q18=""),"E_MISSING_INPUT",IF(OR(NOT(ISNUMBER(O18)),NOT(ISNUMBER(P18))),"E_INVALID_DATE",IF(OR(O18&lt;&gt;INT(O18),P18&lt;0,P18&gt;=1),"E_INVALID_DATE",IF(ISNA(MATCH(Q18,nLIST_Offset,0)),"E_INVALID_UNIT","")))),IF(N18="DATE",IF(O18="","E_MISSING_INPUT",IF(NOT(ISNUMBER(O18)),"E_INVALID_DATE",IF(O18&lt;&gt;INT(O18),"E_INVALID_DATE",""))),IF(N18="MONTH",IF(OR(R18="",S18=""),"E_MISSING_INPUT",IF(OR(NOT(ISNUMBER(R18)),NOT(ISNUMBER(S18))),"E_INVALID_DATE",IF(OR(R18&lt;1900,R18&gt;9999,R18&lt;&gt;INT(R18),S18&lt;1,S18&gt;12,S18&lt;&gt;INT(S18)),"E_INVALID_DATE",""))),IF(N18="YEAR",IF(R18="","E_MISSING_INPUT",IF(NOT(ISNUMBER(R18)),"E_INVALID_DATE",IF(OR(R18&lt;1900,R18&gt;9999,R18&lt;&gt;INT(R18)),"E_INVALID_DATE",""))),IF(N18="RANGE",IF(OR(T18="",U18=""),"E_MISSING_INPUT",IF(OR(NOT(ISNUMBER(T18)),NOT(ISNUMBER(U18))),"E_INVALID_DATE",IF(OR(T18&lt;&gt;INT(T18),U18&lt;&gt;INT(U18)),"E_INVALID_DATE",IF(T18&gt;U18,"E_REVERSED_BOUNDS","")))),"E_INVALID_UNIT")))))))</f>
        <v/>
      </c>
      <c r="X18" s="22">
        <f t="shared" si="0"/>
        <v>0</v>
      </c>
      <c r="Y18" s="22">
        <f t="shared" si="1"/>
        <v>0</v>
      </c>
      <c r="Z18" s="28" t="str">
        <f t="shared" si="2"/>
        <v/>
      </c>
      <c r="AA18" s="28" t="str">
        <f t="shared" si="3"/>
        <v/>
      </c>
      <c r="AB18" s="22" t="str">
        <f t="shared" si="4"/>
        <v/>
      </c>
      <c r="AC18" s="22" t="str">
        <f t="shared" si="5"/>
        <v/>
      </c>
      <c r="AD18" s="15"/>
      <c r="AE18" s="26"/>
      <c r="AF18" s="10"/>
      <c r="AG18" s="10"/>
      <c r="AH18" s="21" t="str">
        <f>IF(COUNTA(AD18:AF18)=0,"",IF(OR(AD18="",AE18="",AF18=""),"E_MISSING_INPUT",IF(OR(NOT(ISNUMBER(AD18)),NOT(ISNUMBER(AE18))),"E_INVALID_DATE",IF(OR(AD18&lt;&gt;INT(AD18),AE18&lt;0,AE18&gt;=1),"E_INVALID_DATE",IF(ISNA(MATCH(AF18,nLIST_Offset,0)),"E_INVALID_UNIT","")))))</f>
        <v/>
      </c>
      <c r="AI18" s="22" t="str">
        <f t="shared" si="6"/>
        <v/>
      </c>
      <c r="AJ18" s="22">
        <f t="shared" si="7"/>
        <v>0</v>
      </c>
      <c r="AK18" s="22" t="str">
        <f t="shared" si="8"/>
        <v/>
      </c>
      <c r="AL18" s="21" t="str">
        <f t="shared" si="9"/>
        <v/>
      </c>
      <c r="AM18" s="22">
        <f>IF(AL18="",0,COUNTIF(nADM_Key,AL18))</f>
        <v>0</v>
      </c>
      <c r="AN18" s="21" t="str">
        <f t="shared" si="10"/>
        <v/>
      </c>
      <c r="AO18" s="22">
        <f t="shared" si="11"/>
        <v>0</v>
      </c>
      <c r="AP18" s="22">
        <f t="shared" si="12"/>
        <v>0</v>
      </c>
      <c r="AQ18" s="22">
        <f t="shared" si="13"/>
        <v>0</v>
      </c>
      <c r="AR18" s="22">
        <f t="shared" si="14"/>
        <v>0</v>
      </c>
      <c r="AS18" s="22">
        <f t="shared" si="15"/>
        <v>0</v>
      </c>
      <c r="AT18" s="21">
        <f t="shared" si="16"/>
        <v>0</v>
      </c>
      <c r="AU18" s="21">
        <f t="shared" si="17"/>
        <v>0</v>
      </c>
      <c r="AV18" s="22">
        <f t="shared" si="18"/>
        <v>0</v>
      </c>
      <c r="AW18" s="21">
        <f t="shared" si="19"/>
        <v>0</v>
      </c>
      <c r="AX18" s="22">
        <f t="shared" si="20"/>
        <v>0</v>
      </c>
      <c r="AY18" s="21">
        <f t="shared" si="21"/>
        <v>1</v>
      </c>
      <c r="AZ18" s="21">
        <f t="shared" si="22"/>
        <v>0</v>
      </c>
      <c r="BA18" s="22">
        <f t="shared" si="23"/>
        <v>0</v>
      </c>
      <c r="BB18" s="22">
        <f t="shared" si="24"/>
        <v>0</v>
      </c>
      <c r="BC18" s="22">
        <f t="shared" si="25"/>
        <v>0</v>
      </c>
      <c r="BD18" s="22">
        <f t="shared" si="26"/>
        <v>0</v>
      </c>
      <c r="BE18" s="22">
        <f t="shared" si="27"/>
        <v>0</v>
      </c>
      <c r="BF18" s="22">
        <f t="shared" si="28"/>
        <v>0</v>
      </c>
      <c r="BG18" s="22">
        <f t="shared" si="29"/>
        <v>0</v>
      </c>
      <c r="BH18" s="22">
        <f>IF(OR(E18&lt;&gt;"INFUSION_SEGMENT",BF18=0,BG18=0),0,COUNTIFS(nADM_SelKey,AN18,nADM_Kind,"INFUSION_SEGMENT",nADM_SegS_cmp,"&lt;"&amp;BG18,nADM_SegE_cmp,"&gt;"&amp;BF18)-IF(BG18&gt;BF18,1,0))</f>
        <v>0</v>
      </c>
      <c r="BI18" s="21" t="str">
        <f t="shared" si="30"/>
        <v/>
      </c>
      <c r="BJ18" s="22">
        <f>IF(C18="",1,IF(COUNTIF(nEXP_Key,AN18)&gt;0,1,0))</f>
        <v>1</v>
      </c>
      <c r="BK18" s="21" t="str">
        <f t="shared" si="31"/>
        <v/>
      </c>
      <c r="BL18" s="21" t="str">
        <f>IF(BK18="","",BK18&amp;": "&amp;SUBSTITUTE(IFERROR(INDEX(nMSG_Text,MATCH(BK18,nMSG_Code,0)),""),"[input]",IF(C18="","an Admin_ID",IF(BJ18=0,"an Exposures row for episode "&amp;D18,IF(BI18="E_MISSING_INPUT","segment start and end timestamps and a rate in mg/hour","the date fields required by the selected precision")))))</f>
        <v/>
      </c>
    </row>
    <row r="19" spans="1:64" x14ac:dyDescent="0.2">
      <c r="A19" s="10"/>
      <c r="B19" s="12"/>
      <c r="C19" s="10"/>
      <c r="D19" s="10"/>
      <c r="E19" s="17"/>
      <c r="F19" s="17"/>
      <c r="G19" s="17"/>
      <c r="H19" s="17"/>
      <c r="I19" s="17"/>
      <c r="J19" s="17"/>
      <c r="K19" s="17"/>
      <c r="L19" s="10"/>
      <c r="M19" s="10"/>
      <c r="N19" s="17"/>
      <c r="O19" s="15"/>
      <c r="P19" s="26"/>
      <c r="Q19" s="10"/>
      <c r="R19" s="12"/>
      <c r="S19" s="12"/>
      <c r="T19" s="15"/>
      <c r="U19" s="15"/>
      <c r="V19" s="10"/>
      <c r="W19" s="21" t="str">
        <f>IF(COUNTA(N19:U19)=0,"",IF(N19="","E_MISSING_INPUT",IF(N19="TIMESTAMP",IF(OR(O19="",P19="",Q19=""),"E_MISSING_INPUT",IF(OR(NOT(ISNUMBER(O19)),NOT(ISNUMBER(P19))),"E_INVALID_DATE",IF(OR(O19&lt;&gt;INT(O19),P19&lt;0,P19&gt;=1),"E_INVALID_DATE",IF(ISNA(MATCH(Q19,nLIST_Offset,0)),"E_INVALID_UNIT","")))),IF(N19="DATE",IF(O19="","E_MISSING_INPUT",IF(NOT(ISNUMBER(O19)),"E_INVALID_DATE",IF(O19&lt;&gt;INT(O19),"E_INVALID_DATE",""))),IF(N19="MONTH",IF(OR(R19="",S19=""),"E_MISSING_INPUT",IF(OR(NOT(ISNUMBER(R19)),NOT(ISNUMBER(S19))),"E_INVALID_DATE",IF(OR(R19&lt;1900,R19&gt;9999,R19&lt;&gt;INT(R19),S19&lt;1,S19&gt;12,S19&lt;&gt;INT(S19)),"E_INVALID_DATE",""))),IF(N19="YEAR",IF(R19="","E_MISSING_INPUT",IF(NOT(ISNUMBER(R19)),"E_INVALID_DATE",IF(OR(R19&lt;1900,R19&gt;9999,R19&lt;&gt;INT(R19)),"E_INVALID_DATE",""))),IF(N19="RANGE",IF(OR(T19="",U19=""),"E_MISSING_INPUT",IF(OR(NOT(ISNUMBER(T19)),NOT(ISNUMBER(U19))),"E_INVALID_DATE",IF(OR(T19&lt;&gt;INT(T19),U19&lt;&gt;INT(U19)),"E_INVALID_DATE",IF(T19&gt;U19,"E_REVERSED_BOUNDS","")))),"E_INVALID_UNIT")))))))</f>
        <v/>
      </c>
      <c r="X19" s="22">
        <f t="shared" si="0"/>
        <v>0</v>
      </c>
      <c r="Y19" s="22">
        <f t="shared" si="1"/>
        <v>0</v>
      </c>
      <c r="Z19" s="28" t="str">
        <f t="shared" si="2"/>
        <v/>
      </c>
      <c r="AA19" s="28" t="str">
        <f t="shared" si="3"/>
        <v/>
      </c>
      <c r="AB19" s="22" t="str">
        <f t="shared" si="4"/>
        <v/>
      </c>
      <c r="AC19" s="22" t="str">
        <f t="shared" si="5"/>
        <v/>
      </c>
      <c r="AD19" s="15"/>
      <c r="AE19" s="26"/>
      <c r="AF19" s="10"/>
      <c r="AG19" s="10"/>
      <c r="AH19" s="21" t="str">
        <f>IF(COUNTA(AD19:AF19)=0,"",IF(OR(AD19="",AE19="",AF19=""),"E_MISSING_INPUT",IF(OR(NOT(ISNUMBER(AD19)),NOT(ISNUMBER(AE19))),"E_INVALID_DATE",IF(OR(AD19&lt;&gt;INT(AD19),AE19&lt;0,AE19&gt;=1),"E_INVALID_DATE",IF(ISNA(MATCH(AF19,nLIST_Offset,0)),"E_INVALID_UNIT","")))))</f>
        <v/>
      </c>
      <c r="AI19" s="22" t="str">
        <f t="shared" si="6"/>
        <v/>
      </c>
      <c r="AJ19" s="22">
        <f t="shared" si="7"/>
        <v>0</v>
      </c>
      <c r="AK19" s="22" t="str">
        <f t="shared" si="8"/>
        <v/>
      </c>
      <c r="AL19" s="21" t="str">
        <f t="shared" si="9"/>
        <v/>
      </c>
      <c r="AM19" s="22">
        <f>IF(AL19="",0,COUNTIF(nADM_Key,AL19))</f>
        <v>0</v>
      </c>
      <c r="AN19" s="21" t="str">
        <f t="shared" si="10"/>
        <v/>
      </c>
      <c r="AO19" s="22">
        <f t="shared" si="11"/>
        <v>0</v>
      </c>
      <c r="AP19" s="22">
        <f t="shared" si="12"/>
        <v>0</v>
      </c>
      <c r="AQ19" s="22">
        <f t="shared" si="13"/>
        <v>0</v>
      </c>
      <c r="AR19" s="22">
        <f t="shared" si="14"/>
        <v>0</v>
      </c>
      <c r="AS19" s="22">
        <f t="shared" si="15"/>
        <v>0</v>
      </c>
      <c r="AT19" s="21">
        <f t="shared" si="16"/>
        <v>0</v>
      </c>
      <c r="AU19" s="21">
        <f t="shared" si="17"/>
        <v>0</v>
      </c>
      <c r="AV19" s="22">
        <f t="shared" si="18"/>
        <v>0</v>
      </c>
      <c r="AW19" s="21">
        <f t="shared" si="19"/>
        <v>0</v>
      </c>
      <c r="AX19" s="22">
        <f t="shared" si="20"/>
        <v>0</v>
      </c>
      <c r="AY19" s="21">
        <f t="shared" si="21"/>
        <v>1</v>
      </c>
      <c r="AZ19" s="21">
        <f t="shared" si="22"/>
        <v>0</v>
      </c>
      <c r="BA19" s="22">
        <f t="shared" si="23"/>
        <v>0</v>
      </c>
      <c r="BB19" s="22">
        <f t="shared" si="24"/>
        <v>0</v>
      </c>
      <c r="BC19" s="22">
        <f t="shared" si="25"/>
        <v>0</v>
      </c>
      <c r="BD19" s="22">
        <f t="shared" si="26"/>
        <v>0</v>
      </c>
      <c r="BE19" s="22">
        <f t="shared" si="27"/>
        <v>0</v>
      </c>
      <c r="BF19" s="22">
        <f t="shared" si="28"/>
        <v>0</v>
      </c>
      <c r="BG19" s="22">
        <f t="shared" si="29"/>
        <v>0</v>
      </c>
      <c r="BH19" s="22">
        <f>IF(OR(E19&lt;&gt;"INFUSION_SEGMENT",BF19=0,BG19=0),0,COUNTIFS(nADM_SelKey,AN19,nADM_Kind,"INFUSION_SEGMENT",nADM_SegS_cmp,"&lt;"&amp;BG19,nADM_SegE_cmp,"&gt;"&amp;BF19)-IF(BG19&gt;BF19,1,0))</f>
        <v>0</v>
      </c>
      <c r="BI19" s="21" t="str">
        <f t="shared" si="30"/>
        <v/>
      </c>
      <c r="BJ19" s="22">
        <f>IF(C19="",1,IF(COUNTIF(nEXP_Key,AN19)&gt;0,1,0))</f>
        <v>1</v>
      </c>
      <c r="BK19" s="21" t="str">
        <f t="shared" si="31"/>
        <v/>
      </c>
      <c r="BL19" s="21" t="str">
        <f>IF(BK19="","",BK19&amp;": "&amp;SUBSTITUTE(IFERROR(INDEX(nMSG_Text,MATCH(BK19,nMSG_Code,0)),""),"[input]",IF(C19="","an Admin_ID",IF(BJ19=0,"an Exposures row for episode "&amp;D19,IF(BI19="E_MISSING_INPUT","segment start and end timestamps and a rate in mg/hour","the date fields required by the selected precision")))))</f>
        <v/>
      </c>
    </row>
    <row r="20" spans="1:64" x14ac:dyDescent="0.2">
      <c r="A20" s="10"/>
      <c r="B20" s="12"/>
      <c r="C20" s="10"/>
      <c r="D20" s="10"/>
      <c r="E20" s="17"/>
      <c r="F20" s="17"/>
      <c r="G20" s="17"/>
      <c r="H20" s="17"/>
      <c r="I20" s="17"/>
      <c r="J20" s="17"/>
      <c r="K20" s="17"/>
      <c r="L20" s="10"/>
      <c r="M20" s="10"/>
      <c r="N20" s="17"/>
      <c r="O20" s="15"/>
      <c r="P20" s="26"/>
      <c r="Q20" s="10"/>
      <c r="R20" s="12"/>
      <c r="S20" s="12"/>
      <c r="T20" s="15"/>
      <c r="U20" s="15"/>
      <c r="V20" s="10"/>
      <c r="W20" s="21" t="str">
        <f>IF(COUNTA(N20:U20)=0,"",IF(N20="","E_MISSING_INPUT",IF(N20="TIMESTAMP",IF(OR(O20="",P20="",Q20=""),"E_MISSING_INPUT",IF(OR(NOT(ISNUMBER(O20)),NOT(ISNUMBER(P20))),"E_INVALID_DATE",IF(OR(O20&lt;&gt;INT(O20),P20&lt;0,P20&gt;=1),"E_INVALID_DATE",IF(ISNA(MATCH(Q20,nLIST_Offset,0)),"E_INVALID_UNIT","")))),IF(N20="DATE",IF(O20="","E_MISSING_INPUT",IF(NOT(ISNUMBER(O20)),"E_INVALID_DATE",IF(O20&lt;&gt;INT(O20),"E_INVALID_DATE",""))),IF(N20="MONTH",IF(OR(R20="",S20=""),"E_MISSING_INPUT",IF(OR(NOT(ISNUMBER(R20)),NOT(ISNUMBER(S20))),"E_INVALID_DATE",IF(OR(R20&lt;1900,R20&gt;9999,R20&lt;&gt;INT(R20),S20&lt;1,S20&gt;12,S20&lt;&gt;INT(S20)),"E_INVALID_DATE",""))),IF(N20="YEAR",IF(R20="","E_MISSING_INPUT",IF(NOT(ISNUMBER(R20)),"E_INVALID_DATE",IF(OR(R20&lt;1900,R20&gt;9999,R20&lt;&gt;INT(R20)),"E_INVALID_DATE",""))),IF(N20="RANGE",IF(OR(T20="",U20=""),"E_MISSING_INPUT",IF(OR(NOT(ISNUMBER(T20)),NOT(ISNUMBER(U20))),"E_INVALID_DATE",IF(OR(T20&lt;&gt;INT(T20),U20&lt;&gt;INT(U20)),"E_INVALID_DATE",IF(T20&gt;U20,"E_REVERSED_BOUNDS","")))),"E_INVALID_UNIT")))))))</f>
        <v/>
      </c>
      <c r="X20" s="22">
        <f t="shared" si="0"/>
        <v>0</v>
      </c>
      <c r="Y20" s="22">
        <f t="shared" si="1"/>
        <v>0</v>
      </c>
      <c r="Z20" s="28" t="str">
        <f t="shared" si="2"/>
        <v/>
      </c>
      <c r="AA20" s="28" t="str">
        <f t="shared" si="3"/>
        <v/>
      </c>
      <c r="AB20" s="22" t="str">
        <f t="shared" si="4"/>
        <v/>
      </c>
      <c r="AC20" s="22" t="str">
        <f t="shared" si="5"/>
        <v/>
      </c>
      <c r="AD20" s="15"/>
      <c r="AE20" s="26"/>
      <c r="AF20" s="10"/>
      <c r="AG20" s="10"/>
      <c r="AH20" s="21" t="str">
        <f>IF(COUNTA(AD20:AF20)=0,"",IF(OR(AD20="",AE20="",AF20=""),"E_MISSING_INPUT",IF(OR(NOT(ISNUMBER(AD20)),NOT(ISNUMBER(AE20))),"E_INVALID_DATE",IF(OR(AD20&lt;&gt;INT(AD20),AE20&lt;0,AE20&gt;=1),"E_INVALID_DATE",IF(ISNA(MATCH(AF20,nLIST_Offset,0)),"E_INVALID_UNIT","")))))</f>
        <v/>
      </c>
      <c r="AI20" s="22" t="str">
        <f t="shared" si="6"/>
        <v/>
      </c>
      <c r="AJ20" s="22">
        <f t="shared" si="7"/>
        <v>0</v>
      </c>
      <c r="AK20" s="22" t="str">
        <f t="shared" si="8"/>
        <v/>
      </c>
      <c r="AL20" s="21" t="str">
        <f t="shared" si="9"/>
        <v/>
      </c>
      <c r="AM20" s="22">
        <f>IF(AL20="",0,COUNTIF(nADM_Key,AL20))</f>
        <v>0</v>
      </c>
      <c r="AN20" s="21" t="str">
        <f t="shared" si="10"/>
        <v/>
      </c>
      <c r="AO20" s="22">
        <f t="shared" si="11"/>
        <v>0</v>
      </c>
      <c r="AP20" s="22">
        <f t="shared" si="12"/>
        <v>0</v>
      </c>
      <c r="AQ20" s="22">
        <f t="shared" si="13"/>
        <v>0</v>
      </c>
      <c r="AR20" s="22">
        <f t="shared" si="14"/>
        <v>0</v>
      </c>
      <c r="AS20" s="22">
        <f t="shared" si="15"/>
        <v>0</v>
      </c>
      <c r="AT20" s="21">
        <f t="shared" si="16"/>
        <v>0</v>
      </c>
      <c r="AU20" s="21">
        <f t="shared" si="17"/>
        <v>0</v>
      </c>
      <c r="AV20" s="22">
        <f t="shared" si="18"/>
        <v>0</v>
      </c>
      <c r="AW20" s="21">
        <f t="shared" si="19"/>
        <v>0</v>
      </c>
      <c r="AX20" s="22">
        <f t="shared" si="20"/>
        <v>0</v>
      </c>
      <c r="AY20" s="21">
        <f t="shared" si="21"/>
        <v>1</v>
      </c>
      <c r="AZ20" s="21">
        <f t="shared" si="22"/>
        <v>0</v>
      </c>
      <c r="BA20" s="22">
        <f t="shared" si="23"/>
        <v>0</v>
      </c>
      <c r="BB20" s="22">
        <f t="shared" si="24"/>
        <v>0</v>
      </c>
      <c r="BC20" s="22">
        <f t="shared" si="25"/>
        <v>0</v>
      </c>
      <c r="BD20" s="22">
        <f t="shared" si="26"/>
        <v>0</v>
      </c>
      <c r="BE20" s="22">
        <f t="shared" si="27"/>
        <v>0</v>
      </c>
      <c r="BF20" s="22">
        <f t="shared" si="28"/>
        <v>0</v>
      </c>
      <c r="BG20" s="22">
        <f t="shared" si="29"/>
        <v>0</v>
      </c>
      <c r="BH20" s="22">
        <f>IF(OR(E20&lt;&gt;"INFUSION_SEGMENT",BF20=0,BG20=0),0,COUNTIFS(nADM_SelKey,AN20,nADM_Kind,"INFUSION_SEGMENT",nADM_SegS_cmp,"&lt;"&amp;BG20,nADM_SegE_cmp,"&gt;"&amp;BF20)-IF(BG20&gt;BF20,1,0))</f>
        <v>0</v>
      </c>
      <c r="BI20" s="21" t="str">
        <f t="shared" si="30"/>
        <v/>
      </c>
      <c r="BJ20" s="22">
        <f>IF(C20="",1,IF(COUNTIF(nEXP_Key,AN20)&gt;0,1,0))</f>
        <v>1</v>
      </c>
      <c r="BK20" s="21" t="str">
        <f t="shared" si="31"/>
        <v/>
      </c>
      <c r="BL20" s="21" t="str">
        <f>IF(BK20="","",BK20&amp;": "&amp;SUBSTITUTE(IFERROR(INDEX(nMSG_Text,MATCH(BK20,nMSG_Code,0)),""),"[input]",IF(C20="","an Admin_ID",IF(BJ20=0,"an Exposures row for episode "&amp;D20,IF(BI20="E_MISSING_INPUT","segment start and end timestamps and a rate in mg/hour","the date fields required by the selected precision")))))</f>
        <v/>
      </c>
    </row>
    <row r="21" spans="1:64" x14ac:dyDescent="0.2">
      <c r="A21" s="10"/>
      <c r="B21" s="12"/>
      <c r="C21" s="10"/>
      <c r="D21" s="10"/>
      <c r="E21" s="17"/>
      <c r="F21" s="17"/>
      <c r="G21" s="17"/>
      <c r="H21" s="17"/>
      <c r="I21" s="17"/>
      <c r="J21" s="17"/>
      <c r="K21" s="17"/>
      <c r="L21" s="10"/>
      <c r="M21" s="10"/>
      <c r="N21" s="17"/>
      <c r="O21" s="15"/>
      <c r="P21" s="26"/>
      <c r="Q21" s="10"/>
      <c r="R21" s="12"/>
      <c r="S21" s="12"/>
      <c r="T21" s="15"/>
      <c r="U21" s="15"/>
      <c r="V21" s="10"/>
      <c r="W21" s="21" t="str">
        <f>IF(COUNTA(N21:U21)=0,"",IF(N21="","E_MISSING_INPUT",IF(N21="TIMESTAMP",IF(OR(O21="",P21="",Q21=""),"E_MISSING_INPUT",IF(OR(NOT(ISNUMBER(O21)),NOT(ISNUMBER(P21))),"E_INVALID_DATE",IF(OR(O21&lt;&gt;INT(O21),P21&lt;0,P21&gt;=1),"E_INVALID_DATE",IF(ISNA(MATCH(Q21,nLIST_Offset,0)),"E_INVALID_UNIT","")))),IF(N21="DATE",IF(O21="","E_MISSING_INPUT",IF(NOT(ISNUMBER(O21)),"E_INVALID_DATE",IF(O21&lt;&gt;INT(O21),"E_INVALID_DATE",""))),IF(N21="MONTH",IF(OR(R21="",S21=""),"E_MISSING_INPUT",IF(OR(NOT(ISNUMBER(R21)),NOT(ISNUMBER(S21))),"E_INVALID_DATE",IF(OR(R21&lt;1900,R21&gt;9999,R21&lt;&gt;INT(R21),S21&lt;1,S21&gt;12,S21&lt;&gt;INT(S21)),"E_INVALID_DATE",""))),IF(N21="YEAR",IF(R21="","E_MISSING_INPUT",IF(NOT(ISNUMBER(R21)),"E_INVALID_DATE",IF(OR(R21&lt;1900,R21&gt;9999,R21&lt;&gt;INT(R21)),"E_INVALID_DATE",""))),IF(N21="RANGE",IF(OR(T21="",U21=""),"E_MISSING_INPUT",IF(OR(NOT(ISNUMBER(T21)),NOT(ISNUMBER(U21))),"E_INVALID_DATE",IF(OR(T21&lt;&gt;INT(T21),U21&lt;&gt;INT(U21)),"E_INVALID_DATE",IF(T21&gt;U21,"E_REVERSED_BOUNDS","")))),"E_INVALID_UNIT")))))))</f>
        <v/>
      </c>
      <c r="X21" s="22">
        <f t="shared" si="0"/>
        <v>0</v>
      </c>
      <c r="Y21" s="22">
        <f t="shared" si="1"/>
        <v>0</v>
      </c>
      <c r="Z21" s="28" t="str">
        <f t="shared" si="2"/>
        <v/>
      </c>
      <c r="AA21" s="28" t="str">
        <f t="shared" si="3"/>
        <v/>
      </c>
      <c r="AB21" s="22" t="str">
        <f t="shared" si="4"/>
        <v/>
      </c>
      <c r="AC21" s="22" t="str">
        <f t="shared" si="5"/>
        <v/>
      </c>
      <c r="AD21" s="15"/>
      <c r="AE21" s="26"/>
      <c r="AF21" s="10"/>
      <c r="AG21" s="10"/>
      <c r="AH21" s="21" t="str">
        <f>IF(COUNTA(AD21:AF21)=0,"",IF(OR(AD21="",AE21="",AF21=""),"E_MISSING_INPUT",IF(OR(NOT(ISNUMBER(AD21)),NOT(ISNUMBER(AE21))),"E_INVALID_DATE",IF(OR(AD21&lt;&gt;INT(AD21),AE21&lt;0,AE21&gt;=1),"E_INVALID_DATE",IF(ISNA(MATCH(AF21,nLIST_Offset,0)),"E_INVALID_UNIT","")))))</f>
        <v/>
      </c>
      <c r="AI21" s="22" t="str">
        <f t="shared" si="6"/>
        <v/>
      </c>
      <c r="AJ21" s="22">
        <f t="shared" si="7"/>
        <v>0</v>
      </c>
      <c r="AK21" s="22" t="str">
        <f t="shared" si="8"/>
        <v/>
      </c>
      <c r="AL21" s="21" t="str">
        <f t="shared" si="9"/>
        <v/>
      </c>
      <c r="AM21" s="22">
        <f>IF(AL21="",0,COUNTIF(nADM_Key,AL21))</f>
        <v>0</v>
      </c>
      <c r="AN21" s="21" t="str">
        <f t="shared" si="10"/>
        <v/>
      </c>
      <c r="AO21" s="22">
        <f t="shared" si="11"/>
        <v>0</v>
      </c>
      <c r="AP21" s="22">
        <f t="shared" si="12"/>
        <v>0</v>
      </c>
      <c r="AQ21" s="22">
        <f t="shared" si="13"/>
        <v>0</v>
      </c>
      <c r="AR21" s="22">
        <f t="shared" si="14"/>
        <v>0</v>
      </c>
      <c r="AS21" s="22">
        <f t="shared" si="15"/>
        <v>0</v>
      </c>
      <c r="AT21" s="21">
        <f t="shared" si="16"/>
        <v>0</v>
      </c>
      <c r="AU21" s="21">
        <f t="shared" si="17"/>
        <v>0</v>
      </c>
      <c r="AV21" s="22">
        <f t="shared" si="18"/>
        <v>0</v>
      </c>
      <c r="AW21" s="21">
        <f t="shared" si="19"/>
        <v>0</v>
      </c>
      <c r="AX21" s="22">
        <f t="shared" si="20"/>
        <v>0</v>
      </c>
      <c r="AY21" s="21">
        <f t="shared" si="21"/>
        <v>1</v>
      </c>
      <c r="AZ21" s="21">
        <f t="shared" si="22"/>
        <v>0</v>
      </c>
      <c r="BA21" s="22">
        <f t="shared" si="23"/>
        <v>0</v>
      </c>
      <c r="BB21" s="22">
        <f t="shared" si="24"/>
        <v>0</v>
      </c>
      <c r="BC21" s="22">
        <f t="shared" si="25"/>
        <v>0</v>
      </c>
      <c r="BD21" s="22">
        <f t="shared" si="26"/>
        <v>0</v>
      </c>
      <c r="BE21" s="22">
        <f t="shared" si="27"/>
        <v>0</v>
      </c>
      <c r="BF21" s="22">
        <f t="shared" si="28"/>
        <v>0</v>
      </c>
      <c r="BG21" s="22">
        <f t="shared" si="29"/>
        <v>0</v>
      </c>
      <c r="BH21" s="22">
        <f>IF(OR(E21&lt;&gt;"INFUSION_SEGMENT",BF21=0,BG21=0),0,COUNTIFS(nADM_SelKey,AN21,nADM_Kind,"INFUSION_SEGMENT",nADM_SegS_cmp,"&lt;"&amp;BG21,nADM_SegE_cmp,"&gt;"&amp;BF21)-IF(BG21&gt;BF21,1,0))</f>
        <v>0</v>
      </c>
      <c r="BI21" s="21" t="str">
        <f t="shared" si="30"/>
        <v/>
      </c>
      <c r="BJ21" s="22">
        <f>IF(C21="",1,IF(COUNTIF(nEXP_Key,AN21)&gt;0,1,0))</f>
        <v>1</v>
      </c>
      <c r="BK21" s="21" t="str">
        <f t="shared" si="31"/>
        <v/>
      </c>
      <c r="BL21" s="21" t="str">
        <f>IF(BK21="","",BK21&amp;": "&amp;SUBSTITUTE(IFERROR(INDEX(nMSG_Text,MATCH(BK21,nMSG_Code,0)),""),"[input]",IF(C21="","an Admin_ID",IF(BJ21=0,"an Exposures row for episode "&amp;D21,IF(BI21="E_MISSING_INPUT","segment start and end timestamps and a rate in mg/hour","the date fields required by the selected precision")))))</f>
        <v/>
      </c>
    </row>
    <row r="22" spans="1:64" x14ac:dyDescent="0.2">
      <c r="A22" s="10"/>
      <c r="B22" s="12"/>
      <c r="C22" s="10"/>
      <c r="D22" s="10"/>
      <c r="E22" s="17"/>
      <c r="F22" s="17"/>
      <c r="G22" s="17"/>
      <c r="H22" s="17"/>
      <c r="I22" s="17"/>
      <c r="J22" s="17"/>
      <c r="K22" s="17"/>
      <c r="L22" s="10"/>
      <c r="M22" s="10"/>
      <c r="N22" s="17"/>
      <c r="O22" s="15"/>
      <c r="P22" s="26"/>
      <c r="Q22" s="10"/>
      <c r="R22" s="12"/>
      <c r="S22" s="12"/>
      <c r="T22" s="15"/>
      <c r="U22" s="15"/>
      <c r="V22" s="10"/>
      <c r="W22" s="21" t="str">
        <f>IF(COUNTA(N22:U22)=0,"",IF(N22="","E_MISSING_INPUT",IF(N22="TIMESTAMP",IF(OR(O22="",P22="",Q22=""),"E_MISSING_INPUT",IF(OR(NOT(ISNUMBER(O22)),NOT(ISNUMBER(P22))),"E_INVALID_DATE",IF(OR(O22&lt;&gt;INT(O22),P22&lt;0,P22&gt;=1),"E_INVALID_DATE",IF(ISNA(MATCH(Q22,nLIST_Offset,0)),"E_INVALID_UNIT","")))),IF(N22="DATE",IF(O22="","E_MISSING_INPUT",IF(NOT(ISNUMBER(O22)),"E_INVALID_DATE",IF(O22&lt;&gt;INT(O22),"E_INVALID_DATE",""))),IF(N22="MONTH",IF(OR(R22="",S22=""),"E_MISSING_INPUT",IF(OR(NOT(ISNUMBER(R22)),NOT(ISNUMBER(S22))),"E_INVALID_DATE",IF(OR(R22&lt;1900,R22&gt;9999,R22&lt;&gt;INT(R22),S22&lt;1,S22&gt;12,S22&lt;&gt;INT(S22)),"E_INVALID_DATE",""))),IF(N22="YEAR",IF(R22="","E_MISSING_INPUT",IF(NOT(ISNUMBER(R22)),"E_INVALID_DATE",IF(OR(R22&lt;1900,R22&gt;9999,R22&lt;&gt;INT(R22)),"E_INVALID_DATE",""))),IF(N22="RANGE",IF(OR(T22="",U22=""),"E_MISSING_INPUT",IF(OR(NOT(ISNUMBER(T22)),NOT(ISNUMBER(U22))),"E_INVALID_DATE",IF(OR(T22&lt;&gt;INT(T22),U22&lt;&gt;INT(U22)),"E_INVALID_DATE",IF(T22&gt;U22,"E_REVERSED_BOUNDS","")))),"E_INVALID_UNIT")))))))</f>
        <v/>
      </c>
      <c r="X22" s="22">
        <f t="shared" si="0"/>
        <v>0</v>
      </c>
      <c r="Y22" s="22">
        <f t="shared" si="1"/>
        <v>0</v>
      </c>
      <c r="Z22" s="28" t="str">
        <f t="shared" si="2"/>
        <v/>
      </c>
      <c r="AA22" s="28" t="str">
        <f t="shared" si="3"/>
        <v/>
      </c>
      <c r="AB22" s="22" t="str">
        <f t="shared" si="4"/>
        <v/>
      </c>
      <c r="AC22" s="22" t="str">
        <f t="shared" si="5"/>
        <v/>
      </c>
      <c r="AD22" s="15"/>
      <c r="AE22" s="26"/>
      <c r="AF22" s="10"/>
      <c r="AG22" s="10"/>
      <c r="AH22" s="21" t="str">
        <f>IF(COUNTA(AD22:AF22)=0,"",IF(OR(AD22="",AE22="",AF22=""),"E_MISSING_INPUT",IF(OR(NOT(ISNUMBER(AD22)),NOT(ISNUMBER(AE22))),"E_INVALID_DATE",IF(OR(AD22&lt;&gt;INT(AD22),AE22&lt;0,AE22&gt;=1),"E_INVALID_DATE",IF(ISNA(MATCH(AF22,nLIST_Offset,0)),"E_INVALID_UNIT","")))))</f>
        <v/>
      </c>
      <c r="AI22" s="22" t="str">
        <f t="shared" si="6"/>
        <v/>
      </c>
      <c r="AJ22" s="22">
        <f t="shared" si="7"/>
        <v>0</v>
      </c>
      <c r="AK22" s="22" t="str">
        <f t="shared" si="8"/>
        <v/>
      </c>
      <c r="AL22" s="21" t="str">
        <f t="shared" si="9"/>
        <v/>
      </c>
      <c r="AM22" s="22">
        <f>IF(AL22="",0,COUNTIF(nADM_Key,AL22))</f>
        <v>0</v>
      </c>
      <c r="AN22" s="21" t="str">
        <f t="shared" si="10"/>
        <v/>
      </c>
      <c r="AO22" s="22">
        <f t="shared" si="11"/>
        <v>0</v>
      </c>
      <c r="AP22" s="22">
        <f t="shared" si="12"/>
        <v>0</v>
      </c>
      <c r="AQ22" s="22">
        <f t="shared" si="13"/>
        <v>0</v>
      </c>
      <c r="AR22" s="22">
        <f t="shared" si="14"/>
        <v>0</v>
      </c>
      <c r="AS22" s="22">
        <f t="shared" si="15"/>
        <v>0</v>
      </c>
      <c r="AT22" s="21">
        <f t="shared" si="16"/>
        <v>0</v>
      </c>
      <c r="AU22" s="21">
        <f t="shared" si="17"/>
        <v>0</v>
      </c>
      <c r="AV22" s="22">
        <f t="shared" si="18"/>
        <v>0</v>
      </c>
      <c r="AW22" s="21">
        <f t="shared" si="19"/>
        <v>0</v>
      </c>
      <c r="AX22" s="22">
        <f t="shared" si="20"/>
        <v>0</v>
      </c>
      <c r="AY22" s="21">
        <f t="shared" si="21"/>
        <v>1</v>
      </c>
      <c r="AZ22" s="21">
        <f t="shared" si="22"/>
        <v>0</v>
      </c>
      <c r="BA22" s="22">
        <f t="shared" si="23"/>
        <v>0</v>
      </c>
      <c r="BB22" s="22">
        <f t="shared" si="24"/>
        <v>0</v>
      </c>
      <c r="BC22" s="22">
        <f t="shared" si="25"/>
        <v>0</v>
      </c>
      <c r="BD22" s="22">
        <f t="shared" si="26"/>
        <v>0</v>
      </c>
      <c r="BE22" s="22">
        <f t="shared" si="27"/>
        <v>0</v>
      </c>
      <c r="BF22" s="22">
        <f t="shared" si="28"/>
        <v>0</v>
      </c>
      <c r="BG22" s="22">
        <f t="shared" si="29"/>
        <v>0</v>
      </c>
      <c r="BH22" s="22">
        <f>IF(OR(E22&lt;&gt;"INFUSION_SEGMENT",BF22=0,BG22=0),0,COUNTIFS(nADM_SelKey,AN22,nADM_Kind,"INFUSION_SEGMENT",nADM_SegS_cmp,"&lt;"&amp;BG22,nADM_SegE_cmp,"&gt;"&amp;BF22)-IF(BG22&gt;BF22,1,0))</f>
        <v>0</v>
      </c>
      <c r="BI22" s="21" t="str">
        <f t="shared" si="30"/>
        <v/>
      </c>
      <c r="BJ22" s="22">
        <f>IF(C22="",1,IF(COUNTIF(nEXP_Key,AN22)&gt;0,1,0))</f>
        <v>1</v>
      </c>
      <c r="BK22" s="21" t="str">
        <f t="shared" si="31"/>
        <v/>
      </c>
      <c r="BL22" s="21" t="str">
        <f>IF(BK22="","",BK22&amp;": "&amp;SUBSTITUTE(IFERROR(INDEX(nMSG_Text,MATCH(BK22,nMSG_Code,0)),""),"[input]",IF(C22="","an Admin_ID",IF(BJ22=0,"an Exposures row for episode "&amp;D22,IF(BI22="E_MISSING_INPUT","segment start and end timestamps and a rate in mg/hour","the date fields required by the selected precision")))))</f>
        <v/>
      </c>
    </row>
    <row r="23" spans="1:64" x14ac:dyDescent="0.2">
      <c r="A23" s="10"/>
      <c r="B23" s="12"/>
      <c r="C23" s="10"/>
      <c r="D23" s="10"/>
      <c r="E23" s="17"/>
      <c r="F23" s="17"/>
      <c r="G23" s="17"/>
      <c r="H23" s="17"/>
      <c r="I23" s="17"/>
      <c r="J23" s="17"/>
      <c r="K23" s="17"/>
      <c r="L23" s="10"/>
      <c r="M23" s="10"/>
      <c r="N23" s="17"/>
      <c r="O23" s="15"/>
      <c r="P23" s="26"/>
      <c r="Q23" s="10"/>
      <c r="R23" s="12"/>
      <c r="S23" s="12"/>
      <c r="T23" s="15"/>
      <c r="U23" s="15"/>
      <c r="V23" s="10"/>
      <c r="W23" s="21" t="str">
        <f>IF(COUNTA(N23:U23)=0,"",IF(N23="","E_MISSING_INPUT",IF(N23="TIMESTAMP",IF(OR(O23="",P23="",Q23=""),"E_MISSING_INPUT",IF(OR(NOT(ISNUMBER(O23)),NOT(ISNUMBER(P23))),"E_INVALID_DATE",IF(OR(O23&lt;&gt;INT(O23),P23&lt;0,P23&gt;=1),"E_INVALID_DATE",IF(ISNA(MATCH(Q23,nLIST_Offset,0)),"E_INVALID_UNIT","")))),IF(N23="DATE",IF(O23="","E_MISSING_INPUT",IF(NOT(ISNUMBER(O23)),"E_INVALID_DATE",IF(O23&lt;&gt;INT(O23),"E_INVALID_DATE",""))),IF(N23="MONTH",IF(OR(R23="",S23=""),"E_MISSING_INPUT",IF(OR(NOT(ISNUMBER(R23)),NOT(ISNUMBER(S23))),"E_INVALID_DATE",IF(OR(R23&lt;1900,R23&gt;9999,R23&lt;&gt;INT(R23),S23&lt;1,S23&gt;12,S23&lt;&gt;INT(S23)),"E_INVALID_DATE",""))),IF(N23="YEAR",IF(R23="","E_MISSING_INPUT",IF(NOT(ISNUMBER(R23)),"E_INVALID_DATE",IF(OR(R23&lt;1900,R23&gt;9999,R23&lt;&gt;INT(R23)),"E_INVALID_DATE",""))),IF(N23="RANGE",IF(OR(T23="",U23=""),"E_MISSING_INPUT",IF(OR(NOT(ISNUMBER(T23)),NOT(ISNUMBER(U23))),"E_INVALID_DATE",IF(OR(T23&lt;&gt;INT(T23),U23&lt;&gt;INT(U23)),"E_INVALID_DATE",IF(T23&gt;U23,"E_REVERSED_BOUNDS","")))),"E_INVALID_UNIT")))))))</f>
        <v/>
      </c>
      <c r="X23" s="22">
        <f t="shared" si="0"/>
        <v>0</v>
      </c>
      <c r="Y23" s="22">
        <f t="shared" si="1"/>
        <v>0</v>
      </c>
      <c r="Z23" s="28" t="str">
        <f t="shared" si="2"/>
        <v/>
      </c>
      <c r="AA23" s="28" t="str">
        <f t="shared" si="3"/>
        <v/>
      </c>
      <c r="AB23" s="22" t="str">
        <f t="shared" si="4"/>
        <v/>
      </c>
      <c r="AC23" s="22" t="str">
        <f t="shared" si="5"/>
        <v/>
      </c>
      <c r="AD23" s="15"/>
      <c r="AE23" s="26"/>
      <c r="AF23" s="10"/>
      <c r="AG23" s="10"/>
      <c r="AH23" s="21" t="str">
        <f>IF(COUNTA(AD23:AF23)=0,"",IF(OR(AD23="",AE23="",AF23=""),"E_MISSING_INPUT",IF(OR(NOT(ISNUMBER(AD23)),NOT(ISNUMBER(AE23))),"E_INVALID_DATE",IF(OR(AD23&lt;&gt;INT(AD23),AE23&lt;0,AE23&gt;=1),"E_INVALID_DATE",IF(ISNA(MATCH(AF23,nLIST_Offset,0)),"E_INVALID_UNIT","")))))</f>
        <v/>
      </c>
      <c r="AI23" s="22" t="str">
        <f t="shared" si="6"/>
        <v/>
      </c>
      <c r="AJ23" s="22">
        <f t="shared" si="7"/>
        <v>0</v>
      </c>
      <c r="AK23" s="22" t="str">
        <f t="shared" si="8"/>
        <v/>
      </c>
      <c r="AL23" s="21" t="str">
        <f t="shared" si="9"/>
        <v/>
      </c>
      <c r="AM23" s="22">
        <f>IF(AL23="",0,COUNTIF(nADM_Key,AL23))</f>
        <v>0</v>
      </c>
      <c r="AN23" s="21" t="str">
        <f t="shared" si="10"/>
        <v/>
      </c>
      <c r="AO23" s="22">
        <f t="shared" si="11"/>
        <v>0</v>
      </c>
      <c r="AP23" s="22">
        <f t="shared" si="12"/>
        <v>0</v>
      </c>
      <c r="AQ23" s="22">
        <f t="shared" si="13"/>
        <v>0</v>
      </c>
      <c r="AR23" s="22">
        <f t="shared" si="14"/>
        <v>0</v>
      </c>
      <c r="AS23" s="22">
        <f t="shared" si="15"/>
        <v>0</v>
      </c>
      <c r="AT23" s="21">
        <f t="shared" si="16"/>
        <v>0</v>
      </c>
      <c r="AU23" s="21">
        <f t="shared" si="17"/>
        <v>0</v>
      </c>
      <c r="AV23" s="22">
        <f t="shared" si="18"/>
        <v>0</v>
      </c>
      <c r="AW23" s="21">
        <f t="shared" si="19"/>
        <v>0</v>
      </c>
      <c r="AX23" s="22">
        <f t="shared" si="20"/>
        <v>0</v>
      </c>
      <c r="AY23" s="21">
        <f t="shared" si="21"/>
        <v>1</v>
      </c>
      <c r="AZ23" s="21">
        <f t="shared" si="22"/>
        <v>0</v>
      </c>
      <c r="BA23" s="22">
        <f t="shared" si="23"/>
        <v>0</v>
      </c>
      <c r="BB23" s="22">
        <f t="shared" si="24"/>
        <v>0</v>
      </c>
      <c r="BC23" s="22">
        <f t="shared" si="25"/>
        <v>0</v>
      </c>
      <c r="BD23" s="22">
        <f t="shared" si="26"/>
        <v>0</v>
      </c>
      <c r="BE23" s="22">
        <f t="shared" si="27"/>
        <v>0</v>
      </c>
      <c r="BF23" s="22">
        <f t="shared" si="28"/>
        <v>0</v>
      </c>
      <c r="BG23" s="22">
        <f t="shared" si="29"/>
        <v>0</v>
      </c>
      <c r="BH23" s="22">
        <f>IF(OR(E23&lt;&gt;"INFUSION_SEGMENT",BF23=0,BG23=0),0,COUNTIFS(nADM_SelKey,AN23,nADM_Kind,"INFUSION_SEGMENT",nADM_SegS_cmp,"&lt;"&amp;BG23,nADM_SegE_cmp,"&gt;"&amp;BF23)-IF(BG23&gt;BF23,1,0))</f>
        <v>0</v>
      </c>
      <c r="BI23" s="21" t="str">
        <f t="shared" si="30"/>
        <v/>
      </c>
      <c r="BJ23" s="22">
        <f>IF(C23="",1,IF(COUNTIF(nEXP_Key,AN23)&gt;0,1,0))</f>
        <v>1</v>
      </c>
      <c r="BK23" s="21" t="str">
        <f t="shared" si="31"/>
        <v/>
      </c>
      <c r="BL23" s="21" t="str">
        <f>IF(BK23="","",BK23&amp;": "&amp;SUBSTITUTE(IFERROR(INDEX(nMSG_Text,MATCH(BK23,nMSG_Code,0)),""),"[input]",IF(C23="","an Admin_ID",IF(BJ23=0,"an Exposures row for episode "&amp;D23,IF(BI23="E_MISSING_INPUT","segment start and end timestamps and a rate in mg/hour","the date fields required by the selected precision")))))</f>
        <v/>
      </c>
    </row>
    <row r="24" spans="1:64" x14ac:dyDescent="0.2">
      <c r="A24" s="10"/>
      <c r="B24" s="12"/>
      <c r="C24" s="10"/>
      <c r="D24" s="10"/>
      <c r="E24" s="17"/>
      <c r="F24" s="17"/>
      <c r="G24" s="17"/>
      <c r="H24" s="17"/>
      <c r="I24" s="17"/>
      <c r="J24" s="17"/>
      <c r="K24" s="17"/>
      <c r="L24" s="10"/>
      <c r="M24" s="10"/>
      <c r="N24" s="17"/>
      <c r="O24" s="15"/>
      <c r="P24" s="26"/>
      <c r="Q24" s="10"/>
      <c r="R24" s="12"/>
      <c r="S24" s="12"/>
      <c r="T24" s="15"/>
      <c r="U24" s="15"/>
      <c r="V24" s="10"/>
      <c r="W24" s="21" t="str">
        <f>IF(COUNTA(N24:U24)=0,"",IF(N24="","E_MISSING_INPUT",IF(N24="TIMESTAMP",IF(OR(O24="",P24="",Q24=""),"E_MISSING_INPUT",IF(OR(NOT(ISNUMBER(O24)),NOT(ISNUMBER(P24))),"E_INVALID_DATE",IF(OR(O24&lt;&gt;INT(O24),P24&lt;0,P24&gt;=1),"E_INVALID_DATE",IF(ISNA(MATCH(Q24,nLIST_Offset,0)),"E_INVALID_UNIT","")))),IF(N24="DATE",IF(O24="","E_MISSING_INPUT",IF(NOT(ISNUMBER(O24)),"E_INVALID_DATE",IF(O24&lt;&gt;INT(O24),"E_INVALID_DATE",""))),IF(N24="MONTH",IF(OR(R24="",S24=""),"E_MISSING_INPUT",IF(OR(NOT(ISNUMBER(R24)),NOT(ISNUMBER(S24))),"E_INVALID_DATE",IF(OR(R24&lt;1900,R24&gt;9999,R24&lt;&gt;INT(R24),S24&lt;1,S24&gt;12,S24&lt;&gt;INT(S24)),"E_INVALID_DATE",""))),IF(N24="YEAR",IF(R24="","E_MISSING_INPUT",IF(NOT(ISNUMBER(R24)),"E_INVALID_DATE",IF(OR(R24&lt;1900,R24&gt;9999,R24&lt;&gt;INT(R24)),"E_INVALID_DATE",""))),IF(N24="RANGE",IF(OR(T24="",U24=""),"E_MISSING_INPUT",IF(OR(NOT(ISNUMBER(T24)),NOT(ISNUMBER(U24))),"E_INVALID_DATE",IF(OR(T24&lt;&gt;INT(T24),U24&lt;&gt;INT(U24)),"E_INVALID_DATE",IF(T24&gt;U24,"E_REVERSED_BOUNDS","")))),"E_INVALID_UNIT")))))))</f>
        <v/>
      </c>
      <c r="X24" s="22">
        <f t="shared" si="0"/>
        <v>0</v>
      </c>
      <c r="Y24" s="22">
        <f t="shared" si="1"/>
        <v>0</v>
      </c>
      <c r="Z24" s="28" t="str">
        <f t="shared" si="2"/>
        <v/>
      </c>
      <c r="AA24" s="28" t="str">
        <f t="shared" si="3"/>
        <v/>
      </c>
      <c r="AB24" s="22" t="str">
        <f t="shared" si="4"/>
        <v/>
      </c>
      <c r="AC24" s="22" t="str">
        <f t="shared" si="5"/>
        <v/>
      </c>
      <c r="AD24" s="15"/>
      <c r="AE24" s="26"/>
      <c r="AF24" s="10"/>
      <c r="AG24" s="10"/>
      <c r="AH24" s="21" t="str">
        <f>IF(COUNTA(AD24:AF24)=0,"",IF(OR(AD24="",AE24="",AF24=""),"E_MISSING_INPUT",IF(OR(NOT(ISNUMBER(AD24)),NOT(ISNUMBER(AE24))),"E_INVALID_DATE",IF(OR(AD24&lt;&gt;INT(AD24),AE24&lt;0,AE24&gt;=1),"E_INVALID_DATE",IF(ISNA(MATCH(AF24,nLIST_Offset,0)),"E_INVALID_UNIT","")))))</f>
        <v/>
      </c>
      <c r="AI24" s="22" t="str">
        <f t="shared" si="6"/>
        <v/>
      </c>
      <c r="AJ24" s="22">
        <f t="shared" si="7"/>
        <v>0</v>
      </c>
      <c r="AK24" s="22" t="str">
        <f t="shared" si="8"/>
        <v/>
      </c>
      <c r="AL24" s="21" t="str">
        <f t="shared" si="9"/>
        <v/>
      </c>
      <c r="AM24" s="22">
        <f>IF(AL24="",0,COUNTIF(nADM_Key,AL24))</f>
        <v>0</v>
      </c>
      <c r="AN24" s="21" t="str">
        <f t="shared" si="10"/>
        <v/>
      </c>
      <c r="AO24" s="22">
        <f t="shared" si="11"/>
        <v>0</v>
      </c>
      <c r="AP24" s="22">
        <f t="shared" si="12"/>
        <v>0</v>
      </c>
      <c r="AQ24" s="22">
        <f t="shared" si="13"/>
        <v>0</v>
      </c>
      <c r="AR24" s="22">
        <f t="shared" si="14"/>
        <v>0</v>
      </c>
      <c r="AS24" s="22">
        <f t="shared" si="15"/>
        <v>0</v>
      </c>
      <c r="AT24" s="21">
        <f t="shared" si="16"/>
        <v>0</v>
      </c>
      <c r="AU24" s="21">
        <f t="shared" si="17"/>
        <v>0</v>
      </c>
      <c r="AV24" s="22">
        <f t="shared" si="18"/>
        <v>0</v>
      </c>
      <c r="AW24" s="21">
        <f t="shared" si="19"/>
        <v>0</v>
      </c>
      <c r="AX24" s="22">
        <f t="shared" si="20"/>
        <v>0</v>
      </c>
      <c r="AY24" s="21">
        <f t="shared" si="21"/>
        <v>1</v>
      </c>
      <c r="AZ24" s="21">
        <f t="shared" si="22"/>
        <v>0</v>
      </c>
      <c r="BA24" s="22">
        <f t="shared" si="23"/>
        <v>0</v>
      </c>
      <c r="BB24" s="22">
        <f t="shared" si="24"/>
        <v>0</v>
      </c>
      <c r="BC24" s="22">
        <f t="shared" si="25"/>
        <v>0</v>
      </c>
      <c r="BD24" s="22">
        <f t="shared" si="26"/>
        <v>0</v>
      </c>
      <c r="BE24" s="22">
        <f t="shared" si="27"/>
        <v>0</v>
      </c>
      <c r="BF24" s="22">
        <f t="shared" si="28"/>
        <v>0</v>
      </c>
      <c r="BG24" s="22">
        <f t="shared" si="29"/>
        <v>0</v>
      </c>
      <c r="BH24" s="22">
        <f>IF(OR(E24&lt;&gt;"INFUSION_SEGMENT",BF24=0,BG24=0),0,COUNTIFS(nADM_SelKey,AN24,nADM_Kind,"INFUSION_SEGMENT",nADM_SegS_cmp,"&lt;"&amp;BG24,nADM_SegE_cmp,"&gt;"&amp;BF24)-IF(BG24&gt;BF24,1,0))</f>
        <v>0</v>
      </c>
      <c r="BI24" s="21" t="str">
        <f t="shared" si="30"/>
        <v/>
      </c>
      <c r="BJ24" s="22">
        <f>IF(C24="",1,IF(COUNTIF(nEXP_Key,AN24)&gt;0,1,0))</f>
        <v>1</v>
      </c>
      <c r="BK24" s="21" t="str">
        <f t="shared" si="31"/>
        <v/>
      </c>
      <c r="BL24" s="21" t="str">
        <f>IF(BK24="","",BK24&amp;": "&amp;SUBSTITUTE(IFERROR(INDEX(nMSG_Text,MATCH(BK24,nMSG_Code,0)),""),"[input]",IF(C24="","an Admin_ID",IF(BJ24=0,"an Exposures row for episode "&amp;D24,IF(BI24="E_MISSING_INPUT","segment start and end timestamps and a rate in mg/hour","the date fields required by the selected precision")))))</f>
        <v/>
      </c>
    </row>
    <row r="25" spans="1:64" x14ac:dyDescent="0.2">
      <c r="A25" s="10"/>
      <c r="B25" s="12"/>
      <c r="C25" s="10"/>
      <c r="D25" s="10"/>
      <c r="E25" s="17"/>
      <c r="F25" s="17"/>
      <c r="G25" s="17"/>
      <c r="H25" s="17"/>
      <c r="I25" s="17"/>
      <c r="J25" s="17"/>
      <c r="K25" s="17"/>
      <c r="L25" s="10"/>
      <c r="M25" s="10"/>
      <c r="N25" s="17"/>
      <c r="O25" s="15"/>
      <c r="P25" s="26"/>
      <c r="Q25" s="10"/>
      <c r="R25" s="12"/>
      <c r="S25" s="12"/>
      <c r="T25" s="15"/>
      <c r="U25" s="15"/>
      <c r="V25" s="10"/>
      <c r="W25" s="21" t="str">
        <f>IF(COUNTA(N25:U25)=0,"",IF(N25="","E_MISSING_INPUT",IF(N25="TIMESTAMP",IF(OR(O25="",P25="",Q25=""),"E_MISSING_INPUT",IF(OR(NOT(ISNUMBER(O25)),NOT(ISNUMBER(P25))),"E_INVALID_DATE",IF(OR(O25&lt;&gt;INT(O25),P25&lt;0,P25&gt;=1),"E_INVALID_DATE",IF(ISNA(MATCH(Q25,nLIST_Offset,0)),"E_INVALID_UNIT","")))),IF(N25="DATE",IF(O25="","E_MISSING_INPUT",IF(NOT(ISNUMBER(O25)),"E_INVALID_DATE",IF(O25&lt;&gt;INT(O25),"E_INVALID_DATE",""))),IF(N25="MONTH",IF(OR(R25="",S25=""),"E_MISSING_INPUT",IF(OR(NOT(ISNUMBER(R25)),NOT(ISNUMBER(S25))),"E_INVALID_DATE",IF(OR(R25&lt;1900,R25&gt;9999,R25&lt;&gt;INT(R25),S25&lt;1,S25&gt;12,S25&lt;&gt;INT(S25)),"E_INVALID_DATE",""))),IF(N25="YEAR",IF(R25="","E_MISSING_INPUT",IF(NOT(ISNUMBER(R25)),"E_INVALID_DATE",IF(OR(R25&lt;1900,R25&gt;9999,R25&lt;&gt;INT(R25)),"E_INVALID_DATE",""))),IF(N25="RANGE",IF(OR(T25="",U25=""),"E_MISSING_INPUT",IF(OR(NOT(ISNUMBER(T25)),NOT(ISNUMBER(U25))),"E_INVALID_DATE",IF(OR(T25&lt;&gt;INT(T25),U25&lt;&gt;INT(U25)),"E_INVALID_DATE",IF(T25&gt;U25,"E_REVERSED_BOUNDS","")))),"E_INVALID_UNIT")))))))</f>
        <v/>
      </c>
      <c r="X25" s="22">
        <f t="shared" si="0"/>
        <v>0</v>
      </c>
      <c r="Y25" s="22">
        <f t="shared" si="1"/>
        <v>0</v>
      </c>
      <c r="Z25" s="28" t="str">
        <f t="shared" si="2"/>
        <v/>
      </c>
      <c r="AA25" s="28" t="str">
        <f t="shared" si="3"/>
        <v/>
      </c>
      <c r="AB25" s="22" t="str">
        <f t="shared" si="4"/>
        <v/>
      </c>
      <c r="AC25" s="22" t="str">
        <f t="shared" si="5"/>
        <v/>
      </c>
      <c r="AD25" s="15"/>
      <c r="AE25" s="26"/>
      <c r="AF25" s="10"/>
      <c r="AG25" s="10"/>
      <c r="AH25" s="21" t="str">
        <f>IF(COUNTA(AD25:AF25)=0,"",IF(OR(AD25="",AE25="",AF25=""),"E_MISSING_INPUT",IF(OR(NOT(ISNUMBER(AD25)),NOT(ISNUMBER(AE25))),"E_INVALID_DATE",IF(OR(AD25&lt;&gt;INT(AD25),AE25&lt;0,AE25&gt;=1),"E_INVALID_DATE",IF(ISNA(MATCH(AF25,nLIST_Offset,0)),"E_INVALID_UNIT","")))))</f>
        <v/>
      </c>
      <c r="AI25" s="22" t="str">
        <f t="shared" si="6"/>
        <v/>
      </c>
      <c r="AJ25" s="22">
        <f t="shared" si="7"/>
        <v>0</v>
      </c>
      <c r="AK25" s="22" t="str">
        <f t="shared" si="8"/>
        <v/>
      </c>
      <c r="AL25" s="21" t="str">
        <f t="shared" si="9"/>
        <v/>
      </c>
      <c r="AM25" s="22">
        <f>IF(AL25="",0,COUNTIF(nADM_Key,AL25))</f>
        <v>0</v>
      </c>
      <c r="AN25" s="21" t="str">
        <f t="shared" si="10"/>
        <v/>
      </c>
      <c r="AO25" s="22">
        <f t="shared" si="11"/>
        <v>0</v>
      </c>
      <c r="AP25" s="22">
        <f t="shared" si="12"/>
        <v>0</v>
      </c>
      <c r="AQ25" s="22">
        <f t="shared" si="13"/>
        <v>0</v>
      </c>
      <c r="AR25" s="22">
        <f t="shared" si="14"/>
        <v>0</v>
      </c>
      <c r="AS25" s="22">
        <f t="shared" si="15"/>
        <v>0</v>
      </c>
      <c r="AT25" s="21">
        <f t="shared" si="16"/>
        <v>0</v>
      </c>
      <c r="AU25" s="21">
        <f t="shared" si="17"/>
        <v>0</v>
      </c>
      <c r="AV25" s="22">
        <f t="shared" si="18"/>
        <v>0</v>
      </c>
      <c r="AW25" s="21">
        <f t="shared" si="19"/>
        <v>0</v>
      </c>
      <c r="AX25" s="22">
        <f t="shared" si="20"/>
        <v>0</v>
      </c>
      <c r="AY25" s="21">
        <f t="shared" si="21"/>
        <v>1</v>
      </c>
      <c r="AZ25" s="21">
        <f t="shared" si="22"/>
        <v>0</v>
      </c>
      <c r="BA25" s="22">
        <f t="shared" si="23"/>
        <v>0</v>
      </c>
      <c r="BB25" s="22">
        <f t="shared" si="24"/>
        <v>0</v>
      </c>
      <c r="BC25" s="22">
        <f t="shared" si="25"/>
        <v>0</v>
      </c>
      <c r="BD25" s="22">
        <f t="shared" si="26"/>
        <v>0</v>
      </c>
      <c r="BE25" s="22">
        <f t="shared" si="27"/>
        <v>0</v>
      </c>
      <c r="BF25" s="22">
        <f t="shared" si="28"/>
        <v>0</v>
      </c>
      <c r="BG25" s="22">
        <f t="shared" si="29"/>
        <v>0</v>
      </c>
      <c r="BH25" s="22">
        <f>IF(OR(E25&lt;&gt;"INFUSION_SEGMENT",BF25=0,BG25=0),0,COUNTIFS(nADM_SelKey,AN25,nADM_Kind,"INFUSION_SEGMENT",nADM_SegS_cmp,"&lt;"&amp;BG25,nADM_SegE_cmp,"&gt;"&amp;BF25)-IF(BG25&gt;BF25,1,0))</f>
        <v>0</v>
      </c>
      <c r="BI25" s="21" t="str">
        <f t="shared" si="30"/>
        <v/>
      </c>
      <c r="BJ25" s="22">
        <f>IF(C25="",1,IF(COUNTIF(nEXP_Key,AN25)&gt;0,1,0))</f>
        <v>1</v>
      </c>
      <c r="BK25" s="21" t="str">
        <f t="shared" si="31"/>
        <v/>
      </c>
      <c r="BL25" s="21" t="str">
        <f>IF(BK25="","",BK25&amp;": "&amp;SUBSTITUTE(IFERROR(INDEX(nMSG_Text,MATCH(BK25,nMSG_Code,0)),""),"[input]",IF(C25="","an Admin_ID",IF(BJ25=0,"an Exposures row for episode "&amp;D25,IF(BI25="E_MISSING_INPUT","segment start and end timestamps and a rate in mg/hour","the date fields required by the selected precision")))))</f>
        <v/>
      </c>
    </row>
    <row r="26" spans="1:64" x14ac:dyDescent="0.2">
      <c r="A26" s="10"/>
      <c r="B26" s="12"/>
      <c r="C26" s="10"/>
      <c r="D26" s="10"/>
      <c r="E26" s="17"/>
      <c r="F26" s="17"/>
      <c r="G26" s="17"/>
      <c r="H26" s="17"/>
      <c r="I26" s="17"/>
      <c r="J26" s="17"/>
      <c r="K26" s="17"/>
      <c r="L26" s="10"/>
      <c r="M26" s="10"/>
      <c r="N26" s="17"/>
      <c r="O26" s="15"/>
      <c r="P26" s="26"/>
      <c r="Q26" s="10"/>
      <c r="R26" s="12"/>
      <c r="S26" s="12"/>
      <c r="T26" s="15"/>
      <c r="U26" s="15"/>
      <c r="V26" s="10"/>
      <c r="W26" s="21" t="str">
        <f>IF(COUNTA(N26:U26)=0,"",IF(N26="","E_MISSING_INPUT",IF(N26="TIMESTAMP",IF(OR(O26="",P26="",Q26=""),"E_MISSING_INPUT",IF(OR(NOT(ISNUMBER(O26)),NOT(ISNUMBER(P26))),"E_INVALID_DATE",IF(OR(O26&lt;&gt;INT(O26),P26&lt;0,P26&gt;=1),"E_INVALID_DATE",IF(ISNA(MATCH(Q26,nLIST_Offset,0)),"E_INVALID_UNIT","")))),IF(N26="DATE",IF(O26="","E_MISSING_INPUT",IF(NOT(ISNUMBER(O26)),"E_INVALID_DATE",IF(O26&lt;&gt;INT(O26),"E_INVALID_DATE",""))),IF(N26="MONTH",IF(OR(R26="",S26=""),"E_MISSING_INPUT",IF(OR(NOT(ISNUMBER(R26)),NOT(ISNUMBER(S26))),"E_INVALID_DATE",IF(OR(R26&lt;1900,R26&gt;9999,R26&lt;&gt;INT(R26),S26&lt;1,S26&gt;12,S26&lt;&gt;INT(S26)),"E_INVALID_DATE",""))),IF(N26="YEAR",IF(R26="","E_MISSING_INPUT",IF(NOT(ISNUMBER(R26)),"E_INVALID_DATE",IF(OR(R26&lt;1900,R26&gt;9999,R26&lt;&gt;INT(R26)),"E_INVALID_DATE",""))),IF(N26="RANGE",IF(OR(T26="",U26=""),"E_MISSING_INPUT",IF(OR(NOT(ISNUMBER(T26)),NOT(ISNUMBER(U26))),"E_INVALID_DATE",IF(OR(T26&lt;&gt;INT(T26),U26&lt;&gt;INT(U26)),"E_INVALID_DATE",IF(T26&gt;U26,"E_REVERSED_BOUNDS","")))),"E_INVALID_UNIT")))))))</f>
        <v/>
      </c>
      <c r="X26" s="22">
        <f t="shared" si="0"/>
        <v>0</v>
      </c>
      <c r="Y26" s="22">
        <f t="shared" si="1"/>
        <v>0</v>
      </c>
      <c r="Z26" s="28" t="str">
        <f t="shared" si="2"/>
        <v/>
      </c>
      <c r="AA26" s="28" t="str">
        <f t="shared" si="3"/>
        <v/>
      </c>
      <c r="AB26" s="22" t="str">
        <f t="shared" si="4"/>
        <v/>
      </c>
      <c r="AC26" s="22" t="str">
        <f t="shared" si="5"/>
        <v/>
      </c>
      <c r="AD26" s="15"/>
      <c r="AE26" s="26"/>
      <c r="AF26" s="10"/>
      <c r="AG26" s="10"/>
      <c r="AH26" s="21" t="str">
        <f>IF(COUNTA(AD26:AF26)=0,"",IF(OR(AD26="",AE26="",AF26=""),"E_MISSING_INPUT",IF(OR(NOT(ISNUMBER(AD26)),NOT(ISNUMBER(AE26))),"E_INVALID_DATE",IF(OR(AD26&lt;&gt;INT(AD26),AE26&lt;0,AE26&gt;=1),"E_INVALID_DATE",IF(ISNA(MATCH(AF26,nLIST_Offset,0)),"E_INVALID_UNIT","")))))</f>
        <v/>
      </c>
      <c r="AI26" s="22" t="str">
        <f t="shared" si="6"/>
        <v/>
      </c>
      <c r="AJ26" s="22">
        <f t="shared" si="7"/>
        <v>0</v>
      </c>
      <c r="AK26" s="22" t="str">
        <f t="shared" si="8"/>
        <v/>
      </c>
      <c r="AL26" s="21" t="str">
        <f t="shared" si="9"/>
        <v/>
      </c>
      <c r="AM26" s="22">
        <f>IF(AL26="",0,COUNTIF(nADM_Key,AL26))</f>
        <v>0</v>
      </c>
      <c r="AN26" s="21" t="str">
        <f t="shared" si="10"/>
        <v/>
      </c>
      <c r="AO26" s="22">
        <f t="shared" si="11"/>
        <v>0</v>
      </c>
      <c r="AP26" s="22">
        <f t="shared" si="12"/>
        <v>0</v>
      </c>
      <c r="AQ26" s="22">
        <f t="shared" si="13"/>
        <v>0</v>
      </c>
      <c r="AR26" s="22">
        <f t="shared" si="14"/>
        <v>0</v>
      </c>
      <c r="AS26" s="22">
        <f t="shared" si="15"/>
        <v>0</v>
      </c>
      <c r="AT26" s="21">
        <f t="shared" si="16"/>
        <v>0</v>
      </c>
      <c r="AU26" s="21">
        <f t="shared" si="17"/>
        <v>0</v>
      </c>
      <c r="AV26" s="22">
        <f t="shared" si="18"/>
        <v>0</v>
      </c>
      <c r="AW26" s="21">
        <f t="shared" si="19"/>
        <v>0</v>
      </c>
      <c r="AX26" s="22">
        <f t="shared" si="20"/>
        <v>0</v>
      </c>
      <c r="AY26" s="21">
        <f t="shared" si="21"/>
        <v>1</v>
      </c>
      <c r="AZ26" s="21">
        <f t="shared" si="22"/>
        <v>0</v>
      </c>
      <c r="BA26" s="22">
        <f t="shared" si="23"/>
        <v>0</v>
      </c>
      <c r="BB26" s="22">
        <f t="shared" si="24"/>
        <v>0</v>
      </c>
      <c r="BC26" s="22">
        <f t="shared" si="25"/>
        <v>0</v>
      </c>
      <c r="BD26" s="22">
        <f t="shared" si="26"/>
        <v>0</v>
      </c>
      <c r="BE26" s="22">
        <f t="shared" si="27"/>
        <v>0</v>
      </c>
      <c r="BF26" s="22">
        <f t="shared" si="28"/>
        <v>0</v>
      </c>
      <c r="BG26" s="22">
        <f t="shared" si="29"/>
        <v>0</v>
      </c>
      <c r="BH26" s="22">
        <f>IF(OR(E26&lt;&gt;"INFUSION_SEGMENT",BF26=0,BG26=0),0,COUNTIFS(nADM_SelKey,AN26,nADM_Kind,"INFUSION_SEGMENT",nADM_SegS_cmp,"&lt;"&amp;BG26,nADM_SegE_cmp,"&gt;"&amp;BF26)-IF(BG26&gt;BF26,1,0))</f>
        <v>0</v>
      </c>
      <c r="BI26" s="21" t="str">
        <f t="shared" si="30"/>
        <v/>
      </c>
      <c r="BJ26" s="22">
        <f>IF(C26="",1,IF(COUNTIF(nEXP_Key,AN26)&gt;0,1,0))</f>
        <v>1</v>
      </c>
      <c r="BK26" s="21" t="str">
        <f t="shared" si="31"/>
        <v/>
      </c>
      <c r="BL26" s="21" t="str">
        <f>IF(BK26="","",BK26&amp;": "&amp;SUBSTITUTE(IFERROR(INDEX(nMSG_Text,MATCH(BK26,nMSG_Code,0)),""),"[input]",IF(C26="","an Admin_ID",IF(BJ26=0,"an Exposures row for episode "&amp;D26,IF(BI26="E_MISSING_INPUT","segment start and end timestamps and a rate in mg/hour","the date fields required by the selected precision")))))</f>
        <v/>
      </c>
    </row>
    <row r="27" spans="1:64" x14ac:dyDescent="0.2">
      <c r="A27" s="10"/>
      <c r="B27" s="12"/>
      <c r="C27" s="10"/>
      <c r="D27" s="10"/>
      <c r="E27" s="17"/>
      <c r="F27" s="17"/>
      <c r="G27" s="17"/>
      <c r="H27" s="17"/>
      <c r="I27" s="17"/>
      <c r="J27" s="17"/>
      <c r="K27" s="17"/>
      <c r="L27" s="10"/>
      <c r="M27" s="10"/>
      <c r="N27" s="17"/>
      <c r="O27" s="15"/>
      <c r="P27" s="26"/>
      <c r="Q27" s="10"/>
      <c r="R27" s="12"/>
      <c r="S27" s="12"/>
      <c r="T27" s="15"/>
      <c r="U27" s="15"/>
      <c r="V27" s="10"/>
      <c r="W27" s="21" t="str">
        <f>IF(COUNTA(N27:U27)=0,"",IF(N27="","E_MISSING_INPUT",IF(N27="TIMESTAMP",IF(OR(O27="",P27="",Q27=""),"E_MISSING_INPUT",IF(OR(NOT(ISNUMBER(O27)),NOT(ISNUMBER(P27))),"E_INVALID_DATE",IF(OR(O27&lt;&gt;INT(O27),P27&lt;0,P27&gt;=1),"E_INVALID_DATE",IF(ISNA(MATCH(Q27,nLIST_Offset,0)),"E_INVALID_UNIT","")))),IF(N27="DATE",IF(O27="","E_MISSING_INPUT",IF(NOT(ISNUMBER(O27)),"E_INVALID_DATE",IF(O27&lt;&gt;INT(O27),"E_INVALID_DATE",""))),IF(N27="MONTH",IF(OR(R27="",S27=""),"E_MISSING_INPUT",IF(OR(NOT(ISNUMBER(R27)),NOT(ISNUMBER(S27))),"E_INVALID_DATE",IF(OR(R27&lt;1900,R27&gt;9999,R27&lt;&gt;INT(R27),S27&lt;1,S27&gt;12,S27&lt;&gt;INT(S27)),"E_INVALID_DATE",""))),IF(N27="YEAR",IF(R27="","E_MISSING_INPUT",IF(NOT(ISNUMBER(R27)),"E_INVALID_DATE",IF(OR(R27&lt;1900,R27&gt;9999,R27&lt;&gt;INT(R27)),"E_INVALID_DATE",""))),IF(N27="RANGE",IF(OR(T27="",U27=""),"E_MISSING_INPUT",IF(OR(NOT(ISNUMBER(T27)),NOT(ISNUMBER(U27))),"E_INVALID_DATE",IF(OR(T27&lt;&gt;INT(T27),U27&lt;&gt;INT(U27)),"E_INVALID_DATE",IF(T27&gt;U27,"E_REVERSED_BOUNDS","")))),"E_INVALID_UNIT")))))))</f>
        <v/>
      </c>
      <c r="X27" s="22">
        <f t="shared" si="0"/>
        <v>0</v>
      </c>
      <c r="Y27" s="22">
        <f t="shared" si="1"/>
        <v>0</v>
      </c>
      <c r="Z27" s="28" t="str">
        <f t="shared" si="2"/>
        <v/>
      </c>
      <c r="AA27" s="28" t="str">
        <f t="shared" si="3"/>
        <v/>
      </c>
      <c r="AB27" s="22" t="str">
        <f t="shared" si="4"/>
        <v/>
      </c>
      <c r="AC27" s="22" t="str">
        <f t="shared" si="5"/>
        <v/>
      </c>
      <c r="AD27" s="15"/>
      <c r="AE27" s="26"/>
      <c r="AF27" s="10"/>
      <c r="AG27" s="10"/>
      <c r="AH27" s="21" t="str">
        <f>IF(COUNTA(AD27:AF27)=0,"",IF(OR(AD27="",AE27="",AF27=""),"E_MISSING_INPUT",IF(OR(NOT(ISNUMBER(AD27)),NOT(ISNUMBER(AE27))),"E_INVALID_DATE",IF(OR(AD27&lt;&gt;INT(AD27),AE27&lt;0,AE27&gt;=1),"E_INVALID_DATE",IF(ISNA(MATCH(AF27,nLIST_Offset,0)),"E_INVALID_UNIT","")))))</f>
        <v/>
      </c>
      <c r="AI27" s="22" t="str">
        <f t="shared" si="6"/>
        <v/>
      </c>
      <c r="AJ27" s="22">
        <f t="shared" si="7"/>
        <v>0</v>
      </c>
      <c r="AK27" s="22" t="str">
        <f t="shared" si="8"/>
        <v/>
      </c>
      <c r="AL27" s="21" t="str">
        <f t="shared" si="9"/>
        <v/>
      </c>
      <c r="AM27" s="22">
        <f>IF(AL27="",0,COUNTIF(nADM_Key,AL27))</f>
        <v>0</v>
      </c>
      <c r="AN27" s="21" t="str">
        <f t="shared" si="10"/>
        <v/>
      </c>
      <c r="AO27" s="22">
        <f t="shared" si="11"/>
        <v>0</v>
      </c>
      <c r="AP27" s="22">
        <f t="shared" si="12"/>
        <v>0</v>
      </c>
      <c r="AQ27" s="22">
        <f t="shared" si="13"/>
        <v>0</v>
      </c>
      <c r="AR27" s="22">
        <f t="shared" si="14"/>
        <v>0</v>
      </c>
      <c r="AS27" s="22">
        <f t="shared" si="15"/>
        <v>0</v>
      </c>
      <c r="AT27" s="21">
        <f t="shared" si="16"/>
        <v>0</v>
      </c>
      <c r="AU27" s="21">
        <f t="shared" si="17"/>
        <v>0</v>
      </c>
      <c r="AV27" s="22">
        <f t="shared" si="18"/>
        <v>0</v>
      </c>
      <c r="AW27" s="21">
        <f t="shared" si="19"/>
        <v>0</v>
      </c>
      <c r="AX27" s="22">
        <f t="shared" si="20"/>
        <v>0</v>
      </c>
      <c r="AY27" s="21">
        <f t="shared" si="21"/>
        <v>1</v>
      </c>
      <c r="AZ27" s="21">
        <f t="shared" si="22"/>
        <v>0</v>
      </c>
      <c r="BA27" s="22">
        <f t="shared" si="23"/>
        <v>0</v>
      </c>
      <c r="BB27" s="22">
        <f t="shared" si="24"/>
        <v>0</v>
      </c>
      <c r="BC27" s="22">
        <f t="shared" si="25"/>
        <v>0</v>
      </c>
      <c r="BD27" s="22">
        <f t="shared" si="26"/>
        <v>0</v>
      </c>
      <c r="BE27" s="22">
        <f t="shared" si="27"/>
        <v>0</v>
      </c>
      <c r="BF27" s="22">
        <f t="shared" si="28"/>
        <v>0</v>
      </c>
      <c r="BG27" s="22">
        <f t="shared" si="29"/>
        <v>0</v>
      </c>
      <c r="BH27" s="22">
        <f>IF(OR(E27&lt;&gt;"INFUSION_SEGMENT",BF27=0,BG27=0),0,COUNTIFS(nADM_SelKey,AN27,nADM_Kind,"INFUSION_SEGMENT",nADM_SegS_cmp,"&lt;"&amp;BG27,nADM_SegE_cmp,"&gt;"&amp;BF27)-IF(BG27&gt;BF27,1,0))</f>
        <v>0</v>
      </c>
      <c r="BI27" s="21" t="str">
        <f t="shared" si="30"/>
        <v/>
      </c>
      <c r="BJ27" s="22">
        <f>IF(C27="",1,IF(COUNTIF(nEXP_Key,AN27)&gt;0,1,0))</f>
        <v>1</v>
      </c>
      <c r="BK27" s="21" t="str">
        <f t="shared" si="31"/>
        <v/>
      </c>
      <c r="BL27" s="21" t="str">
        <f>IF(BK27="","",BK27&amp;": "&amp;SUBSTITUTE(IFERROR(INDEX(nMSG_Text,MATCH(BK27,nMSG_Code,0)),""),"[input]",IF(C27="","an Admin_ID",IF(BJ27=0,"an Exposures row for episode "&amp;D27,IF(BI27="E_MISSING_INPUT","segment start and end timestamps and a rate in mg/hour","the date fields required by the selected precision")))))</f>
        <v/>
      </c>
    </row>
    <row r="28" spans="1:64" x14ac:dyDescent="0.2">
      <c r="A28" s="10"/>
      <c r="B28" s="12"/>
      <c r="C28" s="10"/>
      <c r="D28" s="10"/>
      <c r="E28" s="17"/>
      <c r="F28" s="17"/>
      <c r="G28" s="17"/>
      <c r="H28" s="17"/>
      <c r="I28" s="17"/>
      <c r="J28" s="17"/>
      <c r="K28" s="17"/>
      <c r="L28" s="10"/>
      <c r="M28" s="10"/>
      <c r="N28" s="17"/>
      <c r="O28" s="15"/>
      <c r="P28" s="26"/>
      <c r="Q28" s="10"/>
      <c r="R28" s="12"/>
      <c r="S28" s="12"/>
      <c r="T28" s="15"/>
      <c r="U28" s="15"/>
      <c r="V28" s="10"/>
      <c r="W28" s="21" t="str">
        <f>IF(COUNTA(N28:U28)=0,"",IF(N28="","E_MISSING_INPUT",IF(N28="TIMESTAMP",IF(OR(O28="",P28="",Q28=""),"E_MISSING_INPUT",IF(OR(NOT(ISNUMBER(O28)),NOT(ISNUMBER(P28))),"E_INVALID_DATE",IF(OR(O28&lt;&gt;INT(O28),P28&lt;0,P28&gt;=1),"E_INVALID_DATE",IF(ISNA(MATCH(Q28,nLIST_Offset,0)),"E_INVALID_UNIT","")))),IF(N28="DATE",IF(O28="","E_MISSING_INPUT",IF(NOT(ISNUMBER(O28)),"E_INVALID_DATE",IF(O28&lt;&gt;INT(O28),"E_INVALID_DATE",""))),IF(N28="MONTH",IF(OR(R28="",S28=""),"E_MISSING_INPUT",IF(OR(NOT(ISNUMBER(R28)),NOT(ISNUMBER(S28))),"E_INVALID_DATE",IF(OR(R28&lt;1900,R28&gt;9999,R28&lt;&gt;INT(R28),S28&lt;1,S28&gt;12,S28&lt;&gt;INT(S28)),"E_INVALID_DATE",""))),IF(N28="YEAR",IF(R28="","E_MISSING_INPUT",IF(NOT(ISNUMBER(R28)),"E_INVALID_DATE",IF(OR(R28&lt;1900,R28&gt;9999,R28&lt;&gt;INT(R28)),"E_INVALID_DATE",""))),IF(N28="RANGE",IF(OR(T28="",U28=""),"E_MISSING_INPUT",IF(OR(NOT(ISNUMBER(T28)),NOT(ISNUMBER(U28))),"E_INVALID_DATE",IF(OR(T28&lt;&gt;INT(T28),U28&lt;&gt;INT(U28)),"E_INVALID_DATE",IF(T28&gt;U28,"E_REVERSED_BOUNDS","")))),"E_INVALID_UNIT")))))))</f>
        <v/>
      </c>
      <c r="X28" s="22">
        <f t="shared" si="0"/>
        <v>0</v>
      </c>
      <c r="Y28" s="22">
        <f t="shared" si="1"/>
        <v>0</v>
      </c>
      <c r="Z28" s="28" t="str">
        <f t="shared" si="2"/>
        <v/>
      </c>
      <c r="AA28" s="28" t="str">
        <f t="shared" si="3"/>
        <v/>
      </c>
      <c r="AB28" s="22" t="str">
        <f t="shared" si="4"/>
        <v/>
      </c>
      <c r="AC28" s="22" t="str">
        <f t="shared" si="5"/>
        <v/>
      </c>
      <c r="AD28" s="15"/>
      <c r="AE28" s="26"/>
      <c r="AF28" s="10"/>
      <c r="AG28" s="10"/>
      <c r="AH28" s="21" t="str">
        <f>IF(COUNTA(AD28:AF28)=0,"",IF(OR(AD28="",AE28="",AF28=""),"E_MISSING_INPUT",IF(OR(NOT(ISNUMBER(AD28)),NOT(ISNUMBER(AE28))),"E_INVALID_DATE",IF(OR(AD28&lt;&gt;INT(AD28),AE28&lt;0,AE28&gt;=1),"E_INVALID_DATE",IF(ISNA(MATCH(AF28,nLIST_Offset,0)),"E_INVALID_UNIT","")))))</f>
        <v/>
      </c>
      <c r="AI28" s="22" t="str">
        <f t="shared" si="6"/>
        <v/>
      </c>
      <c r="AJ28" s="22">
        <f t="shared" si="7"/>
        <v>0</v>
      </c>
      <c r="AK28" s="22" t="str">
        <f t="shared" si="8"/>
        <v/>
      </c>
      <c r="AL28" s="21" t="str">
        <f t="shared" si="9"/>
        <v/>
      </c>
      <c r="AM28" s="22">
        <f>IF(AL28="",0,COUNTIF(nADM_Key,AL28))</f>
        <v>0</v>
      </c>
      <c r="AN28" s="21" t="str">
        <f t="shared" si="10"/>
        <v/>
      </c>
      <c r="AO28" s="22">
        <f t="shared" si="11"/>
        <v>0</v>
      </c>
      <c r="AP28" s="22">
        <f t="shared" si="12"/>
        <v>0</v>
      </c>
      <c r="AQ28" s="22">
        <f t="shared" si="13"/>
        <v>0</v>
      </c>
      <c r="AR28" s="22">
        <f t="shared" si="14"/>
        <v>0</v>
      </c>
      <c r="AS28" s="22">
        <f t="shared" si="15"/>
        <v>0</v>
      </c>
      <c r="AT28" s="21">
        <f t="shared" si="16"/>
        <v>0</v>
      </c>
      <c r="AU28" s="21">
        <f t="shared" si="17"/>
        <v>0</v>
      </c>
      <c r="AV28" s="22">
        <f t="shared" si="18"/>
        <v>0</v>
      </c>
      <c r="AW28" s="21">
        <f t="shared" si="19"/>
        <v>0</v>
      </c>
      <c r="AX28" s="22">
        <f t="shared" si="20"/>
        <v>0</v>
      </c>
      <c r="AY28" s="21">
        <f t="shared" si="21"/>
        <v>1</v>
      </c>
      <c r="AZ28" s="21">
        <f t="shared" si="22"/>
        <v>0</v>
      </c>
      <c r="BA28" s="22">
        <f t="shared" si="23"/>
        <v>0</v>
      </c>
      <c r="BB28" s="22">
        <f t="shared" si="24"/>
        <v>0</v>
      </c>
      <c r="BC28" s="22">
        <f t="shared" si="25"/>
        <v>0</v>
      </c>
      <c r="BD28" s="22">
        <f t="shared" si="26"/>
        <v>0</v>
      </c>
      <c r="BE28" s="22">
        <f t="shared" si="27"/>
        <v>0</v>
      </c>
      <c r="BF28" s="22">
        <f t="shared" si="28"/>
        <v>0</v>
      </c>
      <c r="BG28" s="22">
        <f t="shared" si="29"/>
        <v>0</v>
      </c>
      <c r="BH28" s="22">
        <f>IF(OR(E28&lt;&gt;"INFUSION_SEGMENT",BF28=0,BG28=0),0,COUNTIFS(nADM_SelKey,AN28,nADM_Kind,"INFUSION_SEGMENT",nADM_SegS_cmp,"&lt;"&amp;BG28,nADM_SegE_cmp,"&gt;"&amp;BF28)-IF(BG28&gt;BF28,1,0))</f>
        <v>0</v>
      </c>
      <c r="BI28" s="21" t="str">
        <f t="shared" si="30"/>
        <v/>
      </c>
      <c r="BJ28" s="22">
        <f>IF(C28="",1,IF(COUNTIF(nEXP_Key,AN28)&gt;0,1,0))</f>
        <v>1</v>
      </c>
      <c r="BK28" s="21" t="str">
        <f t="shared" si="31"/>
        <v/>
      </c>
      <c r="BL28" s="21" t="str">
        <f>IF(BK28="","",BK28&amp;": "&amp;SUBSTITUTE(IFERROR(INDEX(nMSG_Text,MATCH(BK28,nMSG_Code,0)),""),"[input]",IF(C28="","an Admin_ID",IF(BJ28=0,"an Exposures row for episode "&amp;D28,IF(BI28="E_MISSING_INPUT","segment start and end timestamps and a rate in mg/hour","the date fields required by the selected precision")))))</f>
        <v/>
      </c>
    </row>
    <row r="29" spans="1:64" x14ac:dyDescent="0.2">
      <c r="A29" s="10"/>
      <c r="B29" s="12"/>
      <c r="C29" s="10"/>
      <c r="D29" s="10"/>
      <c r="E29" s="17"/>
      <c r="F29" s="17"/>
      <c r="G29" s="17"/>
      <c r="H29" s="17"/>
      <c r="I29" s="17"/>
      <c r="J29" s="17"/>
      <c r="K29" s="17"/>
      <c r="L29" s="10"/>
      <c r="M29" s="10"/>
      <c r="N29" s="17"/>
      <c r="O29" s="15"/>
      <c r="P29" s="26"/>
      <c r="Q29" s="10"/>
      <c r="R29" s="12"/>
      <c r="S29" s="12"/>
      <c r="T29" s="15"/>
      <c r="U29" s="15"/>
      <c r="V29" s="10"/>
      <c r="W29" s="21" t="str">
        <f>IF(COUNTA(N29:U29)=0,"",IF(N29="","E_MISSING_INPUT",IF(N29="TIMESTAMP",IF(OR(O29="",P29="",Q29=""),"E_MISSING_INPUT",IF(OR(NOT(ISNUMBER(O29)),NOT(ISNUMBER(P29))),"E_INVALID_DATE",IF(OR(O29&lt;&gt;INT(O29),P29&lt;0,P29&gt;=1),"E_INVALID_DATE",IF(ISNA(MATCH(Q29,nLIST_Offset,0)),"E_INVALID_UNIT","")))),IF(N29="DATE",IF(O29="","E_MISSING_INPUT",IF(NOT(ISNUMBER(O29)),"E_INVALID_DATE",IF(O29&lt;&gt;INT(O29),"E_INVALID_DATE",""))),IF(N29="MONTH",IF(OR(R29="",S29=""),"E_MISSING_INPUT",IF(OR(NOT(ISNUMBER(R29)),NOT(ISNUMBER(S29))),"E_INVALID_DATE",IF(OR(R29&lt;1900,R29&gt;9999,R29&lt;&gt;INT(R29),S29&lt;1,S29&gt;12,S29&lt;&gt;INT(S29)),"E_INVALID_DATE",""))),IF(N29="YEAR",IF(R29="","E_MISSING_INPUT",IF(NOT(ISNUMBER(R29)),"E_INVALID_DATE",IF(OR(R29&lt;1900,R29&gt;9999,R29&lt;&gt;INT(R29)),"E_INVALID_DATE",""))),IF(N29="RANGE",IF(OR(T29="",U29=""),"E_MISSING_INPUT",IF(OR(NOT(ISNUMBER(T29)),NOT(ISNUMBER(U29))),"E_INVALID_DATE",IF(OR(T29&lt;&gt;INT(T29),U29&lt;&gt;INT(U29)),"E_INVALID_DATE",IF(T29&gt;U29,"E_REVERSED_BOUNDS","")))),"E_INVALID_UNIT")))))))</f>
        <v/>
      </c>
      <c r="X29" s="22">
        <f t="shared" si="0"/>
        <v>0</v>
      </c>
      <c r="Y29" s="22">
        <f t="shared" si="1"/>
        <v>0</v>
      </c>
      <c r="Z29" s="28" t="str">
        <f t="shared" si="2"/>
        <v/>
      </c>
      <c r="AA29" s="28" t="str">
        <f t="shared" si="3"/>
        <v/>
      </c>
      <c r="AB29" s="22" t="str">
        <f t="shared" si="4"/>
        <v/>
      </c>
      <c r="AC29" s="22" t="str">
        <f t="shared" si="5"/>
        <v/>
      </c>
      <c r="AD29" s="15"/>
      <c r="AE29" s="26"/>
      <c r="AF29" s="10"/>
      <c r="AG29" s="10"/>
      <c r="AH29" s="21" t="str">
        <f>IF(COUNTA(AD29:AF29)=0,"",IF(OR(AD29="",AE29="",AF29=""),"E_MISSING_INPUT",IF(OR(NOT(ISNUMBER(AD29)),NOT(ISNUMBER(AE29))),"E_INVALID_DATE",IF(OR(AD29&lt;&gt;INT(AD29),AE29&lt;0,AE29&gt;=1),"E_INVALID_DATE",IF(ISNA(MATCH(AF29,nLIST_Offset,0)),"E_INVALID_UNIT","")))))</f>
        <v/>
      </c>
      <c r="AI29" s="22" t="str">
        <f t="shared" si="6"/>
        <v/>
      </c>
      <c r="AJ29" s="22">
        <f t="shared" si="7"/>
        <v>0</v>
      </c>
      <c r="AK29" s="22" t="str">
        <f t="shared" si="8"/>
        <v/>
      </c>
      <c r="AL29" s="21" t="str">
        <f t="shared" si="9"/>
        <v/>
      </c>
      <c r="AM29" s="22">
        <f>IF(AL29="",0,COUNTIF(nADM_Key,AL29))</f>
        <v>0</v>
      </c>
      <c r="AN29" s="21" t="str">
        <f t="shared" si="10"/>
        <v/>
      </c>
      <c r="AO29" s="22">
        <f t="shared" si="11"/>
        <v>0</v>
      </c>
      <c r="AP29" s="22">
        <f t="shared" si="12"/>
        <v>0</v>
      </c>
      <c r="AQ29" s="22">
        <f t="shared" si="13"/>
        <v>0</v>
      </c>
      <c r="AR29" s="22">
        <f t="shared" si="14"/>
        <v>0</v>
      </c>
      <c r="AS29" s="22">
        <f t="shared" si="15"/>
        <v>0</v>
      </c>
      <c r="AT29" s="21">
        <f t="shared" si="16"/>
        <v>0</v>
      </c>
      <c r="AU29" s="21">
        <f t="shared" si="17"/>
        <v>0</v>
      </c>
      <c r="AV29" s="22">
        <f t="shared" si="18"/>
        <v>0</v>
      </c>
      <c r="AW29" s="21">
        <f t="shared" si="19"/>
        <v>0</v>
      </c>
      <c r="AX29" s="22">
        <f t="shared" si="20"/>
        <v>0</v>
      </c>
      <c r="AY29" s="21">
        <f t="shared" si="21"/>
        <v>1</v>
      </c>
      <c r="AZ29" s="21">
        <f t="shared" si="22"/>
        <v>0</v>
      </c>
      <c r="BA29" s="22">
        <f t="shared" si="23"/>
        <v>0</v>
      </c>
      <c r="BB29" s="22">
        <f t="shared" si="24"/>
        <v>0</v>
      </c>
      <c r="BC29" s="22">
        <f t="shared" si="25"/>
        <v>0</v>
      </c>
      <c r="BD29" s="22">
        <f t="shared" si="26"/>
        <v>0</v>
      </c>
      <c r="BE29" s="22">
        <f t="shared" si="27"/>
        <v>0</v>
      </c>
      <c r="BF29" s="22">
        <f t="shared" si="28"/>
        <v>0</v>
      </c>
      <c r="BG29" s="22">
        <f t="shared" si="29"/>
        <v>0</v>
      </c>
      <c r="BH29" s="22">
        <f>IF(OR(E29&lt;&gt;"INFUSION_SEGMENT",BF29=0,BG29=0),0,COUNTIFS(nADM_SelKey,AN29,nADM_Kind,"INFUSION_SEGMENT",nADM_SegS_cmp,"&lt;"&amp;BG29,nADM_SegE_cmp,"&gt;"&amp;BF29)-IF(BG29&gt;BF29,1,0))</f>
        <v>0</v>
      </c>
      <c r="BI29" s="21" t="str">
        <f t="shared" si="30"/>
        <v/>
      </c>
      <c r="BJ29" s="22">
        <f>IF(C29="",1,IF(COUNTIF(nEXP_Key,AN29)&gt;0,1,0))</f>
        <v>1</v>
      </c>
      <c r="BK29" s="21" t="str">
        <f t="shared" si="31"/>
        <v/>
      </c>
      <c r="BL29" s="21" t="str">
        <f>IF(BK29="","",BK29&amp;": "&amp;SUBSTITUTE(IFERROR(INDEX(nMSG_Text,MATCH(BK29,nMSG_Code,0)),""),"[input]",IF(C29="","an Admin_ID",IF(BJ29=0,"an Exposures row for episode "&amp;D29,IF(BI29="E_MISSING_INPUT","segment start and end timestamps and a rate in mg/hour","the date fields required by the selected precision")))))</f>
        <v/>
      </c>
    </row>
    <row r="30" spans="1:64" x14ac:dyDescent="0.2">
      <c r="A30" s="10"/>
      <c r="B30" s="12"/>
      <c r="C30" s="10"/>
      <c r="D30" s="10"/>
      <c r="E30" s="17"/>
      <c r="F30" s="17"/>
      <c r="G30" s="17"/>
      <c r="H30" s="17"/>
      <c r="I30" s="17"/>
      <c r="J30" s="17"/>
      <c r="K30" s="17"/>
      <c r="L30" s="10"/>
      <c r="M30" s="10"/>
      <c r="N30" s="17"/>
      <c r="O30" s="15"/>
      <c r="P30" s="26"/>
      <c r="Q30" s="10"/>
      <c r="R30" s="12"/>
      <c r="S30" s="12"/>
      <c r="T30" s="15"/>
      <c r="U30" s="15"/>
      <c r="V30" s="10"/>
      <c r="W30" s="21" t="str">
        <f>IF(COUNTA(N30:U30)=0,"",IF(N30="","E_MISSING_INPUT",IF(N30="TIMESTAMP",IF(OR(O30="",P30="",Q30=""),"E_MISSING_INPUT",IF(OR(NOT(ISNUMBER(O30)),NOT(ISNUMBER(P30))),"E_INVALID_DATE",IF(OR(O30&lt;&gt;INT(O30),P30&lt;0,P30&gt;=1),"E_INVALID_DATE",IF(ISNA(MATCH(Q30,nLIST_Offset,0)),"E_INVALID_UNIT","")))),IF(N30="DATE",IF(O30="","E_MISSING_INPUT",IF(NOT(ISNUMBER(O30)),"E_INVALID_DATE",IF(O30&lt;&gt;INT(O30),"E_INVALID_DATE",""))),IF(N30="MONTH",IF(OR(R30="",S30=""),"E_MISSING_INPUT",IF(OR(NOT(ISNUMBER(R30)),NOT(ISNUMBER(S30))),"E_INVALID_DATE",IF(OR(R30&lt;1900,R30&gt;9999,R30&lt;&gt;INT(R30),S30&lt;1,S30&gt;12,S30&lt;&gt;INT(S30)),"E_INVALID_DATE",""))),IF(N30="YEAR",IF(R30="","E_MISSING_INPUT",IF(NOT(ISNUMBER(R30)),"E_INVALID_DATE",IF(OR(R30&lt;1900,R30&gt;9999,R30&lt;&gt;INT(R30)),"E_INVALID_DATE",""))),IF(N30="RANGE",IF(OR(T30="",U30=""),"E_MISSING_INPUT",IF(OR(NOT(ISNUMBER(T30)),NOT(ISNUMBER(U30))),"E_INVALID_DATE",IF(OR(T30&lt;&gt;INT(T30),U30&lt;&gt;INT(U30)),"E_INVALID_DATE",IF(T30&gt;U30,"E_REVERSED_BOUNDS","")))),"E_INVALID_UNIT")))))))</f>
        <v/>
      </c>
      <c r="X30" s="22">
        <f t="shared" si="0"/>
        <v>0</v>
      </c>
      <c r="Y30" s="22">
        <f t="shared" si="1"/>
        <v>0</v>
      </c>
      <c r="Z30" s="28" t="str">
        <f t="shared" si="2"/>
        <v/>
      </c>
      <c r="AA30" s="28" t="str">
        <f t="shared" si="3"/>
        <v/>
      </c>
      <c r="AB30" s="22" t="str">
        <f t="shared" si="4"/>
        <v/>
      </c>
      <c r="AC30" s="22" t="str">
        <f t="shared" si="5"/>
        <v/>
      </c>
      <c r="AD30" s="15"/>
      <c r="AE30" s="26"/>
      <c r="AF30" s="10"/>
      <c r="AG30" s="10"/>
      <c r="AH30" s="21" t="str">
        <f>IF(COUNTA(AD30:AF30)=0,"",IF(OR(AD30="",AE30="",AF30=""),"E_MISSING_INPUT",IF(OR(NOT(ISNUMBER(AD30)),NOT(ISNUMBER(AE30))),"E_INVALID_DATE",IF(OR(AD30&lt;&gt;INT(AD30),AE30&lt;0,AE30&gt;=1),"E_INVALID_DATE",IF(ISNA(MATCH(AF30,nLIST_Offset,0)),"E_INVALID_UNIT","")))))</f>
        <v/>
      </c>
      <c r="AI30" s="22" t="str">
        <f t="shared" si="6"/>
        <v/>
      </c>
      <c r="AJ30" s="22">
        <f t="shared" si="7"/>
        <v>0</v>
      </c>
      <c r="AK30" s="22" t="str">
        <f t="shared" si="8"/>
        <v/>
      </c>
      <c r="AL30" s="21" t="str">
        <f t="shared" si="9"/>
        <v/>
      </c>
      <c r="AM30" s="22">
        <f>IF(AL30="",0,COUNTIF(nADM_Key,AL30))</f>
        <v>0</v>
      </c>
      <c r="AN30" s="21" t="str">
        <f t="shared" si="10"/>
        <v/>
      </c>
      <c r="AO30" s="22">
        <f t="shared" si="11"/>
        <v>0</v>
      </c>
      <c r="AP30" s="22">
        <f t="shared" si="12"/>
        <v>0</v>
      </c>
      <c r="AQ30" s="22">
        <f t="shared" si="13"/>
        <v>0</v>
      </c>
      <c r="AR30" s="22">
        <f t="shared" si="14"/>
        <v>0</v>
      </c>
      <c r="AS30" s="22">
        <f t="shared" si="15"/>
        <v>0</v>
      </c>
      <c r="AT30" s="21">
        <f t="shared" si="16"/>
        <v>0</v>
      </c>
      <c r="AU30" s="21">
        <f t="shared" si="17"/>
        <v>0</v>
      </c>
      <c r="AV30" s="22">
        <f t="shared" si="18"/>
        <v>0</v>
      </c>
      <c r="AW30" s="21">
        <f t="shared" si="19"/>
        <v>0</v>
      </c>
      <c r="AX30" s="22">
        <f t="shared" si="20"/>
        <v>0</v>
      </c>
      <c r="AY30" s="21">
        <f t="shared" si="21"/>
        <v>1</v>
      </c>
      <c r="AZ30" s="21">
        <f t="shared" si="22"/>
        <v>0</v>
      </c>
      <c r="BA30" s="22">
        <f t="shared" si="23"/>
        <v>0</v>
      </c>
      <c r="BB30" s="22">
        <f t="shared" si="24"/>
        <v>0</v>
      </c>
      <c r="BC30" s="22">
        <f t="shared" si="25"/>
        <v>0</v>
      </c>
      <c r="BD30" s="22">
        <f t="shared" si="26"/>
        <v>0</v>
      </c>
      <c r="BE30" s="22">
        <f t="shared" si="27"/>
        <v>0</v>
      </c>
      <c r="BF30" s="22">
        <f t="shared" si="28"/>
        <v>0</v>
      </c>
      <c r="BG30" s="22">
        <f t="shared" si="29"/>
        <v>0</v>
      </c>
      <c r="BH30" s="22">
        <f>IF(OR(E30&lt;&gt;"INFUSION_SEGMENT",BF30=0,BG30=0),0,COUNTIFS(nADM_SelKey,AN30,nADM_Kind,"INFUSION_SEGMENT",nADM_SegS_cmp,"&lt;"&amp;BG30,nADM_SegE_cmp,"&gt;"&amp;BF30)-IF(BG30&gt;BF30,1,0))</f>
        <v>0</v>
      </c>
      <c r="BI30" s="21" t="str">
        <f t="shared" si="30"/>
        <v/>
      </c>
      <c r="BJ30" s="22">
        <f>IF(C30="",1,IF(COUNTIF(nEXP_Key,AN30)&gt;0,1,0))</f>
        <v>1</v>
      </c>
      <c r="BK30" s="21" t="str">
        <f t="shared" si="31"/>
        <v/>
      </c>
      <c r="BL30" s="21" t="str">
        <f>IF(BK30="","",BK30&amp;": "&amp;SUBSTITUTE(IFERROR(INDEX(nMSG_Text,MATCH(BK30,nMSG_Code,0)),""),"[input]",IF(C30="","an Admin_ID",IF(BJ30=0,"an Exposures row for episode "&amp;D30,IF(BI30="E_MISSING_INPUT","segment start and end timestamps and a rate in mg/hour","the date fields required by the selected precision")))))</f>
        <v/>
      </c>
    </row>
    <row r="31" spans="1:64" x14ac:dyDescent="0.2">
      <c r="A31" s="10"/>
      <c r="B31" s="12"/>
      <c r="C31" s="10"/>
      <c r="D31" s="10"/>
      <c r="E31" s="17"/>
      <c r="F31" s="17"/>
      <c r="G31" s="17"/>
      <c r="H31" s="17"/>
      <c r="I31" s="17"/>
      <c r="J31" s="17"/>
      <c r="K31" s="17"/>
      <c r="L31" s="10"/>
      <c r="M31" s="10"/>
      <c r="N31" s="17"/>
      <c r="O31" s="15"/>
      <c r="P31" s="26"/>
      <c r="Q31" s="10"/>
      <c r="R31" s="12"/>
      <c r="S31" s="12"/>
      <c r="T31" s="15"/>
      <c r="U31" s="15"/>
      <c r="V31" s="10"/>
      <c r="W31" s="21" t="str">
        <f>IF(COUNTA(N31:U31)=0,"",IF(N31="","E_MISSING_INPUT",IF(N31="TIMESTAMP",IF(OR(O31="",P31="",Q31=""),"E_MISSING_INPUT",IF(OR(NOT(ISNUMBER(O31)),NOT(ISNUMBER(P31))),"E_INVALID_DATE",IF(OR(O31&lt;&gt;INT(O31),P31&lt;0,P31&gt;=1),"E_INVALID_DATE",IF(ISNA(MATCH(Q31,nLIST_Offset,0)),"E_INVALID_UNIT","")))),IF(N31="DATE",IF(O31="","E_MISSING_INPUT",IF(NOT(ISNUMBER(O31)),"E_INVALID_DATE",IF(O31&lt;&gt;INT(O31),"E_INVALID_DATE",""))),IF(N31="MONTH",IF(OR(R31="",S31=""),"E_MISSING_INPUT",IF(OR(NOT(ISNUMBER(R31)),NOT(ISNUMBER(S31))),"E_INVALID_DATE",IF(OR(R31&lt;1900,R31&gt;9999,R31&lt;&gt;INT(R31),S31&lt;1,S31&gt;12,S31&lt;&gt;INT(S31)),"E_INVALID_DATE",""))),IF(N31="YEAR",IF(R31="","E_MISSING_INPUT",IF(NOT(ISNUMBER(R31)),"E_INVALID_DATE",IF(OR(R31&lt;1900,R31&gt;9999,R31&lt;&gt;INT(R31)),"E_INVALID_DATE",""))),IF(N31="RANGE",IF(OR(T31="",U31=""),"E_MISSING_INPUT",IF(OR(NOT(ISNUMBER(T31)),NOT(ISNUMBER(U31))),"E_INVALID_DATE",IF(OR(T31&lt;&gt;INT(T31),U31&lt;&gt;INT(U31)),"E_INVALID_DATE",IF(T31&gt;U31,"E_REVERSED_BOUNDS","")))),"E_INVALID_UNIT")))))))</f>
        <v/>
      </c>
      <c r="X31" s="22">
        <f t="shared" si="0"/>
        <v>0</v>
      </c>
      <c r="Y31" s="22">
        <f t="shared" si="1"/>
        <v>0</v>
      </c>
      <c r="Z31" s="28" t="str">
        <f t="shared" si="2"/>
        <v/>
      </c>
      <c r="AA31" s="28" t="str">
        <f t="shared" si="3"/>
        <v/>
      </c>
      <c r="AB31" s="22" t="str">
        <f t="shared" si="4"/>
        <v/>
      </c>
      <c r="AC31" s="22" t="str">
        <f t="shared" si="5"/>
        <v/>
      </c>
      <c r="AD31" s="15"/>
      <c r="AE31" s="26"/>
      <c r="AF31" s="10"/>
      <c r="AG31" s="10"/>
      <c r="AH31" s="21" t="str">
        <f>IF(COUNTA(AD31:AF31)=0,"",IF(OR(AD31="",AE31="",AF31=""),"E_MISSING_INPUT",IF(OR(NOT(ISNUMBER(AD31)),NOT(ISNUMBER(AE31))),"E_INVALID_DATE",IF(OR(AD31&lt;&gt;INT(AD31),AE31&lt;0,AE31&gt;=1),"E_INVALID_DATE",IF(ISNA(MATCH(AF31,nLIST_Offset,0)),"E_INVALID_UNIT","")))))</f>
        <v/>
      </c>
      <c r="AI31" s="22" t="str">
        <f t="shared" si="6"/>
        <v/>
      </c>
      <c r="AJ31" s="22">
        <f t="shared" si="7"/>
        <v>0</v>
      </c>
      <c r="AK31" s="22" t="str">
        <f t="shared" si="8"/>
        <v/>
      </c>
      <c r="AL31" s="21" t="str">
        <f t="shared" si="9"/>
        <v/>
      </c>
      <c r="AM31" s="22">
        <f>IF(AL31="",0,COUNTIF(nADM_Key,AL31))</f>
        <v>0</v>
      </c>
      <c r="AN31" s="21" t="str">
        <f t="shared" si="10"/>
        <v/>
      </c>
      <c r="AO31" s="22">
        <f t="shared" si="11"/>
        <v>0</v>
      </c>
      <c r="AP31" s="22">
        <f t="shared" si="12"/>
        <v>0</v>
      </c>
      <c r="AQ31" s="22">
        <f t="shared" si="13"/>
        <v>0</v>
      </c>
      <c r="AR31" s="22">
        <f t="shared" si="14"/>
        <v>0</v>
      </c>
      <c r="AS31" s="22">
        <f t="shared" si="15"/>
        <v>0</v>
      </c>
      <c r="AT31" s="21">
        <f t="shared" si="16"/>
        <v>0</v>
      </c>
      <c r="AU31" s="21">
        <f t="shared" si="17"/>
        <v>0</v>
      </c>
      <c r="AV31" s="22">
        <f t="shared" si="18"/>
        <v>0</v>
      </c>
      <c r="AW31" s="21">
        <f t="shared" si="19"/>
        <v>0</v>
      </c>
      <c r="AX31" s="22">
        <f t="shared" si="20"/>
        <v>0</v>
      </c>
      <c r="AY31" s="21">
        <f t="shared" si="21"/>
        <v>1</v>
      </c>
      <c r="AZ31" s="21">
        <f t="shared" si="22"/>
        <v>0</v>
      </c>
      <c r="BA31" s="22">
        <f t="shared" si="23"/>
        <v>0</v>
      </c>
      <c r="BB31" s="22">
        <f t="shared" si="24"/>
        <v>0</v>
      </c>
      <c r="BC31" s="22">
        <f t="shared" si="25"/>
        <v>0</v>
      </c>
      <c r="BD31" s="22">
        <f t="shared" si="26"/>
        <v>0</v>
      </c>
      <c r="BE31" s="22">
        <f t="shared" si="27"/>
        <v>0</v>
      </c>
      <c r="BF31" s="22">
        <f t="shared" si="28"/>
        <v>0</v>
      </c>
      <c r="BG31" s="22">
        <f t="shared" si="29"/>
        <v>0</v>
      </c>
      <c r="BH31" s="22">
        <f>IF(OR(E31&lt;&gt;"INFUSION_SEGMENT",BF31=0,BG31=0),0,COUNTIFS(nADM_SelKey,AN31,nADM_Kind,"INFUSION_SEGMENT",nADM_SegS_cmp,"&lt;"&amp;BG31,nADM_SegE_cmp,"&gt;"&amp;BF31)-IF(BG31&gt;BF31,1,0))</f>
        <v>0</v>
      </c>
      <c r="BI31" s="21" t="str">
        <f t="shared" si="30"/>
        <v/>
      </c>
      <c r="BJ31" s="22">
        <f>IF(C31="",1,IF(COUNTIF(nEXP_Key,AN31)&gt;0,1,0))</f>
        <v>1</v>
      </c>
      <c r="BK31" s="21" t="str">
        <f t="shared" si="31"/>
        <v/>
      </c>
      <c r="BL31" s="21" t="str">
        <f>IF(BK31="","",BK31&amp;": "&amp;SUBSTITUTE(IFERROR(INDEX(nMSG_Text,MATCH(BK31,nMSG_Code,0)),""),"[input]",IF(C31="","an Admin_ID",IF(BJ31=0,"an Exposures row for episode "&amp;D31,IF(BI31="E_MISSING_INPUT","segment start and end timestamps and a rate in mg/hour","the date fields required by the selected precision")))))</f>
        <v/>
      </c>
    </row>
    <row r="32" spans="1:64" x14ac:dyDescent="0.2">
      <c r="A32" s="10"/>
      <c r="B32" s="12"/>
      <c r="C32" s="10"/>
      <c r="D32" s="10"/>
      <c r="E32" s="17"/>
      <c r="F32" s="17"/>
      <c r="G32" s="17"/>
      <c r="H32" s="17"/>
      <c r="I32" s="17"/>
      <c r="J32" s="17"/>
      <c r="K32" s="17"/>
      <c r="L32" s="10"/>
      <c r="M32" s="10"/>
      <c r="N32" s="17"/>
      <c r="O32" s="15"/>
      <c r="P32" s="26"/>
      <c r="Q32" s="10"/>
      <c r="R32" s="12"/>
      <c r="S32" s="12"/>
      <c r="T32" s="15"/>
      <c r="U32" s="15"/>
      <c r="V32" s="10"/>
      <c r="W32" s="21" t="str">
        <f>IF(COUNTA(N32:U32)=0,"",IF(N32="","E_MISSING_INPUT",IF(N32="TIMESTAMP",IF(OR(O32="",P32="",Q32=""),"E_MISSING_INPUT",IF(OR(NOT(ISNUMBER(O32)),NOT(ISNUMBER(P32))),"E_INVALID_DATE",IF(OR(O32&lt;&gt;INT(O32),P32&lt;0,P32&gt;=1),"E_INVALID_DATE",IF(ISNA(MATCH(Q32,nLIST_Offset,0)),"E_INVALID_UNIT","")))),IF(N32="DATE",IF(O32="","E_MISSING_INPUT",IF(NOT(ISNUMBER(O32)),"E_INVALID_DATE",IF(O32&lt;&gt;INT(O32),"E_INVALID_DATE",""))),IF(N32="MONTH",IF(OR(R32="",S32=""),"E_MISSING_INPUT",IF(OR(NOT(ISNUMBER(R32)),NOT(ISNUMBER(S32))),"E_INVALID_DATE",IF(OR(R32&lt;1900,R32&gt;9999,R32&lt;&gt;INT(R32),S32&lt;1,S32&gt;12,S32&lt;&gt;INT(S32)),"E_INVALID_DATE",""))),IF(N32="YEAR",IF(R32="","E_MISSING_INPUT",IF(NOT(ISNUMBER(R32)),"E_INVALID_DATE",IF(OR(R32&lt;1900,R32&gt;9999,R32&lt;&gt;INT(R32)),"E_INVALID_DATE",""))),IF(N32="RANGE",IF(OR(T32="",U32=""),"E_MISSING_INPUT",IF(OR(NOT(ISNUMBER(T32)),NOT(ISNUMBER(U32))),"E_INVALID_DATE",IF(OR(T32&lt;&gt;INT(T32),U32&lt;&gt;INT(U32)),"E_INVALID_DATE",IF(T32&gt;U32,"E_REVERSED_BOUNDS","")))),"E_INVALID_UNIT")))))))</f>
        <v/>
      </c>
      <c r="X32" s="22">
        <f t="shared" si="0"/>
        <v>0</v>
      </c>
      <c r="Y32" s="22">
        <f t="shared" si="1"/>
        <v>0</v>
      </c>
      <c r="Z32" s="28" t="str">
        <f t="shared" si="2"/>
        <v/>
      </c>
      <c r="AA32" s="28" t="str">
        <f t="shared" si="3"/>
        <v/>
      </c>
      <c r="AB32" s="22" t="str">
        <f t="shared" si="4"/>
        <v/>
      </c>
      <c r="AC32" s="22" t="str">
        <f t="shared" si="5"/>
        <v/>
      </c>
      <c r="AD32" s="15"/>
      <c r="AE32" s="26"/>
      <c r="AF32" s="10"/>
      <c r="AG32" s="10"/>
      <c r="AH32" s="21" t="str">
        <f>IF(COUNTA(AD32:AF32)=0,"",IF(OR(AD32="",AE32="",AF32=""),"E_MISSING_INPUT",IF(OR(NOT(ISNUMBER(AD32)),NOT(ISNUMBER(AE32))),"E_INVALID_DATE",IF(OR(AD32&lt;&gt;INT(AD32),AE32&lt;0,AE32&gt;=1),"E_INVALID_DATE",IF(ISNA(MATCH(AF32,nLIST_Offset,0)),"E_INVALID_UNIT","")))))</f>
        <v/>
      </c>
      <c r="AI32" s="22" t="str">
        <f t="shared" si="6"/>
        <v/>
      </c>
      <c r="AJ32" s="22">
        <f t="shared" si="7"/>
        <v>0</v>
      </c>
      <c r="AK32" s="22" t="str">
        <f t="shared" si="8"/>
        <v/>
      </c>
      <c r="AL32" s="21" t="str">
        <f t="shared" si="9"/>
        <v/>
      </c>
      <c r="AM32" s="22">
        <f>IF(AL32="",0,COUNTIF(nADM_Key,AL32))</f>
        <v>0</v>
      </c>
      <c r="AN32" s="21" t="str">
        <f t="shared" si="10"/>
        <v/>
      </c>
      <c r="AO32" s="22">
        <f t="shared" si="11"/>
        <v>0</v>
      </c>
      <c r="AP32" s="22">
        <f t="shared" si="12"/>
        <v>0</v>
      </c>
      <c r="AQ32" s="22">
        <f t="shared" si="13"/>
        <v>0</v>
      </c>
      <c r="AR32" s="22">
        <f t="shared" si="14"/>
        <v>0</v>
      </c>
      <c r="AS32" s="22">
        <f t="shared" si="15"/>
        <v>0</v>
      </c>
      <c r="AT32" s="21">
        <f t="shared" si="16"/>
        <v>0</v>
      </c>
      <c r="AU32" s="21">
        <f t="shared" si="17"/>
        <v>0</v>
      </c>
      <c r="AV32" s="22">
        <f t="shared" si="18"/>
        <v>0</v>
      </c>
      <c r="AW32" s="21">
        <f t="shared" si="19"/>
        <v>0</v>
      </c>
      <c r="AX32" s="22">
        <f t="shared" si="20"/>
        <v>0</v>
      </c>
      <c r="AY32" s="21">
        <f t="shared" si="21"/>
        <v>1</v>
      </c>
      <c r="AZ32" s="21">
        <f t="shared" si="22"/>
        <v>0</v>
      </c>
      <c r="BA32" s="22">
        <f t="shared" si="23"/>
        <v>0</v>
      </c>
      <c r="BB32" s="22">
        <f t="shared" si="24"/>
        <v>0</v>
      </c>
      <c r="BC32" s="22">
        <f t="shared" si="25"/>
        <v>0</v>
      </c>
      <c r="BD32" s="22">
        <f t="shared" si="26"/>
        <v>0</v>
      </c>
      <c r="BE32" s="22">
        <f t="shared" si="27"/>
        <v>0</v>
      </c>
      <c r="BF32" s="22">
        <f t="shared" si="28"/>
        <v>0</v>
      </c>
      <c r="BG32" s="22">
        <f t="shared" si="29"/>
        <v>0</v>
      </c>
      <c r="BH32" s="22">
        <f>IF(OR(E32&lt;&gt;"INFUSION_SEGMENT",BF32=0,BG32=0),0,COUNTIFS(nADM_SelKey,AN32,nADM_Kind,"INFUSION_SEGMENT",nADM_SegS_cmp,"&lt;"&amp;BG32,nADM_SegE_cmp,"&gt;"&amp;BF32)-IF(BG32&gt;BF32,1,0))</f>
        <v>0</v>
      </c>
      <c r="BI32" s="21" t="str">
        <f t="shared" si="30"/>
        <v/>
      </c>
      <c r="BJ32" s="22">
        <f>IF(C32="",1,IF(COUNTIF(nEXP_Key,AN32)&gt;0,1,0))</f>
        <v>1</v>
      </c>
      <c r="BK32" s="21" t="str">
        <f t="shared" si="31"/>
        <v/>
      </c>
      <c r="BL32" s="21" t="str">
        <f>IF(BK32="","",BK32&amp;": "&amp;SUBSTITUTE(IFERROR(INDEX(nMSG_Text,MATCH(BK32,nMSG_Code,0)),""),"[input]",IF(C32="","an Admin_ID",IF(BJ32=0,"an Exposures row for episode "&amp;D32,IF(BI32="E_MISSING_INPUT","segment start and end timestamps and a rate in mg/hour","the date fields required by the selected precision")))))</f>
        <v/>
      </c>
    </row>
    <row r="33" spans="1:64" x14ac:dyDescent="0.2">
      <c r="A33" s="10"/>
      <c r="B33" s="12"/>
      <c r="C33" s="10"/>
      <c r="D33" s="10"/>
      <c r="E33" s="17"/>
      <c r="F33" s="17"/>
      <c r="G33" s="17"/>
      <c r="H33" s="17"/>
      <c r="I33" s="17"/>
      <c r="J33" s="17"/>
      <c r="K33" s="17"/>
      <c r="L33" s="10"/>
      <c r="M33" s="10"/>
      <c r="N33" s="17"/>
      <c r="O33" s="15"/>
      <c r="P33" s="26"/>
      <c r="Q33" s="10"/>
      <c r="R33" s="12"/>
      <c r="S33" s="12"/>
      <c r="T33" s="15"/>
      <c r="U33" s="15"/>
      <c r="V33" s="10"/>
      <c r="W33" s="21" t="str">
        <f>IF(COUNTA(N33:U33)=0,"",IF(N33="","E_MISSING_INPUT",IF(N33="TIMESTAMP",IF(OR(O33="",P33="",Q33=""),"E_MISSING_INPUT",IF(OR(NOT(ISNUMBER(O33)),NOT(ISNUMBER(P33))),"E_INVALID_DATE",IF(OR(O33&lt;&gt;INT(O33),P33&lt;0,P33&gt;=1),"E_INVALID_DATE",IF(ISNA(MATCH(Q33,nLIST_Offset,0)),"E_INVALID_UNIT","")))),IF(N33="DATE",IF(O33="","E_MISSING_INPUT",IF(NOT(ISNUMBER(O33)),"E_INVALID_DATE",IF(O33&lt;&gt;INT(O33),"E_INVALID_DATE",""))),IF(N33="MONTH",IF(OR(R33="",S33=""),"E_MISSING_INPUT",IF(OR(NOT(ISNUMBER(R33)),NOT(ISNUMBER(S33))),"E_INVALID_DATE",IF(OR(R33&lt;1900,R33&gt;9999,R33&lt;&gt;INT(R33),S33&lt;1,S33&gt;12,S33&lt;&gt;INT(S33)),"E_INVALID_DATE",""))),IF(N33="YEAR",IF(R33="","E_MISSING_INPUT",IF(NOT(ISNUMBER(R33)),"E_INVALID_DATE",IF(OR(R33&lt;1900,R33&gt;9999,R33&lt;&gt;INT(R33)),"E_INVALID_DATE",""))),IF(N33="RANGE",IF(OR(T33="",U33=""),"E_MISSING_INPUT",IF(OR(NOT(ISNUMBER(T33)),NOT(ISNUMBER(U33))),"E_INVALID_DATE",IF(OR(T33&lt;&gt;INT(T33),U33&lt;&gt;INT(U33)),"E_INVALID_DATE",IF(T33&gt;U33,"E_REVERSED_BOUNDS","")))),"E_INVALID_UNIT")))))))</f>
        <v/>
      </c>
      <c r="X33" s="22">
        <f t="shared" si="0"/>
        <v>0</v>
      </c>
      <c r="Y33" s="22">
        <f t="shared" si="1"/>
        <v>0</v>
      </c>
      <c r="Z33" s="28" t="str">
        <f t="shared" si="2"/>
        <v/>
      </c>
      <c r="AA33" s="28" t="str">
        <f t="shared" si="3"/>
        <v/>
      </c>
      <c r="AB33" s="22" t="str">
        <f t="shared" si="4"/>
        <v/>
      </c>
      <c r="AC33" s="22" t="str">
        <f t="shared" si="5"/>
        <v/>
      </c>
      <c r="AD33" s="15"/>
      <c r="AE33" s="26"/>
      <c r="AF33" s="10"/>
      <c r="AG33" s="10"/>
      <c r="AH33" s="21" t="str">
        <f>IF(COUNTA(AD33:AF33)=0,"",IF(OR(AD33="",AE33="",AF33=""),"E_MISSING_INPUT",IF(OR(NOT(ISNUMBER(AD33)),NOT(ISNUMBER(AE33))),"E_INVALID_DATE",IF(OR(AD33&lt;&gt;INT(AD33),AE33&lt;0,AE33&gt;=1),"E_INVALID_DATE",IF(ISNA(MATCH(AF33,nLIST_Offset,0)),"E_INVALID_UNIT","")))))</f>
        <v/>
      </c>
      <c r="AI33" s="22" t="str">
        <f t="shared" si="6"/>
        <v/>
      </c>
      <c r="AJ33" s="22">
        <f t="shared" si="7"/>
        <v>0</v>
      </c>
      <c r="AK33" s="22" t="str">
        <f t="shared" si="8"/>
        <v/>
      </c>
      <c r="AL33" s="21" t="str">
        <f t="shared" si="9"/>
        <v/>
      </c>
      <c r="AM33" s="22">
        <f>IF(AL33="",0,COUNTIF(nADM_Key,AL33))</f>
        <v>0</v>
      </c>
      <c r="AN33" s="21" t="str">
        <f t="shared" si="10"/>
        <v/>
      </c>
      <c r="AO33" s="22">
        <f t="shared" si="11"/>
        <v>0</v>
      </c>
      <c r="AP33" s="22">
        <f t="shared" si="12"/>
        <v>0</v>
      </c>
      <c r="AQ33" s="22">
        <f t="shared" si="13"/>
        <v>0</v>
      </c>
      <c r="AR33" s="22">
        <f t="shared" si="14"/>
        <v>0</v>
      </c>
      <c r="AS33" s="22">
        <f t="shared" si="15"/>
        <v>0</v>
      </c>
      <c r="AT33" s="21">
        <f t="shared" si="16"/>
        <v>0</v>
      </c>
      <c r="AU33" s="21">
        <f t="shared" si="17"/>
        <v>0</v>
      </c>
      <c r="AV33" s="22">
        <f t="shared" si="18"/>
        <v>0</v>
      </c>
      <c r="AW33" s="21">
        <f t="shared" si="19"/>
        <v>0</v>
      </c>
      <c r="AX33" s="22">
        <f t="shared" si="20"/>
        <v>0</v>
      </c>
      <c r="AY33" s="21">
        <f t="shared" si="21"/>
        <v>1</v>
      </c>
      <c r="AZ33" s="21">
        <f t="shared" si="22"/>
        <v>0</v>
      </c>
      <c r="BA33" s="22">
        <f t="shared" si="23"/>
        <v>0</v>
      </c>
      <c r="BB33" s="22">
        <f t="shared" si="24"/>
        <v>0</v>
      </c>
      <c r="BC33" s="22">
        <f t="shared" si="25"/>
        <v>0</v>
      </c>
      <c r="BD33" s="22">
        <f t="shared" si="26"/>
        <v>0</v>
      </c>
      <c r="BE33" s="22">
        <f t="shared" si="27"/>
        <v>0</v>
      </c>
      <c r="BF33" s="22">
        <f t="shared" si="28"/>
        <v>0</v>
      </c>
      <c r="BG33" s="22">
        <f t="shared" si="29"/>
        <v>0</v>
      </c>
      <c r="BH33" s="22">
        <f>IF(OR(E33&lt;&gt;"INFUSION_SEGMENT",BF33=0,BG33=0),0,COUNTIFS(nADM_SelKey,AN33,nADM_Kind,"INFUSION_SEGMENT",nADM_SegS_cmp,"&lt;"&amp;BG33,nADM_SegE_cmp,"&gt;"&amp;BF33)-IF(BG33&gt;BF33,1,0))</f>
        <v>0</v>
      </c>
      <c r="BI33" s="21" t="str">
        <f t="shared" si="30"/>
        <v/>
      </c>
      <c r="BJ33" s="22">
        <f>IF(C33="",1,IF(COUNTIF(nEXP_Key,AN33)&gt;0,1,0))</f>
        <v>1</v>
      </c>
      <c r="BK33" s="21" t="str">
        <f t="shared" si="31"/>
        <v/>
      </c>
      <c r="BL33" s="21" t="str">
        <f>IF(BK33="","",BK33&amp;": "&amp;SUBSTITUTE(IFERROR(INDEX(nMSG_Text,MATCH(BK33,nMSG_Code,0)),""),"[input]",IF(C33="","an Admin_ID",IF(BJ33=0,"an Exposures row for episode "&amp;D33,IF(BI33="E_MISSING_INPUT","segment start and end timestamps and a rate in mg/hour","the date fields required by the selected precision")))))</f>
        <v/>
      </c>
    </row>
    <row r="34" spans="1:64" x14ac:dyDescent="0.2">
      <c r="A34" s="10"/>
      <c r="B34" s="12"/>
      <c r="C34" s="10"/>
      <c r="D34" s="10"/>
      <c r="E34" s="17"/>
      <c r="F34" s="17"/>
      <c r="G34" s="17"/>
      <c r="H34" s="17"/>
      <c r="I34" s="17"/>
      <c r="J34" s="17"/>
      <c r="K34" s="17"/>
      <c r="L34" s="10"/>
      <c r="M34" s="10"/>
      <c r="N34" s="17"/>
      <c r="O34" s="15"/>
      <c r="P34" s="26"/>
      <c r="Q34" s="10"/>
      <c r="R34" s="12"/>
      <c r="S34" s="12"/>
      <c r="T34" s="15"/>
      <c r="U34" s="15"/>
      <c r="V34" s="10"/>
      <c r="W34" s="21" t="str">
        <f>IF(COUNTA(N34:U34)=0,"",IF(N34="","E_MISSING_INPUT",IF(N34="TIMESTAMP",IF(OR(O34="",P34="",Q34=""),"E_MISSING_INPUT",IF(OR(NOT(ISNUMBER(O34)),NOT(ISNUMBER(P34))),"E_INVALID_DATE",IF(OR(O34&lt;&gt;INT(O34),P34&lt;0,P34&gt;=1),"E_INVALID_DATE",IF(ISNA(MATCH(Q34,nLIST_Offset,0)),"E_INVALID_UNIT","")))),IF(N34="DATE",IF(O34="","E_MISSING_INPUT",IF(NOT(ISNUMBER(O34)),"E_INVALID_DATE",IF(O34&lt;&gt;INT(O34),"E_INVALID_DATE",""))),IF(N34="MONTH",IF(OR(R34="",S34=""),"E_MISSING_INPUT",IF(OR(NOT(ISNUMBER(R34)),NOT(ISNUMBER(S34))),"E_INVALID_DATE",IF(OR(R34&lt;1900,R34&gt;9999,R34&lt;&gt;INT(R34),S34&lt;1,S34&gt;12,S34&lt;&gt;INT(S34)),"E_INVALID_DATE",""))),IF(N34="YEAR",IF(R34="","E_MISSING_INPUT",IF(NOT(ISNUMBER(R34)),"E_INVALID_DATE",IF(OR(R34&lt;1900,R34&gt;9999,R34&lt;&gt;INT(R34)),"E_INVALID_DATE",""))),IF(N34="RANGE",IF(OR(T34="",U34=""),"E_MISSING_INPUT",IF(OR(NOT(ISNUMBER(T34)),NOT(ISNUMBER(U34))),"E_INVALID_DATE",IF(OR(T34&lt;&gt;INT(T34),U34&lt;&gt;INT(U34)),"E_INVALID_DATE",IF(T34&gt;U34,"E_REVERSED_BOUNDS","")))),"E_INVALID_UNIT")))))))</f>
        <v/>
      </c>
      <c r="X34" s="22">
        <f t="shared" si="0"/>
        <v>0</v>
      </c>
      <c r="Y34" s="22">
        <f t="shared" si="1"/>
        <v>0</v>
      </c>
      <c r="Z34" s="28" t="str">
        <f t="shared" si="2"/>
        <v/>
      </c>
      <c r="AA34" s="28" t="str">
        <f t="shared" si="3"/>
        <v/>
      </c>
      <c r="AB34" s="22" t="str">
        <f t="shared" si="4"/>
        <v/>
      </c>
      <c r="AC34" s="22" t="str">
        <f t="shared" si="5"/>
        <v/>
      </c>
      <c r="AD34" s="15"/>
      <c r="AE34" s="26"/>
      <c r="AF34" s="10"/>
      <c r="AG34" s="10"/>
      <c r="AH34" s="21" t="str">
        <f>IF(COUNTA(AD34:AF34)=0,"",IF(OR(AD34="",AE34="",AF34=""),"E_MISSING_INPUT",IF(OR(NOT(ISNUMBER(AD34)),NOT(ISNUMBER(AE34))),"E_INVALID_DATE",IF(OR(AD34&lt;&gt;INT(AD34),AE34&lt;0,AE34&gt;=1),"E_INVALID_DATE",IF(ISNA(MATCH(AF34,nLIST_Offset,0)),"E_INVALID_UNIT","")))))</f>
        <v/>
      </c>
      <c r="AI34" s="22" t="str">
        <f t="shared" si="6"/>
        <v/>
      </c>
      <c r="AJ34" s="22">
        <f t="shared" si="7"/>
        <v>0</v>
      </c>
      <c r="AK34" s="22" t="str">
        <f t="shared" si="8"/>
        <v/>
      </c>
      <c r="AL34" s="21" t="str">
        <f t="shared" si="9"/>
        <v/>
      </c>
      <c r="AM34" s="22">
        <f>IF(AL34="",0,COUNTIF(nADM_Key,AL34))</f>
        <v>0</v>
      </c>
      <c r="AN34" s="21" t="str">
        <f t="shared" si="10"/>
        <v/>
      </c>
      <c r="AO34" s="22">
        <f t="shared" si="11"/>
        <v>0</v>
      </c>
      <c r="AP34" s="22">
        <f t="shared" si="12"/>
        <v>0</v>
      </c>
      <c r="AQ34" s="22">
        <f t="shared" si="13"/>
        <v>0</v>
      </c>
      <c r="AR34" s="22">
        <f t="shared" si="14"/>
        <v>0</v>
      </c>
      <c r="AS34" s="22">
        <f t="shared" si="15"/>
        <v>0</v>
      </c>
      <c r="AT34" s="21">
        <f t="shared" si="16"/>
        <v>0</v>
      </c>
      <c r="AU34" s="21">
        <f t="shared" si="17"/>
        <v>0</v>
      </c>
      <c r="AV34" s="22">
        <f t="shared" si="18"/>
        <v>0</v>
      </c>
      <c r="AW34" s="21">
        <f t="shared" si="19"/>
        <v>0</v>
      </c>
      <c r="AX34" s="22">
        <f t="shared" si="20"/>
        <v>0</v>
      </c>
      <c r="AY34" s="21">
        <f t="shared" si="21"/>
        <v>1</v>
      </c>
      <c r="AZ34" s="21">
        <f t="shared" si="22"/>
        <v>0</v>
      </c>
      <c r="BA34" s="22">
        <f t="shared" si="23"/>
        <v>0</v>
      </c>
      <c r="BB34" s="22">
        <f t="shared" si="24"/>
        <v>0</v>
      </c>
      <c r="BC34" s="22">
        <f t="shared" si="25"/>
        <v>0</v>
      </c>
      <c r="BD34" s="22">
        <f t="shared" si="26"/>
        <v>0</v>
      </c>
      <c r="BE34" s="22">
        <f t="shared" si="27"/>
        <v>0</v>
      </c>
      <c r="BF34" s="22">
        <f t="shared" si="28"/>
        <v>0</v>
      </c>
      <c r="BG34" s="22">
        <f t="shared" si="29"/>
        <v>0</v>
      </c>
      <c r="BH34" s="22">
        <f>IF(OR(E34&lt;&gt;"INFUSION_SEGMENT",BF34=0,BG34=0),0,COUNTIFS(nADM_SelKey,AN34,nADM_Kind,"INFUSION_SEGMENT",nADM_SegS_cmp,"&lt;"&amp;BG34,nADM_SegE_cmp,"&gt;"&amp;BF34)-IF(BG34&gt;BF34,1,0))</f>
        <v>0</v>
      </c>
      <c r="BI34" s="21" t="str">
        <f t="shared" si="30"/>
        <v/>
      </c>
      <c r="BJ34" s="22">
        <f>IF(C34="",1,IF(COUNTIF(nEXP_Key,AN34)&gt;0,1,0))</f>
        <v>1</v>
      </c>
      <c r="BK34" s="21" t="str">
        <f t="shared" si="31"/>
        <v/>
      </c>
      <c r="BL34" s="21" t="str">
        <f>IF(BK34="","",BK34&amp;": "&amp;SUBSTITUTE(IFERROR(INDEX(nMSG_Text,MATCH(BK34,nMSG_Code,0)),""),"[input]",IF(C34="","an Admin_ID",IF(BJ34=0,"an Exposures row for episode "&amp;D34,IF(BI34="E_MISSING_INPUT","segment start and end timestamps and a rate in mg/hour","the date fields required by the selected precision")))))</f>
        <v/>
      </c>
    </row>
    <row r="35" spans="1:64" x14ac:dyDescent="0.2">
      <c r="A35" s="10"/>
      <c r="B35" s="12"/>
      <c r="C35" s="10"/>
      <c r="D35" s="10"/>
      <c r="E35" s="17"/>
      <c r="F35" s="17"/>
      <c r="G35" s="17"/>
      <c r="H35" s="17"/>
      <c r="I35" s="17"/>
      <c r="J35" s="17"/>
      <c r="K35" s="17"/>
      <c r="L35" s="10"/>
      <c r="M35" s="10"/>
      <c r="N35" s="17"/>
      <c r="O35" s="15"/>
      <c r="P35" s="26"/>
      <c r="Q35" s="10"/>
      <c r="R35" s="12"/>
      <c r="S35" s="12"/>
      <c r="T35" s="15"/>
      <c r="U35" s="15"/>
      <c r="V35" s="10"/>
      <c r="W35" s="21" t="str">
        <f>IF(COUNTA(N35:U35)=0,"",IF(N35="","E_MISSING_INPUT",IF(N35="TIMESTAMP",IF(OR(O35="",P35="",Q35=""),"E_MISSING_INPUT",IF(OR(NOT(ISNUMBER(O35)),NOT(ISNUMBER(P35))),"E_INVALID_DATE",IF(OR(O35&lt;&gt;INT(O35),P35&lt;0,P35&gt;=1),"E_INVALID_DATE",IF(ISNA(MATCH(Q35,nLIST_Offset,0)),"E_INVALID_UNIT","")))),IF(N35="DATE",IF(O35="","E_MISSING_INPUT",IF(NOT(ISNUMBER(O35)),"E_INVALID_DATE",IF(O35&lt;&gt;INT(O35),"E_INVALID_DATE",""))),IF(N35="MONTH",IF(OR(R35="",S35=""),"E_MISSING_INPUT",IF(OR(NOT(ISNUMBER(R35)),NOT(ISNUMBER(S35))),"E_INVALID_DATE",IF(OR(R35&lt;1900,R35&gt;9999,R35&lt;&gt;INT(R35),S35&lt;1,S35&gt;12,S35&lt;&gt;INT(S35)),"E_INVALID_DATE",""))),IF(N35="YEAR",IF(R35="","E_MISSING_INPUT",IF(NOT(ISNUMBER(R35)),"E_INVALID_DATE",IF(OR(R35&lt;1900,R35&gt;9999,R35&lt;&gt;INT(R35)),"E_INVALID_DATE",""))),IF(N35="RANGE",IF(OR(T35="",U35=""),"E_MISSING_INPUT",IF(OR(NOT(ISNUMBER(T35)),NOT(ISNUMBER(U35))),"E_INVALID_DATE",IF(OR(T35&lt;&gt;INT(T35),U35&lt;&gt;INT(U35)),"E_INVALID_DATE",IF(T35&gt;U35,"E_REVERSED_BOUNDS","")))),"E_INVALID_UNIT")))))))</f>
        <v/>
      </c>
      <c r="X35" s="22">
        <f t="shared" si="0"/>
        <v>0</v>
      </c>
      <c r="Y35" s="22">
        <f t="shared" si="1"/>
        <v>0</v>
      </c>
      <c r="Z35" s="28" t="str">
        <f t="shared" si="2"/>
        <v/>
      </c>
      <c r="AA35" s="28" t="str">
        <f t="shared" si="3"/>
        <v/>
      </c>
      <c r="AB35" s="22" t="str">
        <f t="shared" si="4"/>
        <v/>
      </c>
      <c r="AC35" s="22" t="str">
        <f t="shared" si="5"/>
        <v/>
      </c>
      <c r="AD35" s="15"/>
      <c r="AE35" s="26"/>
      <c r="AF35" s="10"/>
      <c r="AG35" s="10"/>
      <c r="AH35" s="21" t="str">
        <f>IF(COUNTA(AD35:AF35)=0,"",IF(OR(AD35="",AE35="",AF35=""),"E_MISSING_INPUT",IF(OR(NOT(ISNUMBER(AD35)),NOT(ISNUMBER(AE35))),"E_INVALID_DATE",IF(OR(AD35&lt;&gt;INT(AD35),AE35&lt;0,AE35&gt;=1),"E_INVALID_DATE",IF(ISNA(MATCH(AF35,nLIST_Offset,0)),"E_INVALID_UNIT","")))))</f>
        <v/>
      </c>
      <c r="AI35" s="22" t="str">
        <f t="shared" si="6"/>
        <v/>
      </c>
      <c r="AJ35" s="22">
        <f t="shared" si="7"/>
        <v>0</v>
      </c>
      <c r="AK35" s="22" t="str">
        <f t="shared" si="8"/>
        <v/>
      </c>
      <c r="AL35" s="21" t="str">
        <f t="shared" si="9"/>
        <v/>
      </c>
      <c r="AM35" s="22">
        <f>IF(AL35="",0,COUNTIF(nADM_Key,AL35))</f>
        <v>0</v>
      </c>
      <c r="AN35" s="21" t="str">
        <f t="shared" si="10"/>
        <v/>
      </c>
      <c r="AO35" s="22">
        <f t="shared" si="11"/>
        <v>0</v>
      </c>
      <c r="AP35" s="22">
        <f t="shared" si="12"/>
        <v>0</v>
      </c>
      <c r="AQ35" s="22">
        <f t="shared" si="13"/>
        <v>0</v>
      </c>
      <c r="AR35" s="22">
        <f t="shared" si="14"/>
        <v>0</v>
      </c>
      <c r="AS35" s="22">
        <f t="shared" si="15"/>
        <v>0</v>
      </c>
      <c r="AT35" s="21">
        <f t="shared" si="16"/>
        <v>0</v>
      </c>
      <c r="AU35" s="21">
        <f t="shared" si="17"/>
        <v>0</v>
      </c>
      <c r="AV35" s="22">
        <f t="shared" si="18"/>
        <v>0</v>
      </c>
      <c r="AW35" s="21">
        <f t="shared" si="19"/>
        <v>0</v>
      </c>
      <c r="AX35" s="22">
        <f t="shared" si="20"/>
        <v>0</v>
      </c>
      <c r="AY35" s="21">
        <f t="shared" si="21"/>
        <v>1</v>
      </c>
      <c r="AZ35" s="21">
        <f t="shared" si="22"/>
        <v>0</v>
      </c>
      <c r="BA35" s="22">
        <f t="shared" si="23"/>
        <v>0</v>
      </c>
      <c r="BB35" s="22">
        <f t="shared" si="24"/>
        <v>0</v>
      </c>
      <c r="BC35" s="22">
        <f t="shared" si="25"/>
        <v>0</v>
      </c>
      <c r="BD35" s="22">
        <f t="shared" si="26"/>
        <v>0</v>
      </c>
      <c r="BE35" s="22">
        <f t="shared" si="27"/>
        <v>0</v>
      </c>
      <c r="BF35" s="22">
        <f t="shared" si="28"/>
        <v>0</v>
      </c>
      <c r="BG35" s="22">
        <f t="shared" si="29"/>
        <v>0</v>
      </c>
      <c r="BH35" s="22">
        <f>IF(OR(E35&lt;&gt;"INFUSION_SEGMENT",BF35=0,BG35=0),0,COUNTIFS(nADM_SelKey,AN35,nADM_Kind,"INFUSION_SEGMENT",nADM_SegS_cmp,"&lt;"&amp;BG35,nADM_SegE_cmp,"&gt;"&amp;BF35)-IF(BG35&gt;BF35,1,0))</f>
        <v>0</v>
      </c>
      <c r="BI35" s="21" t="str">
        <f t="shared" si="30"/>
        <v/>
      </c>
      <c r="BJ35" s="22">
        <f>IF(C35="",1,IF(COUNTIF(nEXP_Key,AN35)&gt;0,1,0))</f>
        <v>1</v>
      </c>
      <c r="BK35" s="21" t="str">
        <f t="shared" si="31"/>
        <v/>
      </c>
      <c r="BL35" s="21" t="str">
        <f>IF(BK35="","",BK35&amp;": "&amp;SUBSTITUTE(IFERROR(INDEX(nMSG_Text,MATCH(BK35,nMSG_Code,0)),""),"[input]",IF(C35="","an Admin_ID",IF(BJ35=0,"an Exposures row for episode "&amp;D35,IF(BI35="E_MISSING_INPUT","segment start and end timestamps and a rate in mg/hour","the date fields required by the selected precision")))))</f>
        <v/>
      </c>
    </row>
    <row r="36" spans="1:64" x14ac:dyDescent="0.2">
      <c r="A36" s="10"/>
      <c r="B36" s="12"/>
      <c r="C36" s="10"/>
      <c r="D36" s="10"/>
      <c r="E36" s="17"/>
      <c r="F36" s="17"/>
      <c r="G36" s="17"/>
      <c r="H36" s="17"/>
      <c r="I36" s="17"/>
      <c r="J36" s="17"/>
      <c r="K36" s="17"/>
      <c r="L36" s="10"/>
      <c r="M36" s="10"/>
      <c r="N36" s="17"/>
      <c r="O36" s="15"/>
      <c r="P36" s="26"/>
      <c r="Q36" s="10"/>
      <c r="R36" s="12"/>
      <c r="S36" s="12"/>
      <c r="T36" s="15"/>
      <c r="U36" s="15"/>
      <c r="V36" s="10"/>
      <c r="W36" s="21" t="str">
        <f>IF(COUNTA(N36:U36)=0,"",IF(N36="","E_MISSING_INPUT",IF(N36="TIMESTAMP",IF(OR(O36="",P36="",Q36=""),"E_MISSING_INPUT",IF(OR(NOT(ISNUMBER(O36)),NOT(ISNUMBER(P36))),"E_INVALID_DATE",IF(OR(O36&lt;&gt;INT(O36),P36&lt;0,P36&gt;=1),"E_INVALID_DATE",IF(ISNA(MATCH(Q36,nLIST_Offset,0)),"E_INVALID_UNIT","")))),IF(N36="DATE",IF(O36="","E_MISSING_INPUT",IF(NOT(ISNUMBER(O36)),"E_INVALID_DATE",IF(O36&lt;&gt;INT(O36),"E_INVALID_DATE",""))),IF(N36="MONTH",IF(OR(R36="",S36=""),"E_MISSING_INPUT",IF(OR(NOT(ISNUMBER(R36)),NOT(ISNUMBER(S36))),"E_INVALID_DATE",IF(OR(R36&lt;1900,R36&gt;9999,R36&lt;&gt;INT(R36),S36&lt;1,S36&gt;12,S36&lt;&gt;INT(S36)),"E_INVALID_DATE",""))),IF(N36="YEAR",IF(R36="","E_MISSING_INPUT",IF(NOT(ISNUMBER(R36)),"E_INVALID_DATE",IF(OR(R36&lt;1900,R36&gt;9999,R36&lt;&gt;INT(R36)),"E_INVALID_DATE",""))),IF(N36="RANGE",IF(OR(T36="",U36=""),"E_MISSING_INPUT",IF(OR(NOT(ISNUMBER(T36)),NOT(ISNUMBER(U36))),"E_INVALID_DATE",IF(OR(T36&lt;&gt;INT(T36),U36&lt;&gt;INT(U36)),"E_INVALID_DATE",IF(T36&gt;U36,"E_REVERSED_BOUNDS","")))),"E_INVALID_UNIT")))))))</f>
        <v/>
      </c>
      <c r="X36" s="22">
        <f t="shared" si="0"/>
        <v>0</v>
      </c>
      <c r="Y36" s="22">
        <f t="shared" si="1"/>
        <v>0</v>
      </c>
      <c r="Z36" s="28" t="str">
        <f t="shared" si="2"/>
        <v/>
      </c>
      <c r="AA36" s="28" t="str">
        <f t="shared" si="3"/>
        <v/>
      </c>
      <c r="AB36" s="22" t="str">
        <f t="shared" si="4"/>
        <v/>
      </c>
      <c r="AC36" s="22" t="str">
        <f t="shared" si="5"/>
        <v/>
      </c>
      <c r="AD36" s="15"/>
      <c r="AE36" s="26"/>
      <c r="AF36" s="10"/>
      <c r="AG36" s="10"/>
      <c r="AH36" s="21" t="str">
        <f>IF(COUNTA(AD36:AF36)=0,"",IF(OR(AD36="",AE36="",AF36=""),"E_MISSING_INPUT",IF(OR(NOT(ISNUMBER(AD36)),NOT(ISNUMBER(AE36))),"E_INVALID_DATE",IF(OR(AD36&lt;&gt;INT(AD36),AE36&lt;0,AE36&gt;=1),"E_INVALID_DATE",IF(ISNA(MATCH(AF36,nLIST_Offset,0)),"E_INVALID_UNIT","")))))</f>
        <v/>
      </c>
      <c r="AI36" s="22" t="str">
        <f t="shared" si="6"/>
        <v/>
      </c>
      <c r="AJ36" s="22">
        <f t="shared" si="7"/>
        <v>0</v>
      </c>
      <c r="AK36" s="22" t="str">
        <f t="shared" si="8"/>
        <v/>
      </c>
      <c r="AL36" s="21" t="str">
        <f t="shared" si="9"/>
        <v/>
      </c>
      <c r="AM36" s="22">
        <f>IF(AL36="",0,COUNTIF(nADM_Key,AL36))</f>
        <v>0</v>
      </c>
      <c r="AN36" s="21" t="str">
        <f t="shared" si="10"/>
        <v/>
      </c>
      <c r="AO36" s="22">
        <f t="shared" si="11"/>
        <v>0</v>
      </c>
      <c r="AP36" s="22">
        <f t="shared" si="12"/>
        <v>0</v>
      </c>
      <c r="AQ36" s="22">
        <f t="shared" si="13"/>
        <v>0</v>
      </c>
      <c r="AR36" s="22">
        <f t="shared" si="14"/>
        <v>0</v>
      </c>
      <c r="AS36" s="22">
        <f t="shared" si="15"/>
        <v>0</v>
      </c>
      <c r="AT36" s="21">
        <f t="shared" si="16"/>
        <v>0</v>
      </c>
      <c r="AU36" s="21">
        <f t="shared" si="17"/>
        <v>0</v>
      </c>
      <c r="AV36" s="22">
        <f t="shared" si="18"/>
        <v>0</v>
      </c>
      <c r="AW36" s="21">
        <f t="shared" si="19"/>
        <v>0</v>
      </c>
      <c r="AX36" s="22">
        <f t="shared" si="20"/>
        <v>0</v>
      </c>
      <c r="AY36" s="21">
        <f t="shared" si="21"/>
        <v>1</v>
      </c>
      <c r="AZ36" s="21">
        <f t="shared" si="22"/>
        <v>0</v>
      </c>
      <c r="BA36" s="22">
        <f t="shared" si="23"/>
        <v>0</v>
      </c>
      <c r="BB36" s="22">
        <f t="shared" si="24"/>
        <v>0</v>
      </c>
      <c r="BC36" s="22">
        <f t="shared" si="25"/>
        <v>0</v>
      </c>
      <c r="BD36" s="22">
        <f t="shared" si="26"/>
        <v>0</v>
      </c>
      <c r="BE36" s="22">
        <f t="shared" si="27"/>
        <v>0</v>
      </c>
      <c r="BF36" s="22">
        <f t="shared" si="28"/>
        <v>0</v>
      </c>
      <c r="BG36" s="22">
        <f t="shared" si="29"/>
        <v>0</v>
      </c>
      <c r="BH36" s="22">
        <f>IF(OR(E36&lt;&gt;"INFUSION_SEGMENT",BF36=0,BG36=0),0,COUNTIFS(nADM_SelKey,AN36,nADM_Kind,"INFUSION_SEGMENT",nADM_SegS_cmp,"&lt;"&amp;BG36,nADM_SegE_cmp,"&gt;"&amp;BF36)-IF(BG36&gt;BF36,1,0))</f>
        <v>0</v>
      </c>
      <c r="BI36" s="21" t="str">
        <f t="shared" si="30"/>
        <v/>
      </c>
      <c r="BJ36" s="22">
        <f>IF(C36="",1,IF(COUNTIF(nEXP_Key,AN36)&gt;0,1,0))</f>
        <v>1</v>
      </c>
      <c r="BK36" s="21" t="str">
        <f t="shared" si="31"/>
        <v/>
      </c>
      <c r="BL36" s="21" t="str">
        <f>IF(BK36="","",BK36&amp;": "&amp;SUBSTITUTE(IFERROR(INDEX(nMSG_Text,MATCH(BK36,nMSG_Code,0)),""),"[input]",IF(C36="","an Admin_ID",IF(BJ36=0,"an Exposures row for episode "&amp;D36,IF(BI36="E_MISSING_INPUT","segment start and end timestamps and a rate in mg/hour","the date fields required by the selected precision")))))</f>
        <v/>
      </c>
    </row>
    <row r="37" spans="1:64" x14ac:dyDescent="0.2">
      <c r="A37" s="10"/>
      <c r="B37" s="12"/>
      <c r="C37" s="10"/>
      <c r="D37" s="10"/>
      <c r="E37" s="17"/>
      <c r="F37" s="17"/>
      <c r="G37" s="17"/>
      <c r="H37" s="17"/>
      <c r="I37" s="17"/>
      <c r="J37" s="17"/>
      <c r="K37" s="17"/>
      <c r="L37" s="10"/>
      <c r="M37" s="10"/>
      <c r="N37" s="17"/>
      <c r="O37" s="15"/>
      <c r="P37" s="26"/>
      <c r="Q37" s="10"/>
      <c r="R37" s="12"/>
      <c r="S37" s="12"/>
      <c r="T37" s="15"/>
      <c r="U37" s="15"/>
      <c r="V37" s="10"/>
      <c r="W37" s="21" t="str">
        <f>IF(COUNTA(N37:U37)=0,"",IF(N37="","E_MISSING_INPUT",IF(N37="TIMESTAMP",IF(OR(O37="",P37="",Q37=""),"E_MISSING_INPUT",IF(OR(NOT(ISNUMBER(O37)),NOT(ISNUMBER(P37))),"E_INVALID_DATE",IF(OR(O37&lt;&gt;INT(O37),P37&lt;0,P37&gt;=1),"E_INVALID_DATE",IF(ISNA(MATCH(Q37,nLIST_Offset,0)),"E_INVALID_UNIT","")))),IF(N37="DATE",IF(O37="","E_MISSING_INPUT",IF(NOT(ISNUMBER(O37)),"E_INVALID_DATE",IF(O37&lt;&gt;INT(O37),"E_INVALID_DATE",""))),IF(N37="MONTH",IF(OR(R37="",S37=""),"E_MISSING_INPUT",IF(OR(NOT(ISNUMBER(R37)),NOT(ISNUMBER(S37))),"E_INVALID_DATE",IF(OR(R37&lt;1900,R37&gt;9999,R37&lt;&gt;INT(R37),S37&lt;1,S37&gt;12,S37&lt;&gt;INT(S37)),"E_INVALID_DATE",""))),IF(N37="YEAR",IF(R37="","E_MISSING_INPUT",IF(NOT(ISNUMBER(R37)),"E_INVALID_DATE",IF(OR(R37&lt;1900,R37&gt;9999,R37&lt;&gt;INT(R37)),"E_INVALID_DATE",""))),IF(N37="RANGE",IF(OR(T37="",U37=""),"E_MISSING_INPUT",IF(OR(NOT(ISNUMBER(T37)),NOT(ISNUMBER(U37))),"E_INVALID_DATE",IF(OR(T37&lt;&gt;INT(T37),U37&lt;&gt;INT(U37)),"E_INVALID_DATE",IF(T37&gt;U37,"E_REVERSED_BOUNDS","")))),"E_INVALID_UNIT")))))))</f>
        <v/>
      </c>
      <c r="X37" s="22">
        <f t="shared" ref="X37:X68" si="32">IF(AND(W37="",N37="TIMESTAMP"),1,0)</f>
        <v>0</v>
      </c>
      <c r="Y37" s="22">
        <f t="shared" ref="Y37:Y68" si="33">IF(AND(X37=1,Q37&lt;&gt;"unknown"),1,0)</f>
        <v>0</v>
      </c>
      <c r="Z37" s="28" t="str">
        <f t="shared" ref="Z37:Z64" si="34">IF(OR(W37&lt;&gt;"",N37=""),"",IF(OR(N37="TIMESTAMP",N37="DATE"),O37,IF(N37="MONTH",DATE(R37,S37,1),IF(N37="YEAR",DATE(R37,1,1),T37))))</f>
        <v/>
      </c>
      <c r="AA37" s="28" t="str">
        <f t="shared" ref="AA37:AA64" si="35">IF(OR(W37&lt;&gt;"",N37=""),"",IF(OR(N37="TIMESTAMP",N37="DATE"),O37,IF(N37="MONTH",EOMONTH(DATE(R37,S37,1),0),IF(N37="YEAR",DATE(R37,12,31),U37))))</f>
        <v/>
      </c>
      <c r="AB37" s="22" t="str">
        <f t="shared" ref="AB37:AB64" si="36">IF(X37=1,O37*1440+ROUND(P37*1440,0),"")</f>
        <v/>
      </c>
      <c r="AC37" s="22" t="str">
        <f t="shared" ref="AC37:AC68" si="37">IF(Y37=1,AB37-(IF(LEFT(Q37,1)="-",-1,1)*(VALUE(MID(Q37,2,2))*60+VALUE(MID(Q37,5,2)))),"")</f>
        <v/>
      </c>
      <c r="AD37" s="15"/>
      <c r="AE37" s="26"/>
      <c r="AF37" s="10"/>
      <c r="AG37" s="10"/>
      <c r="AH37" s="21" t="str">
        <f>IF(COUNTA(AD37:AF37)=0,"",IF(OR(AD37="",AE37="",AF37=""),"E_MISSING_INPUT",IF(OR(NOT(ISNUMBER(AD37)),NOT(ISNUMBER(AE37))),"E_INVALID_DATE",IF(OR(AD37&lt;&gt;INT(AD37),AE37&lt;0,AE37&gt;=1),"E_INVALID_DATE",IF(ISNA(MATCH(AF37,nLIST_Offset,0)),"E_INVALID_UNIT","")))))</f>
        <v/>
      </c>
      <c r="AI37" s="22" t="str">
        <f t="shared" ref="AI37:AI68" si="38">IF(AND(AH37="",ISNUMBER(AD37),ISNUMBER(AE37)),AD37*1440+ROUND(AE37*1440,0),"")</f>
        <v/>
      </c>
      <c r="AJ37" s="22">
        <f t="shared" ref="AJ37:AJ68" si="39">IF(AND(AI37&lt;&gt;"",AF37&lt;&gt;"unknown"),1,0)</f>
        <v>0</v>
      </c>
      <c r="AK37" s="22" t="str">
        <f t="shared" ref="AK37:AK68" si="40">IF(AJ37=1,AI37-(IF(LEFT(AF37,1)="-",-1,1)*(VALUE(MID(AF37,2,2))*60+VALUE(MID(AF37,5,2)))),"")</f>
        <v/>
      </c>
      <c r="AL37" s="21" t="str">
        <f t="shared" ref="AL37:AL64" si="41">IF(C37="","",A37&amp;"|"&amp;B37&amp;"|"&amp;C37)</f>
        <v/>
      </c>
      <c r="AM37" s="22">
        <f>IF(AL37="",0,COUNTIF(nADM_Key,AL37))</f>
        <v>0</v>
      </c>
      <c r="AN37" s="21" t="str">
        <f t="shared" ref="AN37:AN64" si="42">IF(C37="","",A37&amp;"|"&amp;B37&amp;"|"&amp;D37)</f>
        <v/>
      </c>
      <c r="AO37" s="22">
        <f t="shared" ref="AO37:AO64" si="43">IF(AND(C37&lt;&gt;"",W37="",Z37&lt;&gt;"",Z37=AA37),1,0)</f>
        <v>0</v>
      </c>
      <c r="AP37" s="22">
        <f t="shared" ref="AP37:AP64" si="44">IF(X37=1,AB37,0)</f>
        <v>0</v>
      </c>
      <c r="AQ37" s="22">
        <f t="shared" ref="AQ37:AQ64" si="45">IF(Y37=1,AC37,0)</f>
        <v>0</v>
      </c>
      <c r="AR37" s="22">
        <f t="shared" ref="AR37:AR64" si="46">IF(AO37=1,Z37,0)</f>
        <v>0</v>
      </c>
      <c r="AS37" s="22">
        <f t="shared" ref="AS37:AS64" si="47">IF(AO37=1,IF(Y37=1,AC37,IF(X37=1,AB37,Z37*1440)),0)</f>
        <v>0</v>
      </c>
      <c r="AT37" s="21">
        <f t="shared" ref="AT37:AT64" si="48">IF(ISNUMBER(H37),H37,0)</f>
        <v>0</v>
      </c>
      <c r="AU37" s="21">
        <f t="shared" ref="AU37:AU64" si="49">IF(ISNUMBER(F37),F37,0)</f>
        <v>0</v>
      </c>
      <c r="AV37" s="22">
        <f t="shared" ref="AV37:AV64" si="50">IF(AND(C37&lt;&gt;"",ISNUMBER(F37)),1,0)</f>
        <v>0</v>
      </c>
      <c r="AW37" s="21">
        <f t="shared" ref="AW37:AW64" si="51">IF(ISNUMBER(J37),J37,0)</f>
        <v>0</v>
      </c>
      <c r="AX37" s="22">
        <f t="shared" ref="AX37:AX64" si="52">IF(AND(C37&lt;&gt;"",ISNUMBER(J37)),1,0)</f>
        <v>0</v>
      </c>
      <c r="AY37" s="21">
        <f t="shared" ref="AY37:AY64" si="53">IF(AND(ISNUMBER(J37),J37&gt;0),J37,1)</f>
        <v>1</v>
      </c>
      <c r="AZ37" s="21">
        <f t="shared" ref="AZ37:AZ68" si="54">IF(AND(AV37=1,AX37=1),AU37/AY37,0)</f>
        <v>0</v>
      </c>
      <c r="BA37" s="22">
        <f t="shared" ref="BA37:BA64" si="55">IF(AND(E37="INFUSION_SEGMENT",Y37=1,AJ37=1),1,0)</f>
        <v>0</v>
      </c>
      <c r="BB37" s="22">
        <f t="shared" ref="BB37:BB68" si="56">IF(BA37=1,AC37,0)</f>
        <v>0</v>
      </c>
      <c r="BC37" s="22">
        <f t="shared" ref="BC37:BC64" si="57">IF(BA37=1,AK37,0)</f>
        <v>0</v>
      </c>
      <c r="BD37" s="22">
        <f t="shared" ref="BD37:BD64" si="58">IF(AND(E37="INFUSION_SEGMENT",X37=1),AB37,0)</f>
        <v>0</v>
      </c>
      <c r="BE37" s="22">
        <f t="shared" ref="BE37:BE64" si="59">IF(AND(E37="INFUSION_SEGMENT",AI37&lt;&gt;""),AI37,0)</f>
        <v>0</v>
      </c>
      <c r="BF37" s="22">
        <f t="shared" ref="BF37:BF64" si="60">IF(BA37=1,BB37,BD37)</f>
        <v>0</v>
      </c>
      <c r="BG37" s="22">
        <f t="shared" ref="BG37:BG64" si="61">IF(BA37=1,BC37,BE37)</f>
        <v>0</v>
      </c>
      <c r="BH37" s="22">
        <f>IF(OR(E37&lt;&gt;"INFUSION_SEGMENT",BF37=0,BG37=0),0,COUNTIFS(nADM_SelKey,AN37,nADM_Kind,"INFUSION_SEGMENT",nADM_SegS_cmp,"&lt;"&amp;BG37,nADM_SegE_cmp,"&gt;"&amp;BF37)-IF(BG37&gt;BF37,1,0))</f>
        <v>0</v>
      </c>
      <c r="BI37" s="21" t="str">
        <f t="shared" ref="BI37:BI68" si="62">IF(E37&lt;&gt;"INFUSION_SEGMENT","",IF(W37&lt;&gt;"",W37,IF(AH37&lt;&gt;"",AH37,IF(OR(X37=0,AI37=""),"E_MISSING_INPUT",IF(NOT(ISNUMBER(H37)),"E_MISSING_INPUT",IF(I37&lt;&gt;"mg/hour",IF(I37="","E_MISSING_INPUT","E_INVALID_UNIT"),IF(H37&lt;=0,"E_NONPOSITIVE_PARAMETER",IF(BG37&lt;BF37,"E_REVERSED_BOUNDS",IF(BH37&gt;0,"E_OVERLAPPING_SEGMENTS","")))))))))</f>
        <v/>
      </c>
      <c r="BJ37" s="22">
        <f>IF(C37="",1,IF(COUNTIF(nEXP_Key,AN37)&gt;0,1,0))</f>
        <v>1</v>
      </c>
      <c r="BK37" s="21" t="str">
        <f t="shared" ref="BK37:BK68" si="63">IF(C37="",IF(COUNTA(D37,F37,H37,N37,O37)&gt;0,"E_MISSING_INPUT",""),IF(AM37&gt;1,"E_DUPLICATE_ID",IF(BJ37=0,"E_MISSING_INPUT",IF(W37&lt;&gt;"",W37,IF(BI37&lt;&gt;"",BI37,IF(AND(ISNUMBER(F37),F37&lt;=0),"E_NONPOSITIVE_PARAMETER",IF(AND(ISNUMBER(J37),J37&lt;=0),"E_NONPOSITIVE_PARAMETER","")))))))</f>
        <v/>
      </c>
      <c r="BL37" s="21" t="str">
        <f>IF(BK37="","",BK37&amp;": "&amp;SUBSTITUTE(IFERROR(INDEX(nMSG_Text,MATCH(BK37,nMSG_Code,0)),""),"[input]",IF(C37="","an Admin_ID",IF(BJ37=0,"an Exposures row for episode "&amp;D37,IF(BI37="E_MISSING_INPUT","segment start and end timestamps and a rate in mg/hour","the date fields required by the selected precision")))))</f>
        <v/>
      </c>
    </row>
    <row r="38" spans="1:64" x14ac:dyDescent="0.2">
      <c r="A38" s="10"/>
      <c r="B38" s="12"/>
      <c r="C38" s="10"/>
      <c r="D38" s="10"/>
      <c r="E38" s="17"/>
      <c r="F38" s="17"/>
      <c r="G38" s="17"/>
      <c r="H38" s="17"/>
      <c r="I38" s="17"/>
      <c r="J38" s="17"/>
      <c r="K38" s="17"/>
      <c r="L38" s="10"/>
      <c r="M38" s="10"/>
      <c r="N38" s="17"/>
      <c r="O38" s="15"/>
      <c r="P38" s="26"/>
      <c r="Q38" s="10"/>
      <c r="R38" s="12"/>
      <c r="S38" s="12"/>
      <c r="T38" s="15"/>
      <c r="U38" s="15"/>
      <c r="V38" s="10"/>
      <c r="W38" s="21" t="str">
        <f>IF(COUNTA(N38:U38)=0,"",IF(N38="","E_MISSING_INPUT",IF(N38="TIMESTAMP",IF(OR(O38="",P38="",Q38=""),"E_MISSING_INPUT",IF(OR(NOT(ISNUMBER(O38)),NOT(ISNUMBER(P38))),"E_INVALID_DATE",IF(OR(O38&lt;&gt;INT(O38),P38&lt;0,P38&gt;=1),"E_INVALID_DATE",IF(ISNA(MATCH(Q38,nLIST_Offset,0)),"E_INVALID_UNIT","")))),IF(N38="DATE",IF(O38="","E_MISSING_INPUT",IF(NOT(ISNUMBER(O38)),"E_INVALID_DATE",IF(O38&lt;&gt;INT(O38),"E_INVALID_DATE",""))),IF(N38="MONTH",IF(OR(R38="",S38=""),"E_MISSING_INPUT",IF(OR(NOT(ISNUMBER(R38)),NOT(ISNUMBER(S38))),"E_INVALID_DATE",IF(OR(R38&lt;1900,R38&gt;9999,R38&lt;&gt;INT(R38),S38&lt;1,S38&gt;12,S38&lt;&gt;INT(S38)),"E_INVALID_DATE",""))),IF(N38="YEAR",IF(R38="","E_MISSING_INPUT",IF(NOT(ISNUMBER(R38)),"E_INVALID_DATE",IF(OR(R38&lt;1900,R38&gt;9999,R38&lt;&gt;INT(R38)),"E_INVALID_DATE",""))),IF(N38="RANGE",IF(OR(T38="",U38=""),"E_MISSING_INPUT",IF(OR(NOT(ISNUMBER(T38)),NOT(ISNUMBER(U38))),"E_INVALID_DATE",IF(OR(T38&lt;&gt;INT(T38),U38&lt;&gt;INT(U38)),"E_INVALID_DATE",IF(T38&gt;U38,"E_REVERSED_BOUNDS","")))),"E_INVALID_UNIT")))))))</f>
        <v/>
      </c>
      <c r="X38" s="22">
        <f t="shared" si="32"/>
        <v>0</v>
      </c>
      <c r="Y38" s="22">
        <f t="shared" si="33"/>
        <v>0</v>
      </c>
      <c r="Z38" s="28" t="str">
        <f t="shared" si="34"/>
        <v/>
      </c>
      <c r="AA38" s="28" t="str">
        <f t="shared" si="35"/>
        <v/>
      </c>
      <c r="AB38" s="22" t="str">
        <f t="shared" si="36"/>
        <v/>
      </c>
      <c r="AC38" s="22" t="str">
        <f t="shared" si="37"/>
        <v/>
      </c>
      <c r="AD38" s="15"/>
      <c r="AE38" s="26"/>
      <c r="AF38" s="10"/>
      <c r="AG38" s="10"/>
      <c r="AH38" s="21" t="str">
        <f>IF(COUNTA(AD38:AF38)=0,"",IF(OR(AD38="",AE38="",AF38=""),"E_MISSING_INPUT",IF(OR(NOT(ISNUMBER(AD38)),NOT(ISNUMBER(AE38))),"E_INVALID_DATE",IF(OR(AD38&lt;&gt;INT(AD38),AE38&lt;0,AE38&gt;=1),"E_INVALID_DATE",IF(ISNA(MATCH(AF38,nLIST_Offset,0)),"E_INVALID_UNIT","")))))</f>
        <v/>
      </c>
      <c r="AI38" s="22" t="str">
        <f t="shared" si="38"/>
        <v/>
      </c>
      <c r="AJ38" s="22">
        <f t="shared" si="39"/>
        <v>0</v>
      </c>
      <c r="AK38" s="22" t="str">
        <f t="shared" si="40"/>
        <v/>
      </c>
      <c r="AL38" s="21" t="str">
        <f t="shared" si="41"/>
        <v/>
      </c>
      <c r="AM38" s="22">
        <f>IF(AL38="",0,COUNTIF(nADM_Key,AL38))</f>
        <v>0</v>
      </c>
      <c r="AN38" s="21" t="str">
        <f t="shared" si="42"/>
        <v/>
      </c>
      <c r="AO38" s="22">
        <f t="shared" si="43"/>
        <v>0</v>
      </c>
      <c r="AP38" s="22">
        <f t="shared" si="44"/>
        <v>0</v>
      </c>
      <c r="AQ38" s="22">
        <f t="shared" si="45"/>
        <v>0</v>
      </c>
      <c r="AR38" s="22">
        <f t="shared" si="46"/>
        <v>0</v>
      </c>
      <c r="AS38" s="22">
        <f t="shared" si="47"/>
        <v>0</v>
      </c>
      <c r="AT38" s="21">
        <f t="shared" si="48"/>
        <v>0</v>
      </c>
      <c r="AU38" s="21">
        <f t="shared" si="49"/>
        <v>0</v>
      </c>
      <c r="AV38" s="22">
        <f t="shared" si="50"/>
        <v>0</v>
      </c>
      <c r="AW38" s="21">
        <f t="shared" si="51"/>
        <v>0</v>
      </c>
      <c r="AX38" s="22">
        <f t="shared" si="52"/>
        <v>0</v>
      </c>
      <c r="AY38" s="21">
        <f t="shared" si="53"/>
        <v>1</v>
      </c>
      <c r="AZ38" s="21">
        <f t="shared" si="54"/>
        <v>0</v>
      </c>
      <c r="BA38" s="22">
        <f t="shared" si="55"/>
        <v>0</v>
      </c>
      <c r="BB38" s="22">
        <f t="shared" si="56"/>
        <v>0</v>
      </c>
      <c r="BC38" s="22">
        <f t="shared" si="57"/>
        <v>0</v>
      </c>
      <c r="BD38" s="22">
        <f t="shared" si="58"/>
        <v>0</v>
      </c>
      <c r="BE38" s="22">
        <f t="shared" si="59"/>
        <v>0</v>
      </c>
      <c r="BF38" s="22">
        <f t="shared" si="60"/>
        <v>0</v>
      </c>
      <c r="BG38" s="22">
        <f t="shared" si="61"/>
        <v>0</v>
      </c>
      <c r="BH38" s="22">
        <f>IF(OR(E38&lt;&gt;"INFUSION_SEGMENT",BF38=0,BG38=0),0,COUNTIFS(nADM_SelKey,AN38,nADM_Kind,"INFUSION_SEGMENT",nADM_SegS_cmp,"&lt;"&amp;BG38,nADM_SegE_cmp,"&gt;"&amp;BF38)-IF(BG38&gt;BF38,1,0))</f>
        <v>0</v>
      </c>
      <c r="BI38" s="21" t="str">
        <f t="shared" si="62"/>
        <v/>
      </c>
      <c r="BJ38" s="22">
        <f>IF(C38="",1,IF(COUNTIF(nEXP_Key,AN38)&gt;0,1,0))</f>
        <v>1</v>
      </c>
      <c r="BK38" s="21" t="str">
        <f t="shared" si="63"/>
        <v/>
      </c>
      <c r="BL38" s="21" t="str">
        <f>IF(BK38="","",BK38&amp;": "&amp;SUBSTITUTE(IFERROR(INDEX(nMSG_Text,MATCH(BK38,nMSG_Code,0)),""),"[input]",IF(C38="","an Admin_ID",IF(BJ38=0,"an Exposures row for episode "&amp;D38,IF(BI38="E_MISSING_INPUT","segment start and end timestamps and a rate in mg/hour","the date fields required by the selected precision")))))</f>
        <v/>
      </c>
    </row>
    <row r="39" spans="1:64" x14ac:dyDescent="0.2">
      <c r="A39" s="10"/>
      <c r="B39" s="12"/>
      <c r="C39" s="10"/>
      <c r="D39" s="10"/>
      <c r="E39" s="17"/>
      <c r="F39" s="17"/>
      <c r="G39" s="17"/>
      <c r="H39" s="17"/>
      <c r="I39" s="17"/>
      <c r="J39" s="17"/>
      <c r="K39" s="17"/>
      <c r="L39" s="10"/>
      <c r="M39" s="10"/>
      <c r="N39" s="17"/>
      <c r="O39" s="15"/>
      <c r="P39" s="26"/>
      <c r="Q39" s="10"/>
      <c r="R39" s="12"/>
      <c r="S39" s="12"/>
      <c r="T39" s="15"/>
      <c r="U39" s="15"/>
      <c r="V39" s="10"/>
      <c r="W39" s="21" t="str">
        <f>IF(COUNTA(N39:U39)=0,"",IF(N39="","E_MISSING_INPUT",IF(N39="TIMESTAMP",IF(OR(O39="",P39="",Q39=""),"E_MISSING_INPUT",IF(OR(NOT(ISNUMBER(O39)),NOT(ISNUMBER(P39))),"E_INVALID_DATE",IF(OR(O39&lt;&gt;INT(O39),P39&lt;0,P39&gt;=1),"E_INVALID_DATE",IF(ISNA(MATCH(Q39,nLIST_Offset,0)),"E_INVALID_UNIT","")))),IF(N39="DATE",IF(O39="","E_MISSING_INPUT",IF(NOT(ISNUMBER(O39)),"E_INVALID_DATE",IF(O39&lt;&gt;INT(O39),"E_INVALID_DATE",""))),IF(N39="MONTH",IF(OR(R39="",S39=""),"E_MISSING_INPUT",IF(OR(NOT(ISNUMBER(R39)),NOT(ISNUMBER(S39))),"E_INVALID_DATE",IF(OR(R39&lt;1900,R39&gt;9999,R39&lt;&gt;INT(R39),S39&lt;1,S39&gt;12,S39&lt;&gt;INT(S39)),"E_INVALID_DATE",""))),IF(N39="YEAR",IF(R39="","E_MISSING_INPUT",IF(NOT(ISNUMBER(R39)),"E_INVALID_DATE",IF(OR(R39&lt;1900,R39&gt;9999,R39&lt;&gt;INT(R39)),"E_INVALID_DATE",""))),IF(N39="RANGE",IF(OR(T39="",U39=""),"E_MISSING_INPUT",IF(OR(NOT(ISNUMBER(T39)),NOT(ISNUMBER(U39))),"E_INVALID_DATE",IF(OR(T39&lt;&gt;INT(T39),U39&lt;&gt;INT(U39)),"E_INVALID_DATE",IF(T39&gt;U39,"E_REVERSED_BOUNDS","")))),"E_INVALID_UNIT")))))))</f>
        <v/>
      </c>
      <c r="X39" s="22">
        <f t="shared" si="32"/>
        <v>0</v>
      </c>
      <c r="Y39" s="22">
        <f t="shared" si="33"/>
        <v>0</v>
      </c>
      <c r="Z39" s="28" t="str">
        <f t="shared" si="34"/>
        <v/>
      </c>
      <c r="AA39" s="28" t="str">
        <f t="shared" si="35"/>
        <v/>
      </c>
      <c r="AB39" s="22" t="str">
        <f t="shared" si="36"/>
        <v/>
      </c>
      <c r="AC39" s="22" t="str">
        <f t="shared" si="37"/>
        <v/>
      </c>
      <c r="AD39" s="15"/>
      <c r="AE39" s="26"/>
      <c r="AF39" s="10"/>
      <c r="AG39" s="10"/>
      <c r="AH39" s="21" t="str">
        <f>IF(COUNTA(AD39:AF39)=0,"",IF(OR(AD39="",AE39="",AF39=""),"E_MISSING_INPUT",IF(OR(NOT(ISNUMBER(AD39)),NOT(ISNUMBER(AE39))),"E_INVALID_DATE",IF(OR(AD39&lt;&gt;INT(AD39),AE39&lt;0,AE39&gt;=1),"E_INVALID_DATE",IF(ISNA(MATCH(AF39,nLIST_Offset,0)),"E_INVALID_UNIT","")))))</f>
        <v/>
      </c>
      <c r="AI39" s="22" t="str">
        <f t="shared" si="38"/>
        <v/>
      </c>
      <c r="AJ39" s="22">
        <f t="shared" si="39"/>
        <v>0</v>
      </c>
      <c r="AK39" s="22" t="str">
        <f t="shared" si="40"/>
        <v/>
      </c>
      <c r="AL39" s="21" t="str">
        <f t="shared" si="41"/>
        <v/>
      </c>
      <c r="AM39" s="22">
        <f>IF(AL39="",0,COUNTIF(nADM_Key,AL39))</f>
        <v>0</v>
      </c>
      <c r="AN39" s="21" t="str">
        <f t="shared" si="42"/>
        <v/>
      </c>
      <c r="AO39" s="22">
        <f t="shared" si="43"/>
        <v>0</v>
      </c>
      <c r="AP39" s="22">
        <f t="shared" si="44"/>
        <v>0</v>
      </c>
      <c r="AQ39" s="22">
        <f t="shared" si="45"/>
        <v>0</v>
      </c>
      <c r="AR39" s="22">
        <f t="shared" si="46"/>
        <v>0</v>
      </c>
      <c r="AS39" s="22">
        <f t="shared" si="47"/>
        <v>0</v>
      </c>
      <c r="AT39" s="21">
        <f t="shared" si="48"/>
        <v>0</v>
      </c>
      <c r="AU39" s="21">
        <f t="shared" si="49"/>
        <v>0</v>
      </c>
      <c r="AV39" s="22">
        <f t="shared" si="50"/>
        <v>0</v>
      </c>
      <c r="AW39" s="21">
        <f t="shared" si="51"/>
        <v>0</v>
      </c>
      <c r="AX39" s="22">
        <f t="shared" si="52"/>
        <v>0</v>
      </c>
      <c r="AY39" s="21">
        <f t="shared" si="53"/>
        <v>1</v>
      </c>
      <c r="AZ39" s="21">
        <f t="shared" si="54"/>
        <v>0</v>
      </c>
      <c r="BA39" s="22">
        <f t="shared" si="55"/>
        <v>0</v>
      </c>
      <c r="BB39" s="22">
        <f t="shared" si="56"/>
        <v>0</v>
      </c>
      <c r="BC39" s="22">
        <f t="shared" si="57"/>
        <v>0</v>
      </c>
      <c r="BD39" s="22">
        <f t="shared" si="58"/>
        <v>0</v>
      </c>
      <c r="BE39" s="22">
        <f t="shared" si="59"/>
        <v>0</v>
      </c>
      <c r="BF39" s="22">
        <f t="shared" si="60"/>
        <v>0</v>
      </c>
      <c r="BG39" s="22">
        <f t="shared" si="61"/>
        <v>0</v>
      </c>
      <c r="BH39" s="22">
        <f>IF(OR(E39&lt;&gt;"INFUSION_SEGMENT",BF39=0,BG39=0),0,COUNTIFS(nADM_SelKey,AN39,nADM_Kind,"INFUSION_SEGMENT",nADM_SegS_cmp,"&lt;"&amp;BG39,nADM_SegE_cmp,"&gt;"&amp;BF39)-IF(BG39&gt;BF39,1,0))</f>
        <v>0</v>
      </c>
      <c r="BI39" s="21" t="str">
        <f t="shared" si="62"/>
        <v/>
      </c>
      <c r="BJ39" s="22">
        <f>IF(C39="",1,IF(COUNTIF(nEXP_Key,AN39)&gt;0,1,0))</f>
        <v>1</v>
      </c>
      <c r="BK39" s="21" t="str">
        <f t="shared" si="63"/>
        <v/>
      </c>
      <c r="BL39" s="21" t="str">
        <f>IF(BK39="","",BK39&amp;": "&amp;SUBSTITUTE(IFERROR(INDEX(nMSG_Text,MATCH(BK39,nMSG_Code,0)),""),"[input]",IF(C39="","an Admin_ID",IF(BJ39=0,"an Exposures row for episode "&amp;D39,IF(BI39="E_MISSING_INPUT","segment start and end timestamps and a rate in mg/hour","the date fields required by the selected precision")))))</f>
        <v/>
      </c>
    </row>
    <row r="40" spans="1:64" x14ac:dyDescent="0.2">
      <c r="A40" s="10"/>
      <c r="B40" s="12"/>
      <c r="C40" s="10"/>
      <c r="D40" s="10"/>
      <c r="E40" s="17"/>
      <c r="F40" s="17"/>
      <c r="G40" s="17"/>
      <c r="H40" s="17"/>
      <c r="I40" s="17"/>
      <c r="J40" s="17"/>
      <c r="K40" s="17"/>
      <c r="L40" s="10"/>
      <c r="M40" s="10"/>
      <c r="N40" s="17"/>
      <c r="O40" s="15"/>
      <c r="P40" s="26"/>
      <c r="Q40" s="10"/>
      <c r="R40" s="12"/>
      <c r="S40" s="12"/>
      <c r="T40" s="15"/>
      <c r="U40" s="15"/>
      <c r="V40" s="10"/>
      <c r="W40" s="21" t="str">
        <f>IF(COUNTA(N40:U40)=0,"",IF(N40="","E_MISSING_INPUT",IF(N40="TIMESTAMP",IF(OR(O40="",P40="",Q40=""),"E_MISSING_INPUT",IF(OR(NOT(ISNUMBER(O40)),NOT(ISNUMBER(P40))),"E_INVALID_DATE",IF(OR(O40&lt;&gt;INT(O40),P40&lt;0,P40&gt;=1),"E_INVALID_DATE",IF(ISNA(MATCH(Q40,nLIST_Offset,0)),"E_INVALID_UNIT","")))),IF(N40="DATE",IF(O40="","E_MISSING_INPUT",IF(NOT(ISNUMBER(O40)),"E_INVALID_DATE",IF(O40&lt;&gt;INT(O40),"E_INVALID_DATE",""))),IF(N40="MONTH",IF(OR(R40="",S40=""),"E_MISSING_INPUT",IF(OR(NOT(ISNUMBER(R40)),NOT(ISNUMBER(S40))),"E_INVALID_DATE",IF(OR(R40&lt;1900,R40&gt;9999,R40&lt;&gt;INT(R40),S40&lt;1,S40&gt;12,S40&lt;&gt;INT(S40)),"E_INVALID_DATE",""))),IF(N40="YEAR",IF(R40="","E_MISSING_INPUT",IF(NOT(ISNUMBER(R40)),"E_INVALID_DATE",IF(OR(R40&lt;1900,R40&gt;9999,R40&lt;&gt;INT(R40)),"E_INVALID_DATE",""))),IF(N40="RANGE",IF(OR(T40="",U40=""),"E_MISSING_INPUT",IF(OR(NOT(ISNUMBER(T40)),NOT(ISNUMBER(U40))),"E_INVALID_DATE",IF(OR(T40&lt;&gt;INT(T40),U40&lt;&gt;INT(U40)),"E_INVALID_DATE",IF(T40&gt;U40,"E_REVERSED_BOUNDS","")))),"E_INVALID_UNIT")))))))</f>
        <v/>
      </c>
      <c r="X40" s="22">
        <f t="shared" si="32"/>
        <v>0</v>
      </c>
      <c r="Y40" s="22">
        <f t="shared" si="33"/>
        <v>0</v>
      </c>
      <c r="Z40" s="28" t="str">
        <f t="shared" si="34"/>
        <v/>
      </c>
      <c r="AA40" s="28" t="str">
        <f t="shared" si="35"/>
        <v/>
      </c>
      <c r="AB40" s="22" t="str">
        <f t="shared" si="36"/>
        <v/>
      </c>
      <c r="AC40" s="22" t="str">
        <f t="shared" si="37"/>
        <v/>
      </c>
      <c r="AD40" s="15"/>
      <c r="AE40" s="26"/>
      <c r="AF40" s="10"/>
      <c r="AG40" s="10"/>
      <c r="AH40" s="21" t="str">
        <f>IF(COUNTA(AD40:AF40)=0,"",IF(OR(AD40="",AE40="",AF40=""),"E_MISSING_INPUT",IF(OR(NOT(ISNUMBER(AD40)),NOT(ISNUMBER(AE40))),"E_INVALID_DATE",IF(OR(AD40&lt;&gt;INT(AD40),AE40&lt;0,AE40&gt;=1),"E_INVALID_DATE",IF(ISNA(MATCH(AF40,nLIST_Offset,0)),"E_INVALID_UNIT","")))))</f>
        <v/>
      </c>
      <c r="AI40" s="22" t="str">
        <f t="shared" si="38"/>
        <v/>
      </c>
      <c r="AJ40" s="22">
        <f t="shared" si="39"/>
        <v>0</v>
      </c>
      <c r="AK40" s="22" t="str">
        <f t="shared" si="40"/>
        <v/>
      </c>
      <c r="AL40" s="21" t="str">
        <f t="shared" si="41"/>
        <v/>
      </c>
      <c r="AM40" s="22">
        <f>IF(AL40="",0,COUNTIF(nADM_Key,AL40))</f>
        <v>0</v>
      </c>
      <c r="AN40" s="21" t="str">
        <f t="shared" si="42"/>
        <v/>
      </c>
      <c r="AO40" s="22">
        <f t="shared" si="43"/>
        <v>0</v>
      </c>
      <c r="AP40" s="22">
        <f t="shared" si="44"/>
        <v>0</v>
      </c>
      <c r="AQ40" s="22">
        <f t="shared" si="45"/>
        <v>0</v>
      </c>
      <c r="AR40" s="22">
        <f t="shared" si="46"/>
        <v>0</v>
      </c>
      <c r="AS40" s="22">
        <f t="shared" si="47"/>
        <v>0</v>
      </c>
      <c r="AT40" s="21">
        <f t="shared" si="48"/>
        <v>0</v>
      </c>
      <c r="AU40" s="21">
        <f t="shared" si="49"/>
        <v>0</v>
      </c>
      <c r="AV40" s="22">
        <f t="shared" si="50"/>
        <v>0</v>
      </c>
      <c r="AW40" s="21">
        <f t="shared" si="51"/>
        <v>0</v>
      </c>
      <c r="AX40" s="22">
        <f t="shared" si="52"/>
        <v>0</v>
      </c>
      <c r="AY40" s="21">
        <f t="shared" si="53"/>
        <v>1</v>
      </c>
      <c r="AZ40" s="21">
        <f t="shared" si="54"/>
        <v>0</v>
      </c>
      <c r="BA40" s="22">
        <f t="shared" si="55"/>
        <v>0</v>
      </c>
      <c r="BB40" s="22">
        <f t="shared" si="56"/>
        <v>0</v>
      </c>
      <c r="BC40" s="22">
        <f t="shared" si="57"/>
        <v>0</v>
      </c>
      <c r="BD40" s="22">
        <f t="shared" si="58"/>
        <v>0</v>
      </c>
      <c r="BE40" s="22">
        <f t="shared" si="59"/>
        <v>0</v>
      </c>
      <c r="BF40" s="22">
        <f t="shared" si="60"/>
        <v>0</v>
      </c>
      <c r="BG40" s="22">
        <f t="shared" si="61"/>
        <v>0</v>
      </c>
      <c r="BH40" s="22">
        <f>IF(OR(E40&lt;&gt;"INFUSION_SEGMENT",BF40=0,BG40=0),0,COUNTIFS(nADM_SelKey,AN40,nADM_Kind,"INFUSION_SEGMENT",nADM_SegS_cmp,"&lt;"&amp;BG40,nADM_SegE_cmp,"&gt;"&amp;BF40)-IF(BG40&gt;BF40,1,0))</f>
        <v>0</v>
      </c>
      <c r="BI40" s="21" t="str">
        <f t="shared" si="62"/>
        <v/>
      </c>
      <c r="BJ40" s="22">
        <f>IF(C40="",1,IF(COUNTIF(nEXP_Key,AN40)&gt;0,1,0))</f>
        <v>1</v>
      </c>
      <c r="BK40" s="21" t="str">
        <f t="shared" si="63"/>
        <v/>
      </c>
      <c r="BL40" s="21" t="str">
        <f>IF(BK40="","",BK40&amp;": "&amp;SUBSTITUTE(IFERROR(INDEX(nMSG_Text,MATCH(BK40,nMSG_Code,0)),""),"[input]",IF(C40="","an Admin_ID",IF(BJ40=0,"an Exposures row for episode "&amp;D40,IF(BI40="E_MISSING_INPUT","segment start and end timestamps and a rate in mg/hour","the date fields required by the selected precision")))))</f>
        <v/>
      </c>
    </row>
    <row r="41" spans="1:64" x14ac:dyDescent="0.2">
      <c r="A41" s="10"/>
      <c r="B41" s="12"/>
      <c r="C41" s="10"/>
      <c r="D41" s="10"/>
      <c r="E41" s="17"/>
      <c r="F41" s="17"/>
      <c r="G41" s="17"/>
      <c r="H41" s="17"/>
      <c r="I41" s="17"/>
      <c r="J41" s="17"/>
      <c r="K41" s="17"/>
      <c r="L41" s="10"/>
      <c r="M41" s="10"/>
      <c r="N41" s="17"/>
      <c r="O41" s="15"/>
      <c r="P41" s="26"/>
      <c r="Q41" s="10"/>
      <c r="R41" s="12"/>
      <c r="S41" s="12"/>
      <c r="T41" s="15"/>
      <c r="U41" s="15"/>
      <c r="V41" s="10"/>
      <c r="W41" s="21" t="str">
        <f>IF(COUNTA(N41:U41)=0,"",IF(N41="","E_MISSING_INPUT",IF(N41="TIMESTAMP",IF(OR(O41="",P41="",Q41=""),"E_MISSING_INPUT",IF(OR(NOT(ISNUMBER(O41)),NOT(ISNUMBER(P41))),"E_INVALID_DATE",IF(OR(O41&lt;&gt;INT(O41),P41&lt;0,P41&gt;=1),"E_INVALID_DATE",IF(ISNA(MATCH(Q41,nLIST_Offset,0)),"E_INVALID_UNIT","")))),IF(N41="DATE",IF(O41="","E_MISSING_INPUT",IF(NOT(ISNUMBER(O41)),"E_INVALID_DATE",IF(O41&lt;&gt;INT(O41),"E_INVALID_DATE",""))),IF(N41="MONTH",IF(OR(R41="",S41=""),"E_MISSING_INPUT",IF(OR(NOT(ISNUMBER(R41)),NOT(ISNUMBER(S41))),"E_INVALID_DATE",IF(OR(R41&lt;1900,R41&gt;9999,R41&lt;&gt;INT(R41),S41&lt;1,S41&gt;12,S41&lt;&gt;INT(S41)),"E_INVALID_DATE",""))),IF(N41="YEAR",IF(R41="","E_MISSING_INPUT",IF(NOT(ISNUMBER(R41)),"E_INVALID_DATE",IF(OR(R41&lt;1900,R41&gt;9999,R41&lt;&gt;INT(R41)),"E_INVALID_DATE",""))),IF(N41="RANGE",IF(OR(T41="",U41=""),"E_MISSING_INPUT",IF(OR(NOT(ISNUMBER(T41)),NOT(ISNUMBER(U41))),"E_INVALID_DATE",IF(OR(T41&lt;&gt;INT(T41),U41&lt;&gt;INT(U41)),"E_INVALID_DATE",IF(T41&gt;U41,"E_REVERSED_BOUNDS","")))),"E_INVALID_UNIT")))))))</f>
        <v/>
      </c>
      <c r="X41" s="22">
        <f t="shared" si="32"/>
        <v>0</v>
      </c>
      <c r="Y41" s="22">
        <f t="shared" si="33"/>
        <v>0</v>
      </c>
      <c r="Z41" s="28" t="str">
        <f t="shared" si="34"/>
        <v/>
      </c>
      <c r="AA41" s="28" t="str">
        <f t="shared" si="35"/>
        <v/>
      </c>
      <c r="AB41" s="22" t="str">
        <f t="shared" si="36"/>
        <v/>
      </c>
      <c r="AC41" s="22" t="str">
        <f t="shared" si="37"/>
        <v/>
      </c>
      <c r="AD41" s="15"/>
      <c r="AE41" s="26"/>
      <c r="AF41" s="10"/>
      <c r="AG41" s="10"/>
      <c r="AH41" s="21" t="str">
        <f>IF(COUNTA(AD41:AF41)=0,"",IF(OR(AD41="",AE41="",AF41=""),"E_MISSING_INPUT",IF(OR(NOT(ISNUMBER(AD41)),NOT(ISNUMBER(AE41))),"E_INVALID_DATE",IF(OR(AD41&lt;&gt;INT(AD41),AE41&lt;0,AE41&gt;=1),"E_INVALID_DATE",IF(ISNA(MATCH(AF41,nLIST_Offset,0)),"E_INVALID_UNIT","")))))</f>
        <v/>
      </c>
      <c r="AI41" s="22" t="str">
        <f t="shared" si="38"/>
        <v/>
      </c>
      <c r="AJ41" s="22">
        <f t="shared" si="39"/>
        <v>0</v>
      </c>
      <c r="AK41" s="22" t="str">
        <f t="shared" si="40"/>
        <v/>
      </c>
      <c r="AL41" s="21" t="str">
        <f t="shared" si="41"/>
        <v/>
      </c>
      <c r="AM41" s="22">
        <f>IF(AL41="",0,COUNTIF(nADM_Key,AL41))</f>
        <v>0</v>
      </c>
      <c r="AN41" s="21" t="str">
        <f t="shared" si="42"/>
        <v/>
      </c>
      <c r="AO41" s="22">
        <f t="shared" si="43"/>
        <v>0</v>
      </c>
      <c r="AP41" s="22">
        <f t="shared" si="44"/>
        <v>0</v>
      </c>
      <c r="AQ41" s="22">
        <f t="shared" si="45"/>
        <v>0</v>
      </c>
      <c r="AR41" s="22">
        <f t="shared" si="46"/>
        <v>0</v>
      </c>
      <c r="AS41" s="22">
        <f t="shared" si="47"/>
        <v>0</v>
      </c>
      <c r="AT41" s="21">
        <f t="shared" si="48"/>
        <v>0</v>
      </c>
      <c r="AU41" s="21">
        <f t="shared" si="49"/>
        <v>0</v>
      </c>
      <c r="AV41" s="22">
        <f t="shared" si="50"/>
        <v>0</v>
      </c>
      <c r="AW41" s="21">
        <f t="shared" si="51"/>
        <v>0</v>
      </c>
      <c r="AX41" s="22">
        <f t="shared" si="52"/>
        <v>0</v>
      </c>
      <c r="AY41" s="21">
        <f t="shared" si="53"/>
        <v>1</v>
      </c>
      <c r="AZ41" s="21">
        <f t="shared" si="54"/>
        <v>0</v>
      </c>
      <c r="BA41" s="22">
        <f t="shared" si="55"/>
        <v>0</v>
      </c>
      <c r="BB41" s="22">
        <f t="shared" si="56"/>
        <v>0</v>
      </c>
      <c r="BC41" s="22">
        <f t="shared" si="57"/>
        <v>0</v>
      </c>
      <c r="BD41" s="22">
        <f t="shared" si="58"/>
        <v>0</v>
      </c>
      <c r="BE41" s="22">
        <f t="shared" si="59"/>
        <v>0</v>
      </c>
      <c r="BF41" s="22">
        <f t="shared" si="60"/>
        <v>0</v>
      </c>
      <c r="BG41" s="22">
        <f t="shared" si="61"/>
        <v>0</v>
      </c>
      <c r="BH41" s="22">
        <f>IF(OR(E41&lt;&gt;"INFUSION_SEGMENT",BF41=0,BG41=0),0,COUNTIFS(nADM_SelKey,AN41,nADM_Kind,"INFUSION_SEGMENT",nADM_SegS_cmp,"&lt;"&amp;BG41,nADM_SegE_cmp,"&gt;"&amp;BF41)-IF(BG41&gt;BF41,1,0))</f>
        <v>0</v>
      </c>
      <c r="BI41" s="21" t="str">
        <f t="shared" si="62"/>
        <v/>
      </c>
      <c r="BJ41" s="22">
        <f>IF(C41="",1,IF(COUNTIF(nEXP_Key,AN41)&gt;0,1,0))</f>
        <v>1</v>
      </c>
      <c r="BK41" s="21" t="str">
        <f t="shared" si="63"/>
        <v/>
      </c>
      <c r="BL41" s="21" t="str">
        <f>IF(BK41="","",BK41&amp;": "&amp;SUBSTITUTE(IFERROR(INDEX(nMSG_Text,MATCH(BK41,nMSG_Code,0)),""),"[input]",IF(C41="","an Admin_ID",IF(BJ41=0,"an Exposures row for episode "&amp;D41,IF(BI41="E_MISSING_INPUT","segment start and end timestamps and a rate in mg/hour","the date fields required by the selected precision")))))</f>
        <v/>
      </c>
    </row>
    <row r="42" spans="1:64" x14ac:dyDescent="0.2">
      <c r="A42" s="10"/>
      <c r="B42" s="12"/>
      <c r="C42" s="10"/>
      <c r="D42" s="10"/>
      <c r="E42" s="17"/>
      <c r="F42" s="17"/>
      <c r="G42" s="17"/>
      <c r="H42" s="17"/>
      <c r="I42" s="17"/>
      <c r="J42" s="17"/>
      <c r="K42" s="17"/>
      <c r="L42" s="10"/>
      <c r="M42" s="10"/>
      <c r="N42" s="17"/>
      <c r="O42" s="15"/>
      <c r="P42" s="26"/>
      <c r="Q42" s="10"/>
      <c r="R42" s="12"/>
      <c r="S42" s="12"/>
      <c r="T42" s="15"/>
      <c r="U42" s="15"/>
      <c r="V42" s="10"/>
      <c r="W42" s="21" t="str">
        <f>IF(COUNTA(N42:U42)=0,"",IF(N42="","E_MISSING_INPUT",IF(N42="TIMESTAMP",IF(OR(O42="",P42="",Q42=""),"E_MISSING_INPUT",IF(OR(NOT(ISNUMBER(O42)),NOT(ISNUMBER(P42))),"E_INVALID_DATE",IF(OR(O42&lt;&gt;INT(O42),P42&lt;0,P42&gt;=1),"E_INVALID_DATE",IF(ISNA(MATCH(Q42,nLIST_Offset,0)),"E_INVALID_UNIT","")))),IF(N42="DATE",IF(O42="","E_MISSING_INPUT",IF(NOT(ISNUMBER(O42)),"E_INVALID_DATE",IF(O42&lt;&gt;INT(O42),"E_INVALID_DATE",""))),IF(N42="MONTH",IF(OR(R42="",S42=""),"E_MISSING_INPUT",IF(OR(NOT(ISNUMBER(R42)),NOT(ISNUMBER(S42))),"E_INVALID_DATE",IF(OR(R42&lt;1900,R42&gt;9999,R42&lt;&gt;INT(R42),S42&lt;1,S42&gt;12,S42&lt;&gt;INT(S42)),"E_INVALID_DATE",""))),IF(N42="YEAR",IF(R42="","E_MISSING_INPUT",IF(NOT(ISNUMBER(R42)),"E_INVALID_DATE",IF(OR(R42&lt;1900,R42&gt;9999,R42&lt;&gt;INT(R42)),"E_INVALID_DATE",""))),IF(N42="RANGE",IF(OR(T42="",U42=""),"E_MISSING_INPUT",IF(OR(NOT(ISNUMBER(T42)),NOT(ISNUMBER(U42))),"E_INVALID_DATE",IF(OR(T42&lt;&gt;INT(T42),U42&lt;&gt;INT(U42)),"E_INVALID_DATE",IF(T42&gt;U42,"E_REVERSED_BOUNDS","")))),"E_INVALID_UNIT")))))))</f>
        <v/>
      </c>
      <c r="X42" s="22">
        <f t="shared" si="32"/>
        <v>0</v>
      </c>
      <c r="Y42" s="22">
        <f t="shared" si="33"/>
        <v>0</v>
      </c>
      <c r="Z42" s="28" t="str">
        <f t="shared" si="34"/>
        <v/>
      </c>
      <c r="AA42" s="28" t="str">
        <f t="shared" si="35"/>
        <v/>
      </c>
      <c r="AB42" s="22" t="str">
        <f t="shared" si="36"/>
        <v/>
      </c>
      <c r="AC42" s="22" t="str">
        <f t="shared" si="37"/>
        <v/>
      </c>
      <c r="AD42" s="15"/>
      <c r="AE42" s="26"/>
      <c r="AF42" s="10"/>
      <c r="AG42" s="10"/>
      <c r="AH42" s="21" t="str">
        <f>IF(COUNTA(AD42:AF42)=0,"",IF(OR(AD42="",AE42="",AF42=""),"E_MISSING_INPUT",IF(OR(NOT(ISNUMBER(AD42)),NOT(ISNUMBER(AE42))),"E_INVALID_DATE",IF(OR(AD42&lt;&gt;INT(AD42),AE42&lt;0,AE42&gt;=1),"E_INVALID_DATE",IF(ISNA(MATCH(AF42,nLIST_Offset,0)),"E_INVALID_UNIT","")))))</f>
        <v/>
      </c>
      <c r="AI42" s="22" t="str">
        <f t="shared" si="38"/>
        <v/>
      </c>
      <c r="AJ42" s="22">
        <f t="shared" si="39"/>
        <v>0</v>
      </c>
      <c r="AK42" s="22" t="str">
        <f t="shared" si="40"/>
        <v/>
      </c>
      <c r="AL42" s="21" t="str">
        <f t="shared" si="41"/>
        <v/>
      </c>
      <c r="AM42" s="22">
        <f>IF(AL42="",0,COUNTIF(nADM_Key,AL42))</f>
        <v>0</v>
      </c>
      <c r="AN42" s="21" t="str">
        <f t="shared" si="42"/>
        <v/>
      </c>
      <c r="AO42" s="22">
        <f t="shared" si="43"/>
        <v>0</v>
      </c>
      <c r="AP42" s="22">
        <f t="shared" si="44"/>
        <v>0</v>
      </c>
      <c r="AQ42" s="22">
        <f t="shared" si="45"/>
        <v>0</v>
      </c>
      <c r="AR42" s="22">
        <f t="shared" si="46"/>
        <v>0</v>
      </c>
      <c r="AS42" s="22">
        <f t="shared" si="47"/>
        <v>0</v>
      </c>
      <c r="AT42" s="21">
        <f t="shared" si="48"/>
        <v>0</v>
      </c>
      <c r="AU42" s="21">
        <f t="shared" si="49"/>
        <v>0</v>
      </c>
      <c r="AV42" s="22">
        <f t="shared" si="50"/>
        <v>0</v>
      </c>
      <c r="AW42" s="21">
        <f t="shared" si="51"/>
        <v>0</v>
      </c>
      <c r="AX42" s="22">
        <f t="shared" si="52"/>
        <v>0</v>
      </c>
      <c r="AY42" s="21">
        <f t="shared" si="53"/>
        <v>1</v>
      </c>
      <c r="AZ42" s="21">
        <f t="shared" si="54"/>
        <v>0</v>
      </c>
      <c r="BA42" s="22">
        <f t="shared" si="55"/>
        <v>0</v>
      </c>
      <c r="BB42" s="22">
        <f t="shared" si="56"/>
        <v>0</v>
      </c>
      <c r="BC42" s="22">
        <f t="shared" si="57"/>
        <v>0</v>
      </c>
      <c r="BD42" s="22">
        <f t="shared" si="58"/>
        <v>0</v>
      </c>
      <c r="BE42" s="22">
        <f t="shared" si="59"/>
        <v>0</v>
      </c>
      <c r="BF42" s="22">
        <f t="shared" si="60"/>
        <v>0</v>
      </c>
      <c r="BG42" s="22">
        <f t="shared" si="61"/>
        <v>0</v>
      </c>
      <c r="BH42" s="22">
        <f>IF(OR(E42&lt;&gt;"INFUSION_SEGMENT",BF42=0,BG42=0),0,COUNTIFS(nADM_SelKey,AN42,nADM_Kind,"INFUSION_SEGMENT",nADM_SegS_cmp,"&lt;"&amp;BG42,nADM_SegE_cmp,"&gt;"&amp;BF42)-IF(BG42&gt;BF42,1,0))</f>
        <v>0</v>
      </c>
      <c r="BI42" s="21" t="str">
        <f t="shared" si="62"/>
        <v/>
      </c>
      <c r="BJ42" s="22">
        <f>IF(C42="",1,IF(COUNTIF(nEXP_Key,AN42)&gt;0,1,0))</f>
        <v>1</v>
      </c>
      <c r="BK42" s="21" t="str">
        <f t="shared" si="63"/>
        <v/>
      </c>
      <c r="BL42" s="21" t="str">
        <f>IF(BK42="","",BK42&amp;": "&amp;SUBSTITUTE(IFERROR(INDEX(nMSG_Text,MATCH(BK42,nMSG_Code,0)),""),"[input]",IF(C42="","an Admin_ID",IF(BJ42=0,"an Exposures row for episode "&amp;D42,IF(BI42="E_MISSING_INPUT","segment start and end timestamps and a rate in mg/hour","the date fields required by the selected precision")))))</f>
        <v/>
      </c>
    </row>
    <row r="43" spans="1:64" x14ac:dyDescent="0.2">
      <c r="A43" s="10"/>
      <c r="B43" s="12"/>
      <c r="C43" s="10"/>
      <c r="D43" s="10"/>
      <c r="E43" s="17"/>
      <c r="F43" s="17"/>
      <c r="G43" s="17"/>
      <c r="H43" s="17"/>
      <c r="I43" s="17"/>
      <c r="J43" s="17"/>
      <c r="K43" s="17"/>
      <c r="L43" s="10"/>
      <c r="M43" s="10"/>
      <c r="N43" s="17"/>
      <c r="O43" s="15"/>
      <c r="P43" s="26"/>
      <c r="Q43" s="10"/>
      <c r="R43" s="12"/>
      <c r="S43" s="12"/>
      <c r="T43" s="15"/>
      <c r="U43" s="15"/>
      <c r="V43" s="10"/>
      <c r="W43" s="21" t="str">
        <f>IF(COUNTA(N43:U43)=0,"",IF(N43="","E_MISSING_INPUT",IF(N43="TIMESTAMP",IF(OR(O43="",P43="",Q43=""),"E_MISSING_INPUT",IF(OR(NOT(ISNUMBER(O43)),NOT(ISNUMBER(P43))),"E_INVALID_DATE",IF(OR(O43&lt;&gt;INT(O43),P43&lt;0,P43&gt;=1),"E_INVALID_DATE",IF(ISNA(MATCH(Q43,nLIST_Offset,0)),"E_INVALID_UNIT","")))),IF(N43="DATE",IF(O43="","E_MISSING_INPUT",IF(NOT(ISNUMBER(O43)),"E_INVALID_DATE",IF(O43&lt;&gt;INT(O43),"E_INVALID_DATE",""))),IF(N43="MONTH",IF(OR(R43="",S43=""),"E_MISSING_INPUT",IF(OR(NOT(ISNUMBER(R43)),NOT(ISNUMBER(S43))),"E_INVALID_DATE",IF(OR(R43&lt;1900,R43&gt;9999,R43&lt;&gt;INT(R43),S43&lt;1,S43&gt;12,S43&lt;&gt;INT(S43)),"E_INVALID_DATE",""))),IF(N43="YEAR",IF(R43="","E_MISSING_INPUT",IF(NOT(ISNUMBER(R43)),"E_INVALID_DATE",IF(OR(R43&lt;1900,R43&gt;9999,R43&lt;&gt;INT(R43)),"E_INVALID_DATE",""))),IF(N43="RANGE",IF(OR(T43="",U43=""),"E_MISSING_INPUT",IF(OR(NOT(ISNUMBER(T43)),NOT(ISNUMBER(U43))),"E_INVALID_DATE",IF(OR(T43&lt;&gt;INT(T43),U43&lt;&gt;INT(U43)),"E_INVALID_DATE",IF(T43&gt;U43,"E_REVERSED_BOUNDS","")))),"E_INVALID_UNIT")))))))</f>
        <v/>
      </c>
      <c r="X43" s="22">
        <f t="shared" si="32"/>
        <v>0</v>
      </c>
      <c r="Y43" s="22">
        <f t="shared" si="33"/>
        <v>0</v>
      </c>
      <c r="Z43" s="28" t="str">
        <f t="shared" si="34"/>
        <v/>
      </c>
      <c r="AA43" s="28" t="str">
        <f t="shared" si="35"/>
        <v/>
      </c>
      <c r="AB43" s="22" t="str">
        <f t="shared" si="36"/>
        <v/>
      </c>
      <c r="AC43" s="22" t="str">
        <f t="shared" si="37"/>
        <v/>
      </c>
      <c r="AD43" s="15"/>
      <c r="AE43" s="26"/>
      <c r="AF43" s="10"/>
      <c r="AG43" s="10"/>
      <c r="AH43" s="21" t="str">
        <f>IF(COUNTA(AD43:AF43)=0,"",IF(OR(AD43="",AE43="",AF43=""),"E_MISSING_INPUT",IF(OR(NOT(ISNUMBER(AD43)),NOT(ISNUMBER(AE43))),"E_INVALID_DATE",IF(OR(AD43&lt;&gt;INT(AD43),AE43&lt;0,AE43&gt;=1),"E_INVALID_DATE",IF(ISNA(MATCH(AF43,nLIST_Offset,0)),"E_INVALID_UNIT","")))))</f>
        <v/>
      </c>
      <c r="AI43" s="22" t="str">
        <f t="shared" si="38"/>
        <v/>
      </c>
      <c r="AJ43" s="22">
        <f t="shared" si="39"/>
        <v>0</v>
      </c>
      <c r="AK43" s="22" t="str">
        <f t="shared" si="40"/>
        <v/>
      </c>
      <c r="AL43" s="21" t="str">
        <f t="shared" si="41"/>
        <v/>
      </c>
      <c r="AM43" s="22">
        <f>IF(AL43="",0,COUNTIF(nADM_Key,AL43))</f>
        <v>0</v>
      </c>
      <c r="AN43" s="21" t="str">
        <f t="shared" si="42"/>
        <v/>
      </c>
      <c r="AO43" s="22">
        <f t="shared" si="43"/>
        <v>0</v>
      </c>
      <c r="AP43" s="22">
        <f t="shared" si="44"/>
        <v>0</v>
      </c>
      <c r="AQ43" s="22">
        <f t="shared" si="45"/>
        <v>0</v>
      </c>
      <c r="AR43" s="22">
        <f t="shared" si="46"/>
        <v>0</v>
      </c>
      <c r="AS43" s="22">
        <f t="shared" si="47"/>
        <v>0</v>
      </c>
      <c r="AT43" s="21">
        <f t="shared" si="48"/>
        <v>0</v>
      </c>
      <c r="AU43" s="21">
        <f t="shared" si="49"/>
        <v>0</v>
      </c>
      <c r="AV43" s="22">
        <f t="shared" si="50"/>
        <v>0</v>
      </c>
      <c r="AW43" s="21">
        <f t="shared" si="51"/>
        <v>0</v>
      </c>
      <c r="AX43" s="22">
        <f t="shared" si="52"/>
        <v>0</v>
      </c>
      <c r="AY43" s="21">
        <f t="shared" si="53"/>
        <v>1</v>
      </c>
      <c r="AZ43" s="21">
        <f t="shared" si="54"/>
        <v>0</v>
      </c>
      <c r="BA43" s="22">
        <f t="shared" si="55"/>
        <v>0</v>
      </c>
      <c r="BB43" s="22">
        <f t="shared" si="56"/>
        <v>0</v>
      </c>
      <c r="BC43" s="22">
        <f t="shared" si="57"/>
        <v>0</v>
      </c>
      <c r="BD43" s="22">
        <f t="shared" si="58"/>
        <v>0</v>
      </c>
      <c r="BE43" s="22">
        <f t="shared" si="59"/>
        <v>0</v>
      </c>
      <c r="BF43" s="22">
        <f t="shared" si="60"/>
        <v>0</v>
      </c>
      <c r="BG43" s="22">
        <f t="shared" si="61"/>
        <v>0</v>
      </c>
      <c r="BH43" s="22">
        <f>IF(OR(E43&lt;&gt;"INFUSION_SEGMENT",BF43=0,BG43=0),0,COUNTIFS(nADM_SelKey,AN43,nADM_Kind,"INFUSION_SEGMENT",nADM_SegS_cmp,"&lt;"&amp;BG43,nADM_SegE_cmp,"&gt;"&amp;BF43)-IF(BG43&gt;BF43,1,0))</f>
        <v>0</v>
      </c>
      <c r="BI43" s="21" t="str">
        <f t="shared" si="62"/>
        <v/>
      </c>
      <c r="BJ43" s="22">
        <f>IF(C43="",1,IF(COUNTIF(nEXP_Key,AN43)&gt;0,1,0))</f>
        <v>1</v>
      </c>
      <c r="BK43" s="21" t="str">
        <f t="shared" si="63"/>
        <v/>
      </c>
      <c r="BL43" s="21" t="str">
        <f>IF(BK43="","",BK43&amp;": "&amp;SUBSTITUTE(IFERROR(INDEX(nMSG_Text,MATCH(BK43,nMSG_Code,0)),""),"[input]",IF(C43="","an Admin_ID",IF(BJ43=0,"an Exposures row for episode "&amp;D43,IF(BI43="E_MISSING_INPUT","segment start and end timestamps and a rate in mg/hour","the date fields required by the selected precision")))))</f>
        <v/>
      </c>
    </row>
    <row r="44" spans="1:64" x14ac:dyDescent="0.2">
      <c r="A44" s="10"/>
      <c r="B44" s="12"/>
      <c r="C44" s="10"/>
      <c r="D44" s="10"/>
      <c r="E44" s="17"/>
      <c r="F44" s="17"/>
      <c r="G44" s="17"/>
      <c r="H44" s="17"/>
      <c r="I44" s="17"/>
      <c r="J44" s="17"/>
      <c r="K44" s="17"/>
      <c r="L44" s="10"/>
      <c r="M44" s="10"/>
      <c r="N44" s="17"/>
      <c r="O44" s="15"/>
      <c r="P44" s="26"/>
      <c r="Q44" s="10"/>
      <c r="R44" s="12"/>
      <c r="S44" s="12"/>
      <c r="T44" s="15"/>
      <c r="U44" s="15"/>
      <c r="V44" s="10"/>
      <c r="W44" s="21" t="str">
        <f>IF(COUNTA(N44:U44)=0,"",IF(N44="","E_MISSING_INPUT",IF(N44="TIMESTAMP",IF(OR(O44="",P44="",Q44=""),"E_MISSING_INPUT",IF(OR(NOT(ISNUMBER(O44)),NOT(ISNUMBER(P44))),"E_INVALID_DATE",IF(OR(O44&lt;&gt;INT(O44),P44&lt;0,P44&gt;=1),"E_INVALID_DATE",IF(ISNA(MATCH(Q44,nLIST_Offset,0)),"E_INVALID_UNIT","")))),IF(N44="DATE",IF(O44="","E_MISSING_INPUT",IF(NOT(ISNUMBER(O44)),"E_INVALID_DATE",IF(O44&lt;&gt;INT(O44),"E_INVALID_DATE",""))),IF(N44="MONTH",IF(OR(R44="",S44=""),"E_MISSING_INPUT",IF(OR(NOT(ISNUMBER(R44)),NOT(ISNUMBER(S44))),"E_INVALID_DATE",IF(OR(R44&lt;1900,R44&gt;9999,R44&lt;&gt;INT(R44),S44&lt;1,S44&gt;12,S44&lt;&gt;INT(S44)),"E_INVALID_DATE",""))),IF(N44="YEAR",IF(R44="","E_MISSING_INPUT",IF(NOT(ISNUMBER(R44)),"E_INVALID_DATE",IF(OR(R44&lt;1900,R44&gt;9999,R44&lt;&gt;INT(R44)),"E_INVALID_DATE",""))),IF(N44="RANGE",IF(OR(T44="",U44=""),"E_MISSING_INPUT",IF(OR(NOT(ISNUMBER(T44)),NOT(ISNUMBER(U44))),"E_INVALID_DATE",IF(OR(T44&lt;&gt;INT(T44),U44&lt;&gt;INT(U44)),"E_INVALID_DATE",IF(T44&gt;U44,"E_REVERSED_BOUNDS","")))),"E_INVALID_UNIT")))))))</f>
        <v/>
      </c>
      <c r="X44" s="22">
        <f t="shared" si="32"/>
        <v>0</v>
      </c>
      <c r="Y44" s="22">
        <f t="shared" si="33"/>
        <v>0</v>
      </c>
      <c r="Z44" s="28" t="str">
        <f t="shared" si="34"/>
        <v/>
      </c>
      <c r="AA44" s="28" t="str">
        <f t="shared" si="35"/>
        <v/>
      </c>
      <c r="AB44" s="22" t="str">
        <f t="shared" si="36"/>
        <v/>
      </c>
      <c r="AC44" s="22" t="str">
        <f t="shared" si="37"/>
        <v/>
      </c>
      <c r="AD44" s="15"/>
      <c r="AE44" s="26"/>
      <c r="AF44" s="10"/>
      <c r="AG44" s="10"/>
      <c r="AH44" s="21" t="str">
        <f>IF(COUNTA(AD44:AF44)=0,"",IF(OR(AD44="",AE44="",AF44=""),"E_MISSING_INPUT",IF(OR(NOT(ISNUMBER(AD44)),NOT(ISNUMBER(AE44))),"E_INVALID_DATE",IF(OR(AD44&lt;&gt;INT(AD44),AE44&lt;0,AE44&gt;=1),"E_INVALID_DATE",IF(ISNA(MATCH(AF44,nLIST_Offset,0)),"E_INVALID_UNIT","")))))</f>
        <v/>
      </c>
      <c r="AI44" s="22" t="str">
        <f t="shared" si="38"/>
        <v/>
      </c>
      <c r="AJ44" s="22">
        <f t="shared" si="39"/>
        <v>0</v>
      </c>
      <c r="AK44" s="22" t="str">
        <f t="shared" si="40"/>
        <v/>
      </c>
      <c r="AL44" s="21" t="str">
        <f t="shared" si="41"/>
        <v/>
      </c>
      <c r="AM44" s="22">
        <f>IF(AL44="",0,COUNTIF(nADM_Key,AL44))</f>
        <v>0</v>
      </c>
      <c r="AN44" s="21" t="str">
        <f t="shared" si="42"/>
        <v/>
      </c>
      <c r="AO44" s="22">
        <f t="shared" si="43"/>
        <v>0</v>
      </c>
      <c r="AP44" s="22">
        <f t="shared" si="44"/>
        <v>0</v>
      </c>
      <c r="AQ44" s="22">
        <f t="shared" si="45"/>
        <v>0</v>
      </c>
      <c r="AR44" s="22">
        <f t="shared" si="46"/>
        <v>0</v>
      </c>
      <c r="AS44" s="22">
        <f t="shared" si="47"/>
        <v>0</v>
      </c>
      <c r="AT44" s="21">
        <f t="shared" si="48"/>
        <v>0</v>
      </c>
      <c r="AU44" s="21">
        <f t="shared" si="49"/>
        <v>0</v>
      </c>
      <c r="AV44" s="22">
        <f t="shared" si="50"/>
        <v>0</v>
      </c>
      <c r="AW44" s="21">
        <f t="shared" si="51"/>
        <v>0</v>
      </c>
      <c r="AX44" s="22">
        <f t="shared" si="52"/>
        <v>0</v>
      </c>
      <c r="AY44" s="21">
        <f t="shared" si="53"/>
        <v>1</v>
      </c>
      <c r="AZ44" s="21">
        <f t="shared" si="54"/>
        <v>0</v>
      </c>
      <c r="BA44" s="22">
        <f t="shared" si="55"/>
        <v>0</v>
      </c>
      <c r="BB44" s="22">
        <f t="shared" si="56"/>
        <v>0</v>
      </c>
      <c r="BC44" s="22">
        <f t="shared" si="57"/>
        <v>0</v>
      </c>
      <c r="BD44" s="22">
        <f t="shared" si="58"/>
        <v>0</v>
      </c>
      <c r="BE44" s="22">
        <f t="shared" si="59"/>
        <v>0</v>
      </c>
      <c r="BF44" s="22">
        <f t="shared" si="60"/>
        <v>0</v>
      </c>
      <c r="BG44" s="22">
        <f t="shared" si="61"/>
        <v>0</v>
      </c>
      <c r="BH44" s="22">
        <f>IF(OR(E44&lt;&gt;"INFUSION_SEGMENT",BF44=0,BG44=0),0,COUNTIFS(nADM_SelKey,AN44,nADM_Kind,"INFUSION_SEGMENT",nADM_SegS_cmp,"&lt;"&amp;BG44,nADM_SegE_cmp,"&gt;"&amp;BF44)-IF(BG44&gt;BF44,1,0))</f>
        <v>0</v>
      </c>
      <c r="BI44" s="21" t="str">
        <f t="shared" si="62"/>
        <v/>
      </c>
      <c r="BJ44" s="22">
        <f>IF(C44="",1,IF(COUNTIF(nEXP_Key,AN44)&gt;0,1,0))</f>
        <v>1</v>
      </c>
      <c r="BK44" s="21" t="str">
        <f t="shared" si="63"/>
        <v/>
      </c>
      <c r="BL44" s="21" t="str">
        <f>IF(BK44="","",BK44&amp;": "&amp;SUBSTITUTE(IFERROR(INDEX(nMSG_Text,MATCH(BK44,nMSG_Code,0)),""),"[input]",IF(C44="","an Admin_ID",IF(BJ44=0,"an Exposures row for episode "&amp;D44,IF(BI44="E_MISSING_INPUT","segment start and end timestamps and a rate in mg/hour","the date fields required by the selected precision")))))</f>
        <v/>
      </c>
    </row>
    <row r="45" spans="1:64" x14ac:dyDescent="0.2">
      <c r="A45" s="10"/>
      <c r="B45" s="12"/>
      <c r="C45" s="10"/>
      <c r="D45" s="10"/>
      <c r="E45" s="17"/>
      <c r="F45" s="17"/>
      <c r="G45" s="17"/>
      <c r="H45" s="17"/>
      <c r="I45" s="17"/>
      <c r="J45" s="17"/>
      <c r="K45" s="17"/>
      <c r="L45" s="10"/>
      <c r="M45" s="10"/>
      <c r="N45" s="17"/>
      <c r="O45" s="15"/>
      <c r="P45" s="26"/>
      <c r="Q45" s="10"/>
      <c r="R45" s="12"/>
      <c r="S45" s="12"/>
      <c r="T45" s="15"/>
      <c r="U45" s="15"/>
      <c r="V45" s="10"/>
      <c r="W45" s="21" t="str">
        <f>IF(COUNTA(N45:U45)=0,"",IF(N45="","E_MISSING_INPUT",IF(N45="TIMESTAMP",IF(OR(O45="",P45="",Q45=""),"E_MISSING_INPUT",IF(OR(NOT(ISNUMBER(O45)),NOT(ISNUMBER(P45))),"E_INVALID_DATE",IF(OR(O45&lt;&gt;INT(O45),P45&lt;0,P45&gt;=1),"E_INVALID_DATE",IF(ISNA(MATCH(Q45,nLIST_Offset,0)),"E_INVALID_UNIT","")))),IF(N45="DATE",IF(O45="","E_MISSING_INPUT",IF(NOT(ISNUMBER(O45)),"E_INVALID_DATE",IF(O45&lt;&gt;INT(O45),"E_INVALID_DATE",""))),IF(N45="MONTH",IF(OR(R45="",S45=""),"E_MISSING_INPUT",IF(OR(NOT(ISNUMBER(R45)),NOT(ISNUMBER(S45))),"E_INVALID_DATE",IF(OR(R45&lt;1900,R45&gt;9999,R45&lt;&gt;INT(R45),S45&lt;1,S45&gt;12,S45&lt;&gt;INT(S45)),"E_INVALID_DATE",""))),IF(N45="YEAR",IF(R45="","E_MISSING_INPUT",IF(NOT(ISNUMBER(R45)),"E_INVALID_DATE",IF(OR(R45&lt;1900,R45&gt;9999,R45&lt;&gt;INT(R45)),"E_INVALID_DATE",""))),IF(N45="RANGE",IF(OR(T45="",U45=""),"E_MISSING_INPUT",IF(OR(NOT(ISNUMBER(T45)),NOT(ISNUMBER(U45))),"E_INVALID_DATE",IF(OR(T45&lt;&gt;INT(T45),U45&lt;&gt;INT(U45)),"E_INVALID_DATE",IF(T45&gt;U45,"E_REVERSED_BOUNDS","")))),"E_INVALID_UNIT")))))))</f>
        <v/>
      </c>
      <c r="X45" s="22">
        <f t="shared" si="32"/>
        <v>0</v>
      </c>
      <c r="Y45" s="22">
        <f t="shared" si="33"/>
        <v>0</v>
      </c>
      <c r="Z45" s="28" t="str">
        <f t="shared" si="34"/>
        <v/>
      </c>
      <c r="AA45" s="28" t="str">
        <f t="shared" si="35"/>
        <v/>
      </c>
      <c r="AB45" s="22" t="str">
        <f t="shared" si="36"/>
        <v/>
      </c>
      <c r="AC45" s="22" t="str">
        <f t="shared" si="37"/>
        <v/>
      </c>
      <c r="AD45" s="15"/>
      <c r="AE45" s="26"/>
      <c r="AF45" s="10"/>
      <c r="AG45" s="10"/>
      <c r="AH45" s="21" t="str">
        <f>IF(COUNTA(AD45:AF45)=0,"",IF(OR(AD45="",AE45="",AF45=""),"E_MISSING_INPUT",IF(OR(NOT(ISNUMBER(AD45)),NOT(ISNUMBER(AE45))),"E_INVALID_DATE",IF(OR(AD45&lt;&gt;INT(AD45),AE45&lt;0,AE45&gt;=1),"E_INVALID_DATE",IF(ISNA(MATCH(AF45,nLIST_Offset,0)),"E_INVALID_UNIT","")))))</f>
        <v/>
      </c>
      <c r="AI45" s="22" t="str">
        <f t="shared" si="38"/>
        <v/>
      </c>
      <c r="AJ45" s="22">
        <f t="shared" si="39"/>
        <v>0</v>
      </c>
      <c r="AK45" s="22" t="str">
        <f t="shared" si="40"/>
        <v/>
      </c>
      <c r="AL45" s="21" t="str">
        <f t="shared" si="41"/>
        <v/>
      </c>
      <c r="AM45" s="22">
        <f>IF(AL45="",0,COUNTIF(nADM_Key,AL45))</f>
        <v>0</v>
      </c>
      <c r="AN45" s="21" t="str">
        <f t="shared" si="42"/>
        <v/>
      </c>
      <c r="AO45" s="22">
        <f t="shared" si="43"/>
        <v>0</v>
      </c>
      <c r="AP45" s="22">
        <f t="shared" si="44"/>
        <v>0</v>
      </c>
      <c r="AQ45" s="22">
        <f t="shared" si="45"/>
        <v>0</v>
      </c>
      <c r="AR45" s="22">
        <f t="shared" si="46"/>
        <v>0</v>
      </c>
      <c r="AS45" s="22">
        <f t="shared" si="47"/>
        <v>0</v>
      </c>
      <c r="AT45" s="21">
        <f t="shared" si="48"/>
        <v>0</v>
      </c>
      <c r="AU45" s="21">
        <f t="shared" si="49"/>
        <v>0</v>
      </c>
      <c r="AV45" s="22">
        <f t="shared" si="50"/>
        <v>0</v>
      </c>
      <c r="AW45" s="21">
        <f t="shared" si="51"/>
        <v>0</v>
      </c>
      <c r="AX45" s="22">
        <f t="shared" si="52"/>
        <v>0</v>
      </c>
      <c r="AY45" s="21">
        <f t="shared" si="53"/>
        <v>1</v>
      </c>
      <c r="AZ45" s="21">
        <f t="shared" si="54"/>
        <v>0</v>
      </c>
      <c r="BA45" s="22">
        <f t="shared" si="55"/>
        <v>0</v>
      </c>
      <c r="BB45" s="22">
        <f t="shared" si="56"/>
        <v>0</v>
      </c>
      <c r="BC45" s="22">
        <f t="shared" si="57"/>
        <v>0</v>
      </c>
      <c r="BD45" s="22">
        <f t="shared" si="58"/>
        <v>0</v>
      </c>
      <c r="BE45" s="22">
        <f t="shared" si="59"/>
        <v>0</v>
      </c>
      <c r="BF45" s="22">
        <f t="shared" si="60"/>
        <v>0</v>
      </c>
      <c r="BG45" s="22">
        <f t="shared" si="61"/>
        <v>0</v>
      </c>
      <c r="BH45" s="22">
        <f>IF(OR(E45&lt;&gt;"INFUSION_SEGMENT",BF45=0,BG45=0),0,COUNTIFS(nADM_SelKey,AN45,nADM_Kind,"INFUSION_SEGMENT",nADM_SegS_cmp,"&lt;"&amp;BG45,nADM_SegE_cmp,"&gt;"&amp;BF45)-IF(BG45&gt;BF45,1,0))</f>
        <v>0</v>
      </c>
      <c r="BI45" s="21" t="str">
        <f t="shared" si="62"/>
        <v/>
      </c>
      <c r="BJ45" s="22">
        <f>IF(C45="",1,IF(COUNTIF(nEXP_Key,AN45)&gt;0,1,0))</f>
        <v>1</v>
      </c>
      <c r="BK45" s="21" t="str">
        <f t="shared" si="63"/>
        <v/>
      </c>
      <c r="BL45" s="21" t="str">
        <f>IF(BK45="","",BK45&amp;": "&amp;SUBSTITUTE(IFERROR(INDEX(nMSG_Text,MATCH(BK45,nMSG_Code,0)),""),"[input]",IF(C45="","an Admin_ID",IF(BJ45=0,"an Exposures row for episode "&amp;D45,IF(BI45="E_MISSING_INPUT","segment start and end timestamps and a rate in mg/hour","the date fields required by the selected precision")))))</f>
        <v/>
      </c>
    </row>
    <row r="46" spans="1:64" x14ac:dyDescent="0.2">
      <c r="A46" s="10"/>
      <c r="B46" s="12"/>
      <c r="C46" s="10"/>
      <c r="D46" s="10"/>
      <c r="E46" s="17"/>
      <c r="F46" s="17"/>
      <c r="G46" s="17"/>
      <c r="H46" s="17"/>
      <c r="I46" s="17"/>
      <c r="J46" s="17"/>
      <c r="K46" s="17"/>
      <c r="L46" s="10"/>
      <c r="M46" s="10"/>
      <c r="N46" s="17"/>
      <c r="O46" s="15"/>
      <c r="P46" s="26"/>
      <c r="Q46" s="10"/>
      <c r="R46" s="12"/>
      <c r="S46" s="12"/>
      <c r="T46" s="15"/>
      <c r="U46" s="15"/>
      <c r="V46" s="10"/>
      <c r="W46" s="21" t="str">
        <f>IF(COUNTA(N46:U46)=0,"",IF(N46="","E_MISSING_INPUT",IF(N46="TIMESTAMP",IF(OR(O46="",P46="",Q46=""),"E_MISSING_INPUT",IF(OR(NOT(ISNUMBER(O46)),NOT(ISNUMBER(P46))),"E_INVALID_DATE",IF(OR(O46&lt;&gt;INT(O46),P46&lt;0,P46&gt;=1),"E_INVALID_DATE",IF(ISNA(MATCH(Q46,nLIST_Offset,0)),"E_INVALID_UNIT","")))),IF(N46="DATE",IF(O46="","E_MISSING_INPUT",IF(NOT(ISNUMBER(O46)),"E_INVALID_DATE",IF(O46&lt;&gt;INT(O46),"E_INVALID_DATE",""))),IF(N46="MONTH",IF(OR(R46="",S46=""),"E_MISSING_INPUT",IF(OR(NOT(ISNUMBER(R46)),NOT(ISNUMBER(S46))),"E_INVALID_DATE",IF(OR(R46&lt;1900,R46&gt;9999,R46&lt;&gt;INT(R46),S46&lt;1,S46&gt;12,S46&lt;&gt;INT(S46)),"E_INVALID_DATE",""))),IF(N46="YEAR",IF(R46="","E_MISSING_INPUT",IF(NOT(ISNUMBER(R46)),"E_INVALID_DATE",IF(OR(R46&lt;1900,R46&gt;9999,R46&lt;&gt;INT(R46)),"E_INVALID_DATE",""))),IF(N46="RANGE",IF(OR(T46="",U46=""),"E_MISSING_INPUT",IF(OR(NOT(ISNUMBER(T46)),NOT(ISNUMBER(U46))),"E_INVALID_DATE",IF(OR(T46&lt;&gt;INT(T46),U46&lt;&gt;INT(U46)),"E_INVALID_DATE",IF(T46&gt;U46,"E_REVERSED_BOUNDS","")))),"E_INVALID_UNIT")))))))</f>
        <v/>
      </c>
      <c r="X46" s="22">
        <f t="shared" si="32"/>
        <v>0</v>
      </c>
      <c r="Y46" s="22">
        <f t="shared" si="33"/>
        <v>0</v>
      </c>
      <c r="Z46" s="28" t="str">
        <f t="shared" si="34"/>
        <v/>
      </c>
      <c r="AA46" s="28" t="str">
        <f t="shared" si="35"/>
        <v/>
      </c>
      <c r="AB46" s="22" t="str">
        <f t="shared" si="36"/>
        <v/>
      </c>
      <c r="AC46" s="22" t="str">
        <f t="shared" si="37"/>
        <v/>
      </c>
      <c r="AD46" s="15"/>
      <c r="AE46" s="26"/>
      <c r="AF46" s="10"/>
      <c r="AG46" s="10"/>
      <c r="AH46" s="21" t="str">
        <f>IF(COUNTA(AD46:AF46)=0,"",IF(OR(AD46="",AE46="",AF46=""),"E_MISSING_INPUT",IF(OR(NOT(ISNUMBER(AD46)),NOT(ISNUMBER(AE46))),"E_INVALID_DATE",IF(OR(AD46&lt;&gt;INT(AD46),AE46&lt;0,AE46&gt;=1),"E_INVALID_DATE",IF(ISNA(MATCH(AF46,nLIST_Offset,0)),"E_INVALID_UNIT","")))))</f>
        <v/>
      </c>
      <c r="AI46" s="22" t="str">
        <f t="shared" si="38"/>
        <v/>
      </c>
      <c r="AJ46" s="22">
        <f t="shared" si="39"/>
        <v>0</v>
      </c>
      <c r="AK46" s="22" t="str">
        <f t="shared" si="40"/>
        <v/>
      </c>
      <c r="AL46" s="21" t="str">
        <f t="shared" si="41"/>
        <v/>
      </c>
      <c r="AM46" s="22">
        <f>IF(AL46="",0,COUNTIF(nADM_Key,AL46))</f>
        <v>0</v>
      </c>
      <c r="AN46" s="21" t="str">
        <f t="shared" si="42"/>
        <v/>
      </c>
      <c r="AO46" s="22">
        <f t="shared" si="43"/>
        <v>0</v>
      </c>
      <c r="AP46" s="22">
        <f t="shared" si="44"/>
        <v>0</v>
      </c>
      <c r="AQ46" s="22">
        <f t="shared" si="45"/>
        <v>0</v>
      </c>
      <c r="AR46" s="22">
        <f t="shared" si="46"/>
        <v>0</v>
      </c>
      <c r="AS46" s="22">
        <f t="shared" si="47"/>
        <v>0</v>
      </c>
      <c r="AT46" s="21">
        <f t="shared" si="48"/>
        <v>0</v>
      </c>
      <c r="AU46" s="21">
        <f t="shared" si="49"/>
        <v>0</v>
      </c>
      <c r="AV46" s="22">
        <f t="shared" si="50"/>
        <v>0</v>
      </c>
      <c r="AW46" s="21">
        <f t="shared" si="51"/>
        <v>0</v>
      </c>
      <c r="AX46" s="22">
        <f t="shared" si="52"/>
        <v>0</v>
      </c>
      <c r="AY46" s="21">
        <f t="shared" si="53"/>
        <v>1</v>
      </c>
      <c r="AZ46" s="21">
        <f t="shared" si="54"/>
        <v>0</v>
      </c>
      <c r="BA46" s="22">
        <f t="shared" si="55"/>
        <v>0</v>
      </c>
      <c r="BB46" s="22">
        <f t="shared" si="56"/>
        <v>0</v>
      </c>
      <c r="BC46" s="22">
        <f t="shared" si="57"/>
        <v>0</v>
      </c>
      <c r="BD46" s="22">
        <f t="shared" si="58"/>
        <v>0</v>
      </c>
      <c r="BE46" s="22">
        <f t="shared" si="59"/>
        <v>0</v>
      </c>
      <c r="BF46" s="22">
        <f t="shared" si="60"/>
        <v>0</v>
      </c>
      <c r="BG46" s="22">
        <f t="shared" si="61"/>
        <v>0</v>
      </c>
      <c r="BH46" s="22">
        <f>IF(OR(E46&lt;&gt;"INFUSION_SEGMENT",BF46=0,BG46=0),0,COUNTIFS(nADM_SelKey,AN46,nADM_Kind,"INFUSION_SEGMENT",nADM_SegS_cmp,"&lt;"&amp;BG46,nADM_SegE_cmp,"&gt;"&amp;BF46)-IF(BG46&gt;BF46,1,0))</f>
        <v>0</v>
      </c>
      <c r="BI46" s="21" t="str">
        <f t="shared" si="62"/>
        <v/>
      </c>
      <c r="BJ46" s="22">
        <f>IF(C46="",1,IF(COUNTIF(nEXP_Key,AN46)&gt;0,1,0))</f>
        <v>1</v>
      </c>
      <c r="BK46" s="21" t="str">
        <f t="shared" si="63"/>
        <v/>
      </c>
      <c r="BL46" s="21" t="str">
        <f>IF(BK46="","",BK46&amp;": "&amp;SUBSTITUTE(IFERROR(INDEX(nMSG_Text,MATCH(BK46,nMSG_Code,0)),""),"[input]",IF(C46="","an Admin_ID",IF(BJ46=0,"an Exposures row for episode "&amp;D46,IF(BI46="E_MISSING_INPUT","segment start and end timestamps and a rate in mg/hour","the date fields required by the selected precision")))))</f>
        <v/>
      </c>
    </row>
    <row r="47" spans="1:64" x14ac:dyDescent="0.2">
      <c r="A47" s="10"/>
      <c r="B47" s="12"/>
      <c r="C47" s="10"/>
      <c r="D47" s="10"/>
      <c r="E47" s="17"/>
      <c r="F47" s="17"/>
      <c r="G47" s="17"/>
      <c r="H47" s="17"/>
      <c r="I47" s="17"/>
      <c r="J47" s="17"/>
      <c r="K47" s="17"/>
      <c r="L47" s="10"/>
      <c r="M47" s="10"/>
      <c r="N47" s="17"/>
      <c r="O47" s="15"/>
      <c r="P47" s="26"/>
      <c r="Q47" s="10"/>
      <c r="R47" s="12"/>
      <c r="S47" s="12"/>
      <c r="T47" s="15"/>
      <c r="U47" s="15"/>
      <c r="V47" s="10"/>
      <c r="W47" s="21" t="str">
        <f>IF(COUNTA(N47:U47)=0,"",IF(N47="","E_MISSING_INPUT",IF(N47="TIMESTAMP",IF(OR(O47="",P47="",Q47=""),"E_MISSING_INPUT",IF(OR(NOT(ISNUMBER(O47)),NOT(ISNUMBER(P47))),"E_INVALID_DATE",IF(OR(O47&lt;&gt;INT(O47),P47&lt;0,P47&gt;=1),"E_INVALID_DATE",IF(ISNA(MATCH(Q47,nLIST_Offset,0)),"E_INVALID_UNIT","")))),IF(N47="DATE",IF(O47="","E_MISSING_INPUT",IF(NOT(ISNUMBER(O47)),"E_INVALID_DATE",IF(O47&lt;&gt;INT(O47),"E_INVALID_DATE",""))),IF(N47="MONTH",IF(OR(R47="",S47=""),"E_MISSING_INPUT",IF(OR(NOT(ISNUMBER(R47)),NOT(ISNUMBER(S47))),"E_INVALID_DATE",IF(OR(R47&lt;1900,R47&gt;9999,R47&lt;&gt;INT(R47),S47&lt;1,S47&gt;12,S47&lt;&gt;INT(S47)),"E_INVALID_DATE",""))),IF(N47="YEAR",IF(R47="","E_MISSING_INPUT",IF(NOT(ISNUMBER(R47)),"E_INVALID_DATE",IF(OR(R47&lt;1900,R47&gt;9999,R47&lt;&gt;INT(R47)),"E_INVALID_DATE",""))),IF(N47="RANGE",IF(OR(T47="",U47=""),"E_MISSING_INPUT",IF(OR(NOT(ISNUMBER(T47)),NOT(ISNUMBER(U47))),"E_INVALID_DATE",IF(OR(T47&lt;&gt;INT(T47),U47&lt;&gt;INT(U47)),"E_INVALID_DATE",IF(T47&gt;U47,"E_REVERSED_BOUNDS","")))),"E_INVALID_UNIT")))))))</f>
        <v/>
      </c>
      <c r="X47" s="22">
        <f t="shared" si="32"/>
        <v>0</v>
      </c>
      <c r="Y47" s="22">
        <f t="shared" si="33"/>
        <v>0</v>
      </c>
      <c r="Z47" s="28" t="str">
        <f t="shared" si="34"/>
        <v/>
      </c>
      <c r="AA47" s="28" t="str">
        <f t="shared" si="35"/>
        <v/>
      </c>
      <c r="AB47" s="22" t="str">
        <f t="shared" si="36"/>
        <v/>
      </c>
      <c r="AC47" s="22" t="str">
        <f t="shared" si="37"/>
        <v/>
      </c>
      <c r="AD47" s="15"/>
      <c r="AE47" s="26"/>
      <c r="AF47" s="10"/>
      <c r="AG47" s="10"/>
      <c r="AH47" s="21" t="str">
        <f>IF(COUNTA(AD47:AF47)=0,"",IF(OR(AD47="",AE47="",AF47=""),"E_MISSING_INPUT",IF(OR(NOT(ISNUMBER(AD47)),NOT(ISNUMBER(AE47))),"E_INVALID_DATE",IF(OR(AD47&lt;&gt;INT(AD47),AE47&lt;0,AE47&gt;=1),"E_INVALID_DATE",IF(ISNA(MATCH(AF47,nLIST_Offset,0)),"E_INVALID_UNIT","")))))</f>
        <v/>
      </c>
      <c r="AI47" s="22" t="str">
        <f t="shared" si="38"/>
        <v/>
      </c>
      <c r="AJ47" s="22">
        <f t="shared" si="39"/>
        <v>0</v>
      </c>
      <c r="AK47" s="22" t="str">
        <f t="shared" si="40"/>
        <v/>
      </c>
      <c r="AL47" s="21" t="str">
        <f t="shared" si="41"/>
        <v/>
      </c>
      <c r="AM47" s="22">
        <f>IF(AL47="",0,COUNTIF(nADM_Key,AL47))</f>
        <v>0</v>
      </c>
      <c r="AN47" s="21" t="str">
        <f t="shared" si="42"/>
        <v/>
      </c>
      <c r="AO47" s="22">
        <f t="shared" si="43"/>
        <v>0</v>
      </c>
      <c r="AP47" s="22">
        <f t="shared" si="44"/>
        <v>0</v>
      </c>
      <c r="AQ47" s="22">
        <f t="shared" si="45"/>
        <v>0</v>
      </c>
      <c r="AR47" s="22">
        <f t="shared" si="46"/>
        <v>0</v>
      </c>
      <c r="AS47" s="22">
        <f t="shared" si="47"/>
        <v>0</v>
      </c>
      <c r="AT47" s="21">
        <f t="shared" si="48"/>
        <v>0</v>
      </c>
      <c r="AU47" s="21">
        <f t="shared" si="49"/>
        <v>0</v>
      </c>
      <c r="AV47" s="22">
        <f t="shared" si="50"/>
        <v>0</v>
      </c>
      <c r="AW47" s="21">
        <f t="shared" si="51"/>
        <v>0</v>
      </c>
      <c r="AX47" s="22">
        <f t="shared" si="52"/>
        <v>0</v>
      </c>
      <c r="AY47" s="21">
        <f t="shared" si="53"/>
        <v>1</v>
      </c>
      <c r="AZ47" s="21">
        <f t="shared" si="54"/>
        <v>0</v>
      </c>
      <c r="BA47" s="22">
        <f t="shared" si="55"/>
        <v>0</v>
      </c>
      <c r="BB47" s="22">
        <f t="shared" si="56"/>
        <v>0</v>
      </c>
      <c r="BC47" s="22">
        <f t="shared" si="57"/>
        <v>0</v>
      </c>
      <c r="BD47" s="22">
        <f t="shared" si="58"/>
        <v>0</v>
      </c>
      <c r="BE47" s="22">
        <f t="shared" si="59"/>
        <v>0</v>
      </c>
      <c r="BF47" s="22">
        <f t="shared" si="60"/>
        <v>0</v>
      </c>
      <c r="BG47" s="22">
        <f t="shared" si="61"/>
        <v>0</v>
      </c>
      <c r="BH47" s="22">
        <f>IF(OR(E47&lt;&gt;"INFUSION_SEGMENT",BF47=0,BG47=0),0,COUNTIFS(nADM_SelKey,AN47,nADM_Kind,"INFUSION_SEGMENT",nADM_SegS_cmp,"&lt;"&amp;BG47,nADM_SegE_cmp,"&gt;"&amp;BF47)-IF(BG47&gt;BF47,1,0))</f>
        <v>0</v>
      </c>
      <c r="BI47" s="21" t="str">
        <f t="shared" si="62"/>
        <v/>
      </c>
      <c r="BJ47" s="22">
        <f>IF(C47="",1,IF(COUNTIF(nEXP_Key,AN47)&gt;0,1,0))</f>
        <v>1</v>
      </c>
      <c r="BK47" s="21" t="str">
        <f t="shared" si="63"/>
        <v/>
      </c>
      <c r="BL47" s="21" t="str">
        <f>IF(BK47="","",BK47&amp;": "&amp;SUBSTITUTE(IFERROR(INDEX(nMSG_Text,MATCH(BK47,nMSG_Code,0)),""),"[input]",IF(C47="","an Admin_ID",IF(BJ47=0,"an Exposures row for episode "&amp;D47,IF(BI47="E_MISSING_INPUT","segment start and end timestamps and a rate in mg/hour","the date fields required by the selected precision")))))</f>
        <v/>
      </c>
    </row>
    <row r="48" spans="1:64" x14ac:dyDescent="0.2">
      <c r="A48" s="10"/>
      <c r="B48" s="12"/>
      <c r="C48" s="10"/>
      <c r="D48" s="10"/>
      <c r="E48" s="17"/>
      <c r="F48" s="17"/>
      <c r="G48" s="17"/>
      <c r="H48" s="17"/>
      <c r="I48" s="17"/>
      <c r="J48" s="17"/>
      <c r="K48" s="17"/>
      <c r="L48" s="10"/>
      <c r="M48" s="10"/>
      <c r="N48" s="17"/>
      <c r="O48" s="15"/>
      <c r="P48" s="26"/>
      <c r="Q48" s="10"/>
      <c r="R48" s="12"/>
      <c r="S48" s="12"/>
      <c r="T48" s="15"/>
      <c r="U48" s="15"/>
      <c r="V48" s="10"/>
      <c r="W48" s="21" t="str">
        <f>IF(COUNTA(N48:U48)=0,"",IF(N48="","E_MISSING_INPUT",IF(N48="TIMESTAMP",IF(OR(O48="",P48="",Q48=""),"E_MISSING_INPUT",IF(OR(NOT(ISNUMBER(O48)),NOT(ISNUMBER(P48))),"E_INVALID_DATE",IF(OR(O48&lt;&gt;INT(O48),P48&lt;0,P48&gt;=1),"E_INVALID_DATE",IF(ISNA(MATCH(Q48,nLIST_Offset,0)),"E_INVALID_UNIT","")))),IF(N48="DATE",IF(O48="","E_MISSING_INPUT",IF(NOT(ISNUMBER(O48)),"E_INVALID_DATE",IF(O48&lt;&gt;INT(O48),"E_INVALID_DATE",""))),IF(N48="MONTH",IF(OR(R48="",S48=""),"E_MISSING_INPUT",IF(OR(NOT(ISNUMBER(R48)),NOT(ISNUMBER(S48))),"E_INVALID_DATE",IF(OR(R48&lt;1900,R48&gt;9999,R48&lt;&gt;INT(R48),S48&lt;1,S48&gt;12,S48&lt;&gt;INT(S48)),"E_INVALID_DATE",""))),IF(N48="YEAR",IF(R48="","E_MISSING_INPUT",IF(NOT(ISNUMBER(R48)),"E_INVALID_DATE",IF(OR(R48&lt;1900,R48&gt;9999,R48&lt;&gt;INT(R48)),"E_INVALID_DATE",""))),IF(N48="RANGE",IF(OR(T48="",U48=""),"E_MISSING_INPUT",IF(OR(NOT(ISNUMBER(T48)),NOT(ISNUMBER(U48))),"E_INVALID_DATE",IF(OR(T48&lt;&gt;INT(T48),U48&lt;&gt;INT(U48)),"E_INVALID_DATE",IF(T48&gt;U48,"E_REVERSED_BOUNDS","")))),"E_INVALID_UNIT")))))))</f>
        <v/>
      </c>
      <c r="X48" s="22">
        <f t="shared" si="32"/>
        <v>0</v>
      </c>
      <c r="Y48" s="22">
        <f t="shared" si="33"/>
        <v>0</v>
      </c>
      <c r="Z48" s="28" t="str">
        <f t="shared" si="34"/>
        <v/>
      </c>
      <c r="AA48" s="28" t="str">
        <f t="shared" si="35"/>
        <v/>
      </c>
      <c r="AB48" s="22" t="str">
        <f t="shared" si="36"/>
        <v/>
      </c>
      <c r="AC48" s="22" t="str">
        <f t="shared" si="37"/>
        <v/>
      </c>
      <c r="AD48" s="15"/>
      <c r="AE48" s="26"/>
      <c r="AF48" s="10"/>
      <c r="AG48" s="10"/>
      <c r="AH48" s="21" t="str">
        <f>IF(COUNTA(AD48:AF48)=0,"",IF(OR(AD48="",AE48="",AF48=""),"E_MISSING_INPUT",IF(OR(NOT(ISNUMBER(AD48)),NOT(ISNUMBER(AE48))),"E_INVALID_DATE",IF(OR(AD48&lt;&gt;INT(AD48),AE48&lt;0,AE48&gt;=1),"E_INVALID_DATE",IF(ISNA(MATCH(AF48,nLIST_Offset,0)),"E_INVALID_UNIT","")))))</f>
        <v/>
      </c>
      <c r="AI48" s="22" t="str">
        <f t="shared" si="38"/>
        <v/>
      </c>
      <c r="AJ48" s="22">
        <f t="shared" si="39"/>
        <v>0</v>
      </c>
      <c r="AK48" s="22" t="str">
        <f t="shared" si="40"/>
        <v/>
      </c>
      <c r="AL48" s="21" t="str">
        <f t="shared" si="41"/>
        <v/>
      </c>
      <c r="AM48" s="22">
        <f>IF(AL48="",0,COUNTIF(nADM_Key,AL48))</f>
        <v>0</v>
      </c>
      <c r="AN48" s="21" t="str">
        <f t="shared" si="42"/>
        <v/>
      </c>
      <c r="AO48" s="22">
        <f t="shared" si="43"/>
        <v>0</v>
      </c>
      <c r="AP48" s="22">
        <f t="shared" si="44"/>
        <v>0</v>
      </c>
      <c r="AQ48" s="22">
        <f t="shared" si="45"/>
        <v>0</v>
      </c>
      <c r="AR48" s="22">
        <f t="shared" si="46"/>
        <v>0</v>
      </c>
      <c r="AS48" s="22">
        <f t="shared" si="47"/>
        <v>0</v>
      </c>
      <c r="AT48" s="21">
        <f t="shared" si="48"/>
        <v>0</v>
      </c>
      <c r="AU48" s="21">
        <f t="shared" si="49"/>
        <v>0</v>
      </c>
      <c r="AV48" s="22">
        <f t="shared" si="50"/>
        <v>0</v>
      </c>
      <c r="AW48" s="21">
        <f t="shared" si="51"/>
        <v>0</v>
      </c>
      <c r="AX48" s="22">
        <f t="shared" si="52"/>
        <v>0</v>
      </c>
      <c r="AY48" s="21">
        <f t="shared" si="53"/>
        <v>1</v>
      </c>
      <c r="AZ48" s="21">
        <f t="shared" si="54"/>
        <v>0</v>
      </c>
      <c r="BA48" s="22">
        <f t="shared" si="55"/>
        <v>0</v>
      </c>
      <c r="BB48" s="22">
        <f t="shared" si="56"/>
        <v>0</v>
      </c>
      <c r="BC48" s="22">
        <f t="shared" si="57"/>
        <v>0</v>
      </c>
      <c r="BD48" s="22">
        <f t="shared" si="58"/>
        <v>0</v>
      </c>
      <c r="BE48" s="22">
        <f t="shared" si="59"/>
        <v>0</v>
      </c>
      <c r="BF48" s="22">
        <f t="shared" si="60"/>
        <v>0</v>
      </c>
      <c r="BG48" s="22">
        <f t="shared" si="61"/>
        <v>0</v>
      </c>
      <c r="BH48" s="22">
        <f>IF(OR(E48&lt;&gt;"INFUSION_SEGMENT",BF48=0,BG48=0),0,COUNTIFS(nADM_SelKey,AN48,nADM_Kind,"INFUSION_SEGMENT",nADM_SegS_cmp,"&lt;"&amp;BG48,nADM_SegE_cmp,"&gt;"&amp;BF48)-IF(BG48&gt;BF48,1,0))</f>
        <v>0</v>
      </c>
      <c r="BI48" s="21" t="str">
        <f t="shared" si="62"/>
        <v/>
      </c>
      <c r="BJ48" s="22">
        <f>IF(C48="",1,IF(COUNTIF(nEXP_Key,AN48)&gt;0,1,0))</f>
        <v>1</v>
      </c>
      <c r="BK48" s="21" t="str">
        <f t="shared" si="63"/>
        <v/>
      </c>
      <c r="BL48" s="21" t="str">
        <f>IF(BK48="","",BK48&amp;": "&amp;SUBSTITUTE(IFERROR(INDEX(nMSG_Text,MATCH(BK48,nMSG_Code,0)),""),"[input]",IF(C48="","an Admin_ID",IF(BJ48=0,"an Exposures row for episode "&amp;D48,IF(BI48="E_MISSING_INPUT","segment start and end timestamps and a rate in mg/hour","the date fields required by the selected precision")))))</f>
        <v/>
      </c>
    </row>
    <row r="49" spans="1:64" x14ac:dyDescent="0.2">
      <c r="A49" s="10"/>
      <c r="B49" s="12"/>
      <c r="C49" s="10"/>
      <c r="D49" s="10"/>
      <c r="E49" s="17"/>
      <c r="F49" s="17"/>
      <c r="G49" s="17"/>
      <c r="H49" s="17"/>
      <c r="I49" s="17"/>
      <c r="J49" s="17"/>
      <c r="K49" s="17"/>
      <c r="L49" s="10"/>
      <c r="M49" s="10"/>
      <c r="N49" s="17"/>
      <c r="O49" s="15"/>
      <c r="P49" s="26"/>
      <c r="Q49" s="10"/>
      <c r="R49" s="12"/>
      <c r="S49" s="12"/>
      <c r="T49" s="15"/>
      <c r="U49" s="15"/>
      <c r="V49" s="10"/>
      <c r="W49" s="21" t="str">
        <f>IF(COUNTA(N49:U49)=0,"",IF(N49="","E_MISSING_INPUT",IF(N49="TIMESTAMP",IF(OR(O49="",P49="",Q49=""),"E_MISSING_INPUT",IF(OR(NOT(ISNUMBER(O49)),NOT(ISNUMBER(P49))),"E_INVALID_DATE",IF(OR(O49&lt;&gt;INT(O49),P49&lt;0,P49&gt;=1),"E_INVALID_DATE",IF(ISNA(MATCH(Q49,nLIST_Offset,0)),"E_INVALID_UNIT","")))),IF(N49="DATE",IF(O49="","E_MISSING_INPUT",IF(NOT(ISNUMBER(O49)),"E_INVALID_DATE",IF(O49&lt;&gt;INT(O49),"E_INVALID_DATE",""))),IF(N49="MONTH",IF(OR(R49="",S49=""),"E_MISSING_INPUT",IF(OR(NOT(ISNUMBER(R49)),NOT(ISNUMBER(S49))),"E_INVALID_DATE",IF(OR(R49&lt;1900,R49&gt;9999,R49&lt;&gt;INT(R49),S49&lt;1,S49&gt;12,S49&lt;&gt;INT(S49)),"E_INVALID_DATE",""))),IF(N49="YEAR",IF(R49="","E_MISSING_INPUT",IF(NOT(ISNUMBER(R49)),"E_INVALID_DATE",IF(OR(R49&lt;1900,R49&gt;9999,R49&lt;&gt;INT(R49)),"E_INVALID_DATE",""))),IF(N49="RANGE",IF(OR(T49="",U49=""),"E_MISSING_INPUT",IF(OR(NOT(ISNUMBER(T49)),NOT(ISNUMBER(U49))),"E_INVALID_DATE",IF(OR(T49&lt;&gt;INT(T49),U49&lt;&gt;INT(U49)),"E_INVALID_DATE",IF(T49&gt;U49,"E_REVERSED_BOUNDS","")))),"E_INVALID_UNIT")))))))</f>
        <v/>
      </c>
      <c r="X49" s="22">
        <f t="shared" si="32"/>
        <v>0</v>
      </c>
      <c r="Y49" s="22">
        <f t="shared" si="33"/>
        <v>0</v>
      </c>
      <c r="Z49" s="28" t="str">
        <f t="shared" si="34"/>
        <v/>
      </c>
      <c r="AA49" s="28" t="str">
        <f t="shared" si="35"/>
        <v/>
      </c>
      <c r="AB49" s="22" t="str">
        <f t="shared" si="36"/>
        <v/>
      </c>
      <c r="AC49" s="22" t="str">
        <f t="shared" si="37"/>
        <v/>
      </c>
      <c r="AD49" s="15"/>
      <c r="AE49" s="26"/>
      <c r="AF49" s="10"/>
      <c r="AG49" s="10"/>
      <c r="AH49" s="21" t="str">
        <f>IF(COUNTA(AD49:AF49)=0,"",IF(OR(AD49="",AE49="",AF49=""),"E_MISSING_INPUT",IF(OR(NOT(ISNUMBER(AD49)),NOT(ISNUMBER(AE49))),"E_INVALID_DATE",IF(OR(AD49&lt;&gt;INT(AD49),AE49&lt;0,AE49&gt;=1),"E_INVALID_DATE",IF(ISNA(MATCH(AF49,nLIST_Offset,0)),"E_INVALID_UNIT","")))))</f>
        <v/>
      </c>
      <c r="AI49" s="22" t="str">
        <f t="shared" si="38"/>
        <v/>
      </c>
      <c r="AJ49" s="22">
        <f t="shared" si="39"/>
        <v>0</v>
      </c>
      <c r="AK49" s="22" t="str">
        <f t="shared" si="40"/>
        <v/>
      </c>
      <c r="AL49" s="21" t="str">
        <f t="shared" si="41"/>
        <v/>
      </c>
      <c r="AM49" s="22">
        <f>IF(AL49="",0,COUNTIF(nADM_Key,AL49))</f>
        <v>0</v>
      </c>
      <c r="AN49" s="21" t="str">
        <f t="shared" si="42"/>
        <v/>
      </c>
      <c r="AO49" s="22">
        <f t="shared" si="43"/>
        <v>0</v>
      </c>
      <c r="AP49" s="22">
        <f t="shared" si="44"/>
        <v>0</v>
      </c>
      <c r="AQ49" s="22">
        <f t="shared" si="45"/>
        <v>0</v>
      </c>
      <c r="AR49" s="22">
        <f t="shared" si="46"/>
        <v>0</v>
      </c>
      <c r="AS49" s="22">
        <f t="shared" si="47"/>
        <v>0</v>
      </c>
      <c r="AT49" s="21">
        <f t="shared" si="48"/>
        <v>0</v>
      </c>
      <c r="AU49" s="21">
        <f t="shared" si="49"/>
        <v>0</v>
      </c>
      <c r="AV49" s="22">
        <f t="shared" si="50"/>
        <v>0</v>
      </c>
      <c r="AW49" s="21">
        <f t="shared" si="51"/>
        <v>0</v>
      </c>
      <c r="AX49" s="22">
        <f t="shared" si="52"/>
        <v>0</v>
      </c>
      <c r="AY49" s="21">
        <f t="shared" si="53"/>
        <v>1</v>
      </c>
      <c r="AZ49" s="21">
        <f t="shared" si="54"/>
        <v>0</v>
      </c>
      <c r="BA49" s="22">
        <f t="shared" si="55"/>
        <v>0</v>
      </c>
      <c r="BB49" s="22">
        <f t="shared" si="56"/>
        <v>0</v>
      </c>
      <c r="BC49" s="22">
        <f t="shared" si="57"/>
        <v>0</v>
      </c>
      <c r="BD49" s="22">
        <f t="shared" si="58"/>
        <v>0</v>
      </c>
      <c r="BE49" s="22">
        <f t="shared" si="59"/>
        <v>0</v>
      </c>
      <c r="BF49" s="22">
        <f t="shared" si="60"/>
        <v>0</v>
      </c>
      <c r="BG49" s="22">
        <f t="shared" si="61"/>
        <v>0</v>
      </c>
      <c r="BH49" s="22">
        <f>IF(OR(E49&lt;&gt;"INFUSION_SEGMENT",BF49=0,BG49=0),0,COUNTIFS(nADM_SelKey,AN49,nADM_Kind,"INFUSION_SEGMENT",nADM_SegS_cmp,"&lt;"&amp;BG49,nADM_SegE_cmp,"&gt;"&amp;BF49)-IF(BG49&gt;BF49,1,0))</f>
        <v>0</v>
      </c>
      <c r="BI49" s="21" t="str">
        <f t="shared" si="62"/>
        <v/>
      </c>
      <c r="BJ49" s="22">
        <f>IF(C49="",1,IF(COUNTIF(nEXP_Key,AN49)&gt;0,1,0))</f>
        <v>1</v>
      </c>
      <c r="BK49" s="21" t="str">
        <f t="shared" si="63"/>
        <v/>
      </c>
      <c r="BL49" s="21" t="str">
        <f>IF(BK49="","",BK49&amp;": "&amp;SUBSTITUTE(IFERROR(INDEX(nMSG_Text,MATCH(BK49,nMSG_Code,0)),""),"[input]",IF(C49="","an Admin_ID",IF(BJ49=0,"an Exposures row for episode "&amp;D49,IF(BI49="E_MISSING_INPUT","segment start and end timestamps and a rate in mg/hour","the date fields required by the selected precision")))))</f>
        <v/>
      </c>
    </row>
    <row r="50" spans="1:64" x14ac:dyDescent="0.2">
      <c r="A50" s="10"/>
      <c r="B50" s="12"/>
      <c r="C50" s="10"/>
      <c r="D50" s="10"/>
      <c r="E50" s="17"/>
      <c r="F50" s="17"/>
      <c r="G50" s="17"/>
      <c r="H50" s="17"/>
      <c r="I50" s="17"/>
      <c r="J50" s="17"/>
      <c r="K50" s="17"/>
      <c r="L50" s="10"/>
      <c r="M50" s="10"/>
      <c r="N50" s="17"/>
      <c r="O50" s="15"/>
      <c r="P50" s="26"/>
      <c r="Q50" s="10"/>
      <c r="R50" s="12"/>
      <c r="S50" s="12"/>
      <c r="T50" s="15"/>
      <c r="U50" s="15"/>
      <c r="V50" s="10"/>
      <c r="W50" s="21" t="str">
        <f>IF(COUNTA(N50:U50)=0,"",IF(N50="","E_MISSING_INPUT",IF(N50="TIMESTAMP",IF(OR(O50="",P50="",Q50=""),"E_MISSING_INPUT",IF(OR(NOT(ISNUMBER(O50)),NOT(ISNUMBER(P50))),"E_INVALID_DATE",IF(OR(O50&lt;&gt;INT(O50),P50&lt;0,P50&gt;=1),"E_INVALID_DATE",IF(ISNA(MATCH(Q50,nLIST_Offset,0)),"E_INVALID_UNIT","")))),IF(N50="DATE",IF(O50="","E_MISSING_INPUT",IF(NOT(ISNUMBER(O50)),"E_INVALID_DATE",IF(O50&lt;&gt;INT(O50),"E_INVALID_DATE",""))),IF(N50="MONTH",IF(OR(R50="",S50=""),"E_MISSING_INPUT",IF(OR(NOT(ISNUMBER(R50)),NOT(ISNUMBER(S50))),"E_INVALID_DATE",IF(OR(R50&lt;1900,R50&gt;9999,R50&lt;&gt;INT(R50),S50&lt;1,S50&gt;12,S50&lt;&gt;INT(S50)),"E_INVALID_DATE",""))),IF(N50="YEAR",IF(R50="","E_MISSING_INPUT",IF(NOT(ISNUMBER(R50)),"E_INVALID_DATE",IF(OR(R50&lt;1900,R50&gt;9999,R50&lt;&gt;INT(R50)),"E_INVALID_DATE",""))),IF(N50="RANGE",IF(OR(T50="",U50=""),"E_MISSING_INPUT",IF(OR(NOT(ISNUMBER(T50)),NOT(ISNUMBER(U50))),"E_INVALID_DATE",IF(OR(T50&lt;&gt;INT(T50),U50&lt;&gt;INT(U50)),"E_INVALID_DATE",IF(T50&gt;U50,"E_REVERSED_BOUNDS","")))),"E_INVALID_UNIT")))))))</f>
        <v/>
      </c>
      <c r="X50" s="22">
        <f t="shared" si="32"/>
        <v>0</v>
      </c>
      <c r="Y50" s="22">
        <f t="shared" si="33"/>
        <v>0</v>
      </c>
      <c r="Z50" s="28" t="str">
        <f t="shared" si="34"/>
        <v/>
      </c>
      <c r="AA50" s="28" t="str">
        <f t="shared" si="35"/>
        <v/>
      </c>
      <c r="AB50" s="22" t="str">
        <f t="shared" si="36"/>
        <v/>
      </c>
      <c r="AC50" s="22" t="str">
        <f t="shared" si="37"/>
        <v/>
      </c>
      <c r="AD50" s="15"/>
      <c r="AE50" s="26"/>
      <c r="AF50" s="10"/>
      <c r="AG50" s="10"/>
      <c r="AH50" s="21" t="str">
        <f>IF(COUNTA(AD50:AF50)=0,"",IF(OR(AD50="",AE50="",AF50=""),"E_MISSING_INPUT",IF(OR(NOT(ISNUMBER(AD50)),NOT(ISNUMBER(AE50))),"E_INVALID_DATE",IF(OR(AD50&lt;&gt;INT(AD50),AE50&lt;0,AE50&gt;=1),"E_INVALID_DATE",IF(ISNA(MATCH(AF50,nLIST_Offset,0)),"E_INVALID_UNIT","")))))</f>
        <v/>
      </c>
      <c r="AI50" s="22" t="str">
        <f t="shared" si="38"/>
        <v/>
      </c>
      <c r="AJ50" s="22">
        <f t="shared" si="39"/>
        <v>0</v>
      </c>
      <c r="AK50" s="22" t="str">
        <f t="shared" si="40"/>
        <v/>
      </c>
      <c r="AL50" s="21" t="str">
        <f t="shared" si="41"/>
        <v/>
      </c>
      <c r="AM50" s="22">
        <f>IF(AL50="",0,COUNTIF(nADM_Key,AL50))</f>
        <v>0</v>
      </c>
      <c r="AN50" s="21" t="str">
        <f t="shared" si="42"/>
        <v/>
      </c>
      <c r="AO50" s="22">
        <f t="shared" si="43"/>
        <v>0</v>
      </c>
      <c r="AP50" s="22">
        <f t="shared" si="44"/>
        <v>0</v>
      </c>
      <c r="AQ50" s="22">
        <f t="shared" si="45"/>
        <v>0</v>
      </c>
      <c r="AR50" s="22">
        <f t="shared" si="46"/>
        <v>0</v>
      </c>
      <c r="AS50" s="22">
        <f t="shared" si="47"/>
        <v>0</v>
      </c>
      <c r="AT50" s="21">
        <f t="shared" si="48"/>
        <v>0</v>
      </c>
      <c r="AU50" s="21">
        <f t="shared" si="49"/>
        <v>0</v>
      </c>
      <c r="AV50" s="22">
        <f t="shared" si="50"/>
        <v>0</v>
      </c>
      <c r="AW50" s="21">
        <f t="shared" si="51"/>
        <v>0</v>
      </c>
      <c r="AX50" s="22">
        <f t="shared" si="52"/>
        <v>0</v>
      </c>
      <c r="AY50" s="21">
        <f t="shared" si="53"/>
        <v>1</v>
      </c>
      <c r="AZ50" s="21">
        <f t="shared" si="54"/>
        <v>0</v>
      </c>
      <c r="BA50" s="22">
        <f t="shared" si="55"/>
        <v>0</v>
      </c>
      <c r="BB50" s="22">
        <f t="shared" si="56"/>
        <v>0</v>
      </c>
      <c r="BC50" s="22">
        <f t="shared" si="57"/>
        <v>0</v>
      </c>
      <c r="BD50" s="22">
        <f t="shared" si="58"/>
        <v>0</v>
      </c>
      <c r="BE50" s="22">
        <f t="shared" si="59"/>
        <v>0</v>
      </c>
      <c r="BF50" s="22">
        <f t="shared" si="60"/>
        <v>0</v>
      </c>
      <c r="BG50" s="22">
        <f t="shared" si="61"/>
        <v>0</v>
      </c>
      <c r="BH50" s="22">
        <f>IF(OR(E50&lt;&gt;"INFUSION_SEGMENT",BF50=0,BG50=0),0,COUNTIFS(nADM_SelKey,AN50,nADM_Kind,"INFUSION_SEGMENT",nADM_SegS_cmp,"&lt;"&amp;BG50,nADM_SegE_cmp,"&gt;"&amp;BF50)-IF(BG50&gt;BF50,1,0))</f>
        <v>0</v>
      </c>
      <c r="BI50" s="21" t="str">
        <f t="shared" si="62"/>
        <v/>
      </c>
      <c r="BJ50" s="22">
        <f>IF(C50="",1,IF(COUNTIF(nEXP_Key,AN50)&gt;0,1,0))</f>
        <v>1</v>
      </c>
      <c r="BK50" s="21" t="str">
        <f t="shared" si="63"/>
        <v/>
      </c>
      <c r="BL50" s="21" t="str">
        <f>IF(BK50="","",BK50&amp;": "&amp;SUBSTITUTE(IFERROR(INDEX(nMSG_Text,MATCH(BK50,nMSG_Code,0)),""),"[input]",IF(C50="","an Admin_ID",IF(BJ50=0,"an Exposures row for episode "&amp;D50,IF(BI50="E_MISSING_INPUT","segment start and end timestamps and a rate in mg/hour","the date fields required by the selected precision")))))</f>
        <v/>
      </c>
    </row>
    <row r="51" spans="1:64" x14ac:dyDescent="0.2">
      <c r="A51" s="10"/>
      <c r="B51" s="12"/>
      <c r="C51" s="10"/>
      <c r="D51" s="10"/>
      <c r="E51" s="17"/>
      <c r="F51" s="17"/>
      <c r="G51" s="17"/>
      <c r="H51" s="17"/>
      <c r="I51" s="17"/>
      <c r="J51" s="17"/>
      <c r="K51" s="17"/>
      <c r="L51" s="10"/>
      <c r="M51" s="10"/>
      <c r="N51" s="17"/>
      <c r="O51" s="15"/>
      <c r="P51" s="26"/>
      <c r="Q51" s="10"/>
      <c r="R51" s="12"/>
      <c r="S51" s="12"/>
      <c r="T51" s="15"/>
      <c r="U51" s="15"/>
      <c r="V51" s="10"/>
      <c r="W51" s="21" t="str">
        <f>IF(COUNTA(N51:U51)=0,"",IF(N51="","E_MISSING_INPUT",IF(N51="TIMESTAMP",IF(OR(O51="",P51="",Q51=""),"E_MISSING_INPUT",IF(OR(NOT(ISNUMBER(O51)),NOT(ISNUMBER(P51))),"E_INVALID_DATE",IF(OR(O51&lt;&gt;INT(O51),P51&lt;0,P51&gt;=1),"E_INVALID_DATE",IF(ISNA(MATCH(Q51,nLIST_Offset,0)),"E_INVALID_UNIT","")))),IF(N51="DATE",IF(O51="","E_MISSING_INPUT",IF(NOT(ISNUMBER(O51)),"E_INVALID_DATE",IF(O51&lt;&gt;INT(O51),"E_INVALID_DATE",""))),IF(N51="MONTH",IF(OR(R51="",S51=""),"E_MISSING_INPUT",IF(OR(NOT(ISNUMBER(R51)),NOT(ISNUMBER(S51))),"E_INVALID_DATE",IF(OR(R51&lt;1900,R51&gt;9999,R51&lt;&gt;INT(R51),S51&lt;1,S51&gt;12,S51&lt;&gt;INT(S51)),"E_INVALID_DATE",""))),IF(N51="YEAR",IF(R51="","E_MISSING_INPUT",IF(NOT(ISNUMBER(R51)),"E_INVALID_DATE",IF(OR(R51&lt;1900,R51&gt;9999,R51&lt;&gt;INT(R51)),"E_INVALID_DATE",""))),IF(N51="RANGE",IF(OR(T51="",U51=""),"E_MISSING_INPUT",IF(OR(NOT(ISNUMBER(T51)),NOT(ISNUMBER(U51))),"E_INVALID_DATE",IF(OR(T51&lt;&gt;INT(T51),U51&lt;&gt;INT(U51)),"E_INVALID_DATE",IF(T51&gt;U51,"E_REVERSED_BOUNDS","")))),"E_INVALID_UNIT")))))))</f>
        <v/>
      </c>
      <c r="X51" s="22">
        <f t="shared" si="32"/>
        <v>0</v>
      </c>
      <c r="Y51" s="22">
        <f t="shared" si="33"/>
        <v>0</v>
      </c>
      <c r="Z51" s="28" t="str">
        <f t="shared" si="34"/>
        <v/>
      </c>
      <c r="AA51" s="28" t="str">
        <f t="shared" si="35"/>
        <v/>
      </c>
      <c r="AB51" s="22" t="str">
        <f t="shared" si="36"/>
        <v/>
      </c>
      <c r="AC51" s="22" t="str">
        <f t="shared" si="37"/>
        <v/>
      </c>
      <c r="AD51" s="15"/>
      <c r="AE51" s="26"/>
      <c r="AF51" s="10"/>
      <c r="AG51" s="10"/>
      <c r="AH51" s="21" t="str">
        <f>IF(COUNTA(AD51:AF51)=0,"",IF(OR(AD51="",AE51="",AF51=""),"E_MISSING_INPUT",IF(OR(NOT(ISNUMBER(AD51)),NOT(ISNUMBER(AE51))),"E_INVALID_DATE",IF(OR(AD51&lt;&gt;INT(AD51),AE51&lt;0,AE51&gt;=1),"E_INVALID_DATE",IF(ISNA(MATCH(AF51,nLIST_Offset,0)),"E_INVALID_UNIT","")))))</f>
        <v/>
      </c>
      <c r="AI51" s="22" t="str">
        <f t="shared" si="38"/>
        <v/>
      </c>
      <c r="AJ51" s="22">
        <f t="shared" si="39"/>
        <v>0</v>
      </c>
      <c r="AK51" s="22" t="str">
        <f t="shared" si="40"/>
        <v/>
      </c>
      <c r="AL51" s="21" t="str">
        <f t="shared" si="41"/>
        <v/>
      </c>
      <c r="AM51" s="22">
        <f>IF(AL51="",0,COUNTIF(nADM_Key,AL51))</f>
        <v>0</v>
      </c>
      <c r="AN51" s="21" t="str">
        <f t="shared" si="42"/>
        <v/>
      </c>
      <c r="AO51" s="22">
        <f t="shared" si="43"/>
        <v>0</v>
      </c>
      <c r="AP51" s="22">
        <f t="shared" si="44"/>
        <v>0</v>
      </c>
      <c r="AQ51" s="22">
        <f t="shared" si="45"/>
        <v>0</v>
      </c>
      <c r="AR51" s="22">
        <f t="shared" si="46"/>
        <v>0</v>
      </c>
      <c r="AS51" s="22">
        <f t="shared" si="47"/>
        <v>0</v>
      </c>
      <c r="AT51" s="21">
        <f t="shared" si="48"/>
        <v>0</v>
      </c>
      <c r="AU51" s="21">
        <f t="shared" si="49"/>
        <v>0</v>
      </c>
      <c r="AV51" s="22">
        <f t="shared" si="50"/>
        <v>0</v>
      </c>
      <c r="AW51" s="21">
        <f t="shared" si="51"/>
        <v>0</v>
      </c>
      <c r="AX51" s="22">
        <f t="shared" si="52"/>
        <v>0</v>
      </c>
      <c r="AY51" s="21">
        <f t="shared" si="53"/>
        <v>1</v>
      </c>
      <c r="AZ51" s="21">
        <f t="shared" si="54"/>
        <v>0</v>
      </c>
      <c r="BA51" s="22">
        <f t="shared" si="55"/>
        <v>0</v>
      </c>
      <c r="BB51" s="22">
        <f t="shared" si="56"/>
        <v>0</v>
      </c>
      <c r="BC51" s="22">
        <f t="shared" si="57"/>
        <v>0</v>
      </c>
      <c r="BD51" s="22">
        <f t="shared" si="58"/>
        <v>0</v>
      </c>
      <c r="BE51" s="22">
        <f t="shared" si="59"/>
        <v>0</v>
      </c>
      <c r="BF51" s="22">
        <f t="shared" si="60"/>
        <v>0</v>
      </c>
      <c r="BG51" s="22">
        <f t="shared" si="61"/>
        <v>0</v>
      </c>
      <c r="BH51" s="22">
        <f>IF(OR(E51&lt;&gt;"INFUSION_SEGMENT",BF51=0,BG51=0),0,COUNTIFS(nADM_SelKey,AN51,nADM_Kind,"INFUSION_SEGMENT",nADM_SegS_cmp,"&lt;"&amp;BG51,nADM_SegE_cmp,"&gt;"&amp;BF51)-IF(BG51&gt;BF51,1,0))</f>
        <v>0</v>
      </c>
      <c r="BI51" s="21" t="str">
        <f t="shared" si="62"/>
        <v/>
      </c>
      <c r="BJ51" s="22">
        <f>IF(C51="",1,IF(COUNTIF(nEXP_Key,AN51)&gt;0,1,0))</f>
        <v>1</v>
      </c>
      <c r="BK51" s="21" t="str">
        <f t="shared" si="63"/>
        <v/>
      </c>
      <c r="BL51" s="21" t="str">
        <f>IF(BK51="","",BK51&amp;": "&amp;SUBSTITUTE(IFERROR(INDEX(nMSG_Text,MATCH(BK51,nMSG_Code,0)),""),"[input]",IF(C51="","an Admin_ID",IF(BJ51=0,"an Exposures row for episode "&amp;D51,IF(BI51="E_MISSING_INPUT","segment start and end timestamps and a rate in mg/hour","the date fields required by the selected precision")))))</f>
        <v/>
      </c>
    </row>
    <row r="52" spans="1:64" x14ac:dyDescent="0.2">
      <c r="A52" s="10"/>
      <c r="B52" s="12"/>
      <c r="C52" s="10"/>
      <c r="D52" s="10"/>
      <c r="E52" s="17"/>
      <c r="F52" s="17"/>
      <c r="G52" s="17"/>
      <c r="H52" s="17"/>
      <c r="I52" s="17"/>
      <c r="J52" s="17"/>
      <c r="K52" s="17"/>
      <c r="L52" s="10"/>
      <c r="M52" s="10"/>
      <c r="N52" s="17"/>
      <c r="O52" s="15"/>
      <c r="P52" s="26"/>
      <c r="Q52" s="10"/>
      <c r="R52" s="12"/>
      <c r="S52" s="12"/>
      <c r="T52" s="15"/>
      <c r="U52" s="15"/>
      <c r="V52" s="10"/>
      <c r="W52" s="21" t="str">
        <f>IF(COUNTA(N52:U52)=0,"",IF(N52="","E_MISSING_INPUT",IF(N52="TIMESTAMP",IF(OR(O52="",P52="",Q52=""),"E_MISSING_INPUT",IF(OR(NOT(ISNUMBER(O52)),NOT(ISNUMBER(P52))),"E_INVALID_DATE",IF(OR(O52&lt;&gt;INT(O52),P52&lt;0,P52&gt;=1),"E_INVALID_DATE",IF(ISNA(MATCH(Q52,nLIST_Offset,0)),"E_INVALID_UNIT","")))),IF(N52="DATE",IF(O52="","E_MISSING_INPUT",IF(NOT(ISNUMBER(O52)),"E_INVALID_DATE",IF(O52&lt;&gt;INT(O52),"E_INVALID_DATE",""))),IF(N52="MONTH",IF(OR(R52="",S52=""),"E_MISSING_INPUT",IF(OR(NOT(ISNUMBER(R52)),NOT(ISNUMBER(S52))),"E_INVALID_DATE",IF(OR(R52&lt;1900,R52&gt;9999,R52&lt;&gt;INT(R52),S52&lt;1,S52&gt;12,S52&lt;&gt;INT(S52)),"E_INVALID_DATE",""))),IF(N52="YEAR",IF(R52="","E_MISSING_INPUT",IF(NOT(ISNUMBER(R52)),"E_INVALID_DATE",IF(OR(R52&lt;1900,R52&gt;9999,R52&lt;&gt;INT(R52)),"E_INVALID_DATE",""))),IF(N52="RANGE",IF(OR(T52="",U52=""),"E_MISSING_INPUT",IF(OR(NOT(ISNUMBER(T52)),NOT(ISNUMBER(U52))),"E_INVALID_DATE",IF(OR(T52&lt;&gt;INT(T52),U52&lt;&gt;INT(U52)),"E_INVALID_DATE",IF(T52&gt;U52,"E_REVERSED_BOUNDS","")))),"E_INVALID_UNIT")))))))</f>
        <v/>
      </c>
      <c r="X52" s="22">
        <f t="shared" si="32"/>
        <v>0</v>
      </c>
      <c r="Y52" s="22">
        <f t="shared" si="33"/>
        <v>0</v>
      </c>
      <c r="Z52" s="28" t="str">
        <f t="shared" si="34"/>
        <v/>
      </c>
      <c r="AA52" s="28" t="str">
        <f t="shared" si="35"/>
        <v/>
      </c>
      <c r="AB52" s="22" t="str">
        <f t="shared" si="36"/>
        <v/>
      </c>
      <c r="AC52" s="22" t="str">
        <f t="shared" si="37"/>
        <v/>
      </c>
      <c r="AD52" s="15"/>
      <c r="AE52" s="26"/>
      <c r="AF52" s="10"/>
      <c r="AG52" s="10"/>
      <c r="AH52" s="21" t="str">
        <f>IF(COUNTA(AD52:AF52)=0,"",IF(OR(AD52="",AE52="",AF52=""),"E_MISSING_INPUT",IF(OR(NOT(ISNUMBER(AD52)),NOT(ISNUMBER(AE52))),"E_INVALID_DATE",IF(OR(AD52&lt;&gt;INT(AD52),AE52&lt;0,AE52&gt;=1),"E_INVALID_DATE",IF(ISNA(MATCH(AF52,nLIST_Offset,0)),"E_INVALID_UNIT","")))))</f>
        <v/>
      </c>
      <c r="AI52" s="22" t="str">
        <f t="shared" si="38"/>
        <v/>
      </c>
      <c r="AJ52" s="22">
        <f t="shared" si="39"/>
        <v>0</v>
      </c>
      <c r="AK52" s="22" t="str">
        <f t="shared" si="40"/>
        <v/>
      </c>
      <c r="AL52" s="21" t="str">
        <f t="shared" si="41"/>
        <v/>
      </c>
      <c r="AM52" s="22">
        <f>IF(AL52="",0,COUNTIF(nADM_Key,AL52))</f>
        <v>0</v>
      </c>
      <c r="AN52" s="21" t="str">
        <f t="shared" si="42"/>
        <v/>
      </c>
      <c r="AO52" s="22">
        <f t="shared" si="43"/>
        <v>0</v>
      </c>
      <c r="AP52" s="22">
        <f t="shared" si="44"/>
        <v>0</v>
      </c>
      <c r="AQ52" s="22">
        <f t="shared" si="45"/>
        <v>0</v>
      </c>
      <c r="AR52" s="22">
        <f t="shared" si="46"/>
        <v>0</v>
      </c>
      <c r="AS52" s="22">
        <f t="shared" si="47"/>
        <v>0</v>
      </c>
      <c r="AT52" s="21">
        <f t="shared" si="48"/>
        <v>0</v>
      </c>
      <c r="AU52" s="21">
        <f t="shared" si="49"/>
        <v>0</v>
      </c>
      <c r="AV52" s="22">
        <f t="shared" si="50"/>
        <v>0</v>
      </c>
      <c r="AW52" s="21">
        <f t="shared" si="51"/>
        <v>0</v>
      </c>
      <c r="AX52" s="22">
        <f t="shared" si="52"/>
        <v>0</v>
      </c>
      <c r="AY52" s="21">
        <f t="shared" si="53"/>
        <v>1</v>
      </c>
      <c r="AZ52" s="21">
        <f t="shared" si="54"/>
        <v>0</v>
      </c>
      <c r="BA52" s="22">
        <f t="shared" si="55"/>
        <v>0</v>
      </c>
      <c r="BB52" s="22">
        <f t="shared" si="56"/>
        <v>0</v>
      </c>
      <c r="BC52" s="22">
        <f t="shared" si="57"/>
        <v>0</v>
      </c>
      <c r="BD52" s="22">
        <f t="shared" si="58"/>
        <v>0</v>
      </c>
      <c r="BE52" s="22">
        <f t="shared" si="59"/>
        <v>0</v>
      </c>
      <c r="BF52" s="22">
        <f t="shared" si="60"/>
        <v>0</v>
      </c>
      <c r="BG52" s="22">
        <f t="shared" si="61"/>
        <v>0</v>
      </c>
      <c r="BH52" s="22">
        <f>IF(OR(E52&lt;&gt;"INFUSION_SEGMENT",BF52=0,BG52=0),0,COUNTIFS(nADM_SelKey,AN52,nADM_Kind,"INFUSION_SEGMENT",nADM_SegS_cmp,"&lt;"&amp;BG52,nADM_SegE_cmp,"&gt;"&amp;BF52)-IF(BG52&gt;BF52,1,0))</f>
        <v>0</v>
      </c>
      <c r="BI52" s="21" t="str">
        <f t="shared" si="62"/>
        <v/>
      </c>
      <c r="BJ52" s="22">
        <f>IF(C52="",1,IF(COUNTIF(nEXP_Key,AN52)&gt;0,1,0))</f>
        <v>1</v>
      </c>
      <c r="BK52" s="21" t="str">
        <f t="shared" si="63"/>
        <v/>
      </c>
      <c r="BL52" s="21" t="str">
        <f>IF(BK52="","",BK52&amp;": "&amp;SUBSTITUTE(IFERROR(INDEX(nMSG_Text,MATCH(BK52,nMSG_Code,0)),""),"[input]",IF(C52="","an Admin_ID",IF(BJ52=0,"an Exposures row for episode "&amp;D52,IF(BI52="E_MISSING_INPUT","segment start and end timestamps and a rate in mg/hour","the date fields required by the selected precision")))))</f>
        <v/>
      </c>
    </row>
    <row r="53" spans="1:64" x14ac:dyDescent="0.2">
      <c r="A53" s="10"/>
      <c r="B53" s="12"/>
      <c r="C53" s="10"/>
      <c r="D53" s="10"/>
      <c r="E53" s="17"/>
      <c r="F53" s="17"/>
      <c r="G53" s="17"/>
      <c r="H53" s="17"/>
      <c r="I53" s="17"/>
      <c r="J53" s="17"/>
      <c r="K53" s="17"/>
      <c r="L53" s="10"/>
      <c r="M53" s="10"/>
      <c r="N53" s="17"/>
      <c r="O53" s="15"/>
      <c r="P53" s="26"/>
      <c r="Q53" s="10"/>
      <c r="R53" s="12"/>
      <c r="S53" s="12"/>
      <c r="T53" s="15"/>
      <c r="U53" s="15"/>
      <c r="V53" s="10"/>
      <c r="W53" s="21" t="str">
        <f>IF(COUNTA(N53:U53)=0,"",IF(N53="","E_MISSING_INPUT",IF(N53="TIMESTAMP",IF(OR(O53="",P53="",Q53=""),"E_MISSING_INPUT",IF(OR(NOT(ISNUMBER(O53)),NOT(ISNUMBER(P53))),"E_INVALID_DATE",IF(OR(O53&lt;&gt;INT(O53),P53&lt;0,P53&gt;=1),"E_INVALID_DATE",IF(ISNA(MATCH(Q53,nLIST_Offset,0)),"E_INVALID_UNIT","")))),IF(N53="DATE",IF(O53="","E_MISSING_INPUT",IF(NOT(ISNUMBER(O53)),"E_INVALID_DATE",IF(O53&lt;&gt;INT(O53),"E_INVALID_DATE",""))),IF(N53="MONTH",IF(OR(R53="",S53=""),"E_MISSING_INPUT",IF(OR(NOT(ISNUMBER(R53)),NOT(ISNUMBER(S53))),"E_INVALID_DATE",IF(OR(R53&lt;1900,R53&gt;9999,R53&lt;&gt;INT(R53),S53&lt;1,S53&gt;12,S53&lt;&gt;INT(S53)),"E_INVALID_DATE",""))),IF(N53="YEAR",IF(R53="","E_MISSING_INPUT",IF(NOT(ISNUMBER(R53)),"E_INVALID_DATE",IF(OR(R53&lt;1900,R53&gt;9999,R53&lt;&gt;INT(R53)),"E_INVALID_DATE",""))),IF(N53="RANGE",IF(OR(T53="",U53=""),"E_MISSING_INPUT",IF(OR(NOT(ISNUMBER(T53)),NOT(ISNUMBER(U53))),"E_INVALID_DATE",IF(OR(T53&lt;&gt;INT(T53),U53&lt;&gt;INT(U53)),"E_INVALID_DATE",IF(T53&gt;U53,"E_REVERSED_BOUNDS","")))),"E_INVALID_UNIT")))))))</f>
        <v/>
      </c>
      <c r="X53" s="22">
        <f t="shared" si="32"/>
        <v>0</v>
      </c>
      <c r="Y53" s="22">
        <f t="shared" si="33"/>
        <v>0</v>
      </c>
      <c r="Z53" s="28" t="str">
        <f t="shared" si="34"/>
        <v/>
      </c>
      <c r="AA53" s="28" t="str">
        <f t="shared" si="35"/>
        <v/>
      </c>
      <c r="AB53" s="22" t="str">
        <f t="shared" si="36"/>
        <v/>
      </c>
      <c r="AC53" s="22" t="str">
        <f t="shared" si="37"/>
        <v/>
      </c>
      <c r="AD53" s="15"/>
      <c r="AE53" s="26"/>
      <c r="AF53" s="10"/>
      <c r="AG53" s="10"/>
      <c r="AH53" s="21" t="str">
        <f>IF(COUNTA(AD53:AF53)=0,"",IF(OR(AD53="",AE53="",AF53=""),"E_MISSING_INPUT",IF(OR(NOT(ISNUMBER(AD53)),NOT(ISNUMBER(AE53))),"E_INVALID_DATE",IF(OR(AD53&lt;&gt;INT(AD53),AE53&lt;0,AE53&gt;=1),"E_INVALID_DATE",IF(ISNA(MATCH(AF53,nLIST_Offset,0)),"E_INVALID_UNIT","")))))</f>
        <v/>
      </c>
      <c r="AI53" s="22" t="str">
        <f t="shared" si="38"/>
        <v/>
      </c>
      <c r="AJ53" s="22">
        <f t="shared" si="39"/>
        <v>0</v>
      </c>
      <c r="AK53" s="22" t="str">
        <f t="shared" si="40"/>
        <v/>
      </c>
      <c r="AL53" s="21" t="str">
        <f t="shared" si="41"/>
        <v/>
      </c>
      <c r="AM53" s="22">
        <f>IF(AL53="",0,COUNTIF(nADM_Key,AL53))</f>
        <v>0</v>
      </c>
      <c r="AN53" s="21" t="str">
        <f t="shared" si="42"/>
        <v/>
      </c>
      <c r="AO53" s="22">
        <f t="shared" si="43"/>
        <v>0</v>
      </c>
      <c r="AP53" s="22">
        <f t="shared" si="44"/>
        <v>0</v>
      </c>
      <c r="AQ53" s="22">
        <f t="shared" si="45"/>
        <v>0</v>
      </c>
      <c r="AR53" s="22">
        <f t="shared" si="46"/>
        <v>0</v>
      </c>
      <c r="AS53" s="22">
        <f t="shared" si="47"/>
        <v>0</v>
      </c>
      <c r="AT53" s="21">
        <f t="shared" si="48"/>
        <v>0</v>
      </c>
      <c r="AU53" s="21">
        <f t="shared" si="49"/>
        <v>0</v>
      </c>
      <c r="AV53" s="22">
        <f t="shared" si="50"/>
        <v>0</v>
      </c>
      <c r="AW53" s="21">
        <f t="shared" si="51"/>
        <v>0</v>
      </c>
      <c r="AX53" s="22">
        <f t="shared" si="52"/>
        <v>0</v>
      </c>
      <c r="AY53" s="21">
        <f t="shared" si="53"/>
        <v>1</v>
      </c>
      <c r="AZ53" s="21">
        <f t="shared" si="54"/>
        <v>0</v>
      </c>
      <c r="BA53" s="22">
        <f t="shared" si="55"/>
        <v>0</v>
      </c>
      <c r="BB53" s="22">
        <f t="shared" si="56"/>
        <v>0</v>
      </c>
      <c r="BC53" s="22">
        <f t="shared" si="57"/>
        <v>0</v>
      </c>
      <c r="BD53" s="22">
        <f t="shared" si="58"/>
        <v>0</v>
      </c>
      <c r="BE53" s="22">
        <f t="shared" si="59"/>
        <v>0</v>
      </c>
      <c r="BF53" s="22">
        <f t="shared" si="60"/>
        <v>0</v>
      </c>
      <c r="BG53" s="22">
        <f t="shared" si="61"/>
        <v>0</v>
      </c>
      <c r="BH53" s="22">
        <f>IF(OR(E53&lt;&gt;"INFUSION_SEGMENT",BF53=0,BG53=0),0,COUNTIFS(nADM_SelKey,AN53,nADM_Kind,"INFUSION_SEGMENT",nADM_SegS_cmp,"&lt;"&amp;BG53,nADM_SegE_cmp,"&gt;"&amp;BF53)-IF(BG53&gt;BF53,1,0))</f>
        <v>0</v>
      </c>
      <c r="BI53" s="21" t="str">
        <f t="shared" si="62"/>
        <v/>
      </c>
      <c r="BJ53" s="22">
        <f>IF(C53="",1,IF(COUNTIF(nEXP_Key,AN53)&gt;0,1,0))</f>
        <v>1</v>
      </c>
      <c r="BK53" s="21" t="str">
        <f t="shared" si="63"/>
        <v/>
      </c>
      <c r="BL53" s="21" t="str">
        <f>IF(BK53="","",BK53&amp;": "&amp;SUBSTITUTE(IFERROR(INDEX(nMSG_Text,MATCH(BK53,nMSG_Code,0)),""),"[input]",IF(C53="","an Admin_ID",IF(BJ53=0,"an Exposures row for episode "&amp;D53,IF(BI53="E_MISSING_INPUT","segment start and end timestamps and a rate in mg/hour","the date fields required by the selected precision")))))</f>
        <v/>
      </c>
    </row>
    <row r="54" spans="1:64" x14ac:dyDescent="0.2">
      <c r="A54" s="10"/>
      <c r="B54" s="12"/>
      <c r="C54" s="10"/>
      <c r="D54" s="10"/>
      <c r="E54" s="17"/>
      <c r="F54" s="17"/>
      <c r="G54" s="17"/>
      <c r="H54" s="17"/>
      <c r="I54" s="17"/>
      <c r="J54" s="17"/>
      <c r="K54" s="17"/>
      <c r="L54" s="10"/>
      <c r="M54" s="10"/>
      <c r="N54" s="17"/>
      <c r="O54" s="15"/>
      <c r="P54" s="26"/>
      <c r="Q54" s="10"/>
      <c r="R54" s="12"/>
      <c r="S54" s="12"/>
      <c r="T54" s="15"/>
      <c r="U54" s="15"/>
      <c r="V54" s="10"/>
      <c r="W54" s="21" t="str">
        <f>IF(COUNTA(N54:U54)=0,"",IF(N54="","E_MISSING_INPUT",IF(N54="TIMESTAMP",IF(OR(O54="",P54="",Q54=""),"E_MISSING_INPUT",IF(OR(NOT(ISNUMBER(O54)),NOT(ISNUMBER(P54))),"E_INVALID_DATE",IF(OR(O54&lt;&gt;INT(O54),P54&lt;0,P54&gt;=1),"E_INVALID_DATE",IF(ISNA(MATCH(Q54,nLIST_Offset,0)),"E_INVALID_UNIT","")))),IF(N54="DATE",IF(O54="","E_MISSING_INPUT",IF(NOT(ISNUMBER(O54)),"E_INVALID_DATE",IF(O54&lt;&gt;INT(O54),"E_INVALID_DATE",""))),IF(N54="MONTH",IF(OR(R54="",S54=""),"E_MISSING_INPUT",IF(OR(NOT(ISNUMBER(R54)),NOT(ISNUMBER(S54))),"E_INVALID_DATE",IF(OR(R54&lt;1900,R54&gt;9999,R54&lt;&gt;INT(R54),S54&lt;1,S54&gt;12,S54&lt;&gt;INT(S54)),"E_INVALID_DATE",""))),IF(N54="YEAR",IF(R54="","E_MISSING_INPUT",IF(NOT(ISNUMBER(R54)),"E_INVALID_DATE",IF(OR(R54&lt;1900,R54&gt;9999,R54&lt;&gt;INT(R54)),"E_INVALID_DATE",""))),IF(N54="RANGE",IF(OR(T54="",U54=""),"E_MISSING_INPUT",IF(OR(NOT(ISNUMBER(T54)),NOT(ISNUMBER(U54))),"E_INVALID_DATE",IF(OR(T54&lt;&gt;INT(T54),U54&lt;&gt;INT(U54)),"E_INVALID_DATE",IF(T54&gt;U54,"E_REVERSED_BOUNDS","")))),"E_INVALID_UNIT")))))))</f>
        <v/>
      </c>
      <c r="X54" s="22">
        <f t="shared" si="32"/>
        <v>0</v>
      </c>
      <c r="Y54" s="22">
        <f t="shared" si="33"/>
        <v>0</v>
      </c>
      <c r="Z54" s="28" t="str">
        <f t="shared" si="34"/>
        <v/>
      </c>
      <c r="AA54" s="28" t="str">
        <f t="shared" si="35"/>
        <v/>
      </c>
      <c r="AB54" s="22" t="str">
        <f t="shared" si="36"/>
        <v/>
      </c>
      <c r="AC54" s="22" t="str">
        <f t="shared" si="37"/>
        <v/>
      </c>
      <c r="AD54" s="15"/>
      <c r="AE54" s="26"/>
      <c r="AF54" s="10"/>
      <c r="AG54" s="10"/>
      <c r="AH54" s="21" t="str">
        <f>IF(COUNTA(AD54:AF54)=0,"",IF(OR(AD54="",AE54="",AF54=""),"E_MISSING_INPUT",IF(OR(NOT(ISNUMBER(AD54)),NOT(ISNUMBER(AE54))),"E_INVALID_DATE",IF(OR(AD54&lt;&gt;INT(AD54),AE54&lt;0,AE54&gt;=1),"E_INVALID_DATE",IF(ISNA(MATCH(AF54,nLIST_Offset,0)),"E_INVALID_UNIT","")))))</f>
        <v/>
      </c>
      <c r="AI54" s="22" t="str">
        <f t="shared" si="38"/>
        <v/>
      </c>
      <c r="AJ54" s="22">
        <f t="shared" si="39"/>
        <v>0</v>
      </c>
      <c r="AK54" s="22" t="str">
        <f t="shared" si="40"/>
        <v/>
      </c>
      <c r="AL54" s="21" t="str">
        <f t="shared" si="41"/>
        <v/>
      </c>
      <c r="AM54" s="22">
        <f>IF(AL54="",0,COUNTIF(nADM_Key,AL54))</f>
        <v>0</v>
      </c>
      <c r="AN54" s="21" t="str">
        <f t="shared" si="42"/>
        <v/>
      </c>
      <c r="AO54" s="22">
        <f t="shared" si="43"/>
        <v>0</v>
      </c>
      <c r="AP54" s="22">
        <f t="shared" si="44"/>
        <v>0</v>
      </c>
      <c r="AQ54" s="22">
        <f t="shared" si="45"/>
        <v>0</v>
      </c>
      <c r="AR54" s="22">
        <f t="shared" si="46"/>
        <v>0</v>
      </c>
      <c r="AS54" s="22">
        <f t="shared" si="47"/>
        <v>0</v>
      </c>
      <c r="AT54" s="21">
        <f t="shared" si="48"/>
        <v>0</v>
      </c>
      <c r="AU54" s="21">
        <f t="shared" si="49"/>
        <v>0</v>
      </c>
      <c r="AV54" s="22">
        <f t="shared" si="50"/>
        <v>0</v>
      </c>
      <c r="AW54" s="21">
        <f t="shared" si="51"/>
        <v>0</v>
      </c>
      <c r="AX54" s="22">
        <f t="shared" si="52"/>
        <v>0</v>
      </c>
      <c r="AY54" s="21">
        <f t="shared" si="53"/>
        <v>1</v>
      </c>
      <c r="AZ54" s="21">
        <f t="shared" si="54"/>
        <v>0</v>
      </c>
      <c r="BA54" s="22">
        <f t="shared" si="55"/>
        <v>0</v>
      </c>
      <c r="BB54" s="22">
        <f t="shared" si="56"/>
        <v>0</v>
      </c>
      <c r="BC54" s="22">
        <f t="shared" si="57"/>
        <v>0</v>
      </c>
      <c r="BD54" s="22">
        <f t="shared" si="58"/>
        <v>0</v>
      </c>
      <c r="BE54" s="22">
        <f t="shared" si="59"/>
        <v>0</v>
      </c>
      <c r="BF54" s="22">
        <f t="shared" si="60"/>
        <v>0</v>
      </c>
      <c r="BG54" s="22">
        <f t="shared" si="61"/>
        <v>0</v>
      </c>
      <c r="BH54" s="22">
        <f>IF(OR(E54&lt;&gt;"INFUSION_SEGMENT",BF54=0,BG54=0),0,COUNTIFS(nADM_SelKey,AN54,nADM_Kind,"INFUSION_SEGMENT",nADM_SegS_cmp,"&lt;"&amp;BG54,nADM_SegE_cmp,"&gt;"&amp;BF54)-IF(BG54&gt;BF54,1,0))</f>
        <v>0</v>
      </c>
      <c r="BI54" s="21" t="str">
        <f t="shared" si="62"/>
        <v/>
      </c>
      <c r="BJ54" s="22">
        <f>IF(C54="",1,IF(COUNTIF(nEXP_Key,AN54)&gt;0,1,0))</f>
        <v>1</v>
      </c>
      <c r="BK54" s="21" t="str">
        <f t="shared" si="63"/>
        <v/>
      </c>
      <c r="BL54" s="21" t="str">
        <f>IF(BK54="","",BK54&amp;": "&amp;SUBSTITUTE(IFERROR(INDEX(nMSG_Text,MATCH(BK54,nMSG_Code,0)),""),"[input]",IF(C54="","an Admin_ID",IF(BJ54=0,"an Exposures row for episode "&amp;D54,IF(BI54="E_MISSING_INPUT","segment start and end timestamps and a rate in mg/hour","the date fields required by the selected precision")))))</f>
        <v/>
      </c>
    </row>
    <row r="55" spans="1:64" x14ac:dyDescent="0.2">
      <c r="A55" s="10"/>
      <c r="B55" s="12"/>
      <c r="C55" s="10"/>
      <c r="D55" s="10"/>
      <c r="E55" s="17"/>
      <c r="F55" s="17"/>
      <c r="G55" s="17"/>
      <c r="H55" s="17"/>
      <c r="I55" s="17"/>
      <c r="J55" s="17"/>
      <c r="K55" s="17"/>
      <c r="L55" s="10"/>
      <c r="M55" s="10"/>
      <c r="N55" s="17"/>
      <c r="O55" s="15"/>
      <c r="P55" s="26"/>
      <c r="Q55" s="10"/>
      <c r="R55" s="12"/>
      <c r="S55" s="12"/>
      <c r="T55" s="15"/>
      <c r="U55" s="15"/>
      <c r="V55" s="10"/>
      <c r="W55" s="21" t="str">
        <f>IF(COUNTA(N55:U55)=0,"",IF(N55="","E_MISSING_INPUT",IF(N55="TIMESTAMP",IF(OR(O55="",P55="",Q55=""),"E_MISSING_INPUT",IF(OR(NOT(ISNUMBER(O55)),NOT(ISNUMBER(P55))),"E_INVALID_DATE",IF(OR(O55&lt;&gt;INT(O55),P55&lt;0,P55&gt;=1),"E_INVALID_DATE",IF(ISNA(MATCH(Q55,nLIST_Offset,0)),"E_INVALID_UNIT","")))),IF(N55="DATE",IF(O55="","E_MISSING_INPUT",IF(NOT(ISNUMBER(O55)),"E_INVALID_DATE",IF(O55&lt;&gt;INT(O55),"E_INVALID_DATE",""))),IF(N55="MONTH",IF(OR(R55="",S55=""),"E_MISSING_INPUT",IF(OR(NOT(ISNUMBER(R55)),NOT(ISNUMBER(S55))),"E_INVALID_DATE",IF(OR(R55&lt;1900,R55&gt;9999,R55&lt;&gt;INT(R55),S55&lt;1,S55&gt;12,S55&lt;&gt;INT(S55)),"E_INVALID_DATE",""))),IF(N55="YEAR",IF(R55="","E_MISSING_INPUT",IF(NOT(ISNUMBER(R55)),"E_INVALID_DATE",IF(OR(R55&lt;1900,R55&gt;9999,R55&lt;&gt;INT(R55)),"E_INVALID_DATE",""))),IF(N55="RANGE",IF(OR(T55="",U55=""),"E_MISSING_INPUT",IF(OR(NOT(ISNUMBER(T55)),NOT(ISNUMBER(U55))),"E_INVALID_DATE",IF(OR(T55&lt;&gt;INT(T55),U55&lt;&gt;INT(U55)),"E_INVALID_DATE",IF(T55&gt;U55,"E_REVERSED_BOUNDS","")))),"E_INVALID_UNIT")))))))</f>
        <v/>
      </c>
      <c r="X55" s="22">
        <f t="shared" si="32"/>
        <v>0</v>
      </c>
      <c r="Y55" s="22">
        <f t="shared" si="33"/>
        <v>0</v>
      </c>
      <c r="Z55" s="28" t="str">
        <f t="shared" si="34"/>
        <v/>
      </c>
      <c r="AA55" s="28" t="str">
        <f t="shared" si="35"/>
        <v/>
      </c>
      <c r="AB55" s="22" t="str">
        <f t="shared" si="36"/>
        <v/>
      </c>
      <c r="AC55" s="22" t="str">
        <f t="shared" si="37"/>
        <v/>
      </c>
      <c r="AD55" s="15"/>
      <c r="AE55" s="26"/>
      <c r="AF55" s="10"/>
      <c r="AG55" s="10"/>
      <c r="AH55" s="21" t="str">
        <f>IF(COUNTA(AD55:AF55)=0,"",IF(OR(AD55="",AE55="",AF55=""),"E_MISSING_INPUT",IF(OR(NOT(ISNUMBER(AD55)),NOT(ISNUMBER(AE55))),"E_INVALID_DATE",IF(OR(AD55&lt;&gt;INT(AD55),AE55&lt;0,AE55&gt;=1),"E_INVALID_DATE",IF(ISNA(MATCH(AF55,nLIST_Offset,0)),"E_INVALID_UNIT","")))))</f>
        <v/>
      </c>
      <c r="AI55" s="22" t="str">
        <f t="shared" si="38"/>
        <v/>
      </c>
      <c r="AJ55" s="22">
        <f t="shared" si="39"/>
        <v>0</v>
      </c>
      <c r="AK55" s="22" t="str">
        <f t="shared" si="40"/>
        <v/>
      </c>
      <c r="AL55" s="21" t="str">
        <f t="shared" si="41"/>
        <v/>
      </c>
      <c r="AM55" s="22">
        <f>IF(AL55="",0,COUNTIF(nADM_Key,AL55))</f>
        <v>0</v>
      </c>
      <c r="AN55" s="21" t="str">
        <f t="shared" si="42"/>
        <v/>
      </c>
      <c r="AO55" s="22">
        <f t="shared" si="43"/>
        <v>0</v>
      </c>
      <c r="AP55" s="22">
        <f t="shared" si="44"/>
        <v>0</v>
      </c>
      <c r="AQ55" s="22">
        <f t="shared" si="45"/>
        <v>0</v>
      </c>
      <c r="AR55" s="22">
        <f t="shared" si="46"/>
        <v>0</v>
      </c>
      <c r="AS55" s="22">
        <f t="shared" si="47"/>
        <v>0</v>
      </c>
      <c r="AT55" s="21">
        <f t="shared" si="48"/>
        <v>0</v>
      </c>
      <c r="AU55" s="21">
        <f t="shared" si="49"/>
        <v>0</v>
      </c>
      <c r="AV55" s="22">
        <f t="shared" si="50"/>
        <v>0</v>
      </c>
      <c r="AW55" s="21">
        <f t="shared" si="51"/>
        <v>0</v>
      </c>
      <c r="AX55" s="22">
        <f t="shared" si="52"/>
        <v>0</v>
      </c>
      <c r="AY55" s="21">
        <f t="shared" si="53"/>
        <v>1</v>
      </c>
      <c r="AZ55" s="21">
        <f t="shared" si="54"/>
        <v>0</v>
      </c>
      <c r="BA55" s="22">
        <f t="shared" si="55"/>
        <v>0</v>
      </c>
      <c r="BB55" s="22">
        <f t="shared" si="56"/>
        <v>0</v>
      </c>
      <c r="BC55" s="22">
        <f t="shared" si="57"/>
        <v>0</v>
      </c>
      <c r="BD55" s="22">
        <f t="shared" si="58"/>
        <v>0</v>
      </c>
      <c r="BE55" s="22">
        <f t="shared" si="59"/>
        <v>0</v>
      </c>
      <c r="BF55" s="22">
        <f t="shared" si="60"/>
        <v>0</v>
      </c>
      <c r="BG55" s="22">
        <f t="shared" si="61"/>
        <v>0</v>
      </c>
      <c r="BH55" s="22">
        <f>IF(OR(E55&lt;&gt;"INFUSION_SEGMENT",BF55=0,BG55=0),0,COUNTIFS(nADM_SelKey,AN55,nADM_Kind,"INFUSION_SEGMENT",nADM_SegS_cmp,"&lt;"&amp;BG55,nADM_SegE_cmp,"&gt;"&amp;BF55)-IF(BG55&gt;BF55,1,0))</f>
        <v>0</v>
      </c>
      <c r="BI55" s="21" t="str">
        <f t="shared" si="62"/>
        <v/>
      </c>
      <c r="BJ55" s="22">
        <f>IF(C55="",1,IF(COUNTIF(nEXP_Key,AN55)&gt;0,1,0))</f>
        <v>1</v>
      </c>
      <c r="BK55" s="21" t="str">
        <f t="shared" si="63"/>
        <v/>
      </c>
      <c r="BL55" s="21" t="str">
        <f>IF(BK55="","",BK55&amp;": "&amp;SUBSTITUTE(IFERROR(INDEX(nMSG_Text,MATCH(BK55,nMSG_Code,0)),""),"[input]",IF(C55="","an Admin_ID",IF(BJ55=0,"an Exposures row for episode "&amp;D55,IF(BI55="E_MISSING_INPUT","segment start and end timestamps and a rate in mg/hour","the date fields required by the selected precision")))))</f>
        <v/>
      </c>
    </row>
    <row r="56" spans="1:64" x14ac:dyDescent="0.2">
      <c r="A56" s="10"/>
      <c r="B56" s="12"/>
      <c r="C56" s="10"/>
      <c r="D56" s="10"/>
      <c r="E56" s="17"/>
      <c r="F56" s="17"/>
      <c r="G56" s="17"/>
      <c r="H56" s="17"/>
      <c r="I56" s="17"/>
      <c r="J56" s="17"/>
      <c r="K56" s="17"/>
      <c r="L56" s="10"/>
      <c r="M56" s="10"/>
      <c r="N56" s="17"/>
      <c r="O56" s="15"/>
      <c r="P56" s="26"/>
      <c r="Q56" s="10"/>
      <c r="R56" s="12"/>
      <c r="S56" s="12"/>
      <c r="T56" s="15"/>
      <c r="U56" s="15"/>
      <c r="V56" s="10"/>
      <c r="W56" s="21" t="str">
        <f>IF(COUNTA(N56:U56)=0,"",IF(N56="","E_MISSING_INPUT",IF(N56="TIMESTAMP",IF(OR(O56="",P56="",Q56=""),"E_MISSING_INPUT",IF(OR(NOT(ISNUMBER(O56)),NOT(ISNUMBER(P56))),"E_INVALID_DATE",IF(OR(O56&lt;&gt;INT(O56),P56&lt;0,P56&gt;=1),"E_INVALID_DATE",IF(ISNA(MATCH(Q56,nLIST_Offset,0)),"E_INVALID_UNIT","")))),IF(N56="DATE",IF(O56="","E_MISSING_INPUT",IF(NOT(ISNUMBER(O56)),"E_INVALID_DATE",IF(O56&lt;&gt;INT(O56),"E_INVALID_DATE",""))),IF(N56="MONTH",IF(OR(R56="",S56=""),"E_MISSING_INPUT",IF(OR(NOT(ISNUMBER(R56)),NOT(ISNUMBER(S56))),"E_INVALID_DATE",IF(OR(R56&lt;1900,R56&gt;9999,R56&lt;&gt;INT(R56),S56&lt;1,S56&gt;12,S56&lt;&gt;INT(S56)),"E_INVALID_DATE",""))),IF(N56="YEAR",IF(R56="","E_MISSING_INPUT",IF(NOT(ISNUMBER(R56)),"E_INVALID_DATE",IF(OR(R56&lt;1900,R56&gt;9999,R56&lt;&gt;INT(R56)),"E_INVALID_DATE",""))),IF(N56="RANGE",IF(OR(T56="",U56=""),"E_MISSING_INPUT",IF(OR(NOT(ISNUMBER(T56)),NOT(ISNUMBER(U56))),"E_INVALID_DATE",IF(OR(T56&lt;&gt;INT(T56),U56&lt;&gt;INT(U56)),"E_INVALID_DATE",IF(T56&gt;U56,"E_REVERSED_BOUNDS","")))),"E_INVALID_UNIT")))))))</f>
        <v/>
      </c>
      <c r="X56" s="22">
        <f t="shared" si="32"/>
        <v>0</v>
      </c>
      <c r="Y56" s="22">
        <f t="shared" si="33"/>
        <v>0</v>
      </c>
      <c r="Z56" s="28" t="str">
        <f t="shared" si="34"/>
        <v/>
      </c>
      <c r="AA56" s="28" t="str">
        <f t="shared" si="35"/>
        <v/>
      </c>
      <c r="AB56" s="22" t="str">
        <f t="shared" si="36"/>
        <v/>
      </c>
      <c r="AC56" s="22" t="str">
        <f t="shared" si="37"/>
        <v/>
      </c>
      <c r="AD56" s="15"/>
      <c r="AE56" s="26"/>
      <c r="AF56" s="10"/>
      <c r="AG56" s="10"/>
      <c r="AH56" s="21" t="str">
        <f>IF(COUNTA(AD56:AF56)=0,"",IF(OR(AD56="",AE56="",AF56=""),"E_MISSING_INPUT",IF(OR(NOT(ISNUMBER(AD56)),NOT(ISNUMBER(AE56))),"E_INVALID_DATE",IF(OR(AD56&lt;&gt;INT(AD56),AE56&lt;0,AE56&gt;=1),"E_INVALID_DATE",IF(ISNA(MATCH(AF56,nLIST_Offset,0)),"E_INVALID_UNIT","")))))</f>
        <v/>
      </c>
      <c r="AI56" s="22" t="str">
        <f t="shared" si="38"/>
        <v/>
      </c>
      <c r="AJ56" s="22">
        <f t="shared" si="39"/>
        <v>0</v>
      </c>
      <c r="AK56" s="22" t="str">
        <f t="shared" si="40"/>
        <v/>
      </c>
      <c r="AL56" s="21" t="str">
        <f t="shared" si="41"/>
        <v/>
      </c>
      <c r="AM56" s="22">
        <f>IF(AL56="",0,COUNTIF(nADM_Key,AL56))</f>
        <v>0</v>
      </c>
      <c r="AN56" s="21" t="str">
        <f t="shared" si="42"/>
        <v/>
      </c>
      <c r="AO56" s="22">
        <f t="shared" si="43"/>
        <v>0</v>
      </c>
      <c r="AP56" s="22">
        <f t="shared" si="44"/>
        <v>0</v>
      </c>
      <c r="AQ56" s="22">
        <f t="shared" si="45"/>
        <v>0</v>
      </c>
      <c r="AR56" s="22">
        <f t="shared" si="46"/>
        <v>0</v>
      </c>
      <c r="AS56" s="22">
        <f t="shared" si="47"/>
        <v>0</v>
      </c>
      <c r="AT56" s="21">
        <f t="shared" si="48"/>
        <v>0</v>
      </c>
      <c r="AU56" s="21">
        <f t="shared" si="49"/>
        <v>0</v>
      </c>
      <c r="AV56" s="22">
        <f t="shared" si="50"/>
        <v>0</v>
      </c>
      <c r="AW56" s="21">
        <f t="shared" si="51"/>
        <v>0</v>
      </c>
      <c r="AX56" s="22">
        <f t="shared" si="52"/>
        <v>0</v>
      </c>
      <c r="AY56" s="21">
        <f t="shared" si="53"/>
        <v>1</v>
      </c>
      <c r="AZ56" s="21">
        <f t="shared" si="54"/>
        <v>0</v>
      </c>
      <c r="BA56" s="22">
        <f t="shared" si="55"/>
        <v>0</v>
      </c>
      <c r="BB56" s="22">
        <f t="shared" si="56"/>
        <v>0</v>
      </c>
      <c r="BC56" s="22">
        <f t="shared" si="57"/>
        <v>0</v>
      </c>
      <c r="BD56" s="22">
        <f t="shared" si="58"/>
        <v>0</v>
      </c>
      <c r="BE56" s="22">
        <f t="shared" si="59"/>
        <v>0</v>
      </c>
      <c r="BF56" s="22">
        <f t="shared" si="60"/>
        <v>0</v>
      </c>
      <c r="BG56" s="22">
        <f t="shared" si="61"/>
        <v>0</v>
      </c>
      <c r="BH56" s="22">
        <f>IF(OR(E56&lt;&gt;"INFUSION_SEGMENT",BF56=0,BG56=0),0,COUNTIFS(nADM_SelKey,AN56,nADM_Kind,"INFUSION_SEGMENT",nADM_SegS_cmp,"&lt;"&amp;BG56,nADM_SegE_cmp,"&gt;"&amp;BF56)-IF(BG56&gt;BF56,1,0))</f>
        <v>0</v>
      </c>
      <c r="BI56" s="21" t="str">
        <f t="shared" si="62"/>
        <v/>
      </c>
      <c r="BJ56" s="22">
        <f>IF(C56="",1,IF(COUNTIF(nEXP_Key,AN56)&gt;0,1,0))</f>
        <v>1</v>
      </c>
      <c r="BK56" s="21" t="str">
        <f t="shared" si="63"/>
        <v/>
      </c>
      <c r="BL56" s="21" t="str">
        <f>IF(BK56="","",BK56&amp;": "&amp;SUBSTITUTE(IFERROR(INDEX(nMSG_Text,MATCH(BK56,nMSG_Code,0)),""),"[input]",IF(C56="","an Admin_ID",IF(BJ56=0,"an Exposures row for episode "&amp;D56,IF(BI56="E_MISSING_INPUT","segment start and end timestamps and a rate in mg/hour","the date fields required by the selected precision")))))</f>
        <v/>
      </c>
    </row>
    <row r="57" spans="1:64" x14ac:dyDescent="0.2">
      <c r="A57" s="10"/>
      <c r="B57" s="12"/>
      <c r="C57" s="10"/>
      <c r="D57" s="10"/>
      <c r="E57" s="17"/>
      <c r="F57" s="17"/>
      <c r="G57" s="17"/>
      <c r="H57" s="17"/>
      <c r="I57" s="17"/>
      <c r="J57" s="17"/>
      <c r="K57" s="17"/>
      <c r="L57" s="10"/>
      <c r="M57" s="10"/>
      <c r="N57" s="17"/>
      <c r="O57" s="15"/>
      <c r="P57" s="26"/>
      <c r="Q57" s="10"/>
      <c r="R57" s="12"/>
      <c r="S57" s="12"/>
      <c r="T57" s="15"/>
      <c r="U57" s="15"/>
      <c r="V57" s="10"/>
      <c r="W57" s="21" t="str">
        <f>IF(COUNTA(N57:U57)=0,"",IF(N57="","E_MISSING_INPUT",IF(N57="TIMESTAMP",IF(OR(O57="",P57="",Q57=""),"E_MISSING_INPUT",IF(OR(NOT(ISNUMBER(O57)),NOT(ISNUMBER(P57))),"E_INVALID_DATE",IF(OR(O57&lt;&gt;INT(O57),P57&lt;0,P57&gt;=1),"E_INVALID_DATE",IF(ISNA(MATCH(Q57,nLIST_Offset,0)),"E_INVALID_UNIT","")))),IF(N57="DATE",IF(O57="","E_MISSING_INPUT",IF(NOT(ISNUMBER(O57)),"E_INVALID_DATE",IF(O57&lt;&gt;INT(O57),"E_INVALID_DATE",""))),IF(N57="MONTH",IF(OR(R57="",S57=""),"E_MISSING_INPUT",IF(OR(NOT(ISNUMBER(R57)),NOT(ISNUMBER(S57))),"E_INVALID_DATE",IF(OR(R57&lt;1900,R57&gt;9999,R57&lt;&gt;INT(R57),S57&lt;1,S57&gt;12,S57&lt;&gt;INT(S57)),"E_INVALID_DATE",""))),IF(N57="YEAR",IF(R57="","E_MISSING_INPUT",IF(NOT(ISNUMBER(R57)),"E_INVALID_DATE",IF(OR(R57&lt;1900,R57&gt;9999,R57&lt;&gt;INT(R57)),"E_INVALID_DATE",""))),IF(N57="RANGE",IF(OR(T57="",U57=""),"E_MISSING_INPUT",IF(OR(NOT(ISNUMBER(T57)),NOT(ISNUMBER(U57))),"E_INVALID_DATE",IF(OR(T57&lt;&gt;INT(T57),U57&lt;&gt;INT(U57)),"E_INVALID_DATE",IF(T57&gt;U57,"E_REVERSED_BOUNDS","")))),"E_INVALID_UNIT")))))))</f>
        <v/>
      </c>
      <c r="X57" s="22">
        <f t="shared" si="32"/>
        <v>0</v>
      </c>
      <c r="Y57" s="22">
        <f t="shared" si="33"/>
        <v>0</v>
      </c>
      <c r="Z57" s="28" t="str">
        <f t="shared" si="34"/>
        <v/>
      </c>
      <c r="AA57" s="28" t="str">
        <f t="shared" si="35"/>
        <v/>
      </c>
      <c r="AB57" s="22" t="str">
        <f t="shared" si="36"/>
        <v/>
      </c>
      <c r="AC57" s="22" t="str">
        <f t="shared" si="37"/>
        <v/>
      </c>
      <c r="AD57" s="15"/>
      <c r="AE57" s="26"/>
      <c r="AF57" s="10"/>
      <c r="AG57" s="10"/>
      <c r="AH57" s="21" t="str">
        <f>IF(COUNTA(AD57:AF57)=0,"",IF(OR(AD57="",AE57="",AF57=""),"E_MISSING_INPUT",IF(OR(NOT(ISNUMBER(AD57)),NOT(ISNUMBER(AE57))),"E_INVALID_DATE",IF(OR(AD57&lt;&gt;INT(AD57),AE57&lt;0,AE57&gt;=1),"E_INVALID_DATE",IF(ISNA(MATCH(AF57,nLIST_Offset,0)),"E_INVALID_UNIT","")))))</f>
        <v/>
      </c>
      <c r="AI57" s="22" t="str">
        <f t="shared" si="38"/>
        <v/>
      </c>
      <c r="AJ57" s="22">
        <f t="shared" si="39"/>
        <v>0</v>
      </c>
      <c r="AK57" s="22" t="str">
        <f t="shared" si="40"/>
        <v/>
      </c>
      <c r="AL57" s="21" t="str">
        <f t="shared" si="41"/>
        <v/>
      </c>
      <c r="AM57" s="22">
        <f>IF(AL57="",0,COUNTIF(nADM_Key,AL57))</f>
        <v>0</v>
      </c>
      <c r="AN57" s="21" t="str">
        <f t="shared" si="42"/>
        <v/>
      </c>
      <c r="AO57" s="22">
        <f t="shared" si="43"/>
        <v>0</v>
      </c>
      <c r="AP57" s="22">
        <f t="shared" si="44"/>
        <v>0</v>
      </c>
      <c r="AQ57" s="22">
        <f t="shared" si="45"/>
        <v>0</v>
      </c>
      <c r="AR57" s="22">
        <f t="shared" si="46"/>
        <v>0</v>
      </c>
      <c r="AS57" s="22">
        <f t="shared" si="47"/>
        <v>0</v>
      </c>
      <c r="AT57" s="21">
        <f t="shared" si="48"/>
        <v>0</v>
      </c>
      <c r="AU57" s="21">
        <f t="shared" si="49"/>
        <v>0</v>
      </c>
      <c r="AV57" s="22">
        <f t="shared" si="50"/>
        <v>0</v>
      </c>
      <c r="AW57" s="21">
        <f t="shared" si="51"/>
        <v>0</v>
      </c>
      <c r="AX57" s="22">
        <f t="shared" si="52"/>
        <v>0</v>
      </c>
      <c r="AY57" s="21">
        <f t="shared" si="53"/>
        <v>1</v>
      </c>
      <c r="AZ57" s="21">
        <f t="shared" si="54"/>
        <v>0</v>
      </c>
      <c r="BA57" s="22">
        <f t="shared" si="55"/>
        <v>0</v>
      </c>
      <c r="BB57" s="22">
        <f t="shared" si="56"/>
        <v>0</v>
      </c>
      <c r="BC57" s="22">
        <f t="shared" si="57"/>
        <v>0</v>
      </c>
      <c r="BD57" s="22">
        <f t="shared" si="58"/>
        <v>0</v>
      </c>
      <c r="BE57" s="22">
        <f t="shared" si="59"/>
        <v>0</v>
      </c>
      <c r="BF57" s="22">
        <f t="shared" si="60"/>
        <v>0</v>
      </c>
      <c r="BG57" s="22">
        <f t="shared" si="61"/>
        <v>0</v>
      </c>
      <c r="BH57" s="22">
        <f>IF(OR(E57&lt;&gt;"INFUSION_SEGMENT",BF57=0,BG57=0),0,COUNTIFS(nADM_SelKey,AN57,nADM_Kind,"INFUSION_SEGMENT",nADM_SegS_cmp,"&lt;"&amp;BG57,nADM_SegE_cmp,"&gt;"&amp;BF57)-IF(BG57&gt;BF57,1,0))</f>
        <v>0</v>
      </c>
      <c r="BI57" s="21" t="str">
        <f t="shared" si="62"/>
        <v/>
      </c>
      <c r="BJ57" s="22">
        <f>IF(C57="",1,IF(COUNTIF(nEXP_Key,AN57)&gt;0,1,0))</f>
        <v>1</v>
      </c>
      <c r="BK57" s="21" t="str">
        <f t="shared" si="63"/>
        <v/>
      </c>
      <c r="BL57" s="21" t="str">
        <f>IF(BK57="","",BK57&amp;": "&amp;SUBSTITUTE(IFERROR(INDEX(nMSG_Text,MATCH(BK57,nMSG_Code,0)),""),"[input]",IF(C57="","an Admin_ID",IF(BJ57=0,"an Exposures row for episode "&amp;D57,IF(BI57="E_MISSING_INPUT","segment start and end timestamps and a rate in mg/hour","the date fields required by the selected precision")))))</f>
        <v/>
      </c>
    </row>
    <row r="58" spans="1:64" x14ac:dyDescent="0.2">
      <c r="A58" s="10"/>
      <c r="B58" s="12"/>
      <c r="C58" s="10"/>
      <c r="D58" s="10"/>
      <c r="E58" s="17"/>
      <c r="F58" s="17"/>
      <c r="G58" s="17"/>
      <c r="H58" s="17"/>
      <c r="I58" s="17"/>
      <c r="J58" s="17"/>
      <c r="K58" s="17"/>
      <c r="L58" s="10"/>
      <c r="M58" s="10"/>
      <c r="N58" s="17"/>
      <c r="O58" s="15"/>
      <c r="P58" s="26"/>
      <c r="Q58" s="10"/>
      <c r="R58" s="12"/>
      <c r="S58" s="12"/>
      <c r="T58" s="15"/>
      <c r="U58" s="15"/>
      <c r="V58" s="10"/>
      <c r="W58" s="21" t="str">
        <f>IF(COUNTA(N58:U58)=0,"",IF(N58="","E_MISSING_INPUT",IF(N58="TIMESTAMP",IF(OR(O58="",P58="",Q58=""),"E_MISSING_INPUT",IF(OR(NOT(ISNUMBER(O58)),NOT(ISNUMBER(P58))),"E_INVALID_DATE",IF(OR(O58&lt;&gt;INT(O58),P58&lt;0,P58&gt;=1),"E_INVALID_DATE",IF(ISNA(MATCH(Q58,nLIST_Offset,0)),"E_INVALID_UNIT","")))),IF(N58="DATE",IF(O58="","E_MISSING_INPUT",IF(NOT(ISNUMBER(O58)),"E_INVALID_DATE",IF(O58&lt;&gt;INT(O58),"E_INVALID_DATE",""))),IF(N58="MONTH",IF(OR(R58="",S58=""),"E_MISSING_INPUT",IF(OR(NOT(ISNUMBER(R58)),NOT(ISNUMBER(S58))),"E_INVALID_DATE",IF(OR(R58&lt;1900,R58&gt;9999,R58&lt;&gt;INT(R58),S58&lt;1,S58&gt;12,S58&lt;&gt;INT(S58)),"E_INVALID_DATE",""))),IF(N58="YEAR",IF(R58="","E_MISSING_INPUT",IF(NOT(ISNUMBER(R58)),"E_INVALID_DATE",IF(OR(R58&lt;1900,R58&gt;9999,R58&lt;&gt;INT(R58)),"E_INVALID_DATE",""))),IF(N58="RANGE",IF(OR(T58="",U58=""),"E_MISSING_INPUT",IF(OR(NOT(ISNUMBER(T58)),NOT(ISNUMBER(U58))),"E_INVALID_DATE",IF(OR(T58&lt;&gt;INT(T58),U58&lt;&gt;INT(U58)),"E_INVALID_DATE",IF(T58&gt;U58,"E_REVERSED_BOUNDS","")))),"E_INVALID_UNIT")))))))</f>
        <v/>
      </c>
      <c r="X58" s="22">
        <f t="shared" si="32"/>
        <v>0</v>
      </c>
      <c r="Y58" s="22">
        <f t="shared" si="33"/>
        <v>0</v>
      </c>
      <c r="Z58" s="28" t="str">
        <f t="shared" si="34"/>
        <v/>
      </c>
      <c r="AA58" s="28" t="str">
        <f t="shared" si="35"/>
        <v/>
      </c>
      <c r="AB58" s="22" t="str">
        <f t="shared" si="36"/>
        <v/>
      </c>
      <c r="AC58" s="22" t="str">
        <f t="shared" si="37"/>
        <v/>
      </c>
      <c r="AD58" s="15"/>
      <c r="AE58" s="26"/>
      <c r="AF58" s="10"/>
      <c r="AG58" s="10"/>
      <c r="AH58" s="21" t="str">
        <f>IF(COUNTA(AD58:AF58)=0,"",IF(OR(AD58="",AE58="",AF58=""),"E_MISSING_INPUT",IF(OR(NOT(ISNUMBER(AD58)),NOT(ISNUMBER(AE58))),"E_INVALID_DATE",IF(OR(AD58&lt;&gt;INT(AD58),AE58&lt;0,AE58&gt;=1),"E_INVALID_DATE",IF(ISNA(MATCH(AF58,nLIST_Offset,0)),"E_INVALID_UNIT","")))))</f>
        <v/>
      </c>
      <c r="AI58" s="22" t="str">
        <f t="shared" si="38"/>
        <v/>
      </c>
      <c r="AJ58" s="22">
        <f t="shared" si="39"/>
        <v>0</v>
      </c>
      <c r="AK58" s="22" t="str">
        <f t="shared" si="40"/>
        <v/>
      </c>
      <c r="AL58" s="21" t="str">
        <f t="shared" si="41"/>
        <v/>
      </c>
      <c r="AM58" s="22">
        <f>IF(AL58="",0,COUNTIF(nADM_Key,AL58))</f>
        <v>0</v>
      </c>
      <c r="AN58" s="21" t="str">
        <f t="shared" si="42"/>
        <v/>
      </c>
      <c r="AO58" s="22">
        <f t="shared" si="43"/>
        <v>0</v>
      </c>
      <c r="AP58" s="22">
        <f t="shared" si="44"/>
        <v>0</v>
      </c>
      <c r="AQ58" s="22">
        <f t="shared" si="45"/>
        <v>0</v>
      </c>
      <c r="AR58" s="22">
        <f t="shared" si="46"/>
        <v>0</v>
      </c>
      <c r="AS58" s="22">
        <f t="shared" si="47"/>
        <v>0</v>
      </c>
      <c r="AT58" s="21">
        <f t="shared" si="48"/>
        <v>0</v>
      </c>
      <c r="AU58" s="21">
        <f t="shared" si="49"/>
        <v>0</v>
      </c>
      <c r="AV58" s="22">
        <f t="shared" si="50"/>
        <v>0</v>
      </c>
      <c r="AW58" s="21">
        <f t="shared" si="51"/>
        <v>0</v>
      </c>
      <c r="AX58" s="22">
        <f t="shared" si="52"/>
        <v>0</v>
      </c>
      <c r="AY58" s="21">
        <f t="shared" si="53"/>
        <v>1</v>
      </c>
      <c r="AZ58" s="21">
        <f t="shared" si="54"/>
        <v>0</v>
      </c>
      <c r="BA58" s="22">
        <f t="shared" si="55"/>
        <v>0</v>
      </c>
      <c r="BB58" s="22">
        <f t="shared" si="56"/>
        <v>0</v>
      </c>
      <c r="BC58" s="22">
        <f t="shared" si="57"/>
        <v>0</v>
      </c>
      <c r="BD58" s="22">
        <f t="shared" si="58"/>
        <v>0</v>
      </c>
      <c r="BE58" s="22">
        <f t="shared" si="59"/>
        <v>0</v>
      </c>
      <c r="BF58" s="22">
        <f t="shared" si="60"/>
        <v>0</v>
      </c>
      <c r="BG58" s="22">
        <f t="shared" si="61"/>
        <v>0</v>
      </c>
      <c r="BH58" s="22">
        <f>IF(OR(E58&lt;&gt;"INFUSION_SEGMENT",BF58=0,BG58=0),0,COUNTIFS(nADM_SelKey,AN58,nADM_Kind,"INFUSION_SEGMENT",nADM_SegS_cmp,"&lt;"&amp;BG58,nADM_SegE_cmp,"&gt;"&amp;BF58)-IF(BG58&gt;BF58,1,0))</f>
        <v>0</v>
      </c>
      <c r="BI58" s="21" t="str">
        <f t="shared" si="62"/>
        <v/>
      </c>
      <c r="BJ58" s="22">
        <f>IF(C58="",1,IF(COUNTIF(nEXP_Key,AN58)&gt;0,1,0))</f>
        <v>1</v>
      </c>
      <c r="BK58" s="21" t="str">
        <f t="shared" si="63"/>
        <v/>
      </c>
      <c r="BL58" s="21" t="str">
        <f>IF(BK58="","",BK58&amp;": "&amp;SUBSTITUTE(IFERROR(INDEX(nMSG_Text,MATCH(BK58,nMSG_Code,0)),""),"[input]",IF(C58="","an Admin_ID",IF(BJ58=0,"an Exposures row for episode "&amp;D58,IF(BI58="E_MISSING_INPUT","segment start and end timestamps and a rate in mg/hour","the date fields required by the selected precision")))))</f>
        <v/>
      </c>
    </row>
    <row r="59" spans="1:64" x14ac:dyDescent="0.2">
      <c r="A59" s="10"/>
      <c r="B59" s="12"/>
      <c r="C59" s="10"/>
      <c r="D59" s="10"/>
      <c r="E59" s="17"/>
      <c r="F59" s="17"/>
      <c r="G59" s="17"/>
      <c r="H59" s="17"/>
      <c r="I59" s="17"/>
      <c r="J59" s="17"/>
      <c r="K59" s="17"/>
      <c r="L59" s="10"/>
      <c r="M59" s="10"/>
      <c r="N59" s="17"/>
      <c r="O59" s="15"/>
      <c r="P59" s="26"/>
      <c r="Q59" s="10"/>
      <c r="R59" s="12"/>
      <c r="S59" s="12"/>
      <c r="T59" s="15"/>
      <c r="U59" s="15"/>
      <c r="V59" s="10"/>
      <c r="W59" s="21" t="str">
        <f>IF(COUNTA(N59:U59)=0,"",IF(N59="","E_MISSING_INPUT",IF(N59="TIMESTAMP",IF(OR(O59="",P59="",Q59=""),"E_MISSING_INPUT",IF(OR(NOT(ISNUMBER(O59)),NOT(ISNUMBER(P59))),"E_INVALID_DATE",IF(OR(O59&lt;&gt;INT(O59),P59&lt;0,P59&gt;=1),"E_INVALID_DATE",IF(ISNA(MATCH(Q59,nLIST_Offset,0)),"E_INVALID_UNIT","")))),IF(N59="DATE",IF(O59="","E_MISSING_INPUT",IF(NOT(ISNUMBER(O59)),"E_INVALID_DATE",IF(O59&lt;&gt;INT(O59),"E_INVALID_DATE",""))),IF(N59="MONTH",IF(OR(R59="",S59=""),"E_MISSING_INPUT",IF(OR(NOT(ISNUMBER(R59)),NOT(ISNUMBER(S59))),"E_INVALID_DATE",IF(OR(R59&lt;1900,R59&gt;9999,R59&lt;&gt;INT(R59),S59&lt;1,S59&gt;12,S59&lt;&gt;INT(S59)),"E_INVALID_DATE",""))),IF(N59="YEAR",IF(R59="","E_MISSING_INPUT",IF(NOT(ISNUMBER(R59)),"E_INVALID_DATE",IF(OR(R59&lt;1900,R59&gt;9999,R59&lt;&gt;INT(R59)),"E_INVALID_DATE",""))),IF(N59="RANGE",IF(OR(T59="",U59=""),"E_MISSING_INPUT",IF(OR(NOT(ISNUMBER(T59)),NOT(ISNUMBER(U59))),"E_INVALID_DATE",IF(OR(T59&lt;&gt;INT(T59),U59&lt;&gt;INT(U59)),"E_INVALID_DATE",IF(T59&gt;U59,"E_REVERSED_BOUNDS","")))),"E_INVALID_UNIT")))))))</f>
        <v/>
      </c>
      <c r="X59" s="22">
        <f t="shared" si="32"/>
        <v>0</v>
      </c>
      <c r="Y59" s="22">
        <f t="shared" si="33"/>
        <v>0</v>
      </c>
      <c r="Z59" s="28" t="str">
        <f t="shared" si="34"/>
        <v/>
      </c>
      <c r="AA59" s="28" t="str">
        <f t="shared" si="35"/>
        <v/>
      </c>
      <c r="AB59" s="22" t="str">
        <f t="shared" si="36"/>
        <v/>
      </c>
      <c r="AC59" s="22" t="str">
        <f t="shared" si="37"/>
        <v/>
      </c>
      <c r="AD59" s="15"/>
      <c r="AE59" s="26"/>
      <c r="AF59" s="10"/>
      <c r="AG59" s="10"/>
      <c r="AH59" s="21" t="str">
        <f>IF(COUNTA(AD59:AF59)=0,"",IF(OR(AD59="",AE59="",AF59=""),"E_MISSING_INPUT",IF(OR(NOT(ISNUMBER(AD59)),NOT(ISNUMBER(AE59))),"E_INVALID_DATE",IF(OR(AD59&lt;&gt;INT(AD59),AE59&lt;0,AE59&gt;=1),"E_INVALID_DATE",IF(ISNA(MATCH(AF59,nLIST_Offset,0)),"E_INVALID_UNIT","")))))</f>
        <v/>
      </c>
      <c r="AI59" s="22" t="str">
        <f t="shared" si="38"/>
        <v/>
      </c>
      <c r="AJ59" s="22">
        <f t="shared" si="39"/>
        <v>0</v>
      </c>
      <c r="AK59" s="22" t="str">
        <f t="shared" si="40"/>
        <v/>
      </c>
      <c r="AL59" s="21" t="str">
        <f t="shared" si="41"/>
        <v/>
      </c>
      <c r="AM59" s="22">
        <f>IF(AL59="",0,COUNTIF(nADM_Key,AL59))</f>
        <v>0</v>
      </c>
      <c r="AN59" s="21" t="str">
        <f t="shared" si="42"/>
        <v/>
      </c>
      <c r="AO59" s="22">
        <f t="shared" si="43"/>
        <v>0</v>
      </c>
      <c r="AP59" s="22">
        <f t="shared" si="44"/>
        <v>0</v>
      </c>
      <c r="AQ59" s="22">
        <f t="shared" si="45"/>
        <v>0</v>
      </c>
      <c r="AR59" s="22">
        <f t="shared" si="46"/>
        <v>0</v>
      </c>
      <c r="AS59" s="22">
        <f t="shared" si="47"/>
        <v>0</v>
      </c>
      <c r="AT59" s="21">
        <f t="shared" si="48"/>
        <v>0</v>
      </c>
      <c r="AU59" s="21">
        <f t="shared" si="49"/>
        <v>0</v>
      </c>
      <c r="AV59" s="22">
        <f t="shared" si="50"/>
        <v>0</v>
      </c>
      <c r="AW59" s="21">
        <f t="shared" si="51"/>
        <v>0</v>
      </c>
      <c r="AX59" s="22">
        <f t="shared" si="52"/>
        <v>0</v>
      </c>
      <c r="AY59" s="21">
        <f t="shared" si="53"/>
        <v>1</v>
      </c>
      <c r="AZ59" s="21">
        <f t="shared" si="54"/>
        <v>0</v>
      </c>
      <c r="BA59" s="22">
        <f t="shared" si="55"/>
        <v>0</v>
      </c>
      <c r="BB59" s="22">
        <f t="shared" si="56"/>
        <v>0</v>
      </c>
      <c r="BC59" s="22">
        <f t="shared" si="57"/>
        <v>0</v>
      </c>
      <c r="BD59" s="22">
        <f t="shared" si="58"/>
        <v>0</v>
      </c>
      <c r="BE59" s="22">
        <f t="shared" si="59"/>
        <v>0</v>
      </c>
      <c r="BF59" s="22">
        <f t="shared" si="60"/>
        <v>0</v>
      </c>
      <c r="BG59" s="22">
        <f t="shared" si="61"/>
        <v>0</v>
      </c>
      <c r="BH59" s="22">
        <f>IF(OR(E59&lt;&gt;"INFUSION_SEGMENT",BF59=0,BG59=0),0,COUNTIFS(nADM_SelKey,AN59,nADM_Kind,"INFUSION_SEGMENT",nADM_SegS_cmp,"&lt;"&amp;BG59,nADM_SegE_cmp,"&gt;"&amp;BF59)-IF(BG59&gt;BF59,1,0))</f>
        <v>0</v>
      </c>
      <c r="BI59" s="21" t="str">
        <f t="shared" si="62"/>
        <v/>
      </c>
      <c r="BJ59" s="22">
        <f>IF(C59="",1,IF(COUNTIF(nEXP_Key,AN59)&gt;0,1,0))</f>
        <v>1</v>
      </c>
      <c r="BK59" s="21" t="str">
        <f t="shared" si="63"/>
        <v/>
      </c>
      <c r="BL59" s="21" t="str">
        <f>IF(BK59="","",BK59&amp;": "&amp;SUBSTITUTE(IFERROR(INDEX(nMSG_Text,MATCH(BK59,nMSG_Code,0)),""),"[input]",IF(C59="","an Admin_ID",IF(BJ59=0,"an Exposures row for episode "&amp;D59,IF(BI59="E_MISSING_INPUT","segment start and end timestamps and a rate in mg/hour","the date fields required by the selected precision")))))</f>
        <v/>
      </c>
    </row>
    <row r="60" spans="1:64" x14ac:dyDescent="0.2">
      <c r="A60" s="10"/>
      <c r="B60" s="12"/>
      <c r="C60" s="10"/>
      <c r="D60" s="10"/>
      <c r="E60" s="17"/>
      <c r="F60" s="17"/>
      <c r="G60" s="17"/>
      <c r="H60" s="17"/>
      <c r="I60" s="17"/>
      <c r="J60" s="17"/>
      <c r="K60" s="17"/>
      <c r="L60" s="10"/>
      <c r="M60" s="10"/>
      <c r="N60" s="17"/>
      <c r="O60" s="15"/>
      <c r="P60" s="26"/>
      <c r="Q60" s="10"/>
      <c r="R60" s="12"/>
      <c r="S60" s="12"/>
      <c r="T60" s="15"/>
      <c r="U60" s="15"/>
      <c r="V60" s="10"/>
      <c r="W60" s="21" t="str">
        <f>IF(COUNTA(N60:U60)=0,"",IF(N60="","E_MISSING_INPUT",IF(N60="TIMESTAMP",IF(OR(O60="",P60="",Q60=""),"E_MISSING_INPUT",IF(OR(NOT(ISNUMBER(O60)),NOT(ISNUMBER(P60))),"E_INVALID_DATE",IF(OR(O60&lt;&gt;INT(O60),P60&lt;0,P60&gt;=1),"E_INVALID_DATE",IF(ISNA(MATCH(Q60,nLIST_Offset,0)),"E_INVALID_UNIT","")))),IF(N60="DATE",IF(O60="","E_MISSING_INPUT",IF(NOT(ISNUMBER(O60)),"E_INVALID_DATE",IF(O60&lt;&gt;INT(O60),"E_INVALID_DATE",""))),IF(N60="MONTH",IF(OR(R60="",S60=""),"E_MISSING_INPUT",IF(OR(NOT(ISNUMBER(R60)),NOT(ISNUMBER(S60))),"E_INVALID_DATE",IF(OR(R60&lt;1900,R60&gt;9999,R60&lt;&gt;INT(R60),S60&lt;1,S60&gt;12,S60&lt;&gt;INT(S60)),"E_INVALID_DATE",""))),IF(N60="YEAR",IF(R60="","E_MISSING_INPUT",IF(NOT(ISNUMBER(R60)),"E_INVALID_DATE",IF(OR(R60&lt;1900,R60&gt;9999,R60&lt;&gt;INT(R60)),"E_INVALID_DATE",""))),IF(N60="RANGE",IF(OR(T60="",U60=""),"E_MISSING_INPUT",IF(OR(NOT(ISNUMBER(T60)),NOT(ISNUMBER(U60))),"E_INVALID_DATE",IF(OR(T60&lt;&gt;INT(T60),U60&lt;&gt;INT(U60)),"E_INVALID_DATE",IF(T60&gt;U60,"E_REVERSED_BOUNDS","")))),"E_INVALID_UNIT")))))))</f>
        <v/>
      </c>
      <c r="X60" s="22">
        <f t="shared" si="32"/>
        <v>0</v>
      </c>
      <c r="Y60" s="22">
        <f t="shared" si="33"/>
        <v>0</v>
      </c>
      <c r="Z60" s="28" t="str">
        <f t="shared" si="34"/>
        <v/>
      </c>
      <c r="AA60" s="28" t="str">
        <f t="shared" si="35"/>
        <v/>
      </c>
      <c r="AB60" s="22" t="str">
        <f t="shared" si="36"/>
        <v/>
      </c>
      <c r="AC60" s="22" t="str">
        <f t="shared" si="37"/>
        <v/>
      </c>
      <c r="AD60" s="15"/>
      <c r="AE60" s="26"/>
      <c r="AF60" s="10"/>
      <c r="AG60" s="10"/>
      <c r="AH60" s="21" t="str">
        <f>IF(COUNTA(AD60:AF60)=0,"",IF(OR(AD60="",AE60="",AF60=""),"E_MISSING_INPUT",IF(OR(NOT(ISNUMBER(AD60)),NOT(ISNUMBER(AE60))),"E_INVALID_DATE",IF(OR(AD60&lt;&gt;INT(AD60),AE60&lt;0,AE60&gt;=1),"E_INVALID_DATE",IF(ISNA(MATCH(AF60,nLIST_Offset,0)),"E_INVALID_UNIT","")))))</f>
        <v/>
      </c>
      <c r="AI60" s="22" t="str">
        <f t="shared" si="38"/>
        <v/>
      </c>
      <c r="AJ60" s="22">
        <f t="shared" si="39"/>
        <v>0</v>
      </c>
      <c r="AK60" s="22" t="str">
        <f t="shared" si="40"/>
        <v/>
      </c>
      <c r="AL60" s="21" t="str">
        <f t="shared" si="41"/>
        <v/>
      </c>
      <c r="AM60" s="22">
        <f>IF(AL60="",0,COUNTIF(nADM_Key,AL60))</f>
        <v>0</v>
      </c>
      <c r="AN60" s="21" t="str">
        <f t="shared" si="42"/>
        <v/>
      </c>
      <c r="AO60" s="22">
        <f t="shared" si="43"/>
        <v>0</v>
      </c>
      <c r="AP60" s="22">
        <f t="shared" si="44"/>
        <v>0</v>
      </c>
      <c r="AQ60" s="22">
        <f t="shared" si="45"/>
        <v>0</v>
      </c>
      <c r="AR60" s="22">
        <f t="shared" si="46"/>
        <v>0</v>
      </c>
      <c r="AS60" s="22">
        <f t="shared" si="47"/>
        <v>0</v>
      </c>
      <c r="AT60" s="21">
        <f t="shared" si="48"/>
        <v>0</v>
      </c>
      <c r="AU60" s="21">
        <f t="shared" si="49"/>
        <v>0</v>
      </c>
      <c r="AV60" s="22">
        <f t="shared" si="50"/>
        <v>0</v>
      </c>
      <c r="AW60" s="21">
        <f t="shared" si="51"/>
        <v>0</v>
      </c>
      <c r="AX60" s="22">
        <f t="shared" si="52"/>
        <v>0</v>
      </c>
      <c r="AY60" s="21">
        <f t="shared" si="53"/>
        <v>1</v>
      </c>
      <c r="AZ60" s="21">
        <f t="shared" si="54"/>
        <v>0</v>
      </c>
      <c r="BA60" s="22">
        <f t="shared" si="55"/>
        <v>0</v>
      </c>
      <c r="BB60" s="22">
        <f t="shared" si="56"/>
        <v>0</v>
      </c>
      <c r="BC60" s="22">
        <f t="shared" si="57"/>
        <v>0</v>
      </c>
      <c r="BD60" s="22">
        <f t="shared" si="58"/>
        <v>0</v>
      </c>
      <c r="BE60" s="22">
        <f t="shared" si="59"/>
        <v>0</v>
      </c>
      <c r="BF60" s="22">
        <f t="shared" si="60"/>
        <v>0</v>
      </c>
      <c r="BG60" s="22">
        <f t="shared" si="61"/>
        <v>0</v>
      </c>
      <c r="BH60" s="22">
        <f>IF(OR(E60&lt;&gt;"INFUSION_SEGMENT",BF60=0,BG60=0),0,COUNTIFS(nADM_SelKey,AN60,nADM_Kind,"INFUSION_SEGMENT",nADM_SegS_cmp,"&lt;"&amp;BG60,nADM_SegE_cmp,"&gt;"&amp;BF60)-IF(BG60&gt;BF60,1,0))</f>
        <v>0</v>
      </c>
      <c r="BI60" s="21" t="str">
        <f t="shared" si="62"/>
        <v/>
      </c>
      <c r="BJ60" s="22">
        <f>IF(C60="",1,IF(COUNTIF(nEXP_Key,AN60)&gt;0,1,0))</f>
        <v>1</v>
      </c>
      <c r="BK60" s="21" t="str">
        <f t="shared" si="63"/>
        <v/>
      </c>
      <c r="BL60" s="21" t="str">
        <f>IF(BK60="","",BK60&amp;": "&amp;SUBSTITUTE(IFERROR(INDEX(nMSG_Text,MATCH(BK60,nMSG_Code,0)),""),"[input]",IF(C60="","an Admin_ID",IF(BJ60=0,"an Exposures row for episode "&amp;D60,IF(BI60="E_MISSING_INPUT","segment start and end timestamps and a rate in mg/hour","the date fields required by the selected precision")))))</f>
        <v/>
      </c>
    </row>
    <row r="61" spans="1:64" x14ac:dyDescent="0.2">
      <c r="A61" s="10"/>
      <c r="B61" s="12"/>
      <c r="C61" s="10"/>
      <c r="D61" s="10"/>
      <c r="E61" s="17"/>
      <c r="F61" s="17"/>
      <c r="G61" s="17"/>
      <c r="H61" s="17"/>
      <c r="I61" s="17"/>
      <c r="J61" s="17"/>
      <c r="K61" s="17"/>
      <c r="L61" s="10"/>
      <c r="M61" s="10"/>
      <c r="N61" s="17"/>
      <c r="O61" s="15"/>
      <c r="P61" s="26"/>
      <c r="Q61" s="10"/>
      <c r="R61" s="12"/>
      <c r="S61" s="12"/>
      <c r="T61" s="15"/>
      <c r="U61" s="15"/>
      <c r="V61" s="10"/>
      <c r="W61" s="21" t="str">
        <f>IF(COUNTA(N61:U61)=0,"",IF(N61="","E_MISSING_INPUT",IF(N61="TIMESTAMP",IF(OR(O61="",P61="",Q61=""),"E_MISSING_INPUT",IF(OR(NOT(ISNUMBER(O61)),NOT(ISNUMBER(P61))),"E_INVALID_DATE",IF(OR(O61&lt;&gt;INT(O61),P61&lt;0,P61&gt;=1),"E_INVALID_DATE",IF(ISNA(MATCH(Q61,nLIST_Offset,0)),"E_INVALID_UNIT","")))),IF(N61="DATE",IF(O61="","E_MISSING_INPUT",IF(NOT(ISNUMBER(O61)),"E_INVALID_DATE",IF(O61&lt;&gt;INT(O61),"E_INVALID_DATE",""))),IF(N61="MONTH",IF(OR(R61="",S61=""),"E_MISSING_INPUT",IF(OR(NOT(ISNUMBER(R61)),NOT(ISNUMBER(S61))),"E_INVALID_DATE",IF(OR(R61&lt;1900,R61&gt;9999,R61&lt;&gt;INT(R61),S61&lt;1,S61&gt;12,S61&lt;&gt;INT(S61)),"E_INVALID_DATE",""))),IF(N61="YEAR",IF(R61="","E_MISSING_INPUT",IF(NOT(ISNUMBER(R61)),"E_INVALID_DATE",IF(OR(R61&lt;1900,R61&gt;9999,R61&lt;&gt;INT(R61)),"E_INVALID_DATE",""))),IF(N61="RANGE",IF(OR(T61="",U61=""),"E_MISSING_INPUT",IF(OR(NOT(ISNUMBER(T61)),NOT(ISNUMBER(U61))),"E_INVALID_DATE",IF(OR(T61&lt;&gt;INT(T61),U61&lt;&gt;INT(U61)),"E_INVALID_DATE",IF(T61&gt;U61,"E_REVERSED_BOUNDS","")))),"E_INVALID_UNIT")))))))</f>
        <v/>
      </c>
      <c r="X61" s="22">
        <f t="shared" si="32"/>
        <v>0</v>
      </c>
      <c r="Y61" s="22">
        <f t="shared" si="33"/>
        <v>0</v>
      </c>
      <c r="Z61" s="28" t="str">
        <f t="shared" si="34"/>
        <v/>
      </c>
      <c r="AA61" s="28" t="str">
        <f t="shared" si="35"/>
        <v/>
      </c>
      <c r="AB61" s="22" t="str">
        <f t="shared" si="36"/>
        <v/>
      </c>
      <c r="AC61" s="22" t="str">
        <f t="shared" si="37"/>
        <v/>
      </c>
      <c r="AD61" s="15"/>
      <c r="AE61" s="26"/>
      <c r="AF61" s="10"/>
      <c r="AG61" s="10"/>
      <c r="AH61" s="21" t="str">
        <f>IF(COUNTA(AD61:AF61)=0,"",IF(OR(AD61="",AE61="",AF61=""),"E_MISSING_INPUT",IF(OR(NOT(ISNUMBER(AD61)),NOT(ISNUMBER(AE61))),"E_INVALID_DATE",IF(OR(AD61&lt;&gt;INT(AD61),AE61&lt;0,AE61&gt;=1),"E_INVALID_DATE",IF(ISNA(MATCH(AF61,nLIST_Offset,0)),"E_INVALID_UNIT","")))))</f>
        <v/>
      </c>
      <c r="AI61" s="22" t="str">
        <f t="shared" si="38"/>
        <v/>
      </c>
      <c r="AJ61" s="22">
        <f t="shared" si="39"/>
        <v>0</v>
      </c>
      <c r="AK61" s="22" t="str">
        <f t="shared" si="40"/>
        <v/>
      </c>
      <c r="AL61" s="21" t="str">
        <f t="shared" si="41"/>
        <v/>
      </c>
      <c r="AM61" s="22">
        <f>IF(AL61="",0,COUNTIF(nADM_Key,AL61))</f>
        <v>0</v>
      </c>
      <c r="AN61" s="21" t="str">
        <f t="shared" si="42"/>
        <v/>
      </c>
      <c r="AO61" s="22">
        <f t="shared" si="43"/>
        <v>0</v>
      </c>
      <c r="AP61" s="22">
        <f t="shared" si="44"/>
        <v>0</v>
      </c>
      <c r="AQ61" s="22">
        <f t="shared" si="45"/>
        <v>0</v>
      </c>
      <c r="AR61" s="22">
        <f t="shared" si="46"/>
        <v>0</v>
      </c>
      <c r="AS61" s="22">
        <f t="shared" si="47"/>
        <v>0</v>
      </c>
      <c r="AT61" s="21">
        <f t="shared" si="48"/>
        <v>0</v>
      </c>
      <c r="AU61" s="21">
        <f t="shared" si="49"/>
        <v>0</v>
      </c>
      <c r="AV61" s="22">
        <f t="shared" si="50"/>
        <v>0</v>
      </c>
      <c r="AW61" s="21">
        <f t="shared" si="51"/>
        <v>0</v>
      </c>
      <c r="AX61" s="22">
        <f t="shared" si="52"/>
        <v>0</v>
      </c>
      <c r="AY61" s="21">
        <f t="shared" si="53"/>
        <v>1</v>
      </c>
      <c r="AZ61" s="21">
        <f t="shared" si="54"/>
        <v>0</v>
      </c>
      <c r="BA61" s="22">
        <f t="shared" si="55"/>
        <v>0</v>
      </c>
      <c r="BB61" s="22">
        <f t="shared" si="56"/>
        <v>0</v>
      </c>
      <c r="BC61" s="22">
        <f t="shared" si="57"/>
        <v>0</v>
      </c>
      <c r="BD61" s="22">
        <f t="shared" si="58"/>
        <v>0</v>
      </c>
      <c r="BE61" s="22">
        <f t="shared" si="59"/>
        <v>0</v>
      </c>
      <c r="BF61" s="22">
        <f t="shared" si="60"/>
        <v>0</v>
      </c>
      <c r="BG61" s="22">
        <f t="shared" si="61"/>
        <v>0</v>
      </c>
      <c r="BH61" s="22">
        <f>IF(OR(E61&lt;&gt;"INFUSION_SEGMENT",BF61=0,BG61=0),0,COUNTIFS(nADM_SelKey,AN61,nADM_Kind,"INFUSION_SEGMENT",nADM_SegS_cmp,"&lt;"&amp;BG61,nADM_SegE_cmp,"&gt;"&amp;BF61)-IF(BG61&gt;BF61,1,0))</f>
        <v>0</v>
      </c>
      <c r="BI61" s="21" t="str">
        <f t="shared" si="62"/>
        <v/>
      </c>
      <c r="BJ61" s="22">
        <f>IF(C61="",1,IF(COUNTIF(nEXP_Key,AN61)&gt;0,1,0))</f>
        <v>1</v>
      </c>
      <c r="BK61" s="21" t="str">
        <f t="shared" si="63"/>
        <v/>
      </c>
      <c r="BL61" s="21" t="str">
        <f>IF(BK61="","",BK61&amp;": "&amp;SUBSTITUTE(IFERROR(INDEX(nMSG_Text,MATCH(BK61,nMSG_Code,0)),""),"[input]",IF(C61="","an Admin_ID",IF(BJ61=0,"an Exposures row for episode "&amp;D61,IF(BI61="E_MISSING_INPUT","segment start and end timestamps and a rate in mg/hour","the date fields required by the selected precision")))))</f>
        <v/>
      </c>
    </row>
    <row r="62" spans="1:64" x14ac:dyDescent="0.2">
      <c r="A62" s="10"/>
      <c r="B62" s="12"/>
      <c r="C62" s="10"/>
      <c r="D62" s="10"/>
      <c r="E62" s="17"/>
      <c r="F62" s="17"/>
      <c r="G62" s="17"/>
      <c r="H62" s="17"/>
      <c r="I62" s="17"/>
      <c r="J62" s="17"/>
      <c r="K62" s="17"/>
      <c r="L62" s="10"/>
      <c r="M62" s="10"/>
      <c r="N62" s="17"/>
      <c r="O62" s="15"/>
      <c r="P62" s="26"/>
      <c r="Q62" s="10"/>
      <c r="R62" s="12"/>
      <c r="S62" s="12"/>
      <c r="T62" s="15"/>
      <c r="U62" s="15"/>
      <c r="V62" s="10"/>
      <c r="W62" s="21" t="str">
        <f>IF(COUNTA(N62:U62)=0,"",IF(N62="","E_MISSING_INPUT",IF(N62="TIMESTAMP",IF(OR(O62="",P62="",Q62=""),"E_MISSING_INPUT",IF(OR(NOT(ISNUMBER(O62)),NOT(ISNUMBER(P62))),"E_INVALID_DATE",IF(OR(O62&lt;&gt;INT(O62),P62&lt;0,P62&gt;=1),"E_INVALID_DATE",IF(ISNA(MATCH(Q62,nLIST_Offset,0)),"E_INVALID_UNIT","")))),IF(N62="DATE",IF(O62="","E_MISSING_INPUT",IF(NOT(ISNUMBER(O62)),"E_INVALID_DATE",IF(O62&lt;&gt;INT(O62),"E_INVALID_DATE",""))),IF(N62="MONTH",IF(OR(R62="",S62=""),"E_MISSING_INPUT",IF(OR(NOT(ISNUMBER(R62)),NOT(ISNUMBER(S62))),"E_INVALID_DATE",IF(OR(R62&lt;1900,R62&gt;9999,R62&lt;&gt;INT(R62),S62&lt;1,S62&gt;12,S62&lt;&gt;INT(S62)),"E_INVALID_DATE",""))),IF(N62="YEAR",IF(R62="","E_MISSING_INPUT",IF(NOT(ISNUMBER(R62)),"E_INVALID_DATE",IF(OR(R62&lt;1900,R62&gt;9999,R62&lt;&gt;INT(R62)),"E_INVALID_DATE",""))),IF(N62="RANGE",IF(OR(T62="",U62=""),"E_MISSING_INPUT",IF(OR(NOT(ISNUMBER(T62)),NOT(ISNUMBER(U62))),"E_INVALID_DATE",IF(OR(T62&lt;&gt;INT(T62),U62&lt;&gt;INT(U62)),"E_INVALID_DATE",IF(T62&gt;U62,"E_REVERSED_BOUNDS","")))),"E_INVALID_UNIT")))))))</f>
        <v/>
      </c>
      <c r="X62" s="22">
        <f t="shared" si="32"/>
        <v>0</v>
      </c>
      <c r="Y62" s="22">
        <f t="shared" si="33"/>
        <v>0</v>
      </c>
      <c r="Z62" s="28" t="str">
        <f t="shared" si="34"/>
        <v/>
      </c>
      <c r="AA62" s="28" t="str">
        <f t="shared" si="35"/>
        <v/>
      </c>
      <c r="AB62" s="22" t="str">
        <f t="shared" si="36"/>
        <v/>
      </c>
      <c r="AC62" s="22" t="str">
        <f t="shared" si="37"/>
        <v/>
      </c>
      <c r="AD62" s="15"/>
      <c r="AE62" s="26"/>
      <c r="AF62" s="10"/>
      <c r="AG62" s="10"/>
      <c r="AH62" s="21" t="str">
        <f>IF(COUNTA(AD62:AF62)=0,"",IF(OR(AD62="",AE62="",AF62=""),"E_MISSING_INPUT",IF(OR(NOT(ISNUMBER(AD62)),NOT(ISNUMBER(AE62))),"E_INVALID_DATE",IF(OR(AD62&lt;&gt;INT(AD62),AE62&lt;0,AE62&gt;=1),"E_INVALID_DATE",IF(ISNA(MATCH(AF62,nLIST_Offset,0)),"E_INVALID_UNIT","")))))</f>
        <v/>
      </c>
      <c r="AI62" s="22" t="str">
        <f t="shared" si="38"/>
        <v/>
      </c>
      <c r="AJ62" s="22">
        <f t="shared" si="39"/>
        <v>0</v>
      </c>
      <c r="AK62" s="22" t="str">
        <f t="shared" si="40"/>
        <v/>
      </c>
      <c r="AL62" s="21" t="str">
        <f t="shared" si="41"/>
        <v/>
      </c>
      <c r="AM62" s="22">
        <f>IF(AL62="",0,COUNTIF(nADM_Key,AL62))</f>
        <v>0</v>
      </c>
      <c r="AN62" s="21" t="str">
        <f t="shared" si="42"/>
        <v/>
      </c>
      <c r="AO62" s="22">
        <f t="shared" si="43"/>
        <v>0</v>
      </c>
      <c r="AP62" s="22">
        <f t="shared" si="44"/>
        <v>0</v>
      </c>
      <c r="AQ62" s="22">
        <f t="shared" si="45"/>
        <v>0</v>
      </c>
      <c r="AR62" s="22">
        <f t="shared" si="46"/>
        <v>0</v>
      </c>
      <c r="AS62" s="22">
        <f t="shared" si="47"/>
        <v>0</v>
      </c>
      <c r="AT62" s="21">
        <f t="shared" si="48"/>
        <v>0</v>
      </c>
      <c r="AU62" s="21">
        <f t="shared" si="49"/>
        <v>0</v>
      </c>
      <c r="AV62" s="22">
        <f t="shared" si="50"/>
        <v>0</v>
      </c>
      <c r="AW62" s="21">
        <f t="shared" si="51"/>
        <v>0</v>
      </c>
      <c r="AX62" s="22">
        <f t="shared" si="52"/>
        <v>0</v>
      </c>
      <c r="AY62" s="21">
        <f t="shared" si="53"/>
        <v>1</v>
      </c>
      <c r="AZ62" s="21">
        <f t="shared" si="54"/>
        <v>0</v>
      </c>
      <c r="BA62" s="22">
        <f t="shared" si="55"/>
        <v>0</v>
      </c>
      <c r="BB62" s="22">
        <f t="shared" si="56"/>
        <v>0</v>
      </c>
      <c r="BC62" s="22">
        <f t="shared" si="57"/>
        <v>0</v>
      </c>
      <c r="BD62" s="22">
        <f t="shared" si="58"/>
        <v>0</v>
      </c>
      <c r="BE62" s="22">
        <f t="shared" si="59"/>
        <v>0</v>
      </c>
      <c r="BF62" s="22">
        <f t="shared" si="60"/>
        <v>0</v>
      </c>
      <c r="BG62" s="22">
        <f t="shared" si="61"/>
        <v>0</v>
      </c>
      <c r="BH62" s="22">
        <f>IF(OR(E62&lt;&gt;"INFUSION_SEGMENT",BF62=0,BG62=0),0,COUNTIFS(nADM_SelKey,AN62,nADM_Kind,"INFUSION_SEGMENT",nADM_SegS_cmp,"&lt;"&amp;BG62,nADM_SegE_cmp,"&gt;"&amp;BF62)-IF(BG62&gt;BF62,1,0))</f>
        <v>0</v>
      </c>
      <c r="BI62" s="21" t="str">
        <f t="shared" si="62"/>
        <v/>
      </c>
      <c r="BJ62" s="22">
        <f>IF(C62="",1,IF(COUNTIF(nEXP_Key,AN62)&gt;0,1,0))</f>
        <v>1</v>
      </c>
      <c r="BK62" s="21" t="str">
        <f t="shared" si="63"/>
        <v/>
      </c>
      <c r="BL62" s="21" t="str">
        <f>IF(BK62="","",BK62&amp;": "&amp;SUBSTITUTE(IFERROR(INDEX(nMSG_Text,MATCH(BK62,nMSG_Code,0)),""),"[input]",IF(C62="","an Admin_ID",IF(BJ62=0,"an Exposures row for episode "&amp;D62,IF(BI62="E_MISSING_INPUT","segment start and end timestamps and a rate in mg/hour","the date fields required by the selected precision")))))</f>
        <v/>
      </c>
    </row>
    <row r="63" spans="1:64" x14ac:dyDescent="0.2">
      <c r="A63" s="10"/>
      <c r="B63" s="12"/>
      <c r="C63" s="10"/>
      <c r="D63" s="10"/>
      <c r="E63" s="17"/>
      <c r="F63" s="17"/>
      <c r="G63" s="17"/>
      <c r="H63" s="17"/>
      <c r="I63" s="17"/>
      <c r="J63" s="17"/>
      <c r="K63" s="17"/>
      <c r="L63" s="10"/>
      <c r="M63" s="10"/>
      <c r="N63" s="17"/>
      <c r="O63" s="15"/>
      <c r="P63" s="26"/>
      <c r="Q63" s="10"/>
      <c r="R63" s="12"/>
      <c r="S63" s="12"/>
      <c r="T63" s="15"/>
      <c r="U63" s="15"/>
      <c r="V63" s="10"/>
      <c r="W63" s="21" t="str">
        <f>IF(COUNTA(N63:U63)=0,"",IF(N63="","E_MISSING_INPUT",IF(N63="TIMESTAMP",IF(OR(O63="",P63="",Q63=""),"E_MISSING_INPUT",IF(OR(NOT(ISNUMBER(O63)),NOT(ISNUMBER(P63))),"E_INVALID_DATE",IF(OR(O63&lt;&gt;INT(O63),P63&lt;0,P63&gt;=1),"E_INVALID_DATE",IF(ISNA(MATCH(Q63,nLIST_Offset,0)),"E_INVALID_UNIT","")))),IF(N63="DATE",IF(O63="","E_MISSING_INPUT",IF(NOT(ISNUMBER(O63)),"E_INVALID_DATE",IF(O63&lt;&gt;INT(O63),"E_INVALID_DATE",""))),IF(N63="MONTH",IF(OR(R63="",S63=""),"E_MISSING_INPUT",IF(OR(NOT(ISNUMBER(R63)),NOT(ISNUMBER(S63))),"E_INVALID_DATE",IF(OR(R63&lt;1900,R63&gt;9999,R63&lt;&gt;INT(R63),S63&lt;1,S63&gt;12,S63&lt;&gt;INT(S63)),"E_INVALID_DATE",""))),IF(N63="YEAR",IF(R63="","E_MISSING_INPUT",IF(NOT(ISNUMBER(R63)),"E_INVALID_DATE",IF(OR(R63&lt;1900,R63&gt;9999,R63&lt;&gt;INT(R63)),"E_INVALID_DATE",""))),IF(N63="RANGE",IF(OR(T63="",U63=""),"E_MISSING_INPUT",IF(OR(NOT(ISNUMBER(T63)),NOT(ISNUMBER(U63))),"E_INVALID_DATE",IF(OR(T63&lt;&gt;INT(T63),U63&lt;&gt;INT(U63)),"E_INVALID_DATE",IF(T63&gt;U63,"E_REVERSED_BOUNDS","")))),"E_INVALID_UNIT")))))))</f>
        <v/>
      </c>
      <c r="X63" s="22">
        <f t="shared" si="32"/>
        <v>0</v>
      </c>
      <c r="Y63" s="22">
        <f t="shared" si="33"/>
        <v>0</v>
      </c>
      <c r="Z63" s="28" t="str">
        <f t="shared" si="34"/>
        <v/>
      </c>
      <c r="AA63" s="28" t="str">
        <f t="shared" si="35"/>
        <v/>
      </c>
      <c r="AB63" s="22" t="str">
        <f t="shared" si="36"/>
        <v/>
      </c>
      <c r="AC63" s="22" t="str">
        <f t="shared" si="37"/>
        <v/>
      </c>
      <c r="AD63" s="15"/>
      <c r="AE63" s="26"/>
      <c r="AF63" s="10"/>
      <c r="AG63" s="10"/>
      <c r="AH63" s="21" t="str">
        <f>IF(COUNTA(AD63:AF63)=0,"",IF(OR(AD63="",AE63="",AF63=""),"E_MISSING_INPUT",IF(OR(NOT(ISNUMBER(AD63)),NOT(ISNUMBER(AE63))),"E_INVALID_DATE",IF(OR(AD63&lt;&gt;INT(AD63),AE63&lt;0,AE63&gt;=1),"E_INVALID_DATE",IF(ISNA(MATCH(AF63,nLIST_Offset,0)),"E_INVALID_UNIT","")))))</f>
        <v/>
      </c>
      <c r="AI63" s="22" t="str">
        <f t="shared" si="38"/>
        <v/>
      </c>
      <c r="AJ63" s="22">
        <f t="shared" si="39"/>
        <v>0</v>
      </c>
      <c r="AK63" s="22" t="str">
        <f t="shared" si="40"/>
        <v/>
      </c>
      <c r="AL63" s="21" t="str">
        <f t="shared" si="41"/>
        <v/>
      </c>
      <c r="AM63" s="22">
        <f>IF(AL63="",0,COUNTIF(nADM_Key,AL63))</f>
        <v>0</v>
      </c>
      <c r="AN63" s="21" t="str">
        <f t="shared" si="42"/>
        <v/>
      </c>
      <c r="AO63" s="22">
        <f t="shared" si="43"/>
        <v>0</v>
      </c>
      <c r="AP63" s="22">
        <f t="shared" si="44"/>
        <v>0</v>
      </c>
      <c r="AQ63" s="22">
        <f t="shared" si="45"/>
        <v>0</v>
      </c>
      <c r="AR63" s="22">
        <f t="shared" si="46"/>
        <v>0</v>
      </c>
      <c r="AS63" s="22">
        <f t="shared" si="47"/>
        <v>0</v>
      </c>
      <c r="AT63" s="21">
        <f t="shared" si="48"/>
        <v>0</v>
      </c>
      <c r="AU63" s="21">
        <f t="shared" si="49"/>
        <v>0</v>
      </c>
      <c r="AV63" s="22">
        <f t="shared" si="50"/>
        <v>0</v>
      </c>
      <c r="AW63" s="21">
        <f t="shared" si="51"/>
        <v>0</v>
      </c>
      <c r="AX63" s="22">
        <f t="shared" si="52"/>
        <v>0</v>
      </c>
      <c r="AY63" s="21">
        <f t="shared" si="53"/>
        <v>1</v>
      </c>
      <c r="AZ63" s="21">
        <f t="shared" si="54"/>
        <v>0</v>
      </c>
      <c r="BA63" s="22">
        <f t="shared" si="55"/>
        <v>0</v>
      </c>
      <c r="BB63" s="22">
        <f t="shared" si="56"/>
        <v>0</v>
      </c>
      <c r="BC63" s="22">
        <f t="shared" si="57"/>
        <v>0</v>
      </c>
      <c r="BD63" s="22">
        <f t="shared" si="58"/>
        <v>0</v>
      </c>
      <c r="BE63" s="22">
        <f t="shared" si="59"/>
        <v>0</v>
      </c>
      <c r="BF63" s="22">
        <f t="shared" si="60"/>
        <v>0</v>
      </c>
      <c r="BG63" s="22">
        <f t="shared" si="61"/>
        <v>0</v>
      </c>
      <c r="BH63" s="22">
        <f>IF(OR(E63&lt;&gt;"INFUSION_SEGMENT",BF63=0,BG63=0),0,COUNTIFS(nADM_SelKey,AN63,nADM_Kind,"INFUSION_SEGMENT",nADM_SegS_cmp,"&lt;"&amp;BG63,nADM_SegE_cmp,"&gt;"&amp;BF63)-IF(BG63&gt;BF63,1,0))</f>
        <v>0</v>
      </c>
      <c r="BI63" s="21" t="str">
        <f t="shared" si="62"/>
        <v/>
      </c>
      <c r="BJ63" s="22">
        <f>IF(C63="",1,IF(COUNTIF(nEXP_Key,AN63)&gt;0,1,0))</f>
        <v>1</v>
      </c>
      <c r="BK63" s="21" t="str">
        <f t="shared" si="63"/>
        <v/>
      </c>
      <c r="BL63" s="21" t="str">
        <f>IF(BK63="","",BK63&amp;": "&amp;SUBSTITUTE(IFERROR(INDEX(nMSG_Text,MATCH(BK63,nMSG_Code,0)),""),"[input]",IF(C63="","an Admin_ID",IF(BJ63=0,"an Exposures row for episode "&amp;D63,IF(BI63="E_MISSING_INPUT","segment start and end timestamps and a rate in mg/hour","the date fields required by the selected precision")))))</f>
        <v/>
      </c>
    </row>
    <row r="64" spans="1:64" x14ac:dyDescent="0.2">
      <c r="A64" s="10"/>
      <c r="B64" s="12"/>
      <c r="C64" s="10"/>
      <c r="D64" s="10"/>
      <c r="E64" s="17"/>
      <c r="F64" s="17"/>
      <c r="G64" s="17"/>
      <c r="H64" s="17"/>
      <c r="I64" s="17"/>
      <c r="J64" s="17"/>
      <c r="K64" s="17"/>
      <c r="L64" s="10"/>
      <c r="M64" s="10"/>
      <c r="N64" s="17"/>
      <c r="O64" s="15"/>
      <c r="P64" s="26"/>
      <c r="Q64" s="10"/>
      <c r="R64" s="12"/>
      <c r="S64" s="12"/>
      <c r="T64" s="15"/>
      <c r="U64" s="15"/>
      <c r="V64" s="10"/>
      <c r="W64" s="21" t="str">
        <f>IF(COUNTA(N64:U64)=0,"",IF(N64="","E_MISSING_INPUT",IF(N64="TIMESTAMP",IF(OR(O64="",P64="",Q64=""),"E_MISSING_INPUT",IF(OR(NOT(ISNUMBER(O64)),NOT(ISNUMBER(P64))),"E_INVALID_DATE",IF(OR(O64&lt;&gt;INT(O64),P64&lt;0,P64&gt;=1),"E_INVALID_DATE",IF(ISNA(MATCH(Q64,nLIST_Offset,0)),"E_INVALID_UNIT","")))),IF(N64="DATE",IF(O64="","E_MISSING_INPUT",IF(NOT(ISNUMBER(O64)),"E_INVALID_DATE",IF(O64&lt;&gt;INT(O64),"E_INVALID_DATE",""))),IF(N64="MONTH",IF(OR(R64="",S64=""),"E_MISSING_INPUT",IF(OR(NOT(ISNUMBER(R64)),NOT(ISNUMBER(S64))),"E_INVALID_DATE",IF(OR(R64&lt;1900,R64&gt;9999,R64&lt;&gt;INT(R64),S64&lt;1,S64&gt;12,S64&lt;&gt;INT(S64)),"E_INVALID_DATE",""))),IF(N64="YEAR",IF(R64="","E_MISSING_INPUT",IF(NOT(ISNUMBER(R64)),"E_INVALID_DATE",IF(OR(R64&lt;1900,R64&gt;9999,R64&lt;&gt;INT(R64)),"E_INVALID_DATE",""))),IF(N64="RANGE",IF(OR(T64="",U64=""),"E_MISSING_INPUT",IF(OR(NOT(ISNUMBER(T64)),NOT(ISNUMBER(U64))),"E_INVALID_DATE",IF(OR(T64&lt;&gt;INT(T64),U64&lt;&gt;INT(U64)),"E_INVALID_DATE",IF(T64&gt;U64,"E_REVERSED_BOUNDS","")))),"E_INVALID_UNIT")))))))</f>
        <v/>
      </c>
      <c r="X64" s="22">
        <f t="shared" si="32"/>
        <v>0</v>
      </c>
      <c r="Y64" s="22">
        <f t="shared" si="33"/>
        <v>0</v>
      </c>
      <c r="Z64" s="28" t="str">
        <f t="shared" si="34"/>
        <v/>
      </c>
      <c r="AA64" s="28" t="str">
        <f t="shared" si="35"/>
        <v/>
      </c>
      <c r="AB64" s="22" t="str">
        <f t="shared" si="36"/>
        <v/>
      </c>
      <c r="AC64" s="22" t="str">
        <f t="shared" si="37"/>
        <v/>
      </c>
      <c r="AD64" s="15"/>
      <c r="AE64" s="26"/>
      <c r="AF64" s="10"/>
      <c r="AG64" s="10"/>
      <c r="AH64" s="21" t="str">
        <f>IF(COUNTA(AD64:AF64)=0,"",IF(OR(AD64="",AE64="",AF64=""),"E_MISSING_INPUT",IF(OR(NOT(ISNUMBER(AD64)),NOT(ISNUMBER(AE64))),"E_INVALID_DATE",IF(OR(AD64&lt;&gt;INT(AD64),AE64&lt;0,AE64&gt;=1),"E_INVALID_DATE",IF(ISNA(MATCH(AF64,nLIST_Offset,0)),"E_INVALID_UNIT","")))))</f>
        <v/>
      </c>
      <c r="AI64" s="22" t="str">
        <f t="shared" si="38"/>
        <v/>
      </c>
      <c r="AJ64" s="22">
        <f t="shared" si="39"/>
        <v>0</v>
      </c>
      <c r="AK64" s="22" t="str">
        <f t="shared" si="40"/>
        <v/>
      </c>
      <c r="AL64" s="21" t="str">
        <f t="shared" si="41"/>
        <v/>
      </c>
      <c r="AM64" s="22">
        <f>IF(AL64="",0,COUNTIF(nADM_Key,AL64))</f>
        <v>0</v>
      </c>
      <c r="AN64" s="21" t="str">
        <f t="shared" si="42"/>
        <v/>
      </c>
      <c r="AO64" s="22">
        <f t="shared" si="43"/>
        <v>0</v>
      </c>
      <c r="AP64" s="22">
        <f t="shared" si="44"/>
        <v>0</v>
      </c>
      <c r="AQ64" s="22">
        <f t="shared" si="45"/>
        <v>0</v>
      </c>
      <c r="AR64" s="22">
        <f t="shared" si="46"/>
        <v>0</v>
      </c>
      <c r="AS64" s="22">
        <f t="shared" si="47"/>
        <v>0</v>
      </c>
      <c r="AT64" s="21">
        <f t="shared" si="48"/>
        <v>0</v>
      </c>
      <c r="AU64" s="21">
        <f t="shared" si="49"/>
        <v>0</v>
      </c>
      <c r="AV64" s="22">
        <f t="shared" si="50"/>
        <v>0</v>
      </c>
      <c r="AW64" s="21">
        <f t="shared" si="51"/>
        <v>0</v>
      </c>
      <c r="AX64" s="22">
        <f t="shared" si="52"/>
        <v>0</v>
      </c>
      <c r="AY64" s="21">
        <f t="shared" si="53"/>
        <v>1</v>
      </c>
      <c r="AZ64" s="21">
        <f t="shared" si="54"/>
        <v>0</v>
      </c>
      <c r="BA64" s="22">
        <f t="shared" si="55"/>
        <v>0</v>
      </c>
      <c r="BB64" s="22">
        <f t="shared" si="56"/>
        <v>0</v>
      </c>
      <c r="BC64" s="22">
        <f t="shared" si="57"/>
        <v>0</v>
      </c>
      <c r="BD64" s="22">
        <f t="shared" si="58"/>
        <v>0</v>
      </c>
      <c r="BE64" s="22">
        <f t="shared" si="59"/>
        <v>0</v>
      </c>
      <c r="BF64" s="22">
        <f t="shared" si="60"/>
        <v>0</v>
      </c>
      <c r="BG64" s="22">
        <f t="shared" si="61"/>
        <v>0</v>
      </c>
      <c r="BH64" s="22">
        <f>IF(OR(E64&lt;&gt;"INFUSION_SEGMENT",BF64=0,BG64=0),0,COUNTIFS(nADM_SelKey,AN64,nADM_Kind,"INFUSION_SEGMENT",nADM_SegS_cmp,"&lt;"&amp;BG64,nADM_SegE_cmp,"&gt;"&amp;BF64)-IF(BG64&gt;BF64,1,0))</f>
        <v>0</v>
      </c>
      <c r="BI64" s="21" t="str">
        <f t="shared" si="62"/>
        <v/>
      </c>
      <c r="BJ64" s="22">
        <f>IF(C64="",1,IF(COUNTIF(nEXP_Key,AN64)&gt;0,1,0))</f>
        <v>1</v>
      </c>
      <c r="BK64" s="21" t="str">
        <f t="shared" si="63"/>
        <v/>
      </c>
      <c r="BL64" s="21" t="str">
        <f>IF(BK64="","",BK64&amp;": "&amp;SUBSTITUTE(IFERROR(INDEX(nMSG_Text,MATCH(BK64,nMSG_Code,0)),""),"[input]",IF(C64="","an Admin_ID",IF(BJ64=0,"an Exposures row for episode "&amp;D64,IF(BI64="E_MISSING_INPUT","segment start and end timestamps and a rate in mg/hour","the date fields required by the selected precision")))))</f>
        <v/>
      </c>
    </row>
    <row r="65" spans="1:64" x14ac:dyDescent="0.2">
      <c r="A65" s="24" t="s">
        <v>288</v>
      </c>
      <c r="B65" s="23"/>
      <c r="C65" s="23"/>
      <c r="D65" s="23"/>
      <c r="E65" s="23"/>
      <c r="F65" s="23"/>
      <c r="G65" s="23"/>
      <c r="H65" s="23"/>
      <c r="I65" s="23"/>
      <c r="J65" s="23"/>
      <c r="K65" s="23"/>
      <c r="L65" s="23"/>
      <c r="M65" s="23"/>
      <c r="N65" s="23"/>
      <c r="O65" s="23"/>
      <c r="P65" s="23"/>
      <c r="Q65" s="23"/>
      <c r="R65" s="23"/>
      <c r="S65" s="23"/>
      <c r="T65" s="23"/>
      <c r="U65" s="23"/>
      <c r="V65" s="23"/>
      <c r="W65" s="23"/>
      <c r="X65" s="23"/>
      <c r="Y65" s="23"/>
      <c r="Z65" s="23"/>
      <c r="AA65" s="23"/>
      <c r="AB65" s="23"/>
      <c r="AC65" s="23"/>
      <c r="AD65" s="23"/>
      <c r="AE65" s="23"/>
      <c r="AF65" s="23"/>
      <c r="AG65" s="23"/>
      <c r="AH65" s="23"/>
      <c r="AI65" s="23"/>
      <c r="AJ65" s="23"/>
      <c r="AK65" s="23"/>
      <c r="AL65" s="23"/>
      <c r="AM65" s="23"/>
      <c r="AN65" s="23"/>
      <c r="AO65" s="23"/>
      <c r="AP65" s="23"/>
      <c r="AQ65" s="23"/>
      <c r="AR65" s="23"/>
      <c r="AS65" s="23"/>
      <c r="AT65" s="23"/>
      <c r="AU65" s="23"/>
      <c r="AV65" s="23"/>
      <c r="AW65" s="23"/>
      <c r="AX65" s="23"/>
      <c r="AY65" s="23"/>
      <c r="AZ65" s="23"/>
      <c r="BA65" s="23"/>
      <c r="BB65" s="23"/>
      <c r="BC65" s="23"/>
      <c r="BD65" s="23"/>
      <c r="BE65" s="23"/>
      <c r="BF65" s="23"/>
      <c r="BG65" s="23"/>
      <c r="BH65" s="23"/>
      <c r="BI65" s="23"/>
      <c r="BJ65" s="23"/>
      <c r="BK65" s="23"/>
      <c r="BL65" s="23"/>
    </row>
    <row r="66" spans="1:64" x14ac:dyDescent="0.2">
      <c r="A66" s="9" t="s">
        <v>291</v>
      </c>
      <c r="B66" s="11">
        <v>2</v>
      </c>
      <c r="C66" s="9" t="s">
        <v>593</v>
      </c>
      <c r="D66" s="9" t="s">
        <v>425</v>
      </c>
      <c r="E66" s="16" t="s">
        <v>98</v>
      </c>
      <c r="F66" s="16"/>
      <c r="G66" s="16"/>
      <c r="H66" s="16">
        <v>50</v>
      </c>
      <c r="I66" s="16" t="s">
        <v>101</v>
      </c>
      <c r="J66" s="16"/>
      <c r="K66" s="16" t="s">
        <v>148</v>
      </c>
      <c r="L66" s="9" t="s">
        <v>594</v>
      </c>
      <c r="M66" s="9" t="s">
        <v>595</v>
      </c>
      <c r="N66" s="16" t="s">
        <v>3</v>
      </c>
      <c r="O66" s="14">
        <v>46032</v>
      </c>
      <c r="P66" s="25">
        <v>0.375</v>
      </c>
      <c r="Q66" s="9" t="s">
        <v>18</v>
      </c>
      <c r="R66" s="11"/>
      <c r="S66" s="11"/>
      <c r="T66" s="14"/>
      <c r="U66" s="14"/>
      <c r="V66" s="9" t="s">
        <v>596</v>
      </c>
      <c r="W66" s="21" t="str">
        <f>IF(COUNTA(N66:U66)=0,"",IF(N66="","E_MISSING_INPUT",IF(N66="TIMESTAMP",IF(OR(O66="",P66="",Q66=""),"E_MISSING_INPUT",IF(OR(NOT(ISNUMBER(O66)),NOT(ISNUMBER(P66))),"E_INVALID_DATE",IF(OR(O66&lt;&gt;INT(O66),P66&lt;0,P66&gt;=1),"E_INVALID_DATE",IF(ISNA(MATCH(Q66,nLIST_Offset,0)),"E_INVALID_UNIT","")))),IF(N66="DATE",IF(O66="","E_MISSING_INPUT",IF(NOT(ISNUMBER(O66)),"E_INVALID_DATE",IF(O66&lt;&gt;INT(O66),"E_INVALID_DATE",""))),IF(N66="MONTH",IF(OR(R66="",S66=""),"E_MISSING_INPUT",IF(OR(NOT(ISNUMBER(R66)),NOT(ISNUMBER(S66))),"E_INVALID_DATE",IF(OR(R66&lt;1900,R66&gt;9999,R66&lt;&gt;INT(R66),S66&lt;1,S66&gt;12,S66&lt;&gt;INT(S66)),"E_INVALID_DATE",""))),IF(N66="YEAR",IF(R66="","E_MISSING_INPUT",IF(NOT(ISNUMBER(R66)),"E_INVALID_DATE",IF(OR(R66&lt;1900,R66&gt;9999,R66&lt;&gt;INT(R66)),"E_INVALID_DATE",""))),IF(N66="RANGE",IF(OR(T66="",U66=""),"E_MISSING_INPUT",IF(OR(NOT(ISNUMBER(T66)),NOT(ISNUMBER(U66))),"E_INVALID_DATE",IF(OR(T66&lt;&gt;INT(T66),U66&lt;&gt;INT(U66)),"E_INVALID_DATE",IF(T66&gt;U66,"E_REVERSED_BOUNDS","")))),"E_INVALID_UNIT")))))))</f>
        <v/>
      </c>
      <c r="X66" s="22">
        <f t="shared" ref="X66:X69" si="64">IF(AND(W66="",N66="TIMESTAMP"),1,0)</f>
        <v>1</v>
      </c>
      <c r="Y66" s="22">
        <f t="shared" ref="Y66:Y69" si="65">IF(AND(X66=1,Q66&lt;&gt;"unknown"),1,0)</f>
        <v>1</v>
      </c>
      <c r="Z66" s="28">
        <f t="shared" ref="Z66:Z69" si="66">IF(OR(W66&lt;&gt;"",N66=""),"",IF(OR(N66="TIMESTAMP",N66="DATE"),O66,IF(N66="MONTH",DATE(R66,S66,1),IF(N66="YEAR",DATE(R66,1,1),T66))))</f>
        <v>46032</v>
      </c>
      <c r="AA66" s="28">
        <f t="shared" ref="AA66:AA69" si="67">IF(OR(W66&lt;&gt;"",N66=""),"",IF(OR(N66="TIMESTAMP",N66="DATE"),O66,IF(N66="MONTH",EOMONTH(DATE(R66,S66,1),0),IF(N66="YEAR",DATE(R66,12,31),U66))))</f>
        <v>46032</v>
      </c>
      <c r="AB66" s="22">
        <f t="shared" ref="AB66:AB69" si="68">IF(X66=1,O66*1440+ROUND(P66*1440,0),"")</f>
        <v>66286620</v>
      </c>
      <c r="AC66" s="22">
        <f t="shared" ref="AC66:AC69" si="69">IF(Y66=1,AB66-(IF(LEFT(Q66,1)="-",-1,1)*(VALUE(MID(Q66,2,2))*60+VALUE(MID(Q66,5,2)))),"")</f>
        <v>66286920</v>
      </c>
      <c r="AD66" s="14">
        <v>46032</v>
      </c>
      <c r="AE66" s="25">
        <v>0.38611111111111102</v>
      </c>
      <c r="AF66" s="9" t="s">
        <v>18</v>
      </c>
      <c r="AG66" s="9" t="s">
        <v>597</v>
      </c>
      <c r="AH66" s="21" t="str">
        <f>IF(COUNTA(AD66:AF66)=0,"",IF(OR(AD66="",AE66="",AF66=""),"E_MISSING_INPUT",IF(OR(NOT(ISNUMBER(AD66)),NOT(ISNUMBER(AE66))),"E_INVALID_DATE",IF(OR(AD66&lt;&gt;INT(AD66),AE66&lt;0,AE66&gt;=1),"E_INVALID_DATE",IF(ISNA(MATCH(AF66,nLIST_Offset,0)),"E_INVALID_UNIT","")))))</f>
        <v/>
      </c>
      <c r="AI66" s="22">
        <f t="shared" ref="AI66:AI69" si="70">IF(AND(AH66="",ISNUMBER(AD66),ISNUMBER(AE66)),AD66*1440+ROUND(AE66*1440,0),"")</f>
        <v>66286636</v>
      </c>
      <c r="AJ66" s="22">
        <f t="shared" ref="AJ66:AJ69" si="71">IF(AND(AI66&lt;&gt;"",AF66&lt;&gt;"unknown"),1,0)</f>
        <v>1</v>
      </c>
      <c r="AK66" s="22">
        <f t="shared" ref="AK66:AK69" si="72">IF(AJ66=1,AI66-(IF(LEFT(AF66,1)="-",-1,1)*(VALUE(MID(AF66,2,2))*60+VALUE(MID(AF66,5,2)))),"")</f>
        <v>66286936</v>
      </c>
      <c r="AL66" s="21" t="str">
        <f t="shared" ref="AL66:AL69" si="73">IF(C66="","",A66&amp;"|"&amp;B66&amp;"|"&amp;C66)</f>
        <v>EX-C01|2|ADM-A1</v>
      </c>
      <c r="AM66" s="22">
        <f>IF(AL66="",0,COUNTIF(nADM_Key,AL66))</f>
        <v>1</v>
      </c>
      <c r="AN66" s="21" t="str">
        <f t="shared" ref="AN66:AN69" si="74">IF(C66="","",A66&amp;"|"&amp;B66&amp;"|"&amp;D66)</f>
        <v>EX-C01|2|EX-A</v>
      </c>
      <c r="AO66" s="22">
        <f t="shared" ref="AO66:AO69" si="75">IF(AND(C66&lt;&gt;"",W66="",Z66&lt;&gt;"",Z66=AA66),1,0)</f>
        <v>1</v>
      </c>
      <c r="AP66" s="22">
        <f t="shared" ref="AP66:AP69" si="76">IF(X66=1,AB66,0)</f>
        <v>66286620</v>
      </c>
      <c r="AQ66" s="22">
        <f t="shared" ref="AQ66:AQ69" si="77">IF(Y66=1,AC66,0)</f>
        <v>66286920</v>
      </c>
      <c r="AR66" s="22">
        <f t="shared" ref="AR66:AR69" si="78">IF(AO66=1,Z66,0)</f>
        <v>46032</v>
      </c>
      <c r="AS66" s="22">
        <f t="shared" ref="AS66:AS69" si="79">IF(AO66=1,IF(Y66=1,AC66,IF(X66=1,AB66,Z66*1440)),0)</f>
        <v>66286920</v>
      </c>
      <c r="AT66" s="21">
        <f t="shared" ref="AT66:AT69" si="80">IF(ISNUMBER(H66),H66,0)</f>
        <v>50</v>
      </c>
      <c r="AU66" s="21">
        <f t="shared" ref="AU66:AU69" si="81">IF(ISNUMBER(F66),F66,0)</f>
        <v>0</v>
      </c>
      <c r="AV66" s="22">
        <f t="shared" ref="AV66:AV69" si="82">IF(AND(C66&lt;&gt;"",ISNUMBER(F66)),1,0)</f>
        <v>0</v>
      </c>
      <c r="AW66" s="21">
        <f t="shared" ref="AW66:AW69" si="83">IF(ISNUMBER(J66),J66,0)</f>
        <v>0</v>
      </c>
      <c r="AX66" s="22">
        <f t="shared" ref="AX66:AX69" si="84">IF(AND(C66&lt;&gt;"",ISNUMBER(J66)),1,0)</f>
        <v>0</v>
      </c>
      <c r="AY66" s="21">
        <f t="shared" ref="AY66:AY69" si="85">IF(AND(ISNUMBER(J66),J66&gt;0),J66,1)</f>
        <v>1</v>
      </c>
      <c r="AZ66" s="21">
        <f t="shared" ref="AZ66:AZ69" si="86">IF(AND(AV66=1,AX66=1),AU66/AY66,0)</f>
        <v>0</v>
      </c>
      <c r="BA66" s="22">
        <f t="shared" ref="BA66:BA69" si="87">IF(AND(E66="INFUSION_SEGMENT",Y66=1,AJ66=1),1,0)</f>
        <v>1</v>
      </c>
      <c r="BB66" s="22">
        <f t="shared" ref="BB66:BB69" si="88">IF(BA66=1,AC66,0)</f>
        <v>66286920</v>
      </c>
      <c r="BC66" s="22">
        <f t="shared" ref="BC66:BC69" si="89">IF(BA66=1,AK66,0)</f>
        <v>66286936</v>
      </c>
      <c r="BD66" s="22">
        <f t="shared" ref="BD66:BD69" si="90">IF(AND(E66="INFUSION_SEGMENT",X66=1),AB66,0)</f>
        <v>66286620</v>
      </c>
      <c r="BE66" s="22">
        <f t="shared" ref="BE66:BE69" si="91">IF(AND(E66="INFUSION_SEGMENT",AI66&lt;&gt;""),AI66,0)</f>
        <v>66286636</v>
      </c>
      <c r="BF66" s="22">
        <f t="shared" ref="BF66:BF69" si="92">IF(BA66=1,BB66,BD66)</f>
        <v>66286920</v>
      </c>
      <c r="BG66" s="22">
        <f t="shared" ref="BG66:BG69" si="93">IF(BA66=1,BC66,BE66)</f>
        <v>66286936</v>
      </c>
      <c r="BH66" s="22">
        <f>IF(OR(E66&lt;&gt;"INFUSION_SEGMENT",BF66=0,BG66=0),0,COUNTIFS(nADM_SelKey,AN66,nADM_Kind,"INFUSION_SEGMENT",nADM_SegS_cmp,"&lt;"&amp;BG66,nADM_SegE_cmp,"&gt;"&amp;BF66)-IF(BG66&gt;BF66,1,0))</f>
        <v>0</v>
      </c>
      <c r="BI66" s="21" t="str">
        <f t="shared" ref="BI66:BI69" si="94">IF(E66&lt;&gt;"INFUSION_SEGMENT","",IF(W66&lt;&gt;"",W66,IF(AH66&lt;&gt;"",AH66,IF(OR(X66=0,AI66=""),"E_MISSING_INPUT",IF(NOT(ISNUMBER(H66)),"E_MISSING_INPUT",IF(I66&lt;&gt;"mg/hour",IF(I66="","E_MISSING_INPUT","E_INVALID_UNIT"),IF(H66&lt;=0,"E_NONPOSITIVE_PARAMETER",IF(BG66&lt;BF66,"E_REVERSED_BOUNDS",IF(BH66&gt;0,"E_OVERLAPPING_SEGMENTS","")))))))))</f>
        <v>E_INVALID_UNIT</v>
      </c>
      <c r="BJ66" s="22">
        <f>IF(C66="",1,IF(COUNTIF(nEXP_Key,AN66)&gt;0,1,0))</f>
        <v>1</v>
      </c>
      <c r="BK66" s="21" t="str">
        <f t="shared" ref="BK66:BK69" si="95">IF(C66="",IF(COUNTA(D66,F66,H66,N66,O66)&gt;0,"E_MISSING_INPUT",""),IF(AM66&gt;1,"E_DUPLICATE_ID",IF(BJ66=0,"E_MISSING_INPUT",IF(W66&lt;&gt;"",W66,IF(BI66&lt;&gt;"",BI66,IF(AND(ISNUMBER(F66),F66&lt;=0),"E_NONPOSITIVE_PARAMETER",IF(AND(ISNUMBER(J66),J66&lt;=0),"E_NONPOSITIVE_PARAMETER","")))))))</f>
        <v>E_INVALID_UNIT</v>
      </c>
      <c r="BL66" s="21" t="str">
        <f>IF(BK66="","",BK66&amp;": "&amp;SUBSTITUTE(IFERROR(INDEX(nMSG_Text,MATCH(BK66,nMSG_Code,0)),""),"[input]",IF(C66="","an Admin_ID",IF(BJ66=0,"an Exposures row for episode "&amp;D66,IF(BI66="E_MISSING_INPUT","segment start and end timestamps and a rate in mg/hour","the date fields required by the selected precision")))))</f>
        <v>E_INVALID_UNIT: This unit is not supported here. Use one of the listed units.</v>
      </c>
    </row>
    <row r="67" spans="1:64" x14ac:dyDescent="0.2">
      <c r="A67" s="9" t="s">
        <v>295</v>
      </c>
      <c r="B67" s="11">
        <v>2</v>
      </c>
      <c r="C67" s="9" t="s">
        <v>598</v>
      </c>
      <c r="D67" s="9" t="s">
        <v>446</v>
      </c>
      <c r="E67" s="16" t="s">
        <v>97</v>
      </c>
      <c r="F67" s="16">
        <v>125</v>
      </c>
      <c r="G67" s="16" t="s">
        <v>104</v>
      </c>
      <c r="H67" s="16"/>
      <c r="I67" s="16"/>
      <c r="J67" s="16"/>
      <c r="K67" s="16"/>
      <c r="L67" s="9"/>
      <c r="M67" s="9" t="s">
        <v>599</v>
      </c>
      <c r="N67" s="16" t="s">
        <v>3</v>
      </c>
      <c r="O67" s="14">
        <v>46207</v>
      </c>
      <c r="P67" s="25">
        <v>0.33333333333333298</v>
      </c>
      <c r="Q67" s="9" t="s">
        <v>9</v>
      </c>
      <c r="R67" s="11"/>
      <c r="S67" s="11"/>
      <c r="T67" s="14"/>
      <c r="U67" s="14"/>
      <c r="V67" s="9" t="s">
        <v>600</v>
      </c>
      <c r="W67" s="21" t="str">
        <f>IF(COUNTA(N67:U67)=0,"",IF(N67="","E_MISSING_INPUT",IF(N67="TIMESTAMP",IF(OR(O67="",P67="",Q67=""),"E_MISSING_INPUT",IF(OR(NOT(ISNUMBER(O67)),NOT(ISNUMBER(P67))),"E_INVALID_DATE",IF(OR(O67&lt;&gt;INT(O67),P67&lt;0,P67&gt;=1),"E_INVALID_DATE",IF(ISNA(MATCH(Q67,nLIST_Offset,0)),"E_INVALID_UNIT","")))),IF(N67="DATE",IF(O67="","E_MISSING_INPUT",IF(NOT(ISNUMBER(O67)),"E_INVALID_DATE",IF(O67&lt;&gt;INT(O67),"E_INVALID_DATE",""))),IF(N67="MONTH",IF(OR(R67="",S67=""),"E_MISSING_INPUT",IF(OR(NOT(ISNUMBER(R67)),NOT(ISNUMBER(S67))),"E_INVALID_DATE",IF(OR(R67&lt;1900,R67&gt;9999,R67&lt;&gt;INT(R67),S67&lt;1,S67&gt;12,S67&lt;&gt;INT(S67)),"E_INVALID_DATE",""))),IF(N67="YEAR",IF(R67="","E_MISSING_INPUT",IF(NOT(ISNUMBER(R67)),"E_INVALID_DATE",IF(OR(R67&lt;1900,R67&gt;9999,R67&lt;&gt;INT(R67)),"E_INVALID_DATE",""))),IF(N67="RANGE",IF(OR(T67="",U67=""),"E_MISSING_INPUT",IF(OR(NOT(ISNUMBER(T67)),NOT(ISNUMBER(U67))),"E_INVALID_DATE",IF(OR(T67&lt;&gt;INT(T67),U67&lt;&gt;INT(U67)),"E_INVALID_DATE",IF(T67&gt;U67,"E_REVERSED_BOUNDS","")))),"E_INVALID_UNIT")))))))</f>
        <v/>
      </c>
      <c r="X67" s="22">
        <f t="shared" si="64"/>
        <v>1</v>
      </c>
      <c r="Y67" s="22">
        <f t="shared" si="65"/>
        <v>0</v>
      </c>
      <c r="Z67" s="28">
        <f t="shared" si="66"/>
        <v>46207</v>
      </c>
      <c r="AA67" s="28">
        <f t="shared" si="67"/>
        <v>46207</v>
      </c>
      <c r="AB67" s="22">
        <f t="shared" si="68"/>
        <v>66538560</v>
      </c>
      <c r="AC67" s="22" t="str">
        <f t="shared" si="69"/>
        <v/>
      </c>
      <c r="AD67" s="14"/>
      <c r="AE67" s="25"/>
      <c r="AF67" s="9"/>
      <c r="AG67" s="9"/>
      <c r="AH67" s="21" t="str">
        <f>IF(COUNTA(AD67:AF67)=0,"",IF(OR(AD67="",AE67="",AF67=""),"E_MISSING_INPUT",IF(OR(NOT(ISNUMBER(AD67)),NOT(ISNUMBER(AE67))),"E_INVALID_DATE",IF(OR(AD67&lt;&gt;INT(AD67),AE67&lt;0,AE67&gt;=1),"E_INVALID_DATE",IF(ISNA(MATCH(AF67,nLIST_Offset,0)),"E_INVALID_UNIT","")))))</f>
        <v/>
      </c>
      <c r="AI67" s="22" t="str">
        <f t="shared" si="70"/>
        <v/>
      </c>
      <c r="AJ67" s="22">
        <f t="shared" si="71"/>
        <v>0</v>
      </c>
      <c r="AK67" s="22" t="str">
        <f t="shared" si="72"/>
        <v/>
      </c>
      <c r="AL67" s="21" t="str">
        <f t="shared" si="73"/>
        <v>EX-C04|2|ADM-DIG-LAST</v>
      </c>
      <c r="AM67" s="22">
        <f>IF(AL67="",0,COUNTIF(nADM_Key,AL67))</f>
        <v>1</v>
      </c>
      <c r="AN67" s="21" t="str">
        <f t="shared" si="74"/>
        <v>EX-C04|2|EX-DIG</v>
      </c>
      <c r="AO67" s="22">
        <f t="shared" si="75"/>
        <v>1</v>
      </c>
      <c r="AP67" s="22">
        <f t="shared" si="76"/>
        <v>66538560</v>
      </c>
      <c r="AQ67" s="22">
        <f t="shared" si="77"/>
        <v>0</v>
      </c>
      <c r="AR67" s="22">
        <f t="shared" si="78"/>
        <v>46207</v>
      </c>
      <c r="AS67" s="22">
        <f t="shared" si="79"/>
        <v>66538560</v>
      </c>
      <c r="AT67" s="21">
        <f t="shared" si="80"/>
        <v>0</v>
      </c>
      <c r="AU67" s="21">
        <f t="shared" si="81"/>
        <v>125</v>
      </c>
      <c r="AV67" s="22">
        <f t="shared" si="82"/>
        <v>1</v>
      </c>
      <c r="AW67" s="21">
        <f t="shared" si="83"/>
        <v>0</v>
      </c>
      <c r="AX67" s="22">
        <f t="shared" si="84"/>
        <v>0</v>
      </c>
      <c r="AY67" s="21">
        <f t="shared" si="85"/>
        <v>1</v>
      </c>
      <c r="AZ67" s="21">
        <f t="shared" si="86"/>
        <v>0</v>
      </c>
      <c r="BA67" s="22">
        <f t="shared" si="87"/>
        <v>0</v>
      </c>
      <c r="BB67" s="22">
        <f t="shared" si="88"/>
        <v>0</v>
      </c>
      <c r="BC67" s="22">
        <f t="shared" si="89"/>
        <v>0</v>
      </c>
      <c r="BD67" s="22">
        <f t="shared" si="90"/>
        <v>0</v>
      </c>
      <c r="BE67" s="22">
        <f t="shared" si="91"/>
        <v>0</v>
      </c>
      <c r="BF67" s="22">
        <f t="shared" si="92"/>
        <v>0</v>
      </c>
      <c r="BG67" s="22">
        <f t="shared" si="93"/>
        <v>0</v>
      </c>
      <c r="BH67" s="22">
        <f>IF(OR(E67&lt;&gt;"INFUSION_SEGMENT",BF67=0,BG67=0),0,COUNTIFS(nADM_SelKey,AN67,nADM_Kind,"INFUSION_SEGMENT",nADM_SegS_cmp,"&lt;"&amp;BG67,nADM_SegE_cmp,"&gt;"&amp;BF67)-IF(BG67&gt;BF67,1,0))</f>
        <v>0</v>
      </c>
      <c r="BI67" s="21" t="str">
        <f t="shared" si="94"/>
        <v/>
      </c>
      <c r="BJ67" s="22">
        <f>IF(C67="",1,IF(COUNTIF(nEXP_Key,AN67)&gt;0,1,0))</f>
        <v>1</v>
      </c>
      <c r="BK67" s="21" t="str">
        <f t="shared" si="95"/>
        <v/>
      </c>
      <c r="BL67" s="21" t="str">
        <f>IF(BK67="","",BK67&amp;": "&amp;SUBSTITUTE(IFERROR(INDEX(nMSG_Text,MATCH(BK67,nMSG_Code,0)),""),"[input]",IF(C67="","an Admin_ID",IF(BJ67=0,"an Exposures row for episode "&amp;D67,IF(BI67="E_MISSING_INPUT","segment start and end timestamps and a rate in mg/hour","the date fields required by the selected precision")))))</f>
        <v/>
      </c>
    </row>
    <row r="68" spans="1:64" x14ac:dyDescent="0.2">
      <c r="A68" s="9" t="s">
        <v>299</v>
      </c>
      <c r="B68" s="11">
        <v>2</v>
      </c>
      <c r="C68" s="9" t="s">
        <v>602</v>
      </c>
      <c r="D68" s="9" t="s">
        <v>467</v>
      </c>
      <c r="E68" s="16" t="s">
        <v>97</v>
      </c>
      <c r="F68" s="16"/>
      <c r="G68" s="16"/>
      <c r="H68" s="16"/>
      <c r="I68" s="16"/>
      <c r="J68" s="16"/>
      <c r="K68" s="16"/>
      <c r="L68" s="9" t="s">
        <v>601</v>
      </c>
      <c r="M68" s="9" t="s">
        <v>603</v>
      </c>
      <c r="N68" s="16" t="s">
        <v>4</v>
      </c>
      <c r="O68" s="14">
        <v>45614</v>
      </c>
      <c r="P68" s="25"/>
      <c r="Q68" s="9"/>
      <c r="R68" s="11"/>
      <c r="S68" s="11"/>
      <c r="T68" s="14"/>
      <c r="U68" s="14"/>
      <c r="V68" s="9" t="s">
        <v>472</v>
      </c>
      <c r="W68" s="21" t="str">
        <f>IF(COUNTA(N68:U68)=0,"",IF(N68="","E_MISSING_INPUT",IF(N68="TIMESTAMP",IF(OR(O68="",P68="",Q68=""),"E_MISSING_INPUT",IF(OR(NOT(ISNUMBER(O68)),NOT(ISNUMBER(P68))),"E_INVALID_DATE",IF(OR(O68&lt;&gt;INT(O68),P68&lt;0,P68&gt;=1),"E_INVALID_DATE",IF(ISNA(MATCH(Q68,nLIST_Offset,0)),"E_INVALID_UNIT","")))),IF(N68="DATE",IF(O68="","E_MISSING_INPUT",IF(NOT(ISNUMBER(O68)),"E_INVALID_DATE",IF(O68&lt;&gt;INT(O68),"E_INVALID_DATE",""))),IF(N68="MONTH",IF(OR(R68="",S68=""),"E_MISSING_INPUT",IF(OR(NOT(ISNUMBER(R68)),NOT(ISNUMBER(S68))),"E_INVALID_DATE",IF(OR(R68&lt;1900,R68&gt;9999,R68&lt;&gt;INT(R68),S68&lt;1,S68&gt;12,S68&lt;&gt;INT(S68)),"E_INVALID_DATE",""))),IF(N68="YEAR",IF(R68="","E_MISSING_INPUT",IF(NOT(ISNUMBER(R68)),"E_INVALID_DATE",IF(OR(R68&lt;1900,R68&gt;9999,R68&lt;&gt;INT(R68)),"E_INVALID_DATE",""))),IF(N68="RANGE",IF(OR(T68="",U68=""),"E_MISSING_INPUT",IF(OR(NOT(ISNUMBER(T68)),NOT(ISNUMBER(U68))),"E_INVALID_DATE",IF(OR(T68&lt;&gt;INT(T68),U68&lt;&gt;INT(U68)),"E_INVALID_DATE",IF(T68&gt;U68,"E_REVERSED_BOUNDS","")))),"E_INVALID_UNIT")))))))</f>
        <v/>
      </c>
      <c r="X68" s="22">
        <f t="shared" si="64"/>
        <v>0</v>
      </c>
      <c r="Y68" s="22">
        <f t="shared" si="65"/>
        <v>0</v>
      </c>
      <c r="Z68" s="28">
        <f t="shared" si="66"/>
        <v>45614</v>
      </c>
      <c r="AA68" s="28">
        <f t="shared" si="67"/>
        <v>45614</v>
      </c>
      <c r="AB68" s="22" t="str">
        <f t="shared" si="68"/>
        <v/>
      </c>
      <c r="AC68" s="22" t="str">
        <f t="shared" si="69"/>
        <v/>
      </c>
      <c r="AD68" s="14"/>
      <c r="AE68" s="25"/>
      <c r="AF68" s="9"/>
      <c r="AG68" s="9"/>
      <c r="AH68" s="21" t="str">
        <f>IF(COUNTA(AD68:AF68)=0,"",IF(OR(AD68="",AE68="",AF68=""),"E_MISSING_INPUT",IF(OR(NOT(ISNUMBER(AD68)),NOT(ISNUMBER(AE68))),"E_INVALID_DATE",IF(OR(AD68&lt;&gt;INT(AD68),AE68&lt;0,AE68&gt;=1),"E_INVALID_DATE",IF(ISNA(MATCH(AF68,nLIST_Offset,0)),"E_INVALID_UNIT","")))))</f>
        <v/>
      </c>
      <c r="AI68" s="22" t="str">
        <f t="shared" si="70"/>
        <v/>
      </c>
      <c r="AJ68" s="22">
        <f t="shared" si="71"/>
        <v>0</v>
      </c>
      <c r="AK68" s="22" t="str">
        <f t="shared" si="72"/>
        <v/>
      </c>
      <c r="AL68" s="21" t="str">
        <f t="shared" si="73"/>
        <v>EX-C28|2|ADM-RTX-1</v>
      </c>
      <c r="AM68" s="22">
        <f>IF(AL68="",0,COUNTIF(nADM_Key,AL68))</f>
        <v>1</v>
      </c>
      <c r="AN68" s="21" t="str">
        <f t="shared" si="74"/>
        <v>EX-C28|2|EX-RTX</v>
      </c>
      <c r="AO68" s="22">
        <f t="shared" si="75"/>
        <v>1</v>
      </c>
      <c r="AP68" s="22">
        <f t="shared" si="76"/>
        <v>0</v>
      </c>
      <c r="AQ68" s="22">
        <f t="shared" si="77"/>
        <v>0</v>
      </c>
      <c r="AR68" s="22">
        <f t="shared" si="78"/>
        <v>45614</v>
      </c>
      <c r="AS68" s="22">
        <f t="shared" si="79"/>
        <v>65684160</v>
      </c>
      <c r="AT68" s="21">
        <f t="shared" si="80"/>
        <v>0</v>
      </c>
      <c r="AU68" s="21">
        <f t="shared" si="81"/>
        <v>0</v>
      </c>
      <c r="AV68" s="22">
        <f t="shared" si="82"/>
        <v>0</v>
      </c>
      <c r="AW68" s="21">
        <f t="shared" si="83"/>
        <v>0</v>
      </c>
      <c r="AX68" s="22">
        <f t="shared" si="84"/>
        <v>0</v>
      </c>
      <c r="AY68" s="21">
        <f t="shared" si="85"/>
        <v>1</v>
      </c>
      <c r="AZ68" s="21">
        <f t="shared" si="86"/>
        <v>0</v>
      </c>
      <c r="BA68" s="22">
        <f t="shared" si="87"/>
        <v>0</v>
      </c>
      <c r="BB68" s="22">
        <f t="shared" si="88"/>
        <v>0</v>
      </c>
      <c r="BC68" s="22">
        <f t="shared" si="89"/>
        <v>0</v>
      </c>
      <c r="BD68" s="22">
        <f t="shared" si="90"/>
        <v>0</v>
      </c>
      <c r="BE68" s="22">
        <f t="shared" si="91"/>
        <v>0</v>
      </c>
      <c r="BF68" s="22">
        <f t="shared" si="92"/>
        <v>0</v>
      </c>
      <c r="BG68" s="22">
        <f t="shared" si="93"/>
        <v>0</v>
      </c>
      <c r="BH68" s="22">
        <f>IF(OR(E68&lt;&gt;"INFUSION_SEGMENT",BF68=0,BG68=0),0,COUNTIFS(nADM_SelKey,AN68,nADM_Kind,"INFUSION_SEGMENT",nADM_SegS_cmp,"&lt;"&amp;BG68,nADM_SegE_cmp,"&gt;"&amp;BF68)-IF(BG68&gt;BF68,1,0))</f>
        <v>0</v>
      </c>
      <c r="BI68" s="21" t="str">
        <f t="shared" si="94"/>
        <v/>
      </c>
      <c r="BJ68" s="22">
        <f>IF(C68="",1,IF(COUNTIF(nEXP_Key,AN68)&gt;0,1,0))</f>
        <v>1</v>
      </c>
      <c r="BK68" s="21" t="str">
        <f t="shared" si="95"/>
        <v/>
      </c>
      <c r="BL68" s="21" t="str">
        <f>IF(BK68="","",BK68&amp;": "&amp;SUBSTITUTE(IFERROR(INDEX(nMSG_Text,MATCH(BK68,nMSG_Code,0)),""),"[input]",IF(C68="","an Admin_ID",IF(BJ68=0,"an Exposures row for episode "&amp;D68,IF(BI68="E_MISSING_INPUT","segment start and end timestamps and a rate in mg/hour","the date fields required by the selected precision")))))</f>
        <v/>
      </c>
    </row>
    <row r="69" spans="1:64" x14ac:dyDescent="0.2">
      <c r="A69" s="9" t="s">
        <v>299</v>
      </c>
      <c r="B69" s="11">
        <v>2</v>
      </c>
      <c r="C69" s="9" t="s">
        <v>605</v>
      </c>
      <c r="D69" s="9" t="s">
        <v>467</v>
      </c>
      <c r="E69" s="16" t="s">
        <v>97</v>
      </c>
      <c r="F69" s="16"/>
      <c r="G69" s="16"/>
      <c r="H69" s="16"/>
      <c r="I69" s="16"/>
      <c r="J69" s="16"/>
      <c r="K69" s="16"/>
      <c r="L69" s="9" t="s">
        <v>604</v>
      </c>
      <c r="M69" s="9" t="s">
        <v>473</v>
      </c>
      <c r="N69" s="16" t="s">
        <v>4</v>
      </c>
      <c r="O69" s="14">
        <v>45719</v>
      </c>
      <c r="P69" s="25"/>
      <c r="Q69" s="9"/>
      <c r="R69" s="11"/>
      <c r="S69" s="11"/>
      <c r="T69" s="14"/>
      <c r="U69" s="14"/>
      <c r="V69" s="9" t="s">
        <v>472</v>
      </c>
      <c r="W69" s="21" t="str">
        <f>IF(COUNTA(N69:U69)=0,"",IF(N69="","E_MISSING_INPUT",IF(N69="TIMESTAMP",IF(OR(O69="",P69="",Q69=""),"E_MISSING_INPUT",IF(OR(NOT(ISNUMBER(O69)),NOT(ISNUMBER(P69))),"E_INVALID_DATE",IF(OR(O69&lt;&gt;INT(O69),P69&lt;0,P69&gt;=1),"E_INVALID_DATE",IF(ISNA(MATCH(Q69,nLIST_Offset,0)),"E_INVALID_UNIT","")))),IF(N69="DATE",IF(O69="","E_MISSING_INPUT",IF(NOT(ISNUMBER(O69)),"E_INVALID_DATE",IF(O69&lt;&gt;INT(O69),"E_INVALID_DATE",""))),IF(N69="MONTH",IF(OR(R69="",S69=""),"E_MISSING_INPUT",IF(OR(NOT(ISNUMBER(R69)),NOT(ISNUMBER(S69))),"E_INVALID_DATE",IF(OR(R69&lt;1900,R69&gt;9999,R69&lt;&gt;INT(R69),S69&lt;1,S69&gt;12,S69&lt;&gt;INT(S69)),"E_INVALID_DATE",""))),IF(N69="YEAR",IF(R69="","E_MISSING_INPUT",IF(NOT(ISNUMBER(R69)),"E_INVALID_DATE",IF(OR(R69&lt;1900,R69&gt;9999,R69&lt;&gt;INT(R69)),"E_INVALID_DATE",""))),IF(N69="RANGE",IF(OR(T69="",U69=""),"E_MISSING_INPUT",IF(OR(NOT(ISNUMBER(T69)),NOT(ISNUMBER(U69))),"E_INVALID_DATE",IF(OR(T69&lt;&gt;INT(T69),U69&lt;&gt;INT(U69)),"E_INVALID_DATE",IF(T69&gt;U69,"E_REVERSED_BOUNDS","")))),"E_INVALID_UNIT")))))))</f>
        <v/>
      </c>
      <c r="X69" s="22">
        <f t="shared" si="64"/>
        <v>0</v>
      </c>
      <c r="Y69" s="22">
        <f t="shared" si="65"/>
        <v>0</v>
      </c>
      <c r="Z69" s="28">
        <f t="shared" si="66"/>
        <v>45719</v>
      </c>
      <c r="AA69" s="28">
        <f t="shared" si="67"/>
        <v>45719</v>
      </c>
      <c r="AB69" s="22" t="str">
        <f t="shared" si="68"/>
        <v/>
      </c>
      <c r="AC69" s="22" t="str">
        <f t="shared" si="69"/>
        <v/>
      </c>
      <c r="AD69" s="14"/>
      <c r="AE69" s="25"/>
      <c r="AF69" s="9"/>
      <c r="AG69" s="9"/>
      <c r="AH69" s="21" t="str">
        <f>IF(COUNTA(AD69:AF69)=0,"",IF(OR(AD69="",AE69="",AF69=""),"E_MISSING_INPUT",IF(OR(NOT(ISNUMBER(AD69)),NOT(ISNUMBER(AE69))),"E_INVALID_DATE",IF(OR(AD69&lt;&gt;INT(AD69),AE69&lt;0,AE69&gt;=1),"E_INVALID_DATE",IF(ISNA(MATCH(AF69,nLIST_Offset,0)),"E_INVALID_UNIT","")))))</f>
        <v/>
      </c>
      <c r="AI69" s="22" t="str">
        <f t="shared" si="70"/>
        <v/>
      </c>
      <c r="AJ69" s="22">
        <f t="shared" si="71"/>
        <v>0</v>
      </c>
      <c r="AK69" s="22" t="str">
        <f t="shared" si="72"/>
        <v/>
      </c>
      <c r="AL69" s="21" t="str">
        <f t="shared" si="73"/>
        <v>EX-C28|2|ADM-RTX-6</v>
      </c>
      <c r="AM69" s="22">
        <f>IF(AL69="",0,COUNTIF(nADM_Key,AL69))</f>
        <v>1</v>
      </c>
      <c r="AN69" s="21" t="str">
        <f t="shared" si="74"/>
        <v>EX-C28|2|EX-RTX</v>
      </c>
      <c r="AO69" s="22">
        <f t="shared" si="75"/>
        <v>1</v>
      </c>
      <c r="AP69" s="22">
        <f t="shared" si="76"/>
        <v>0</v>
      </c>
      <c r="AQ69" s="22">
        <f t="shared" si="77"/>
        <v>0</v>
      </c>
      <c r="AR69" s="22">
        <f t="shared" si="78"/>
        <v>45719</v>
      </c>
      <c r="AS69" s="22">
        <f t="shared" si="79"/>
        <v>65835360</v>
      </c>
      <c r="AT69" s="21">
        <f t="shared" si="80"/>
        <v>0</v>
      </c>
      <c r="AU69" s="21">
        <f t="shared" si="81"/>
        <v>0</v>
      </c>
      <c r="AV69" s="22">
        <f t="shared" si="82"/>
        <v>0</v>
      </c>
      <c r="AW69" s="21">
        <f t="shared" si="83"/>
        <v>0</v>
      </c>
      <c r="AX69" s="22">
        <f t="shared" si="84"/>
        <v>0</v>
      </c>
      <c r="AY69" s="21">
        <f t="shared" si="85"/>
        <v>1</v>
      </c>
      <c r="AZ69" s="21">
        <f t="shared" si="86"/>
        <v>0</v>
      </c>
      <c r="BA69" s="22">
        <f t="shared" si="87"/>
        <v>0</v>
      </c>
      <c r="BB69" s="22">
        <f t="shared" si="88"/>
        <v>0</v>
      </c>
      <c r="BC69" s="22">
        <f t="shared" si="89"/>
        <v>0</v>
      </c>
      <c r="BD69" s="22">
        <f t="shared" si="90"/>
        <v>0</v>
      </c>
      <c r="BE69" s="22">
        <f t="shared" si="91"/>
        <v>0</v>
      </c>
      <c r="BF69" s="22">
        <f t="shared" si="92"/>
        <v>0</v>
      </c>
      <c r="BG69" s="22">
        <f t="shared" si="93"/>
        <v>0</v>
      </c>
      <c r="BH69" s="22">
        <f>IF(OR(E69&lt;&gt;"INFUSION_SEGMENT",BF69=0,BG69=0),0,COUNTIFS(nADM_SelKey,AN69,nADM_Kind,"INFUSION_SEGMENT",nADM_SegS_cmp,"&lt;"&amp;BG69,nADM_SegE_cmp,"&gt;"&amp;BF69)-IF(BG69&gt;BF69,1,0))</f>
        <v>0</v>
      </c>
      <c r="BI69" s="21" t="str">
        <f t="shared" si="94"/>
        <v/>
      </c>
      <c r="BJ69" s="22">
        <f>IF(C69="",1,IF(COUNTIF(nEXP_Key,AN69)&gt;0,1,0))</f>
        <v>1</v>
      </c>
      <c r="BK69" s="21" t="str">
        <f t="shared" si="95"/>
        <v/>
      </c>
      <c r="BL69" s="21" t="str">
        <f>IF(BK69="","",BK69&amp;": "&amp;SUBSTITUTE(IFERROR(INDEX(nMSG_Text,MATCH(BK69,nMSG_Code,0)),""),"[input]",IF(C69="","an Admin_ID",IF(BJ69=0,"an Exposures row for episode "&amp;D69,IF(BI69="E_MISSING_INPUT","segment start and end timestamps and a rate in mg/hour","the date fields required by the selected precision")))))</f>
        <v/>
      </c>
    </row>
    <row r="70" spans="1:64" x14ac:dyDescent="0.2">
      <c r="A70" s="24" t="s">
        <v>289</v>
      </c>
      <c r="B70" s="23"/>
      <c r="C70" s="23"/>
      <c r="D70" s="23"/>
      <c r="E70" s="23"/>
      <c r="F70" s="23"/>
      <c r="G70" s="23"/>
      <c r="H70" s="23"/>
      <c r="I70" s="23"/>
      <c r="J70" s="23"/>
      <c r="K70" s="23"/>
      <c r="L70" s="23"/>
      <c r="M70" s="23"/>
      <c r="N70" s="23"/>
      <c r="O70" s="23"/>
      <c r="P70" s="23"/>
      <c r="Q70" s="23"/>
      <c r="R70" s="23"/>
      <c r="S70" s="23"/>
      <c r="T70" s="23"/>
      <c r="U70" s="23"/>
      <c r="V70" s="23"/>
      <c r="W70" s="23"/>
      <c r="X70" s="23"/>
      <c r="Y70" s="23"/>
      <c r="Z70" s="23"/>
      <c r="AA70" s="23"/>
      <c r="AB70" s="23"/>
      <c r="AC70" s="23"/>
      <c r="AD70" s="23"/>
      <c r="AE70" s="23"/>
      <c r="AF70" s="23"/>
      <c r="AG70" s="23"/>
      <c r="AH70" s="23"/>
      <c r="AI70" s="23"/>
      <c r="AJ70" s="23"/>
      <c r="AK70" s="23"/>
      <c r="AL70" s="23"/>
      <c r="AM70" s="23"/>
      <c r="AN70" s="23"/>
      <c r="AO70" s="23"/>
      <c r="AP70" s="23"/>
      <c r="AQ70" s="23"/>
      <c r="AR70" s="23"/>
      <c r="AS70" s="23"/>
      <c r="AT70" s="23"/>
      <c r="AU70" s="23"/>
      <c r="AV70" s="23"/>
      <c r="AW70" s="23"/>
      <c r="AX70" s="23"/>
      <c r="AY70" s="23"/>
      <c r="AZ70" s="23"/>
      <c r="BA70" s="23"/>
      <c r="BB70" s="23"/>
      <c r="BC70" s="23"/>
      <c r="BD70" s="23"/>
      <c r="BE70" s="23"/>
      <c r="BF70" s="23"/>
      <c r="BG70" s="23"/>
      <c r="BH70" s="23"/>
      <c r="BI70" s="23"/>
      <c r="BJ70" s="23"/>
      <c r="BK70" s="23"/>
      <c r="BL70" s="23"/>
    </row>
    <row r="71" spans="1:64" x14ac:dyDescent="0.2">
      <c r="A71" s="9" t="s">
        <v>315</v>
      </c>
      <c r="B71" s="11">
        <v>1</v>
      </c>
      <c r="C71" s="9" t="s">
        <v>606</v>
      </c>
      <c r="D71" s="9" t="s">
        <v>494</v>
      </c>
      <c r="E71" s="16" t="s">
        <v>97</v>
      </c>
      <c r="F71" s="16"/>
      <c r="G71" s="16"/>
      <c r="H71" s="16"/>
      <c r="I71" s="16"/>
      <c r="J71" s="16"/>
      <c r="K71" s="16"/>
      <c r="L71" s="9"/>
      <c r="M71" s="9" t="s">
        <v>607</v>
      </c>
      <c r="N71" s="16" t="s">
        <v>3</v>
      </c>
      <c r="O71" s="14">
        <v>46082</v>
      </c>
      <c r="P71" s="25">
        <v>0.33333333333333298</v>
      </c>
      <c r="Q71" s="9" t="s">
        <v>18</v>
      </c>
      <c r="R71" s="11"/>
      <c r="S71" s="11"/>
      <c r="T71" s="14"/>
      <c r="U71" s="14"/>
      <c r="V71" s="9" t="s">
        <v>508</v>
      </c>
      <c r="W71" s="21" t="str">
        <f>IF(COUNTA(N71:U71)=0,"",IF(N71="","E_MISSING_INPUT",IF(N71="TIMESTAMP",IF(OR(O71="",P71="",Q71=""),"E_MISSING_INPUT",IF(OR(NOT(ISNUMBER(O71)),NOT(ISNUMBER(P71))),"E_INVALID_DATE",IF(OR(O71&lt;&gt;INT(O71),P71&lt;0,P71&gt;=1),"E_INVALID_DATE",IF(ISNA(MATCH(Q71,nLIST_Offset,0)),"E_INVALID_UNIT","")))),IF(N71="DATE",IF(O71="","E_MISSING_INPUT",IF(NOT(ISNUMBER(O71)),"E_INVALID_DATE",IF(O71&lt;&gt;INT(O71),"E_INVALID_DATE",""))),IF(N71="MONTH",IF(OR(R71="",S71=""),"E_MISSING_INPUT",IF(OR(NOT(ISNUMBER(R71)),NOT(ISNUMBER(S71))),"E_INVALID_DATE",IF(OR(R71&lt;1900,R71&gt;9999,R71&lt;&gt;INT(R71),S71&lt;1,S71&gt;12,S71&lt;&gt;INT(S71)),"E_INVALID_DATE",""))),IF(N71="YEAR",IF(R71="","E_MISSING_INPUT",IF(NOT(ISNUMBER(R71)),"E_INVALID_DATE",IF(OR(R71&lt;1900,R71&gt;9999,R71&lt;&gt;INT(R71)),"E_INVALID_DATE",""))),IF(N71="RANGE",IF(OR(T71="",U71=""),"E_MISSING_INPUT",IF(OR(NOT(ISNUMBER(T71)),NOT(ISNUMBER(U71))),"E_INVALID_DATE",IF(OR(T71&lt;&gt;INT(T71),U71&lt;&gt;INT(U71)),"E_INVALID_DATE",IF(T71&gt;U71,"E_REVERSED_BOUNDS","")))),"E_INVALID_UNIT")))))))</f>
        <v/>
      </c>
      <c r="X71" s="22">
        <f t="shared" ref="X71:X78" si="96">IF(AND(W71="",N71="TIMESTAMP"),1,0)</f>
        <v>1</v>
      </c>
      <c r="Y71" s="22">
        <f t="shared" ref="Y71:Y78" si="97">IF(AND(X71=1,Q71&lt;&gt;"unknown"),1,0)</f>
        <v>1</v>
      </c>
      <c r="Z71" s="28">
        <f t="shared" ref="Z71:Z78" si="98">IF(OR(W71&lt;&gt;"",N71=""),"",IF(OR(N71="TIMESTAMP",N71="DATE"),O71,IF(N71="MONTH",DATE(R71,S71,1),IF(N71="YEAR",DATE(R71,1,1),T71))))</f>
        <v>46082</v>
      </c>
      <c r="AA71" s="28">
        <f t="shared" ref="AA71:AA78" si="99">IF(OR(W71&lt;&gt;"",N71=""),"",IF(OR(N71="TIMESTAMP",N71="DATE"),O71,IF(N71="MONTH",EOMONTH(DATE(R71,S71,1),0),IF(N71="YEAR",DATE(R71,12,31),U71))))</f>
        <v>46082</v>
      </c>
      <c r="AB71" s="22">
        <f t="shared" ref="AB71:AB78" si="100">IF(X71=1,O71*1440+ROUND(P71*1440,0),"")</f>
        <v>66358560</v>
      </c>
      <c r="AC71" s="22">
        <f t="shared" ref="AC71:AC78" si="101">IF(Y71=1,AB71-(IF(LEFT(Q71,1)="-",-1,1)*(VALUE(MID(Q71,2,2))*60+VALUE(MID(Q71,5,2)))),"")</f>
        <v>66358860</v>
      </c>
      <c r="AD71" s="14"/>
      <c r="AE71" s="25"/>
      <c r="AF71" s="9"/>
      <c r="AG71" s="9"/>
      <c r="AH71" s="21" t="str">
        <f>IF(COUNTA(AD71:AF71)=0,"",IF(OR(AD71="",AE71="",AF71=""),"E_MISSING_INPUT",IF(OR(NOT(ISNUMBER(AD71)),NOT(ISNUMBER(AE71))),"E_INVALID_DATE",IF(OR(AD71&lt;&gt;INT(AD71),AE71&lt;0,AE71&gt;=1),"E_INVALID_DATE",IF(ISNA(MATCH(AF71,nLIST_Offset,0)),"E_INVALID_UNIT","")))))</f>
        <v/>
      </c>
      <c r="AI71" s="22" t="str">
        <f t="shared" ref="AI71:AI78" si="102">IF(AND(AH71="",ISNUMBER(AD71),ISNUMBER(AE71)),AD71*1440+ROUND(AE71*1440,0),"")</f>
        <v/>
      </c>
      <c r="AJ71" s="22">
        <f t="shared" ref="AJ71:AJ78" si="103">IF(AND(AI71&lt;&gt;"",AF71&lt;&gt;"unknown"),1,0)</f>
        <v>0</v>
      </c>
      <c r="AK71" s="22" t="str">
        <f t="shared" ref="AK71:AK78" si="104">IF(AJ71=1,AI71-(IF(LEFT(AF71,1)="-",-1,1)*(VALUE(MID(AF71,2,2))*60+VALUE(MID(AF71,5,2)))),"")</f>
        <v/>
      </c>
      <c r="AL71" s="21" t="str">
        <f t="shared" ref="AL71:AL78" si="105">IF(C71="","",A71&amp;"|"&amp;B71&amp;"|"&amp;C71)</f>
        <v>VEC-V07|1|A1</v>
      </c>
      <c r="AM71" s="22">
        <f>IF(AL71="",0,COUNTIF(nADM_Key,AL71))</f>
        <v>1</v>
      </c>
      <c r="AN71" s="21" t="str">
        <f t="shared" ref="AN71:AN78" si="106">IF(C71="","",A71&amp;"|"&amp;B71&amp;"|"&amp;D71)</f>
        <v>VEC-V07|1|EX1</v>
      </c>
      <c r="AO71" s="22">
        <f t="shared" ref="AO71:AO78" si="107">IF(AND(C71&lt;&gt;"",W71="",Z71&lt;&gt;"",Z71=AA71),1,0)</f>
        <v>1</v>
      </c>
      <c r="AP71" s="22">
        <f t="shared" ref="AP71:AP78" si="108">IF(X71=1,AB71,0)</f>
        <v>66358560</v>
      </c>
      <c r="AQ71" s="22">
        <f t="shared" ref="AQ71:AQ78" si="109">IF(Y71=1,AC71,0)</f>
        <v>66358860</v>
      </c>
      <c r="AR71" s="22">
        <f t="shared" ref="AR71:AR78" si="110">IF(AO71=1,Z71,0)</f>
        <v>46082</v>
      </c>
      <c r="AS71" s="22">
        <f t="shared" ref="AS71:AS78" si="111">IF(AO71=1,IF(Y71=1,AC71,IF(X71=1,AB71,Z71*1440)),0)</f>
        <v>66358860</v>
      </c>
      <c r="AT71" s="21">
        <f t="shared" ref="AT71:AT78" si="112">IF(ISNUMBER(H71),H71,0)</f>
        <v>0</v>
      </c>
      <c r="AU71" s="21">
        <f t="shared" ref="AU71:AU78" si="113">IF(ISNUMBER(F71),F71,0)</f>
        <v>0</v>
      </c>
      <c r="AV71" s="22">
        <f t="shared" ref="AV71:AV78" si="114">IF(AND(C71&lt;&gt;"",ISNUMBER(F71)),1,0)</f>
        <v>0</v>
      </c>
      <c r="AW71" s="21">
        <f t="shared" ref="AW71:AW78" si="115">IF(ISNUMBER(J71),J71,0)</f>
        <v>0</v>
      </c>
      <c r="AX71" s="22">
        <f t="shared" ref="AX71:AX78" si="116">IF(AND(C71&lt;&gt;"",ISNUMBER(J71)),1,0)</f>
        <v>0</v>
      </c>
      <c r="AY71" s="21">
        <f t="shared" ref="AY71:AY78" si="117">IF(AND(ISNUMBER(J71),J71&gt;0),J71,1)</f>
        <v>1</v>
      </c>
      <c r="AZ71" s="21">
        <f t="shared" ref="AZ71:AZ78" si="118">IF(AND(AV71=1,AX71=1),AU71/AY71,0)</f>
        <v>0</v>
      </c>
      <c r="BA71" s="22">
        <f t="shared" ref="BA71:BA78" si="119">IF(AND(E71="INFUSION_SEGMENT",Y71=1,AJ71=1),1,0)</f>
        <v>0</v>
      </c>
      <c r="BB71" s="22">
        <f t="shared" ref="BB71:BB78" si="120">IF(BA71=1,AC71,0)</f>
        <v>0</v>
      </c>
      <c r="BC71" s="22">
        <f t="shared" ref="BC71:BC78" si="121">IF(BA71=1,AK71,0)</f>
        <v>0</v>
      </c>
      <c r="BD71" s="22">
        <f t="shared" ref="BD71:BD78" si="122">IF(AND(E71="INFUSION_SEGMENT",X71=1),AB71,0)</f>
        <v>0</v>
      </c>
      <c r="BE71" s="22">
        <f t="shared" ref="BE71:BE78" si="123">IF(AND(E71="INFUSION_SEGMENT",AI71&lt;&gt;""),AI71,0)</f>
        <v>0</v>
      </c>
      <c r="BF71" s="22">
        <f t="shared" ref="BF71:BF78" si="124">IF(BA71=1,BB71,BD71)</f>
        <v>0</v>
      </c>
      <c r="BG71" s="22">
        <f t="shared" ref="BG71:BG78" si="125">IF(BA71=1,BC71,BE71)</f>
        <v>0</v>
      </c>
      <c r="BH71" s="22">
        <f>IF(OR(E71&lt;&gt;"INFUSION_SEGMENT",BF71=0,BG71=0),0,COUNTIFS(nADM_SelKey,AN71,nADM_Kind,"INFUSION_SEGMENT",nADM_SegS_cmp,"&lt;"&amp;BG71,nADM_SegE_cmp,"&gt;"&amp;BF71)-IF(BG71&gt;BF71,1,0))</f>
        <v>0</v>
      </c>
      <c r="BI71" s="21" t="str">
        <f t="shared" ref="BI71:BI78" si="126">IF(E71&lt;&gt;"INFUSION_SEGMENT","",IF(W71&lt;&gt;"",W71,IF(AH71&lt;&gt;"",AH71,IF(OR(X71=0,AI71=""),"E_MISSING_INPUT",IF(NOT(ISNUMBER(H71)),"E_MISSING_INPUT",IF(I71&lt;&gt;"mg/hour",IF(I71="","E_MISSING_INPUT","E_INVALID_UNIT"),IF(H71&lt;=0,"E_NONPOSITIVE_PARAMETER",IF(BG71&lt;BF71,"E_REVERSED_BOUNDS",IF(BH71&gt;0,"E_OVERLAPPING_SEGMENTS","")))))))))</f>
        <v/>
      </c>
      <c r="BJ71" s="22">
        <f>IF(C71="",1,IF(COUNTIF(nEXP_Key,AN71)&gt;0,1,0))</f>
        <v>1</v>
      </c>
      <c r="BK71" s="21" t="str">
        <f t="shared" ref="BK71:BK78" si="127">IF(C71="",IF(COUNTA(D71,F71,H71,N71,O71)&gt;0,"E_MISSING_INPUT",""),IF(AM71&gt;1,"E_DUPLICATE_ID",IF(BJ71=0,"E_MISSING_INPUT",IF(W71&lt;&gt;"",W71,IF(BI71&lt;&gt;"",BI71,IF(AND(ISNUMBER(F71),F71&lt;=0),"E_NONPOSITIVE_PARAMETER",IF(AND(ISNUMBER(J71),J71&lt;=0),"E_NONPOSITIVE_PARAMETER","")))))))</f>
        <v/>
      </c>
      <c r="BL71" s="21" t="str">
        <f>IF(BK71="","",BK71&amp;": "&amp;SUBSTITUTE(IFERROR(INDEX(nMSG_Text,MATCH(BK71,nMSG_Code,0)),""),"[input]",IF(C71="","an Admin_ID",IF(BJ71=0,"an Exposures row for episode "&amp;D71,IF(BI71="E_MISSING_INPUT","segment start and end timestamps and a rate in mg/hour","the date fields required by the selected precision")))))</f>
        <v/>
      </c>
    </row>
    <row r="72" spans="1:64" x14ac:dyDescent="0.2">
      <c r="A72" s="9" t="s">
        <v>315</v>
      </c>
      <c r="B72" s="11">
        <v>1</v>
      </c>
      <c r="C72" s="9" t="s">
        <v>608</v>
      </c>
      <c r="D72" s="9" t="s">
        <v>494</v>
      </c>
      <c r="E72" s="16" t="s">
        <v>97</v>
      </c>
      <c r="F72" s="16"/>
      <c r="G72" s="16"/>
      <c r="H72" s="16"/>
      <c r="I72" s="16"/>
      <c r="J72" s="16"/>
      <c r="K72" s="16"/>
      <c r="L72" s="9"/>
      <c r="M72" s="9" t="s">
        <v>609</v>
      </c>
      <c r="N72" s="16" t="s">
        <v>3</v>
      </c>
      <c r="O72" s="14">
        <v>46083</v>
      </c>
      <c r="P72" s="25">
        <v>0.33333333333333298</v>
      </c>
      <c r="Q72" s="9" t="s">
        <v>18</v>
      </c>
      <c r="R72" s="11"/>
      <c r="S72" s="11"/>
      <c r="T72" s="14"/>
      <c r="U72" s="14"/>
      <c r="V72" s="9" t="s">
        <v>508</v>
      </c>
      <c r="W72" s="21" t="str">
        <f>IF(COUNTA(N72:U72)=0,"",IF(N72="","E_MISSING_INPUT",IF(N72="TIMESTAMP",IF(OR(O72="",P72="",Q72=""),"E_MISSING_INPUT",IF(OR(NOT(ISNUMBER(O72)),NOT(ISNUMBER(P72))),"E_INVALID_DATE",IF(OR(O72&lt;&gt;INT(O72),P72&lt;0,P72&gt;=1),"E_INVALID_DATE",IF(ISNA(MATCH(Q72,nLIST_Offset,0)),"E_INVALID_UNIT","")))),IF(N72="DATE",IF(O72="","E_MISSING_INPUT",IF(NOT(ISNUMBER(O72)),"E_INVALID_DATE",IF(O72&lt;&gt;INT(O72),"E_INVALID_DATE",""))),IF(N72="MONTH",IF(OR(R72="",S72=""),"E_MISSING_INPUT",IF(OR(NOT(ISNUMBER(R72)),NOT(ISNUMBER(S72))),"E_INVALID_DATE",IF(OR(R72&lt;1900,R72&gt;9999,R72&lt;&gt;INT(R72),S72&lt;1,S72&gt;12,S72&lt;&gt;INT(S72)),"E_INVALID_DATE",""))),IF(N72="YEAR",IF(R72="","E_MISSING_INPUT",IF(NOT(ISNUMBER(R72)),"E_INVALID_DATE",IF(OR(R72&lt;1900,R72&gt;9999,R72&lt;&gt;INT(R72)),"E_INVALID_DATE",""))),IF(N72="RANGE",IF(OR(T72="",U72=""),"E_MISSING_INPUT",IF(OR(NOT(ISNUMBER(T72)),NOT(ISNUMBER(U72))),"E_INVALID_DATE",IF(OR(T72&lt;&gt;INT(T72),U72&lt;&gt;INT(U72)),"E_INVALID_DATE",IF(T72&gt;U72,"E_REVERSED_BOUNDS","")))),"E_INVALID_UNIT")))))))</f>
        <v/>
      </c>
      <c r="X72" s="22">
        <f t="shared" si="96"/>
        <v>1</v>
      </c>
      <c r="Y72" s="22">
        <f t="shared" si="97"/>
        <v>1</v>
      </c>
      <c r="Z72" s="28">
        <f t="shared" si="98"/>
        <v>46083</v>
      </c>
      <c r="AA72" s="28">
        <f t="shared" si="99"/>
        <v>46083</v>
      </c>
      <c r="AB72" s="22">
        <f t="shared" si="100"/>
        <v>66360000</v>
      </c>
      <c r="AC72" s="22">
        <f t="shared" si="101"/>
        <v>66360300</v>
      </c>
      <c r="AD72" s="14"/>
      <c r="AE72" s="25"/>
      <c r="AF72" s="9"/>
      <c r="AG72" s="9"/>
      <c r="AH72" s="21" t="str">
        <f>IF(COUNTA(AD72:AF72)=0,"",IF(OR(AD72="",AE72="",AF72=""),"E_MISSING_INPUT",IF(OR(NOT(ISNUMBER(AD72)),NOT(ISNUMBER(AE72))),"E_INVALID_DATE",IF(OR(AD72&lt;&gt;INT(AD72),AE72&lt;0,AE72&gt;=1),"E_INVALID_DATE",IF(ISNA(MATCH(AF72,nLIST_Offset,0)),"E_INVALID_UNIT","")))))</f>
        <v/>
      </c>
      <c r="AI72" s="22" t="str">
        <f t="shared" si="102"/>
        <v/>
      </c>
      <c r="AJ72" s="22">
        <f t="shared" si="103"/>
        <v>0</v>
      </c>
      <c r="AK72" s="22" t="str">
        <f t="shared" si="104"/>
        <v/>
      </c>
      <c r="AL72" s="21" t="str">
        <f t="shared" si="105"/>
        <v>VEC-V07|1|A2</v>
      </c>
      <c r="AM72" s="22">
        <f>IF(AL72="",0,COUNTIF(nADM_Key,AL72))</f>
        <v>1</v>
      </c>
      <c r="AN72" s="21" t="str">
        <f t="shared" si="106"/>
        <v>VEC-V07|1|EX1</v>
      </c>
      <c r="AO72" s="22">
        <f t="shared" si="107"/>
        <v>1</v>
      </c>
      <c r="AP72" s="22">
        <f t="shared" si="108"/>
        <v>66360000</v>
      </c>
      <c r="AQ72" s="22">
        <f t="shared" si="109"/>
        <v>66360300</v>
      </c>
      <c r="AR72" s="22">
        <f t="shared" si="110"/>
        <v>46083</v>
      </c>
      <c r="AS72" s="22">
        <f t="shared" si="111"/>
        <v>66360300</v>
      </c>
      <c r="AT72" s="21">
        <f t="shared" si="112"/>
        <v>0</v>
      </c>
      <c r="AU72" s="21">
        <f t="shared" si="113"/>
        <v>0</v>
      </c>
      <c r="AV72" s="22">
        <f t="shared" si="114"/>
        <v>0</v>
      </c>
      <c r="AW72" s="21">
        <f t="shared" si="115"/>
        <v>0</v>
      </c>
      <c r="AX72" s="22">
        <f t="shared" si="116"/>
        <v>0</v>
      </c>
      <c r="AY72" s="21">
        <f t="shared" si="117"/>
        <v>1</v>
      </c>
      <c r="AZ72" s="21">
        <f t="shared" si="118"/>
        <v>0</v>
      </c>
      <c r="BA72" s="22">
        <f t="shared" si="119"/>
        <v>0</v>
      </c>
      <c r="BB72" s="22">
        <f t="shared" si="120"/>
        <v>0</v>
      </c>
      <c r="BC72" s="22">
        <f t="shared" si="121"/>
        <v>0</v>
      </c>
      <c r="BD72" s="22">
        <f t="shared" si="122"/>
        <v>0</v>
      </c>
      <c r="BE72" s="22">
        <f t="shared" si="123"/>
        <v>0</v>
      </c>
      <c r="BF72" s="22">
        <f t="shared" si="124"/>
        <v>0</v>
      </c>
      <c r="BG72" s="22">
        <f t="shared" si="125"/>
        <v>0</v>
      </c>
      <c r="BH72" s="22">
        <f>IF(OR(E72&lt;&gt;"INFUSION_SEGMENT",BF72=0,BG72=0),0,COUNTIFS(nADM_SelKey,AN72,nADM_Kind,"INFUSION_SEGMENT",nADM_SegS_cmp,"&lt;"&amp;BG72,nADM_SegE_cmp,"&gt;"&amp;BF72)-IF(BG72&gt;BF72,1,0))</f>
        <v>0</v>
      </c>
      <c r="BI72" s="21" t="str">
        <f t="shared" si="126"/>
        <v/>
      </c>
      <c r="BJ72" s="22">
        <f>IF(C72="",1,IF(COUNTIF(nEXP_Key,AN72)&gt;0,1,0))</f>
        <v>1</v>
      </c>
      <c r="BK72" s="21" t="str">
        <f t="shared" si="127"/>
        <v/>
      </c>
      <c r="BL72" s="21" t="str">
        <f>IF(BK72="","",BK72&amp;": "&amp;SUBSTITUTE(IFERROR(INDEX(nMSG_Text,MATCH(BK72,nMSG_Code,0)),""),"[input]",IF(C72="","an Admin_ID",IF(BJ72=0,"an Exposures row for episode "&amp;D72,IF(BI72="E_MISSING_INPUT","segment start and end timestamps and a rate in mg/hour","the date fields required by the selected precision")))))</f>
        <v/>
      </c>
    </row>
    <row r="73" spans="1:64" x14ac:dyDescent="0.2">
      <c r="A73" s="9" t="s">
        <v>315</v>
      </c>
      <c r="B73" s="11">
        <v>1</v>
      </c>
      <c r="C73" s="9" t="s">
        <v>610</v>
      </c>
      <c r="D73" s="9" t="s">
        <v>494</v>
      </c>
      <c r="E73" s="16" t="s">
        <v>97</v>
      </c>
      <c r="F73" s="16"/>
      <c r="G73" s="16"/>
      <c r="H73" s="16"/>
      <c r="I73" s="16"/>
      <c r="J73" s="16"/>
      <c r="K73" s="16"/>
      <c r="L73" s="9"/>
      <c r="M73" s="9" t="s">
        <v>611</v>
      </c>
      <c r="N73" s="16" t="s">
        <v>3</v>
      </c>
      <c r="O73" s="14">
        <v>46084</v>
      </c>
      <c r="P73" s="25">
        <v>0.33333333333333298</v>
      </c>
      <c r="Q73" s="9" t="s">
        <v>18</v>
      </c>
      <c r="R73" s="11"/>
      <c r="S73" s="11"/>
      <c r="T73" s="14"/>
      <c r="U73" s="14"/>
      <c r="V73" s="9" t="s">
        <v>508</v>
      </c>
      <c r="W73" s="21" t="str">
        <f>IF(COUNTA(N73:U73)=0,"",IF(N73="","E_MISSING_INPUT",IF(N73="TIMESTAMP",IF(OR(O73="",P73="",Q73=""),"E_MISSING_INPUT",IF(OR(NOT(ISNUMBER(O73)),NOT(ISNUMBER(P73))),"E_INVALID_DATE",IF(OR(O73&lt;&gt;INT(O73),P73&lt;0,P73&gt;=1),"E_INVALID_DATE",IF(ISNA(MATCH(Q73,nLIST_Offset,0)),"E_INVALID_UNIT","")))),IF(N73="DATE",IF(O73="","E_MISSING_INPUT",IF(NOT(ISNUMBER(O73)),"E_INVALID_DATE",IF(O73&lt;&gt;INT(O73),"E_INVALID_DATE",""))),IF(N73="MONTH",IF(OR(R73="",S73=""),"E_MISSING_INPUT",IF(OR(NOT(ISNUMBER(R73)),NOT(ISNUMBER(S73))),"E_INVALID_DATE",IF(OR(R73&lt;1900,R73&gt;9999,R73&lt;&gt;INT(R73),S73&lt;1,S73&gt;12,S73&lt;&gt;INT(S73)),"E_INVALID_DATE",""))),IF(N73="YEAR",IF(R73="","E_MISSING_INPUT",IF(NOT(ISNUMBER(R73)),"E_INVALID_DATE",IF(OR(R73&lt;1900,R73&gt;9999,R73&lt;&gt;INT(R73)),"E_INVALID_DATE",""))),IF(N73="RANGE",IF(OR(T73="",U73=""),"E_MISSING_INPUT",IF(OR(NOT(ISNUMBER(T73)),NOT(ISNUMBER(U73))),"E_INVALID_DATE",IF(OR(T73&lt;&gt;INT(T73),U73&lt;&gt;INT(U73)),"E_INVALID_DATE",IF(T73&gt;U73,"E_REVERSED_BOUNDS","")))),"E_INVALID_UNIT")))))))</f>
        <v/>
      </c>
      <c r="X73" s="22">
        <f t="shared" si="96"/>
        <v>1</v>
      </c>
      <c r="Y73" s="22">
        <f t="shared" si="97"/>
        <v>1</v>
      </c>
      <c r="Z73" s="28">
        <f t="shared" si="98"/>
        <v>46084</v>
      </c>
      <c r="AA73" s="28">
        <f t="shared" si="99"/>
        <v>46084</v>
      </c>
      <c r="AB73" s="22">
        <f t="shared" si="100"/>
        <v>66361440</v>
      </c>
      <c r="AC73" s="22">
        <f t="shared" si="101"/>
        <v>66361740</v>
      </c>
      <c r="AD73" s="14"/>
      <c r="AE73" s="25"/>
      <c r="AF73" s="9"/>
      <c r="AG73" s="9"/>
      <c r="AH73" s="21" t="str">
        <f>IF(COUNTA(AD73:AF73)=0,"",IF(OR(AD73="",AE73="",AF73=""),"E_MISSING_INPUT",IF(OR(NOT(ISNUMBER(AD73)),NOT(ISNUMBER(AE73))),"E_INVALID_DATE",IF(OR(AD73&lt;&gt;INT(AD73),AE73&lt;0,AE73&gt;=1),"E_INVALID_DATE",IF(ISNA(MATCH(AF73,nLIST_Offset,0)),"E_INVALID_UNIT","")))))</f>
        <v/>
      </c>
      <c r="AI73" s="22" t="str">
        <f t="shared" si="102"/>
        <v/>
      </c>
      <c r="AJ73" s="22">
        <f t="shared" si="103"/>
        <v>0</v>
      </c>
      <c r="AK73" s="22" t="str">
        <f t="shared" si="104"/>
        <v/>
      </c>
      <c r="AL73" s="21" t="str">
        <f t="shared" si="105"/>
        <v>VEC-V07|1|A3</v>
      </c>
      <c r="AM73" s="22">
        <f>IF(AL73="",0,COUNTIF(nADM_Key,AL73))</f>
        <v>1</v>
      </c>
      <c r="AN73" s="21" t="str">
        <f t="shared" si="106"/>
        <v>VEC-V07|1|EX1</v>
      </c>
      <c r="AO73" s="22">
        <f t="shared" si="107"/>
        <v>1</v>
      </c>
      <c r="AP73" s="22">
        <f t="shared" si="108"/>
        <v>66361440</v>
      </c>
      <c r="AQ73" s="22">
        <f t="shared" si="109"/>
        <v>66361740</v>
      </c>
      <c r="AR73" s="22">
        <f t="shared" si="110"/>
        <v>46084</v>
      </c>
      <c r="AS73" s="22">
        <f t="shared" si="111"/>
        <v>66361740</v>
      </c>
      <c r="AT73" s="21">
        <f t="shared" si="112"/>
        <v>0</v>
      </c>
      <c r="AU73" s="21">
        <f t="shared" si="113"/>
        <v>0</v>
      </c>
      <c r="AV73" s="22">
        <f t="shared" si="114"/>
        <v>0</v>
      </c>
      <c r="AW73" s="21">
        <f t="shared" si="115"/>
        <v>0</v>
      </c>
      <c r="AX73" s="22">
        <f t="shared" si="116"/>
        <v>0</v>
      </c>
      <c r="AY73" s="21">
        <f t="shared" si="117"/>
        <v>1</v>
      </c>
      <c r="AZ73" s="21">
        <f t="shared" si="118"/>
        <v>0</v>
      </c>
      <c r="BA73" s="22">
        <f t="shared" si="119"/>
        <v>0</v>
      </c>
      <c r="BB73" s="22">
        <f t="shared" si="120"/>
        <v>0</v>
      </c>
      <c r="BC73" s="22">
        <f t="shared" si="121"/>
        <v>0</v>
      </c>
      <c r="BD73" s="22">
        <f t="shared" si="122"/>
        <v>0</v>
      </c>
      <c r="BE73" s="22">
        <f t="shared" si="123"/>
        <v>0</v>
      </c>
      <c r="BF73" s="22">
        <f t="shared" si="124"/>
        <v>0</v>
      </c>
      <c r="BG73" s="22">
        <f t="shared" si="125"/>
        <v>0</v>
      </c>
      <c r="BH73" s="22">
        <f>IF(OR(E73&lt;&gt;"INFUSION_SEGMENT",BF73=0,BG73=0),0,COUNTIFS(nADM_SelKey,AN73,nADM_Kind,"INFUSION_SEGMENT",nADM_SegS_cmp,"&lt;"&amp;BG73,nADM_SegE_cmp,"&gt;"&amp;BF73)-IF(BG73&gt;BF73,1,0))</f>
        <v>0</v>
      </c>
      <c r="BI73" s="21" t="str">
        <f t="shared" si="126"/>
        <v/>
      </c>
      <c r="BJ73" s="22">
        <f>IF(C73="",1,IF(COUNTIF(nEXP_Key,AN73)&gt;0,1,0))</f>
        <v>1</v>
      </c>
      <c r="BK73" s="21" t="str">
        <f t="shared" si="127"/>
        <v/>
      </c>
      <c r="BL73" s="21" t="str">
        <f>IF(BK73="","",BK73&amp;": "&amp;SUBSTITUTE(IFERROR(INDEX(nMSG_Text,MATCH(BK73,nMSG_Code,0)),""),"[input]",IF(C73="","an Admin_ID",IF(BJ73=0,"an Exposures row for episode "&amp;D73,IF(BI73="E_MISSING_INPUT","segment start and end timestamps and a rate in mg/hour","the date fields required by the selected precision")))))</f>
        <v/>
      </c>
    </row>
    <row r="74" spans="1:64" x14ac:dyDescent="0.2">
      <c r="A74" s="9" t="s">
        <v>351</v>
      </c>
      <c r="B74" s="11">
        <v>1</v>
      </c>
      <c r="C74" s="9" t="s">
        <v>612</v>
      </c>
      <c r="D74" s="9" t="s">
        <v>494</v>
      </c>
      <c r="E74" s="16" t="s">
        <v>98</v>
      </c>
      <c r="F74" s="16"/>
      <c r="G74" s="16"/>
      <c r="H74" s="16">
        <v>50</v>
      </c>
      <c r="I74" s="16" t="s">
        <v>100</v>
      </c>
      <c r="J74" s="16"/>
      <c r="K74" s="16"/>
      <c r="L74" s="9"/>
      <c r="M74" s="9" t="s">
        <v>613</v>
      </c>
      <c r="N74" s="16" t="s">
        <v>3</v>
      </c>
      <c r="O74" s="14">
        <v>46032</v>
      </c>
      <c r="P74" s="25">
        <v>0.375</v>
      </c>
      <c r="Q74" s="9" t="s">
        <v>18</v>
      </c>
      <c r="R74" s="11"/>
      <c r="S74" s="11"/>
      <c r="T74" s="14"/>
      <c r="U74" s="14"/>
      <c r="V74" s="9" t="s">
        <v>530</v>
      </c>
      <c r="W74" s="21" t="str">
        <f>IF(COUNTA(N74:U74)=0,"",IF(N74="","E_MISSING_INPUT",IF(N74="TIMESTAMP",IF(OR(O74="",P74="",Q74=""),"E_MISSING_INPUT",IF(OR(NOT(ISNUMBER(O74)),NOT(ISNUMBER(P74))),"E_INVALID_DATE",IF(OR(O74&lt;&gt;INT(O74),P74&lt;0,P74&gt;=1),"E_INVALID_DATE",IF(ISNA(MATCH(Q74,nLIST_Offset,0)),"E_INVALID_UNIT","")))),IF(N74="DATE",IF(O74="","E_MISSING_INPUT",IF(NOT(ISNUMBER(O74)),"E_INVALID_DATE",IF(O74&lt;&gt;INT(O74),"E_INVALID_DATE",""))),IF(N74="MONTH",IF(OR(R74="",S74=""),"E_MISSING_INPUT",IF(OR(NOT(ISNUMBER(R74)),NOT(ISNUMBER(S74))),"E_INVALID_DATE",IF(OR(R74&lt;1900,R74&gt;9999,R74&lt;&gt;INT(R74),S74&lt;1,S74&gt;12,S74&lt;&gt;INT(S74)),"E_INVALID_DATE",""))),IF(N74="YEAR",IF(R74="","E_MISSING_INPUT",IF(NOT(ISNUMBER(R74)),"E_INVALID_DATE",IF(OR(R74&lt;1900,R74&gt;9999,R74&lt;&gt;INT(R74)),"E_INVALID_DATE",""))),IF(N74="RANGE",IF(OR(T74="",U74=""),"E_MISSING_INPUT",IF(OR(NOT(ISNUMBER(T74)),NOT(ISNUMBER(U74))),"E_INVALID_DATE",IF(OR(T74&lt;&gt;INT(T74),U74&lt;&gt;INT(U74)),"E_INVALID_DATE",IF(T74&gt;U74,"E_REVERSED_BOUNDS","")))),"E_INVALID_UNIT")))))))</f>
        <v/>
      </c>
      <c r="X74" s="22">
        <f t="shared" si="96"/>
        <v>1</v>
      </c>
      <c r="Y74" s="22">
        <f t="shared" si="97"/>
        <v>1</v>
      </c>
      <c r="Z74" s="28">
        <f t="shared" si="98"/>
        <v>46032</v>
      </c>
      <c r="AA74" s="28">
        <f t="shared" si="99"/>
        <v>46032</v>
      </c>
      <c r="AB74" s="22">
        <f t="shared" si="100"/>
        <v>66286620</v>
      </c>
      <c r="AC74" s="22">
        <f t="shared" si="101"/>
        <v>66286920</v>
      </c>
      <c r="AD74" s="14">
        <v>46032</v>
      </c>
      <c r="AE74" s="25">
        <v>0.39583333333333298</v>
      </c>
      <c r="AF74" s="9" t="s">
        <v>18</v>
      </c>
      <c r="AG74" s="9" t="s">
        <v>530</v>
      </c>
      <c r="AH74" s="21" t="str">
        <f>IF(COUNTA(AD74:AF74)=0,"",IF(OR(AD74="",AE74="",AF74=""),"E_MISSING_INPUT",IF(OR(NOT(ISNUMBER(AD74)),NOT(ISNUMBER(AE74))),"E_INVALID_DATE",IF(OR(AD74&lt;&gt;INT(AD74),AE74&lt;0,AE74&gt;=1),"E_INVALID_DATE",IF(ISNA(MATCH(AF74,nLIST_Offset,0)),"E_INVALID_UNIT","")))))</f>
        <v/>
      </c>
      <c r="AI74" s="22">
        <f t="shared" si="102"/>
        <v>66286650</v>
      </c>
      <c r="AJ74" s="22">
        <f t="shared" si="103"/>
        <v>1</v>
      </c>
      <c r="AK74" s="22">
        <f t="shared" si="104"/>
        <v>66286950</v>
      </c>
      <c r="AL74" s="21" t="str">
        <f t="shared" si="105"/>
        <v>VEC-V25|1|S1</v>
      </c>
      <c r="AM74" s="22">
        <f>IF(AL74="",0,COUNTIF(nADM_Key,AL74))</f>
        <v>1</v>
      </c>
      <c r="AN74" s="21" t="str">
        <f t="shared" si="106"/>
        <v>VEC-V25|1|EX1</v>
      </c>
      <c r="AO74" s="22">
        <f t="shared" si="107"/>
        <v>1</v>
      </c>
      <c r="AP74" s="22">
        <f t="shared" si="108"/>
        <v>66286620</v>
      </c>
      <c r="AQ74" s="22">
        <f t="shared" si="109"/>
        <v>66286920</v>
      </c>
      <c r="AR74" s="22">
        <f t="shared" si="110"/>
        <v>46032</v>
      </c>
      <c r="AS74" s="22">
        <f t="shared" si="111"/>
        <v>66286920</v>
      </c>
      <c r="AT74" s="21">
        <f t="shared" si="112"/>
        <v>50</v>
      </c>
      <c r="AU74" s="21">
        <f t="shared" si="113"/>
        <v>0</v>
      </c>
      <c r="AV74" s="22">
        <f t="shared" si="114"/>
        <v>0</v>
      </c>
      <c r="AW74" s="21">
        <f t="shared" si="115"/>
        <v>0</v>
      </c>
      <c r="AX74" s="22">
        <f t="shared" si="116"/>
        <v>0</v>
      </c>
      <c r="AY74" s="21">
        <f t="shared" si="117"/>
        <v>1</v>
      </c>
      <c r="AZ74" s="21">
        <f t="shared" si="118"/>
        <v>0</v>
      </c>
      <c r="BA74" s="22">
        <f t="shared" si="119"/>
        <v>1</v>
      </c>
      <c r="BB74" s="22">
        <f t="shared" si="120"/>
        <v>66286920</v>
      </c>
      <c r="BC74" s="22">
        <f t="shared" si="121"/>
        <v>66286950</v>
      </c>
      <c r="BD74" s="22">
        <f t="shared" si="122"/>
        <v>66286620</v>
      </c>
      <c r="BE74" s="22">
        <f t="shared" si="123"/>
        <v>66286650</v>
      </c>
      <c r="BF74" s="22">
        <f t="shared" si="124"/>
        <v>66286920</v>
      </c>
      <c r="BG74" s="22">
        <f t="shared" si="125"/>
        <v>66286950</v>
      </c>
      <c r="BH74" s="22">
        <f>IF(OR(E74&lt;&gt;"INFUSION_SEGMENT",BF74=0,BG74=0),0,COUNTIFS(nADM_SelKey,AN74,nADM_Kind,"INFUSION_SEGMENT",nADM_SegS_cmp,"&lt;"&amp;BG74,nADM_SegE_cmp,"&gt;"&amp;BF74)-IF(BG74&gt;BF74,1,0))</f>
        <v>0</v>
      </c>
      <c r="BI74" s="21" t="str">
        <f t="shared" si="126"/>
        <v/>
      </c>
      <c r="BJ74" s="22">
        <f>IF(C74="",1,IF(COUNTIF(nEXP_Key,AN74)&gt;0,1,0))</f>
        <v>1</v>
      </c>
      <c r="BK74" s="21" t="str">
        <f t="shared" si="127"/>
        <v/>
      </c>
      <c r="BL74" s="21" t="str">
        <f>IF(BK74="","",BK74&amp;": "&amp;SUBSTITUTE(IFERROR(INDEX(nMSG_Text,MATCH(BK74,nMSG_Code,0)),""),"[input]",IF(C74="","an Admin_ID",IF(BJ74=0,"an Exposures row for episode "&amp;D74,IF(BI74="E_MISSING_INPUT","segment start and end timestamps and a rate in mg/hour","the date fields required by the selected precision")))))</f>
        <v/>
      </c>
    </row>
    <row r="75" spans="1:64" x14ac:dyDescent="0.2">
      <c r="A75" s="9" t="s">
        <v>351</v>
      </c>
      <c r="B75" s="11">
        <v>1</v>
      </c>
      <c r="C75" s="9" t="s">
        <v>614</v>
      </c>
      <c r="D75" s="9" t="s">
        <v>494</v>
      </c>
      <c r="E75" s="16" t="s">
        <v>98</v>
      </c>
      <c r="F75" s="16"/>
      <c r="G75" s="16"/>
      <c r="H75" s="16">
        <v>100</v>
      </c>
      <c r="I75" s="16" t="s">
        <v>100</v>
      </c>
      <c r="J75" s="16"/>
      <c r="K75" s="16"/>
      <c r="L75" s="9"/>
      <c r="M75" s="9" t="s">
        <v>616</v>
      </c>
      <c r="N75" s="16" t="s">
        <v>3</v>
      </c>
      <c r="O75" s="14">
        <v>46032</v>
      </c>
      <c r="P75" s="25">
        <v>0.39583333333333298</v>
      </c>
      <c r="Q75" s="9" t="s">
        <v>18</v>
      </c>
      <c r="R75" s="11"/>
      <c r="S75" s="11"/>
      <c r="T75" s="14"/>
      <c r="U75" s="14"/>
      <c r="V75" s="9" t="s">
        <v>530</v>
      </c>
      <c r="W75" s="21" t="str">
        <f>IF(COUNTA(N75:U75)=0,"",IF(N75="","E_MISSING_INPUT",IF(N75="TIMESTAMP",IF(OR(O75="",P75="",Q75=""),"E_MISSING_INPUT",IF(OR(NOT(ISNUMBER(O75)),NOT(ISNUMBER(P75))),"E_INVALID_DATE",IF(OR(O75&lt;&gt;INT(O75),P75&lt;0,P75&gt;=1),"E_INVALID_DATE",IF(ISNA(MATCH(Q75,nLIST_Offset,0)),"E_INVALID_UNIT","")))),IF(N75="DATE",IF(O75="","E_MISSING_INPUT",IF(NOT(ISNUMBER(O75)),"E_INVALID_DATE",IF(O75&lt;&gt;INT(O75),"E_INVALID_DATE",""))),IF(N75="MONTH",IF(OR(R75="",S75=""),"E_MISSING_INPUT",IF(OR(NOT(ISNUMBER(R75)),NOT(ISNUMBER(S75))),"E_INVALID_DATE",IF(OR(R75&lt;1900,R75&gt;9999,R75&lt;&gt;INT(R75),S75&lt;1,S75&gt;12,S75&lt;&gt;INT(S75)),"E_INVALID_DATE",""))),IF(N75="YEAR",IF(R75="","E_MISSING_INPUT",IF(NOT(ISNUMBER(R75)),"E_INVALID_DATE",IF(OR(R75&lt;1900,R75&gt;9999,R75&lt;&gt;INT(R75)),"E_INVALID_DATE",""))),IF(N75="RANGE",IF(OR(T75="",U75=""),"E_MISSING_INPUT",IF(OR(NOT(ISNUMBER(T75)),NOT(ISNUMBER(U75))),"E_INVALID_DATE",IF(OR(T75&lt;&gt;INT(T75),U75&lt;&gt;INT(U75)),"E_INVALID_DATE",IF(T75&gt;U75,"E_REVERSED_BOUNDS","")))),"E_INVALID_UNIT")))))))</f>
        <v/>
      </c>
      <c r="X75" s="22">
        <f t="shared" si="96"/>
        <v>1</v>
      </c>
      <c r="Y75" s="22">
        <f t="shared" si="97"/>
        <v>1</v>
      </c>
      <c r="Z75" s="28">
        <f t="shared" si="98"/>
        <v>46032</v>
      </c>
      <c r="AA75" s="28">
        <f t="shared" si="99"/>
        <v>46032</v>
      </c>
      <c r="AB75" s="22">
        <f t="shared" si="100"/>
        <v>66286650</v>
      </c>
      <c r="AC75" s="22">
        <f t="shared" si="101"/>
        <v>66286950</v>
      </c>
      <c r="AD75" s="14">
        <v>46032</v>
      </c>
      <c r="AE75" s="25">
        <v>0.54166666666666596</v>
      </c>
      <c r="AF75" s="9" t="s">
        <v>18</v>
      </c>
      <c r="AG75" s="9" t="s">
        <v>615</v>
      </c>
      <c r="AH75" s="21" t="str">
        <f>IF(COUNTA(AD75:AF75)=0,"",IF(OR(AD75="",AE75="",AF75=""),"E_MISSING_INPUT",IF(OR(NOT(ISNUMBER(AD75)),NOT(ISNUMBER(AE75))),"E_INVALID_DATE",IF(OR(AD75&lt;&gt;INT(AD75),AE75&lt;0,AE75&gt;=1),"E_INVALID_DATE",IF(ISNA(MATCH(AF75,nLIST_Offset,0)),"E_INVALID_UNIT","")))))</f>
        <v/>
      </c>
      <c r="AI75" s="22">
        <f t="shared" si="102"/>
        <v>66286860</v>
      </c>
      <c r="AJ75" s="22">
        <f t="shared" si="103"/>
        <v>1</v>
      </c>
      <c r="AK75" s="22">
        <f t="shared" si="104"/>
        <v>66287160</v>
      </c>
      <c r="AL75" s="21" t="str">
        <f t="shared" si="105"/>
        <v>VEC-V25|1|S2</v>
      </c>
      <c r="AM75" s="22">
        <f>IF(AL75="",0,COUNTIF(nADM_Key,AL75))</f>
        <v>1</v>
      </c>
      <c r="AN75" s="21" t="str">
        <f t="shared" si="106"/>
        <v>VEC-V25|1|EX1</v>
      </c>
      <c r="AO75" s="22">
        <f t="shared" si="107"/>
        <v>1</v>
      </c>
      <c r="AP75" s="22">
        <f t="shared" si="108"/>
        <v>66286650</v>
      </c>
      <c r="AQ75" s="22">
        <f t="shared" si="109"/>
        <v>66286950</v>
      </c>
      <c r="AR75" s="22">
        <f t="shared" si="110"/>
        <v>46032</v>
      </c>
      <c r="AS75" s="22">
        <f t="shared" si="111"/>
        <v>66286950</v>
      </c>
      <c r="AT75" s="21">
        <f t="shared" si="112"/>
        <v>100</v>
      </c>
      <c r="AU75" s="21">
        <f t="shared" si="113"/>
        <v>0</v>
      </c>
      <c r="AV75" s="22">
        <f t="shared" si="114"/>
        <v>0</v>
      </c>
      <c r="AW75" s="21">
        <f t="shared" si="115"/>
        <v>0</v>
      </c>
      <c r="AX75" s="22">
        <f t="shared" si="116"/>
        <v>0</v>
      </c>
      <c r="AY75" s="21">
        <f t="shared" si="117"/>
        <v>1</v>
      </c>
      <c r="AZ75" s="21">
        <f t="shared" si="118"/>
        <v>0</v>
      </c>
      <c r="BA75" s="22">
        <f t="shared" si="119"/>
        <v>1</v>
      </c>
      <c r="BB75" s="22">
        <f t="shared" si="120"/>
        <v>66286950</v>
      </c>
      <c r="BC75" s="22">
        <f t="shared" si="121"/>
        <v>66287160</v>
      </c>
      <c r="BD75" s="22">
        <f t="shared" si="122"/>
        <v>66286650</v>
      </c>
      <c r="BE75" s="22">
        <f t="shared" si="123"/>
        <v>66286860</v>
      </c>
      <c r="BF75" s="22">
        <f t="shared" si="124"/>
        <v>66286950</v>
      </c>
      <c r="BG75" s="22">
        <f t="shared" si="125"/>
        <v>66287160</v>
      </c>
      <c r="BH75" s="22">
        <f>IF(OR(E75&lt;&gt;"INFUSION_SEGMENT",BF75=0,BG75=0),0,COUNTIFS(nADM_SelKey,AN75,nADM_Kind,"INFUSION_SEGMENT",nADM_SegS_cmp,"&lt;"&amp;BG75,nADM_SegE_cmp,"&gt;"&amp;BF75)-IF(BG75&gt;BF75,1,0))</f>
        <v>0</v>
      </c>
      <c r="BI75" s="21" t="str">
        <f t="shared" si="126"/>
        <v/>
      </c>
      <c r="BJ75" s="22">
        <f>IF(C75="",1,IF(COUNTIF(nEXP_Key,AN75)&gt;0,1,0))</f>
        <v>1</v>
      </c>
      <c r="BK75" s="21" t="str">
        <f t="shared" si="127"/>
        <v/>
      </c>
      <c r="BL75" s="21" t="str">
        <f>IF(BK75="","",BK75&amp;": "&amp;SUBSTITUTE(IFERROR(INDEX(nMSG_Text,MATCH(BK75,nMSG_Code,0)),""),"[input]",IF(C75="","an Admin_ID",IF(BJ75=0,"an Exposures row for episode "&amp;D75,IF(BI75="E_MISSING_INPUT","segment start and end timestamps and a rate in mg/hour","the date fields required by the selected precision")))))</f>
        <v/>
      </c>
    </row>
    <row r="76" spans="1:64" x14ac:dyDescent="0.2">
      <c r="A76" s="9" t="s">
        <v>353</v>
      </c>
      <c r="B76" s="11">
        <v>1</v>
      </c>
      <c r="C76" s="9" t="s">
        <v>493</v>
      </c>
      <c r="D76" s="9" t="s">
        <v>494</v>
      </c>
      <c r="E76" s="16" t="s">
        <v>97</v>
      </c>
      <c r="F76" s="16">
        <v>100</v>
      </c>
      <c r="G76" s="16" t="s">
        <v>103</v>
      </c>
      <c r="H76" s="16"/>
      <c r="I76" s="16"/>
      <c r="J76" s="16">
        <v>1.8</v>
      </c>
      <c r="K76" s="16"/>
      <c r="L76" s="9"/>
      <c r="M76" s="9"/>
      <c r="N76" s="16"/>
      <c r="O76" s="14"/>
      <c r="P76" s="25"/>
      <c r="Q76" s="9"/>
      <c r="R76" s="11"/>
      <c r="S76" s="11"/>
      <c r="T76" s="14"/>
      <c r="U76" s="14"/>
      <c r="V76" s="9"/>
      <c r="W76" s="21" t="str">
        <f>IF(COUNTA(N76:U76)=0,"",IF(N76="","E_MISSING_INPUT",IF(N76="TIMESTAMP",IF(OR(O76="",P76="",Q76=""),"E_MISSING_INPUT",IF(OR(NOT(ISNUMBER(O76)),NOT(ISNUMBER(P76))),"E_INVALID_DATE",IF(OR(O76&lt;&gt;INT(O76),P76&lt;0,P76&gt;=1),"E_INVALID_DATE",IF(ISNA(MATCH(Q76,nLIST_Offset,0)),"E_INVALID_UNIT","")))),IF(N76="DATE",IF(O76="","E_MISSING_INPUT",IF(NOT(ISNUMBER(O76)),"E_INVALID_DATE",IF(O76&lt;&gt;INT(O76),"E_INVALID_DATE",""))),IF(N76="MONTH",IF(OR(R76="",S76=""),"E_MISSING_INPUT",IF(OR(NOT(ISNUMBER(R76)),NOT(ISNUMBER(S76))),"E_INVALID_DATE",IF(OR(R76&lt;1900,R76&gt;9999,R76&lt;&gt;INT(R76),S76&lt;1,S76&gt;12,S76&lt;&gt;INT(S76)),"E_INVALID_DATE",""))),IF(N76="YEAR",IF(R76="","E_MISSING_INPUT",IF(NOT(ISNUMBER(R76)),"E_INVALID_DATE",IF(OR(R76&lt;1900,R76&gt;9999,R76&lt;&gt;INT(R76)),"E_INVALID_DATE",""))),IF(N76="RANGE",IF(OR(T76="",U76=""),"E_MISSING_INPUT",IF(OR(NOT(ISNUMBER(T76)),NOT(ISNUMBER(U76))),"E_INVALID_DATE",IF(OR(T76&lt;&gt;INT(T76),U76&lt;&gt;INT(U76)),"E_INVALID_DATE",IF(T76&gt;U76,"E_REVERSED_BOUNDS","")))),"E_INVALID_UNIT")))))))</f>
        <v/>
      </c>
      <c r="X76" s="22">
        <f t="shared" si="96"/>
        <v>0</v>
      </c>
      <c r="Y76" s="22">
        <f t="shared" si="97"/>
        <v>0</v>
      </c>
      <c r="Z76" s="28" t="str">
        <f t="shared" si="98"/>
        <v/>
      </c>
      <c r="AA76" s="28" t="str">
        <f t="shared" si="99"/>
        <v/>
      </c>
      <c r="AB76" s="22" t="str">
        <f t="shared" si="100"/>
        <v/>
      </c>
      <c r="AC76" s="22" t="str">
        <f t="shared" si="101"/>
        <v/>
      </c>
      <c r="AD76" s="14"/>
      <c r="AE76" s="25"/>
      <c r="AF76" s="9"/>
      <c r="AG76" s="9"/>
      <c r="AH76" s="21" t="str">
        <f>IF(COUNTA(AD76:AF76)=0,"",IF(OR(AD76="",AE76="",AF76=""),"E_MISSING_INPUT",IF(OR(NOT(ISNUMBER(AD76)),NOT(ISNUMBER(AE76))),"E_INVALID_DATE",IF(OR(AD76&lt;&gt;INT(AD76),AE76&lt;0,AE76&gt;=1),"E_INVALID_DATE",IF(ISNA(MATCH(AF76,nLIST_Offset,0)),"E_INVALID_UNIT","")))))</f>
        <v/>
      </c>
      <c r="AI76" s="22" t="str">
        <f t="shared" si="102"/>
        <v/>
      </c>
      <c r="AJ76" s="22">
        <f t="shared" si="103"/>
        <v>0</v>
      </c>
      <c r="AK76" s="22" t="str">
        <f t="shared" si="104"/>
        <v/>
      </c>
      <c r="AL76" s="21" t="str">
        <f t="shared" si="105"/>
        <v>VEC-V26|1|D1</v>
      </c>
      <c r="AM76" s="22">
        <f>IF(AL76="",0,COUNTIF(nADM_Key,AL76))</f>
        <v>1</v>
      </c>
      <c r="AN76" s="21" t="str">
        <f t="shared" si="106"/>
        <v>VEC-V26|1|EX1</v>
      </c>
      <c r="AO76" s="22">
        <f t="shared" si="107"/>
        <v>0</v>
      </c>
      <c r="AP76" s="22">
        <f t="shared" si="108"/>
        <v>0</v>
      </c>
      <c r="AQ76" s="22">
        <f t="shared" si="109"/>
        <v>0</v>
      </c>
      <c r="AR76" s="22">
        <f t="shared" si="110"/>
        <v>0</v>
      </c>
      <c r="AS76" s="22">
        <f t="shared" si="111"/>
        <v>0</v>
      </c>
      <c r="AT76" s="21">
        <f t="shared" si="112"/>
        <v>0</v>
      </c>
      <c r="AU76" s="21">
        <f t="shared" si="113"/>
        <v>100</v>
      </c>
      <c r="AV76" s="22">
        <f t="shared" si="114"/>
        <v>1</v>
      </c>
      <c r="AW76" s="21">
        <f t="shared" si="115"/>
        <v>1.8</v>
      </c>
      <c r="AX76" s="22">
        <f t="shared" si="116"/>
        <v>1</v>
      </c>
      <c r="AY76" s="21">
        <f t="shared" si="117"/>
        <v>1.8</v>
      </c>
      <c r="AZ76" s="21">
        <f t="shared" si="118"/>
        <v>55.555555555555557</v>
      </c>
      <c r="BA76" s="22">
        <f t="shared" si="119"/>
        <v>0</v>
      </c>
      <c r="BB76" s="22">
        <f t="shared" si="120"/>
        <v>0</v>
      </c>
      <c r="BC76" s="22">
        <f t="shared" si="121"/>
        <v>0</v>
      </c>
      <c r="BD76" s="22">
        <f t="shared" si="122"/>
        <v>0</v>
      </c>
      <c r="BE76" s="22">
        <f t="shared" si="123"/>
        <v>0</v>
      </c>
      <c r="BF76" s="22">
        <f t="shared" si="124"/>
        <v>0</v>
      </c>
      <c r="BG76" s="22">
        <f t="shared" si="125"/>
        <v>0</v>
      </c>
      <c r="BH76" s="22">
        <f>IF(OR(E76&lt;&gt;"INFUSION_SEGMENT",BF76=0,BG76=0),0,COUNTIFS(nADM_SelKey,AN76,nADM_Kind,"INFUSION_SEGMENT",nADM_SegS_cmp,"&lt;"&amp;BG76,nADM_SegE_cmp,"&gt;"&amp;BF76)-IF(BG76&gt;BF76,1,0))</f>
        <v>0</v>
      </c>
      <c r="BI76" s="21" t="str">
        <f t="shared" si="126"/>
        <v/>
      </c>
      <c r="BJ76" s="22">
        <f>IF(C76="",1,IF(COUNTIF(nEXP_Key,AN76)&gt;0,1,0))</f>
        <v>1</v>
      </c>
      <c r="BK76" s="21" t="str">
        <f t="shared" si="127"/>
        <v/>
      </c>
      <c r="BL76" s="21" t="str">
        <f>IF(BK76="","",BK76&amp;": "&amp;SUBSTITUTE(IFERROR(INDEX(nMSG_Text,MATCH(BK76,nMSG_Code,0)),""),"[input]",IF(C76="","an Admin_ID",IF(BJ76=0,"an Exposures row for episode "&amp;D76,IF(BI76="E_MISSING_INPUT","segment start and end timestamps and a rate in mg/hour","the date fields required by the selected precision")))))</f>
        <v/>
      </c>
    </row>
    <row r="77" spans="1:64" x14ac:dyDescent="0.2">
      <c r="A77" s="9" t="s">
        <v>353</v>
      </c>
      <c r="B77" s="11">
        <v>1</v>
      </c>
      <c r="C77" s="9" t="s">
        <v>617</v>
      </c>
      <c r="D77" s="9" t="s">
        <v>494</v>
      </c>
      <c r="E77" s="16" t="s">
        <v>97</v>
      </c>
      <c r="F77" s="16">
        <v>100</v>
      </c>
      <c r="G77" s="16" t="s">
        <v>103</v>
      </c>
      <c r="H77" s="16"/>
      <c r="I77" s="16"/>
      <c r="J77" s="16">
        <v>1.8</v>
      </c>
      <c r="K77" s="16"/>
      <c r="L77" s="9"/>
      <c r="M77" s="9"/>
      <c r="N77" s="16"/>
      <c r="O77" s="14"/>
      <c r="P77" s="25"/>
      <c r="Q77" s="9"/>
      <c r="R77" s="11"/>
      <c r="S77" s="11"/>
      <c r="T77" s="14"/>
      <c r="U77" s="14"/>
      <c r="V77" s="9"/>
      <c r="W77" s="21" t="str">
        <f>IF(COUNTA(N77:U77)=0,"",IF(N77="","E_MISSING_INPUT",IF(N77="TIMESTAMP",IF(OR(O77="",P77="",Q77=""),"E_MISSING_INPUT",IF(OR(NOT(ISNUMBER(O77)),NOT(ISNUMBER(P77))),"E_INVALID_DATE",IF(OR(O77&lt;&gt;INT(O77),P77&lt;0,P77&gt;=1),"E_INVALID_DATE",IF(ISNA(MATCH(Q77,nLIST_Offset,0)),"E_INVALID_UNIT","")))),IF(N77="DATE",IF(O77="","E_MISSING_INPUT",IF(NOT(ISNUMBER(O77)),"E_INVALID_DATE",IF(O77&lt;&gt;INT(O77),"E_INVALID_DATE",""))),IF(N77="MONTH",IF(OR(R77="",S77=""),"E_MISSING_INPUT",IF(OR(NOT(ISNUMBER(R77)),NOT(ISNUMBER(S77))),"E_INVALID_DATE",IF(OR(R77&lt;1900,R77&gt;9999,R77&lt;&gt;INT(R77),S77&lt;1,S77&gt;12,S77&lt;&gt;INT(S77)),"E_INVALID_DATE",""))),IF(N77="YEAR",IF(R77="","E_MISSING_INPUT",IF(NOT(ISNUMBER(R77)),"E_INVALID_DATE",IF(OR(R77&lt;1900,R77&gt;9999,R77&lt;&gt;INT(R77)),"E_INVALID_DATE",""))),IF(N77="RANGE",IF(OR(T77="",U77=""),"E_MISSING_INPUT",IF(OR(NOT(ISNUMBER(T77)),NOT(ISNUMBER(U77))),"E_INVALID_DATE",IF(OR(T77&lt;&gt;INT(T77),U77&lt;&gt;INT(U77)),"E_INVALID_DATE",IF(T77&gt;U77,"E_REVERSED_BOUNDS","")))),"E_INVALID_UNIT")))))))</f>
        <v/>
      </c>
      <c r="X77" s="22">
        <f t="shared" si="96"/>
        <v>0</v>
      </c>
      <c r="Y77" s="22">
        <f t="shared" si="97"/>
        <v>0</v>
      </c>
      <c r="Z77" s="28" t="str">
        <f t="shared" si="98"/>
        <v/>
      </c>
      <c r="AA77" s="28" t="str">
        <f t="shared" si="99"/>
        <v/>
      </c>
      <c r="AB77" s="22" t="str">
        <f t="shared" si="100"/>
        <v/>
      </c>
      <c r="AC77" s="22" t="str">
        <f t="shared" si="101"/>
        <v/>
      </c>
      <c r="AD77" s="14"/>
      <c r="AE77" s="25"/>
      <c r="AF77" s="9"/>
      <c r="AG77" s="9"/>
      <c r="AH77" s="21" t="str">
        <f>IF(COUNTA(AD77:AF77)=0,"",IF(OR(AD77="",AE77="",AF77=""),"E_MISSING_INPUT",IF(OR(NOT(ISNUMBER(AD77)),NOT(ISNUMBER(AE77))),"E_INVALID_DATE",IF(OR(AD77&lt;&gt;INT(AD77),AE77&lt;0,AE77&gt;=1),"E_INVALID_DATE",IF(ISNA(MATCH(AF77,nLIST_Offset,0)),"E_INVALID_UNIT","")))))</f>
        <v/>
      </c>
      <c r="AI77" s="22" t="str">
        <f t="shared" si="102"/>
        <v/>
      </c>
      <c r="AJ77" s="22">
        <f t="shared" si="103"/>
        <v>0</v>
      </c>
      <c r="AK77" s="22" t="str">
        <f t="shared" si="104"/>
        <v/>
      </c>
      <c r="AL77" s="21" t="str">
        <f t="shared" si="105"/>
        <v>VEC-V26|1|D2</v>
      </c>
      <c r="AM77" s="22">
        <f>IF(AL77="",0,COUNTIF(nADM_Key,AL77))</f>
        <v>1</v>
      </c>
      <c r="AN77" s="21" t="str">
        <f t="shared" si="106"/>
        <v>VEC-V26|1|EX1</v>
      </c>
      <c r="AO77" s="22">
        <f t="shared" si="107"/>
        <v>0</v>
      </c>
      <c r="AP77" s="22">
        <f t="shared" si="108"/>
        <v>0</v>
      </c>
      <c r="AQ77" s="22">
        <f t="shared" si="109"/>
        <v>0</v>
      </c>
      <c r="AR77" s="22">
        <f t="shared" si="110"/>
        <v>0</v>
      </c>
      <c r="AS77" s="22">
        <f t="shared" si="111"/>
        <v>0</v>
      </c>
      <c r="AT77" s="21">
        <f t="shared" si="112"/>
        <v>0</v>
      </c>
      <c r="AU77" s="21">
        <f t="shared" si="113"/>
        <v>100</v>
      </c>
      <c r="AV77" s="22">
        <f t="shared" si="114"/>
        <v>1</v>
      </c>
      <c r="AW77" s="21">
        <f t="shared" si="115"/>
        <v>1.8</v>
      </c>
      <c r="AX77" s="22">
        <f t="shared" si="116"/>
        <v>1</v>
      </c>
      <c r="AY77" s="21">
        <f t="shared" si="117"/>
        <v>1.8</v>
      </c>
      <c r="AZ77" s="21">
        <f t="shared" si="118"/>
        <v>55.555555555555557</v>
      </c>
      <c r="BA77" s="22">
        <f t="shared" si="119"/>
        <v>0</v>
      </c>
      <c r="BB77" s="22">
        <f t="shared" si="120"/>
        <v>0</v>
      </c>
      <c r="BC77" s="22">
        <f t="shared" si="121"/>
        <v>0</v>
      </c>
      <c r="BD77" s="22">
        <f t="shared" si="122"/>
        <v>0</v>
      </c>
      <c r="BE77" s="22">
        <f t="shared" si="123"/>
        <v>0</v>
      </c>
      <c r="BF77" s="22">
        <f t="shared" si="124"/>
        <v>0</v>
      </c>
      <c r="BG77" s="22">
        <f t="shared" si="125"/>
        <v>0</v>
      </c>
      <c r="BH77" s="22">
        <f>IF(OR(E77&lt;&gt;"INFUSION_SEGMENT",BF77=0,BG77=0),0,COUNTIFS(nADM_SelKey,AN77,nADM_Kind,"INFUSION_SEGMENT",nADM_SegS_cmp,"&lt;"&amp;BG77,nADM_SegE_cmp,"&gt;"&amp;BF77)-IF(BG77&gt;BF77,1,0))</f>
        <v>0</v>
      </c>
      <c r="BI77" s="21" t="str">
        <f t="shared" si="126"/>
        <v/>
      </c>
      <c r="BJ77" s="22">
        <f>IF(C77="",1,IF(COUNTIF(nEXP_Key,AN77)&gt;0,1,0))</f>
        <v>1</v>
      </c>
      <c r="BK77" s="21" t="str">
        <f t="shared" si="127"/>
        <v/>
      </c>
      <c r="BL77" s="21" t="str">
        <f>IF(BK77="","",BK77&amp;": "&amp;SUBSTITUTE(IFERROR(INDEX(nMSG_Text,MATCH(BK77,nMSG_Code,0)),""),"[input]",IF(C77="","an Admin_ID",IF(BJ77=0,"an Exposures row for episode "&amp;D77,IF(BI77="E_MISSING_INPUT","segment start and end timestamps and a rate in mg/hour","the date fields required by the selected precision")))))</f>
        <v/>
      </c>
    </row>
    <row r="78" spans="1:64" x14ac:dyDescent="0.2">
      <c r="A78" s="9" t="s">
        <v>353</v>
      </c>
      <c r="B78" s="11">
        <v>1</v>
      </c>
      <c r="C78" s="9" t="s">
        <v>618</v>
      </c>
      <c r="D78" s="9" t="s">
        <v>494</v>
      </c>
      <c r="E78" s="16" t="s">
        <v>97</v>
      </c>
      <c r="F78" s="16">
        <v>90</v>
      </c>
      <c r="G78" s="16" t="s">
        <v>103</v>
      </c>
      <c r="H78" s="16"/>
      <c r="I78" s="16"/>
      <c r="J78" s="16">
        <v>1.7</v>
      </c>
      <c r="K78" s="16"/>
      <c r="L78" s="9"/>
      <c r="M78" s="9"/>
      <c r="N78" s="16"/>
      <c r="O78" s="14"/>
      <c r="P78" s="25"/>
      <c r="Q78" s="9"/>
      <c r="R78" s="11"/>
      <c r="S78" s="11"/>
      <c r="T78" s="14"/>
      <c r="U78" s="14"/>
      <c r="V78" s="9"/>
      <c r="W78" s="21" t="str">
        <f>IF(COUNTA(N78:U78)=0,"",IF(N78="","E_MISSING_INPUT",IF(N78="TIMESTAMP",IF(OR(O78="",P78="",Q78=""),"E_MISSING_INPUT",IF(OR(NOT(ISNUMBER(O78)),NOT(ISNUMBER(P78))),"E_INVALID_DATE",IF(OR(O78&lt;&gt;INT(O78),P78&lt;0,P78&gt;=1),"E_INVALID_DATE",IF(ISNA(MATCH(Q78,nLIST_Offset,0)),"E_INVALID_UNIT","")))),IF(N78="DATE",IF(O78="","E_MISSING_INPUT",IF(NOT(ISNUMBER(O78)),"E_INVALID_DATE",IF(O78&lt;&gt;INT(O78),"E_INVALID_DATE",""))),IF(N78="MONTH",IF(OR(R78="",S78=""),"E_MISSING_INPUT",IF(OR(NOT(ISNUMBER(R78)),NOT(ISNUMBER(S78))),"E_INVALID_DATE",IF(OR(R78&lt;1900,R78&gt;9999,R78&lt;&gt;INT(R78),S78&lt;1,S78&gt;12,S78&lt;&gt;INT(S78)),"E_INVALID_DATE",""))),IF(N78="YEAR",IF(R78="","E_MISSING_INPUT",IF(NOT(ISNUMBER(R78)),"E_INVALID_DATE",IF(OR(R78&lt;1900,R78&gt;9999,R78&lt;&gt;INT(R78)),"E_INVALID_DATE",""))),IF(N78="RANGE",IF(OR(T78="",U78=""),"E_MISSING_INPUT",IF(OR(NOT(ISNUMBER(T78)),NOT(ISNUMBER(U78))),"E_INVALID_DATE",IF(OR(T78&lt;&gt;INT(T78),U78&lt;&gt;INT(U78)),"E_INVALID_DATE",IF(T78&gt;U78,"E_REVERSED_BOUNDS","")))),"E_INVALID_UNIT")))))))</f>
        <v/>
      </c>
      <c r="X78" s="22">
        <f t="shared" si="96"/>
        <v>0</v>
      </c>
      <c r="Y78" s="22">
        <f t="shared" si="97"/>
        <v>0</v>
      </c>
      <c r="Z78" s="28" t="str">
        <f t="shared" si="98"/>
        <v/>
      </c>
      <c r="AA78" s="28" t="str">
        <f t="shared" si="99"/>
        <v/>
      </c>
      <c r="AB78" s="22" t="str">
        <f t="shared" si="100"/>
        <v/>
      </c>
      <c r="AC78" s="22" t="str">
        <f t="shared" si="101"/>
        <v/>
      </c>
      <c r="AD78" s="14"/>
      <c r="AE78" s="25"/>
      <c r="AF78" s="9"/>
      <c r="AG78" s="9"/>
      <c r="AH78" s="21" t="str">
        <f>IF(COUNTA(AD78:AF78)=0,"",IF(OR(AD78="",AE78="",AF78=""),"E_MISSING_INPUT",IF(OR(NOT(ISNUMBER(AD78)),NOT(ISNUMBER(AE78))),"E_INVALID_DATE",IF(OR(AD78&lt;&gt;INT(AD78),AE78&lt;0,AE78&gt;=1),"E_INVALID_DATE",IF(ISNA(MATCH(AF78,nLIST_Offset,0)),"E_INVALID_UNIT","")))))</f>
        <v/>
      </c>
      <c r="AI78" s="22" t="str">
        <f t="shared" si="102"/>
        <v/>
      </c>
      <c r="AJ78" s="22">
        <f t="shared" si="103"/>
        <v>0</v>
      </c>
      <c r="AK78" s="22" t="str">
        <f t="shared" si="104"/>
        <v/>
      </c>
      <c r="AL78" s="21" t="str">
        <f t="shared" si="105"/>
        <v>VEC-V26|1|D3</v>
      </c>
      <c r="AM78" s="22">
        <f>IF(AL78="",0,COUNTIF(nADM_Key,AL78))</f>
        <v>1</v>
      </c>
      <c r="AN78" s="21" t="str">
        <f t="shared" si="106"/>
        <v>VEC-V26|1|EX1</v>
      </c>
      <c r="AO78" s="22">
        <f t="shared" si="107"/>
        <v>0</v>
      </c>
      <c r="AP78" s="22">
        <f t="shared" si="108"/>
        <v>0</v>
      </c>
      <c r="AQ78" s="22">
        <f t="shared" si="109"/>
        <v>0</v>
      </c>
      <c r="AR78" s="22">
        <f t="shared" si="110"/>
        <v>0</v>
      </c>
      <c r="AS78" s="22">
        <f t="shared" si="111"/>
        <v>0</v>
      </c>
      <c r="AT78" s="21">
        <f t="shared" si="112"/>
        <v>0</v>
      </c>
      <c r="AU78" s="21">
        <f t="shared" si="113"/>
        <v>90</v>
      </c>
      <c r="AV78" s="22">
        <f t="shared" si="114"/>
        <v>1</v>
      </c>
      <c r="AW78" s="21">
        <f t="shared" si="115"/>
        <v>1.7</v>
      </c>
      <c r="AX78" s="22">
        <f t="shared" si="116"/>
        <v>1</v>
      </c>
      <c r="AY78" s="21">
        <f t="shared" si="117"/>
        <v>1.7</v>
      </c>
      <c r="AZ78" s="21">
        <f t="shared" si="118"/>
        <v>52.941176470588239</v>
      </c>
      <c r="BA78" s="22">
        <f t="shared" si="119"/>
        <v>0</v>
      </c>
      <c r="BB78" s="22">
        <f t="shared" si="120"/>
        <v>0</v>
      </c>
      <c r="BC78" s="22">
        <f t="shared" si="121"/>
        <v>0</v>
      </c>
      <c r="BD78" s="22">
        <f t="shared" si="122"/>
        <v>0</v>
      </c>
      <c r="BE78" s="22">
        <f t="shared" si="123"/>
        <v>0</v>
      </c>
      <c r="BF78" s="22">
        <f t="shared" si="124"/>
        <v>0</v>
      </c>
      <c r="BG78" s="22">
        <f t="shared" si="125"/>
        <v>0</v>
      </c>
      <c r="BH78" s="22">
        <f>IF(OR(E78&lt;&gt;"INFUSION_SEGMENT",BF78=0,BG78=0),0,COUNTIFS(nADM_SelKey,AN78,nADM_Kind,"INFUSION_SEGMENT",nADM_SegS_cmp,"&lt;"&amp;BG78,nADM_SegE_cmp,"&gt;"&amp;BF78)-IF(BG78&gt;BF78,1,0))</f>
        <v>0</v>
      </c>
      <c r="BI78" s="21" t="str">
        <f t="shared" si="126"/>
        <v/>
      </c>
      <c r="BJ78" s="22">
        <f>IF(C78="",1,IF(COUNTIF(nEXP_Key,AN78)&gt;0,1,0))</f>
        <v>1</v>
      </c>
      <c r="BK78" s="21" t="str">
        <f t="shared" si="127"/>
        <v/>
      </c>
      <c r="BL78" s="21" t="str">
        <f>IF(BK78="","",BK78&amp;": "&amp;SUBSTITUTE(IFERROR(INDEX(nMSG_Text,MATCH(BK78,nMSG_Code,0)),""),"[input]",IF(C78="","an Admin_ID",IF(BJ78=0,"an Exposures row for episode "&amp;D78,IF(BI78="E_MISSING_INPUT","segment start and end timestamps and a rate in mg/hour","the date fields required by the selected precision")))))</f>
        <v/>
      </c>
    </row>
  </sheetData>
  <sheetProtection sheet="1" objects="1" scenarios="1" formatColumns="0" formatRows="0" autoFilter="0"/>
  <autoFilter ref="A4:BL78" xr:uid="{9AFEC5E2-628A-4620-9CD2-01F9A000AF6B}"/>
  <dataValidations count="13">
    <dataValidation type="whole" operator="greaterThanOrEqual" allowBlank="1" showInputMessage="1" showErrorMessage="1" sqref="B5:B64" xr:uid="{7A5BFEE5-3F4E-49F6-B9A3-2F821583004E}">
      <formula1>1</formula1>
    </dataValidation>
    <dataValidation type="list" allowBlank="1" showInputMessage="1" showErrorMessage="1" prompt="INFUSION_SEGMENT rows need a start timestamp, an end timestamp and a rate in mg/hour for Q9." sqref="E5:E64" xr:uid="{031C54C5-07EC-48AE-ADDA-B4EAA00E5872}">
      <formula1>nLIST_AdminKind</formula1>
    </dataValidation>
    <dataValidation type="decimal" allowBlank="1" showInputMessage="1" showErrorMessage="1" sqref="F5:F64 H5:H64 J5:J64" xr:uid="{9E72C30D-03AF-42FE-9589-273CBF89EC25}">
      <formula1>-1000000000000</formula1>
      <formula2>1000000000000</formula2>
    </dataValidation>
    <dataValidation type="list" allowBlank="1" showInputMessage="1" showErrorMessage="1" sqref="G5:G64" xr:uid="{643FBE80-45CA-4E0F-A583-8B5C958F14C9}">
      <formula1>nLIST_DoseUnit</formula1>
    </dataValidation>
    <dataValidation type="list" allowBlank="1" showInputMessage="1" showErrorMessage="1" sqref="I5:I64" xr:uid="{C876BF53-EFF6-4197-9041-CC7CFF174535}">
      <formula1>nLIST_RateUnit</formula1>
    </dataValidation>
    <dataValidation type="list" errorStyle="information" allowBlank="1" showInputMessage="1" showErrorMessage="1" sqref="K5:K64" xr:uid="{33C40111-991D-4E9C-B174-A661FB51D6ED}">
      <formula1>nLIST_MissingReason</formula1>
    </dataValidation>
    <dataValidation type="list" allowBlank="1" showInputMessage="1" showErrorMessage="1" prompt="TIMESTAMP: Date + Time + UTC offset (choose unknown if not recorded). DATE: Date only. MONTH: Year + Month. YEAR: Year. RANGE: earliest and latest dates as stated, with the source." sqref="N5:N64" xr:uid="{38B8FC48-6142-4ECC-8A59-5CEC42E8BB09}">
      <formula1>nLIST_Precision</formula1>
    </dataValidation>
    <dataValidation type="date" allowBlank="1" showInputMessage="1" showErrorMessage="1" sqref="O5:O64 T5:T64 U5:U64 AD5:AD64" xr:uid="{550D4F10-9F13-47A6-AE08-0FDD3482851F}">
      <formula1>1</formula1>
      <formula2>2958465</formula2>
    </dataValidation>
    <dataValidation type="time" allowBlank="1" showInputMessage="1" showErrorMessage="1" sqref="P5:P64" xr:uid="{758E3738-7601-4B07-B72D-6929D66354A7}">
      <formula1>0</formula1>
      <formula2>0.9993055</formula2>
    </dataValidation>
    <dataValidation type="list" allowBlank="1" showInputMessage="1" showErrorMessage="1" sqref="Q5:Q64 AF5:AF64" xr:uid="{358D5430-ED00-4080-911B-BC81FB2E8581}">
      <formula1>nLIST_Offset</formula1>
    </dataValidation>
    <dataValidation type="whole" allowBlank="1" showInputMessage="1" showErrorMessage="1" sqref="R5:R64" xr:uid="{5E65B464-07DE-4860-8C68-99301050D382}">
      <formula1>1900</formula1>
      <formula2>9999</formula2>
    </dataValidation>
    <dataValidation type="whole" allowBlank="1" showInputMessage="1" showErrorMessage="1" sqref="S5:S64" xr:uid="{878A8078-7084-4626-B5B7-97CB513F522C}">
      <formula1>1</formula1>
      <formula2>12</formula2>
    </dataValidation>
    <dataValidation type="time" allowBlank="1" showInputMessage="1" showErrorMessage="1" sqref="AE5:AE64" xr:uid="{A802D2EA-E583-4AEC-B7BD-A309F1397FF4}">
      <formula1>0</formula1>
      <formula2>0.999305555555556</formula2>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097A67-B4E6-4DC4-BD73-0CEE330FD15F}">
  <dimension ref="A1:AT41"/>
  <sheetViews>
    <sheetView zoomScale="90" zoomScaleNormal="90" workbookViewId="0">
      <pane xSplit="4" ySplit="4" topLeftCell="E5" activePane="bottomRight" state="frozenSplit"/>
      <selection pane="topRight" activeCell="E1" sqref="E1"/>
      <selection pane="bottomLeft" activeCell="A5" sqref="A5"/>
      <selection pane="bottomRight"/>
    </sheetView>
  </sheetViews>
  <sheetFormatPr defaultRowHeight="12.75" x14ac:dyDescent="0.2"/>
  <cols>
    <col min="1" max="1" width="10.7109375" style="1" customWidth="1"/>
    <col min="2" max="2" width="7.7109375" style="1" customWidth="1"/>
    <col min="3" max="3" width="8.7109375" style="1" customWidth="1"/>
    <col min="4" max="4" width="11.7109375" style="1" customWidth="1"/>
    <col min="5" max="5" width="28.7109375" style="1" customWidth="1"/>
    <col min="6" max="6" width="24.7109375" style="1" customWidth="1"/>
    <col min="7" max="7" width="12.7109375" style="1" customWidth="1"/>
    <col min="8" max="8" width="22.7109375" style="1" customWidth="1"/>
    <col min="9" max="9" width="26.7109375" style="1" customWidth="1"/>
    <col min="10" max="10" width="11.7109375" style="1" customWidth="1"/>
    <col min="11" max="11" width="15.7109375" style="1" customWidth="1"/>
    <col min="12" max="13" width="9.7109375" style="1" customWidth="1"/>
    <col min="14" max="15" width="7.7109375" style="1" customWidth="1"/>
    <col min="16" max="17" width="15.7109375" style="1" customWidth="1"/>
    <col min="18" max="18" width="22.7109375" style="1" customWidth="1"/>
    <col min="19" max="19" width="12.7109375" style="1" customWidth="1"/>
    <col min="20" max="21" width="6.7109375" style="1" customWidth="1"/>
    <col min="22" max="23" width="14.7109375" style="1" customWidth="1"/>
    <col min="24" max="25" width="11.7109375" style="1" customWidth="1"/>
    <col min="26" max="26" width="26.7109375" style="1" customWidth="1"/>
    <col min="27" max="27" width="11.7109375" style="1" customWidth="1"/>
    <col min="28" max="28" width="15.7109375" style="1" customWidth="1"/>
    <col min="29" max="30" width="9.7109375" style="1" customWidth="1"/>
    <col min="31" max="32" width="7.7109375" style="1" customWidth="1"/>
    <col min="33" max="34" width="15.7109375" style="1" customWidth="1"/>
    <col min="35" max="35" width="22.7109375" style="1" customWidth="1"/>
    <col min="36" max="36" width="12.7109375" style="1" customWidth="1"/>
    <col min="37" max="38" width="6.7109375" style="1" customWidth="1"/>
    <col min="39" max="40" width="14.7109375" style="1" customWidth="1"/>
    <col min="41" max="42" width="11.7109375" style="1" customWidth="1"/>
    <col min="43" max="43" width="14.7109375" style="1" customWidth="1"/>
    <col min="44" max="44" width="5.7109375" style="1" customWidth="1"/>
    <col min="45" max="45" width="14.7109375" style="1" customWidth="1"/>
    <col min="46" max="46" width="40.7109375" style="1" customWidth="1"/>
    <col min="47" max="16384" width="9.140625" style="1"/>
  </cols>
  <sheetData>
    <row r="1" spans="1:46" ht="17.25" x14ac:dyDescent="0.3">
      <c r="A1" s="6" t="s">
        <v>619</v>
      </c>
    </row>
    <row r="2" spans="1:46" x14ac:dyDescent="0.2">
      <c r="A2" s="7" t="s">
        <v>272</v>
      </c>
    </row>
    <row r="3" spans="1:46" x14ac:dyDescent="0.2">
      <c r="A3" s="2" t="s">
        <v>620</v>
      </c>
      <c r="I3" s="2" t="s">
        <v>625</v>
      </c>
      <c r="Z3" s="2" t="s">
        <v>643</v>
      </c>
      <c r="AQ3" s="2" t="s">
        <v>283</v>
      </c>
    </row>
    <row r="4" spans="1:46" ht="66" customHeight="1" x14ac:dyDescent="0.2">
      <c r="A4" s="8" t="s">
        <v>274</v>
      </c>
      <c r="B4" s="8" t="s">
        <v>275</v>
      </c>
      <c r="C4" s="8" t="s">
        <v>621</v>
      </c>
      <c r="D4" s="8" t="s">
        <v>622</v>
      </c>
      <c r="E4" s="8" t="s">
        <v>623</v>
      </c>
      <c r="F4" s="8" t="s">
        <v>624</v>
      </c>
      <c r="G4" s="8" t="s">
        <v>366</v>
      </c>
      <c r="H4" s="8" t="s">
        <v>367</v>
      </c>
      <c r="I4" s="8" t="s">
        <v>626</v>
      </c>
      <c r="J4" s="8" t="s">
        <v>627</v>
      </c>
      <c r="K4" s="8" t="s">
        <v>628</v>
      </c>
      <c r="L4" s="8" t="s">
        <v>629</v>
      </c>
      <c r="M4" s="8" t="s">
        <v>630</v>
      </c>
      <c r="N4" s="8" t="s">
        <v>631</v>
      </c>
      <c r="O4" s="8" t="s">
        <v>632</v>
      </c>
      <c r="P4" s="8" t="s">
        <v>633</v>
      </c>
      <c r="Q4" s="8" t="s">
        <v>634</v>
      </c>
      <c r="R4" s="8" t="s">
        <v>635</v>
      </c>
      <c r="S4" s="19" t="s">
        <v>636</v>
      </c>
      <c r="T4" s="19" t="s">
        <v>637</v>
      </c>
      <c r="U4" s="19" t="s">
        <v>638</v>
      </c>
      <c r="V4" s="19" t="s">
        <v>639</v>
      </c>
      <c r="W4" s="19" t="s">
        <v>640</v>
      </c>
      <c r="X4" s="19" t="s">
        <v>641</v>
      </c>
      <c r="Y4" s="19" t="s">
        <v>642</v>
      </c>
      <c r="Z4" s="8" t="s">
        <v>644</v>
      </c>
      <c r="AA4" s="8" t="s">
        <v>645</v>
      </c>
      <c r="AB4" s="8" t="s">
        <v>646</v>
      </c>
      <c r="AC4" s="8" t="s">
        <v>647</v>
      </c>
      <c r="AD4" s="8" t="s">
        <v>648</v>
      </c>
      <c r="AE4" s="8" t="s">
        <v>649</v>
      </c>
      <c r="AF4" s="8" t="s">
        <v>650</v>
      </c>
      <c r="AG4" s="8" t="s">
        <v>651</v>
      </c>
      <c r="AH4" s="8" t="s">
        <v>652</v>
      </c>
      <c r="AI4" s="8" t="s">
        <v>653</v>
      </c>
      <c r="AJ4" s="19" t="s">
        <v>654</v>
      </c>
      <c r="AK4" s="19" t="s">
        <v>655</v>
      </c>
      <c r="AL4" s="19" t="s">
        <v>656</v>
      </c>
      <c r="AM4" s="19" t="s">
        <v>657</v>
      </c>
      <c r="AN4" s="19" t="s">
        <v>658</v>
      </c>
      <c r="AO4" s="19" t="s">
        <v>659</v>
      </c>
      <c r="AP4" s="19" t="s">
        <v>660</v>
      </c>
      <c r="AQ4" s="19" t="s">
        <v>661</v>
      </c>
      <c r="AR4" s="19" t="s">
        <v>285</v>
      </c>
      <c r="AS4" s="19" t="s">
        <v>423</v>
      </c>
      <c r="AT4" s="19" t="s">
        <v>287</v>
      </c>
    </row>
    <row r="5" spans="1:46" x14ac:dyDescent="0.2">
      <c r="A5" s="10"/>
      <c r="B5" s="12"/>
      <c r="C5" s="10"/>
      <c r="D5" s="10"/>
      <c r="E5" s="10"/>
      <c r="F5" s="10"/>
      <c r="G5" s="17"/>
      <c r="H5" s="10"/>
      <c r="I5" s="10"/>
      <c r="J5" s="17"/>
      <c r="K5" s="15"/>
      <c r="L5" s="26"/>
      <c r="M5" s="10"/>
      <c r="N5" s="12"/>
      <c r="O5" s="12"/>
      <c r="P5" s="15"/>
      <c r="Q5" s="15"/>
      <c r="R5" s="10"/>
      <c r="S5" s="21" t="str">
        <f>IF(COUNTA(J5:Q5)=0,"",IF(J5="","E_MISSING_INPUT",IF(J5="TIMESTAMP",IF(OR(K5="",L5="",M5=""),"E_MISSING_INPUT",IF(OR(NOT(ISNUMBER(K5)),NOT(ISNUMBER(L5))),"E_INVALID_DATE",IF(OR(K5&lt;&gt;INT(K5),L5&lt;0,L5&gt;=1),"E_INVALID_DATE",IF(ISNA(MATCH(M5,nLIST_Offset,0)),"E_INVALID_UNIT","")))),IF(J5="DATE",IF(K5="","E_MISSING_INPUT",IF(NOT(ISNUMBER(K5)),"E_INVALID_DATE",IF(K5&lt;&gt;INT(K5),"E_INVALID_DATE",""))),IF(J5="MONTH",IF(OR(N5="",O5=""),"E_MISSING_INPUT",IF(OR(NOT(ISNUMBER(N5)),NOT(ISNUMBER(O5))),"E_INVALID_DATE",IF(OR(N5&lt;1900,N5&gt;9999,N5&lt;&gt;INT(N5),O5&lt;1,O5&gt;12,O5&lt;&gt;INT(O5)),"E_INVALID_DATE",""))),IF(J5="YEAR",IF(N5="","E_MISSING_INPUT",IF(NOT(ISNUMBER(N5)),"E_INVALID_DATE",IF(OR(N5&lt;1900,N5&gt;9999,N5&lt;&gt;INT(N5)),"E_INVALID_DATE",""))),IF(J5="RANGE",IF(OR(P5="",Q5=""),"E_MISSING_INPUT",IF(OR(NOT(ISNUMBER(P5)),NOT(ISNUMBER(Q5))),"E_INVALID_DATE",IF(OR(P5&lt;&gt;INT(P5),Q5&lt;&gt;INT(Q5)),"E_INVALID_DATE",IF(P5&gt;Q5,"E_REVERSED_BOUNDS","")))),"E_INVALID_UNIT")))))))</f>
        <v/>
      </c>
      <c r="T5" s="22">
        <f t="shared" ref="T5:T19" si="0">IF(AND(S5="",J5="TIMESTAMP"),1,0)</f>
        <v>0</v>
      </c>
      <c r="U5" s="22">
        <f t="shared" ref="U5:U19" si="1">IF(AND(T5=1,M5&lt;&gt;"unknown"),1,0)</f>
        <v>0</v>
      </c>
      <c r="V5" s="28" t="str">
        <f t="shared" ref="V5:V19" si="2">IF(OR(S5&lt;&gt;"",J5=""),"",IF(OR(J5="TIMESTAMP",J5="DATE"),K5,IF(J5="MONTH",DATE(N5,O5,1),IF(J5="YEAR",DATE(N5,1,1),P5))))</f>
        <v/>
      </c>
      <c r="W5" s="28" t="str">
        <f t="shared" ref="W5:W19" si="3">IF(OR(S5&lt;&gt;"",J5=""),"",IF(OR(J5="TIMESTAMP",J5="DATE"),K5,IF(J5="MONTH",EOMONTH(DATE(N5,O5,1),0),IF(J5="YEAR",DATE(N5,12,31),Q5))))</f>
        <v/>
      </c>
      <c r="X5" s="22" t="str">
        <f t="shared" ref="X5:X19" si="4">IF(T5=1,K5*1440+ROUND(L5*1440,0),"")</f>
        <v/>
      </c>
      <c r="Y5" s="22" t="str">
        <f t="shared" ref="Y5:Y19" si="5">IF(U5=1,X5-(IF(LEFT(M5,1)="-",-1,1)*(VALUE(MID(M5,2,2))*60+VALUE(MID(M5,5,2)))),"")</f>
        <v/>
      </c>
      <c r="Z5" s="10"/>
      <c r="AA5" s="17"/>
      <c r="AB5" s="15"/>
      <c r="AC5" s="26"/>
      <c r="AD5" s="10"/>
      <c r="AE5" s="12"/>
      <c r="AF5" s="12"/>
      <c r="AG5" s="15"/>
      <c r="AH5" s="15"/>
      <c r="AI5" s="10"/>
      <c r="AJ5" s="21" t="str">
        <f>IF(COUNTA(AA5:AH5)=0,"",IF(AA5="","E_MISSING_INPUT",IF(AA5="TIMESTAMP",IF(OR(AB5="",AC5="",AD5=""),"E_MISSING_INPUT",IF(OR(NOT(ISNUMBER(AB5)),NOT(ISNUMBER(AC5))),"E_INVALID_DATE",IF(OR(AB5&lt;&gt;INT(AB5),AC5&lt;0,AC5&gt;=1),"E_INVALID_DATE",IF(ISNA(MATCH(AD5,nLIST_Offset,0)),"E_INVALID_UNIT","")))),IF(AA5="DATE",IF(AB5="","E_MISSING_INPUT",IF(NOT(ISNUMBER(AB5)),"E_INVALID_DATE",IF(AB5&lt;&gt;INT(AB5),"E_INVALID_DATE",""))),IF(AA5="MONTH",IF(OR(AE5="",AF5=""),"E_MISSING_INPUT",IF(OR(NOT(ISNUMBER(AE5)),NOT(ISNUMBER(AF5))),"E_INVALID_DATE",IF(OR(AE5&lt;1900,AE5&gt;9999,AE5&lt;&gt;INT(AE5),AF5&lt;1,AF5&gt;12,AF5&lt;&gt;INT(AF5)),"E_INVALID_DATE",""))),IF(AA5="YEAR",IF(AE5="","E_MISSING_INPUT",IF(NOT(ISNUMBER(AE5)),"E_INVALID_DATE",IF(OR(AE5&lt;1900,AE5&gt;9999,AE5&lt;&gt;INT(AE5)),"E_INVALID_DATE",""))),IF(AA5="RANGE",IF(OR(AG5="",AH5=""),"E_MISSING_INPUT",IF(OR(NOT(ISNUMBER(AG5)),NOT(ISNUMBER(AH5))),"E_INVALID_DATE",IF(OR(AG5&lt;&gt;INT(AG5),AH5&lt;&gt;INT(AH5)),"E_INVALID_DATE",IF(AG5&gt;AH5,"E_REVERSED_BOUNDS","")))),"E_INVALID_UNIT")))))))</f>
        <v/>
      </c>
      <c r="AK5" s="22">
        <f t="shared" ref="AK5:AK19" si="6">IF(AND(AJ5="",AA5="TIMESTAMP"),1,0)</f>
        <v>0</v>
      </c>
      <c r="AL5" s="22">
        <f t="shared" ref="AL5:AL19" si="7">IF(AND(AK5=1,AD5&lt;&gt;"unknown"),1,0)</f>
        <v>0</v>
      </c>
      <c r="AM5" s="28" t="str">
        <f t="shared" ref="AM5:AM19" si="8">IF(OR(AJ5&lt;&gt;"",AA5=""),"",IF(OR(AA5="TIMESTAMP",AA5="DATE"),AB5,IF(AA5="MONTH",DATE(AE5,AF5,1),IF(AA5="YEAR",DATE(AE5,1,1),AG5))))</f>
        <v/>
      </c>
      <c r="AN5" s="28" t="str">
        <f t="shared" ref="AN5:AN19" si="9">IF(OR(AJ5&lt;&gt;"",AA5=""),"",IF(OR(AA5="TIMESTAMP",AA5="DATE"),AB5,IF(AA5="MONTH",EOMONTH(DATE(AE5,AF5,1),0),IF(AA5="YEAR",DATE(AE5,12,31),AH5))))</f>
        <v/>
      </c>
      <c r="AO5" s="22" t="str">
        <f t="shared" ref="AO5:AO19" si="10">IF(AK5=1,AB5*1440+ROUND(AC5*1440,0),"")</f>
        <v/>
      </c>
      <c r="AP5" s="22" t="str">
        <f t="shared" ref="AP5:AP19" si="11">IF(AL5=1,AO5-(IF(LEFT(AD5,1)="-",-1,1)*(VALUE(MID(AD5,2,2))*60+VALUE(MID(AD5,5,2)))),"")</f>
        <v/>
      </c>
      <c r="AQ5" s="21" t="str">
        <f t="shared" ref="AQ5:AQ19" si="12">IF(D5="","",A5&amp;"|"&amp;B5&amp;"|"&amp;D5)</f>
        <v/>
      </c>
      <c r="AR5" s="22">
        <f>IF(AQ5="",0,COUNTIF(nEVT_Key,AQ5))</f>
        <v>0</v>
      </c>
      <c r="AS5" s="21" t="str">
        <f t="shared" ref="AS5:AS19" si="13">IF(D5="",IF(COUNTA(E5,J5,K5)&gt;0,"E_MISSING_INPUT",""),IF(AR5&gt;1,"E_DUPLICATE_ID",IF(S5&lt;&gt;"",S5,AJ5)))</f>
        <v/>
      </c>
      <c r="AT5" s="21" t="str">
        <f>IF(AS5="","",AS5&amp;": "&amp;SUBSTITUTE(IFERROR(INDEX(nMSG_Text,MATCH(AS5,nMSG_Code,0)),""),"[input]",IF(D5="","an Episode_ID","the date fields required by the selected precision")))</f>
        <v/>
      </c>
    </row>
    <row r="6" spans="1:46" x14ac:dyDescent="0.2">
      <c r="A6" s="10"/>
      <c r="B6" s="12"/>
      <c r="C6" s="10"/>
      <c r="D6" s="10"/>
      <c r="E6" s="10"/>
      <c r="F6" s="10"/>
      <c r="G6" s="17"/>
      <c r="H6" s="10"/>
      <c r="I6" s="10"/>
      <c r="J6" s="17"/>
      <c r="K6" s="15"/>
      <c r="L6" s="26"/>
      <c r="M6" s="10"/>
      <c r="N6" s="12"/>
      <c r="O6" s="12"/>
      <c r="P6" s="15"/>
      <c r="Q6" s="15"/>
      <c r="R6" s="10"/>
      <c r="S6" s="21" t="str">
        <f>IF(COUNTA(J6:Q6)=0,"",IF(J6="","E_MISSING_INPUT",IF(J6="TIMESTAMP",IF(OR(K6="",L6="",M6=""),"E_MISSING_INPUT",IF(OR(NOT(ISNUMBER(K6)),NOT(ISNUMBER(L6))),"E_INVALID_DATE",IF(OR(K6&lt;&gt;INT(K6),L6&lt;0,L6&gt;=1),"E_INVALID_DATE",IF(ISNA(MATCH(M6,nLIST_Offset,0)),"E_INVALID_UNIT","")))),IF(J6="DATE",IF(K6="","E_MISSING_INPUT",IF(NOT(ISNUMBER(K6)),"E_INVALID_DATE",IF(K6&lt;&gt;INT(K6),"E_INVALID_DATE",""))),IF(J6="MONTH",IF(OR(N6="",O6=""),"E_MISSING_INPUT",IF(OR(NOT(ISNUMBER(N6)),NOT(ISNUMBER(O6))),"E_INVALID_DATE",IF(OR(N6&lt;1900,N6&gt;9999,N6&lt;&gt;INT(N6),O6&lt;1,O6&gt;12,O6&lt;&gt;INT(O6)),"E_INVALID_DATE",""))),IF(J6="YEAR",IF(N6="","E_MISSING_INPUT",IF(NOT(ISNUMBER(N6)),"E_INVALID_DATE",IF(OR(N6&lt;1900,N6&gt;9999,N6&lt;&gt;INT(N6)),"E_INVALID_DATE",""))),IF(J6="RANGE",IF(OR(P6="",Q6=""),"E_MISSING_INPUT",IF(OR(NOT(ISNUMBER(P6)),NOT(ISNUMBER(Q6))),"E_INVALID_DATE",IF(OR(P6&lt;&gt;INT(P6),Q6&lt;&gt;INT(Q6)),"E_INVALID_DATE",IF(P6&gt;Q6,"E_REVERSED_BOUNDS","")))),"E_INVALID_UNIT")))))))</f>
        <v/>
      </c>
      <c r="T6" s="22">
        <f t="shared" si="0"/>
        <v>0</v>
      </c>
      <c r="U6" s="22">
        <f t="shared" si="1"/>
        <v>0</v>
      </c>
      <c r="V6" s="28" t="str">
        <f t="shared" si="2"/>
        <v/>
      </c>
      <c r="W6" s="28" t="str">
        <f t="shared" si="3"/>
        <v/>
      </c>
      <c r="X6" s="22" t="str">
        <f t="shared" si="4"/>
        <v/>
      </c>
      <c r="Y6" s="22" t="str">
        <f t="shared" si="5"/>
        <v/>
      </c>
      <c r="Z6" s="10"/>
      <c r="AA6" s="17"/>
      <c r="AB6" s="15"/>
      <c r="AC6" s="26"/>
      <c r="AD6" s="10"/>
      <c r="AE6" s="12"/>
      <c r="AF6" s="12"/>
      <c r="AG6" s="15"/>
      <c r="AH6" s="15"/>
      <c r="AI6" s="10"/>
      <c r="AJ6" s="21" t="str">
        <f>IF(COUNTA(AA6:AH6)=0,"",IF(AA6="","E_MISSING_INPUT",IF(AA6="TIMESTAMP",IF(OR(AB6="",AC6="",AD6=""),"E_MISSING_INPUT",IF(OR(NOT(ISNUMBER(AB6)),NOT(ISNUMBER(AC6))),"E_INVALID_DATE",IF(OR(AB6&lt;&gt;INT(AB6),AC6&lt;0,AC6&gt;=1),"E_INVALID_DATE",IF(ISNA(MATCH(AD6,nLIST_Offset,0)),"E_INVALID_UNIT","")))),IF(AA6="DATE",IF(AB6="","E_MISSING_INPUT",IF(NOT(ISNUMBER(AB6)),"E_INVALID_DATE",IF(AB6&lt;&gt;INT(AB6),"E_INVALID_DATE",""))),IF(AA6="MONTH",IF(OR(AE6="",AF6=""),"E_MISSING_INPUT",IF(OR(NOT(ISNUMBER(AE6)),NOT(ISNUMBER(AF6))),"E_INVALID_DATE",IF(OR(AE6&lt;1900,AE6&gt;9999,AE6&lt;&gt;INT(AE6),AF6&lt;1,AF6&gt;12,AF6&lt;&gt;INT(AF6)),"E_INVALID_DATE",""))),IF(AA6="YEAR",IF(AE6="","E_MISSING_INPUT",IF(NOT(ISNUMBER(AE6)),"E_INVALID_DATE",IF(OR(AE6&lt;1900,AE6&gt;9999,AE6&lt;&gt;INT(AE6)),"E_INVALID_DATE",""))),IF(AA6="RANGE",IF(OR(AG6="",AH6=""),"E_MISSING_INPUT",IF(OR(NOT(ISNUMBER(AG6)),NOT(ISNUMBER(AH6))),"E_INVALID_DATE",IF(OR(AG6&lt;&gt;INT(AG6),AH6&lt;&gt;INT(AH6)),"E_INVALID_DATE",IF(AG6&gt;AH6,"E_REVERSED_BOUNDS","")))),"E_INVALID_UNIT")))))))</f>
        <v/>
      </c>
      <c r="AK6" s="22">
        <f t="shared" si="6"/>
        <v>0</v>
      </c>
      <c r="AL6" s="22">
        <f t="shared" si="7"/>
        <v>0</v>
      </c>
      <c r="AM6" s="28" t="str">
        <f t="shared" si="8"/>
        <v/>
      </c>
      <c r="AN6" s="28" t="str">
        <f t="shared" si="9"/>
        <v/>
      </c>
      <c r="AO6" s="22" t="str">
        <f t="shared" si="10"/>
        <v/>
      </c>
      <c r="AP6" s="22" t="str">
        <f t="shared" si="11"/>
        <v/>
      </c>
      <c r="AQ6" s="21" t="str">
        <f t="shared" si="12"/>
        <v/>
      </c>
      <c r="AR6" s="22">
        <f>IF(AQ6="",0,COUNTIF(nEVT_Key,AQ6))</f>
        <v>0</v>
      </c>
      <c r="AS6" s="21" t="str">
        <f t="shared" si="13"/>
        <v/>
      </c>
      <c r="AT6" s="21" t="str">
        <f>IF(AS6="","",AS6&amp;": "&amp;SUBSTITUTE(IFERROR(INDEX(nMSG_Text,MATCH(AS6,nMSG_Code,0)),""),"[input]",IF(D6="","an Episode_ID","the date fields required by the selected precision")))</f>
        <v/>
      </c>
    </row>
    <row r="7" spans="1:46" x14ac:dyDescent="0.2">
      <c r="A7" s="10"/>
      <c r="B7" s="12"/>
      <c r="C7" s="10"/>
      <c r="D7" s="10"/>
      <c r="E7" s="10"/>
      <c r="F7" s="10"/>
      <c r="G7" s="17"/>
      <c r="H7" s="10"/>
      <c r="I7" s="10"/>
      <c r="J7" s="17"/>
      <c r="K7" s="15"/>
      <c r="L7" s="26"/>
      <c r="M7" s="10"/>
      <c r="N7" s="12"/>
      <c r="O7" s="12"/>
      <c r="P7" s="15"/>
      <c r="Q7" s="15"/>
      <c r="R7" s="10"/>
      <c r="S7" s="21" t="str">
        <f>IF(COUNTA(J7:Q7)=0,"",IF(J7="","E_MISSING_INPUT",IF(J7="TIMESTAMP",IF(OR(K7="",L7="",M7=""),"E_MISSING_INPUT",IF(OR(NOT(ISNUMBER(K7)),NOT(ISNUMBER(L7))),"E_INVALID_DATE",IF(OR(K7&lt;&gt;INT(K7),L7&lt;0,L7&gt;=1),"E_INVALID_DATE",IF(ISNA(MATCH(M7,nLIST_Offset,0)),"E_INVALID_UNIT","")))),IF(J7="DATE",IF(K7="","E_MISSING_INPUT",IF(NOT(ISNUMBER(K7)),"E_INVALID_DATE",IF(K7&lt;&gt;INT(K7),"E_INVALID_DATE",""))),IF(J7="MONTH",IF(OR(N7="",O7=""),"E_MISSING_INPUT",IF(OR(NOT(ISNUMBER(N7)),NOT(ISNUMBER(O7))),"E_INVALID_DATE",IF(OR(N7&lt;1900,N7&gt;9999,N7&lt;&gt;INT(N7),O7&lt;1,O7&gt;12,O7&lt;&gt;INT(O7)),"E_INVALID_DATE",""))),IF(J7="YEAR",IF(N7="","E_MISSING_INPUT",IF(NOT(ISNUMBER(N7)),"E_INVALID_DATE",IF(OR(N7&lt;1900,N7&gt;9999,N7&lt;&gt;INT(N7)),"E_INVALID_DATE",""))),IF(J7="RANGE",IF(OR(P7="",Q7=""),"E_MISSING_INPUT",IF(OR(NOT(ISNUMBER(P7)),NOT(ISNUMBER(Q7))),"E_INVALID_DATE",IF(OR(P7&lt;&gt;INT(P7),Q7&lt;&gt;INT(Q7)),"E_INVALID_DATE",IF(P7&gt;Q7,"E_REVERSED_BOUNDS","")))),"E_INVALID_UNIT")))))))</f>
        <v/>
      </c>
      <c r="T7" s="22">
        <f t="shared" si="0"/>
        <v>0</v>
      </c>
      <c r="U7" s="22">
        <f t="shared" si="1"/>
        <v>0</v>
      </c>
      <c r="V7" s="28" t="str">
        <f t="shared" si="2"/>
        <v/>
      </c>
      <c r="W7" s="28" t="str">
        <f t="shared" si="3"/>
        <v/>
      </c>
      <c r="X7" s="22" t="str">
        <f t="shared" si="4"/>
        <v/>
      </c>
      <c r="Y7" s="22" t="str">
        <f t="shared" si="5"/>
        <v/>
      </c>
      <c r="Z7" s="10"/>
      <c r="AA7" s="17"/>
      <c r="AB7" s="15"/>
      <c r="AC7" s="26"/>
      <c r="AD7" s="10"/>
      <c r="AE7" s="12"/>
      <c r="AF7" s="12"/>
      <c r="AG7" s="15"/>
      <c r="AH7" s="15"/>
      <c r="AI7" s="10"/>
      <c r="AJ7" s="21" t="str">
        <f>IF(COUNTA(AA7:AH7)=0,"",IF(AA7="","E_MISSING_INPUT",IF(AA7="TIMESTAMP",IF(OR(AB7="",AC7="",AD7=""),"E_MISSING_INPUT",IF(OR(NOT(ISNUMBER(AB7)),NOT(ISNUMBER(AC7))),"E_INVALID_DATE",IF(OR(AB7&lt;&gt;INT(AB7),AC7&lt;0,AC7&gt;=1),"E_INVALID_DATE",IF(ISNA(MATCH(AD7,nLIST_Offset,0)),"E_INVALID_UNIT","")))),IF(AA7="DATE",IF(AB7="","E_MISSING_INPUT",IF(NOT(ISNUMBER(AB7)),"E_INVALID_DATE",IF(AB7&lt;&gt;INT(AB7),"E_INVALID_DATE",""))),IF(AA7="MONTH",IF(OR(AE7="",AF7=""),"E_MISSING_INPUT",IF(OR(NOT(ISNUMBER(AE7)),NOT(ISNUMBER(AF7))),"E_INVALID_DATE",IF(OR(AE7&lt;1900,AE7&gt;9999,AE7&lt;&gt;INT(AE7),AF7&lt;1,AF7&gt;12,AF7&lt;&gt;INT(AF7)),"E_INVALID_DATE",""))),IF(AA7="YEAR",IF(AE7="","E_MISSING_INPUT",IF(NOT(ISNUMBER(AE7)),"E_INVALID_DATE",IF(OR(AE7&lt;1900,AE7&gt;9999,AE7&lt;&gt;INT(AE7)),"E_INVALID_DATE",""))),IF(AA7="RANGE",IF(OR(AG7="",AH7=""),"E_MISSING_INPUT",IF(OR(NOT(ISNUMBER(AG7)),NOT(ISNUMBER(AH7))),"E_INVALID_DATE",IF(OR(AG7&lt;&gt;INT(AG7),AH7&lt;&gt;INT(AH7)),"E_INVALID_DATE",IF(AG7&gt;AH7,"E_REVERSED_BOUNDS","")))),"E_INVALID_UNIT")))))))</f>
        <v/>
      </c>
      <c r="AK7" s="22">
        <f t="shared" si="6"/>
        <v>0</v>
      </c>
      <c r="AL7" s="22">
        <f t="shared" si="7"/>
        <v>0</v>
      </c>
      <c r="AM7" s="28" t="str">
        <f t="shared" si="8"/>
        <v/>
      </c>
      <c r="AN7" s="28" t="str">
        <f t="shared" si="9"/>
        <v/>
      </c>
      <c r="AO7" s="22" t="str">
        <f t="shared" si="10"/>
        <v/>
      </c>
      <c r="AP7" s="22" t="str">
        <f t="shared" si="11"/>
        <v/>
      </c>
      <c r="AQ7" s="21" t="str">
        <f t="shared" si="12"/>
        <v/>
      </c>
      <c r="AR7" s="22">
        <f>IF(AQ7="",0,COUNTIF(nEVT_Key,AQ7))</f>
        <v>0</v>
      </c>
      <c r="AS7" s="21" t="str">
        <f t="shared" si="13"/>
        <v/>
      </c>
      <c r="AT7" s="21" t="str">
        <f>IF(AS7="","",AS7&amp;": "&amp;SUBSTITUTE(IFERROR(INDEX(nMSG_Text,MATCH(AS7,nMSG_Code,0)),""),"[input]",IF(D7="","an Episode_ID","the date fields required by the selected precision")))</f>
        <v/>
      </c>
    </row>
    <row r="8" spans="1:46" x14ac:dyDescent="0.2">
      <c r="A8" s="10"/>
      <c r="B8" s="12"/>
      <c r="C8" s="10"/>
      <c r="D8" s="10"/>
      <c r="E8" s="10"/>
      <c r="F8" s="10"/>
      <c r="G8" s="17"/>
      <c r="H8" s="10"/>
      <c r="I8" s="10"/>
      <c r="J8" s="17"/>
      <c r="K8" s="15"/>
      <c r="L8" s="26"/>
      <c r="M8" s="10"/>
      <c r="N8" s="12"/>
      <c r="O8" s="12"/>
      <c r="P8" s="15"/>
      <c r="Q8" s="15"/>
      <c r="R8" s="10"/>
      <c r="S8" s="21" t="str">
        <f>IF(COUNTA(J8:Q8)=0,"",IF(J8="","E_MISSING_INPUT",IF(J8="TIMESTAMP",IF(OR(K8="",L8="",M8=""),"E_MISSING_INPUT",IF(OR(NOT(ISNUMBER(K8)),NOT(ISNUMBER(L8))),"E_INVALID_DATE",IF(OR(K8&lt;&gt;INT(K8),L8&lt;0,L8&gt;=1),"E_INVALID_DATE",IF(ISNA(MATCH(M8,nLIST_Offset,0)),"E_INVALID_UNIT","")))),IF(J8="DATE",IF(K8="","E_MISSING_INPUT",IF(NOT(ISNUMBER(K8)),"E_INVALID_DATE",IF(K8&lt;&gt;INT(K8),"E_INVALID_DATE",""))),IF(J8="MONTH",IF(OR(N8="",O8=""),"E_MISSING_INPUT",IF(OR(NOT(ISNUMBER(N8)),NOT(ISNUMBER(O8))),"E_INVALID_DATE",IF(OR(N8&lt;1900,N8&gt;9999,N8&lt;&gt;INT(N8),O8&lt;1,O8&gt;12,O8&lt;&gt;INT(O8)),"E_INVALID_DATE",""))),IF(J8="YEAR",IF(N8="","E_MISSING_INPUT",IF(NOT(ISNUMBER(N8)),"E_INVALID_DATE",IF(OR(N8&lt;1900,N8&gt;9999,N8&lt;&gt;INT(N8)),"E_INVALID_DATE",""))),IF(J8="RANGE",IF(OR(P8="",Q8=""),"E_MISSING_INPUT",IF(OR(NOT(ISNUMBER(P8)),NOT(ISNUMBER(Q8))),"E_INVALID_DATE",IF(OR(P8&lt;&gt;INT(P8),Q8&lt;&gt;INT(Q8)),"E_INVALID_DATE",IF(P8&gt;Q8,"E_REVERSED_BOUNDS","")))),"E_INVALID_UNIT")))))))</f>
        <v/>
      </c>
      <c r="T8" s="22">
        <f t="shared" si="0"/>
        <v>0</v>
      </c>
      <c r="U8" s="22">
        <f t="shared" si="1"/>
        <v>0</v>
      </c>
      <c r="V8" s="28" t="str">
        <f t="shared" si="2"/>
        <v/>
      </c>
      <c r="W8" s="28" t="str">
        <f t="shared" si="3"/>
        <v/>
      </c>
      <c r="X8" s="22" t="str">
        <f t="shared" si="4"/>
        <v/>
      </c>
      <c r="Y8" s="22" t="str">
        <f t="shared" si="5"/>
        <v/>
      </c>
      <c r="Z8" s="10"/>
      <c r="AA8" s="17"/>
      <c r="AB8" s="15"/>
      <c r="AC8" s="26"/>
      <c r="AD8" s="10"/>
      <c r="AE8" s="12"/>
      <c r="AF8" s="12"/>
      <c r="AG8" s="15"/>
      <c r="AH8" s="15"/>
      <c r="AI8" s="10"/>
      <c r="AJ8" s="21" t="str">
        <f>IF(COUNTA(AA8:AH8)=0,"",IF(AA8="","E_MISSING_INPUT",IF(AA8="TIMESTAMP",IF(OR(AB8="",AC8="",AD8=""),"E_MISSING_INPUT",IF(OR(NOT(ISNUMBER(AB8)),NOT(ISNUMBER(AC8))),"E_INVALID_DATE",IF(OR(AB8&lt;&gt;INT(AB8),AC8&lt;0,AC8&gt;=1),"E_INVALID_DATE",IF(ISNA(MATCH(AD8,nLIST_Offset,0)),"E_INVALID_UNIT","")))),IF(AA8="DATE",IF(AB8="","E_MISSING_INPUT",IF(NOT(ISNUMBER(AB8)),"E_INVALID_DATE",IF(AB8&lt;&gt;INT(AB8),"E_INVALID_DATE",""))),IF(AA8="MONTH",IF(OR(AE8="",AF8=""),"E_MISSING_INPUT",IF(OR(NOT(ISNUMBER(AE8)),NOT(ISNUMBER(AF8))),"E_INVALID_DATE",IF(OR(AE8&lt;1900,AE8&gt;9999,AE8&lt;&gt;INT(AE8),AF8&lt;1,AF8&gt;12,AF8&lt;&gt;INT(AF8)),"E_INVALID_DATE",""))),IF(AA8="YEAR",IF(AE8="","E_MISSING_INPUT",IF(NOT(ISNUMBER(AE8)),"E_INVALID_DATE",IF(OR(AE8&lt;1900,AE8&gt;9999,AE8&lt;&gt;INT(AE8)),"E_INVALID_DATE",""))),IF(AA8="RANGE",IF(OR(AG8="",AH8=""),"E_MISSING_INPUT",IF(OR(NOT(ISNUMBER(AG8)),NOT(ISNUMBER(AH8))),"E_INVALID_DATE",IF(OR(AG8&lt;&gt;INT(AG8),AH8&lt;&gt;INT(AH8)),"E_INVALID_DATE",IF(AG8&gt;AH8,"E_REVERSED_BOUNDS","")))),"E_INVALID_UNIT")))))))</f>
        <v/>
      </c>
      <c r="AK8" s="22">
        <f t="shared" si="6"/>
        <v>0</v>
      </c>
      <c r="AL8" s="22">
        <f t="shared" si="7"/>
        <v>0</v>
      </c>
      <c r="AM8" s="28" t="str">
        <f t="shared" si="8"/>
        <v/>
      </c>
      <c r="AN8" s="28" t="str">
        <f t="shared" si="9"/>
        <v/>
      </c>
      <c r="AO8" s="22" t="str">
        <f t="shared" si="10"/>
        <v/>
      </c>
      <c r="AP8" s="22" t="str">
        <f t="shared" si="11"/>
        <v/>
      </c>
      <c r="AQ8" s="21" t="str">
        <f t="shared" si="12"/>
        <v/>
      </c>
      <c r="AR8" s="22">
        <f>IF(AQ8="",0,COUNTIF(nEVT_Key,AQ8))</f>
        <v>0</v>
      </c>
      <c r="AS8" s="21" t="str">
        <f t="shared" si="13"/>
        <v/>
      </c>
      <c r="AT8" s="21" t="str">
        <f>IF(AS8="","",AS8&amp;": "&amp;SUBSTITUTE(IFERROR(INDEX(nMSG_Text,MATCH(AS8,nMSG_Code,0)),""),"[input]",IF(D8="","an Episode_ID","the date fields required by the selected precision")))</f>
        <v/>
      </c>
    </row>
    <row r="9" spans="1:46" x14ac:dyDescent="0.2">
      <c r="A9" s="10"/>
      <c r="B9" s="12"/>
      <c r="C9" s="10"/>
      <c r="D9" s="10"/>
      <c r="E9" s="10"/>
      <c r="F9" s="10"/>
      <c r="G9" s="17"/>
      <c r="H9" s="10"/>
      <c r="I9" s="10"/>
      <c r="J9" s="17"/>
      <c r="K9" s="15"/>
      <c r="L9" s="26"/>
      <c r="M9" s="10"/>
      <c r="N9" s="12"/>
      <c r="O9" s="12"/>
      <c r="P9" s="15"/>
      <c r="Q9" s="15"/>
      <c r="R9" s="10"/>
      <c r="S9" s="21" t="str">
        <f>IF(COUNTA(J9:Q9)=0,"",IF(J9="","E_MISSING_INPUT",IF(J9="TIMESTAMP",IF(OR(K9="",L9="",M9=""),"E_MISSING_INPUT",IF(OR(NOT(ISNUMBER(K9)),NOT(ISNUMBER(L9))),"E_INVALID_DATE",IF(OR(K9&lt;&gt;INT(K9),L9&lt;0,L9&gt;=1),"E_INVALID_DATE",IF(ISNA(MATCH(M9,nLIST_Offset,0)),"E_INVALID_UNIT","")))),IF(J9="DATE",IF(K9="","E_MISSING_INPUT",IF(NOT(ISNUMBER(K9)),"E_INVALID_DATE",IF(K9&lt;&gt;INT(K9),"E_INVALID_DATE",""))),IF(J9="MONTH",IF(OR(N9="",O9=""),"E_MISSING_INPUT",IF(OR(NOT(ISNUMBER(N9)),NOT(ISNUMBER(O9))),"E_INVALID_DATE",IF(OR(N9&lt;1900,N9&gt;9999,N9&lt;&gt;INT(N9),O9&lt;1,O9&gt;12,O9&lt;&gt;INT(O9)),"E_INVALID_DATE",""))),IF(J9="YEAR",IF(N9="","E_MISSING_INPUT",IF(NOT(ISNUMBER(N9)),"E_INVALID_DATE",IF(OR(N9&lt;1900,N9&gt;9999,N9&lt;&gt;INT(N9)),"E_INVALID_DATE",""))),IF(J9="RANGE",IF(OR(P9="",Q9=""),"E_MISSING_INPUT",IF(OR(NOT(ISNUMBER(P9)),NOT(ISNUMBER(Q9))),"E_INVALID_DATE",IF(OR(P9&lt;&gt;INT(P9),Q9&lt;&gt;INT(Q9)),"E_INVALID_DATE",IF(P9&gt;Q9,"E_REVERSED_BOUNDS","")))),"E_INVALID_UNIT")))))))</f>
        <v/>
      </c>
      <c r="T9" s="22">
        <f t="shared" si="0"/>
        <v>0</v>
      </c>
      <c r="U9" s="22">
        <f t="shared" si="1"/>
        <v>0</v>
      </c>
      <c r="V9" s="28" t="str">
        <f t="shared" si="2"/>
        <v/>
      </c>
      <c r="W9" s="28" t="str">
        <f t="shared" si="3"/>
        <v/>
      </c>
      <c r="X9" s="22" t="str">
        <f t="shared" si="4"/>
        <v/>
      </c>
      <c r="Y9" s="22" t="str">
        <f t="shared" si="5"/>
        <v/>
      </c>
      <c r="Z9" s="10"/>
      <c r="AA9" s="17"/>
      <c r="AB9" s="15"/>
      <c r="AC9" s="26"/>
      <c r="AD9" s="10"/>
      <c r="AE9" s="12"/>
      <c r="AF9" s="12"/>
      <c r="AG9" s="15"/>
      <c r="AH9" s="15"/>
      <c r="AI9" s="10"/>
      <c r="AJ9" s="21" t="str">
        <f>IF(COUNTA(AA9:AH9)=0,"",IF(AA9="","E_MISSING_INPUT",IF(AA9="TIMESTAMP",IF(OR(AB9="",AC9="",AD9=""),"E_MISSING_INPUT",IF(OR(NOT(ISNUMBER(AB9)),NOT(ISNUMBER(AC9))),"E_INVALID_DATE",IF(OR(AB9&lt;&gt;INT(AB9),AC9&lt;0,AC9&gt;=1),"E_INVALID_DATE",IF(ISNA(MATCH(AD9,nLIST_Offset,0)),"E_INVALID_UNIT","")))),IF(AA9="DATE",IF(AB9="","E_MISSING_INPUT",IF(NOT(ISNUMBER(AB9)),"E_INVALID_DATE",IF(AB9&lt;&gt;INT(AB9),"E_INVALID_DATE",""))),IF(AA9="MONTH",IF(OR(AE9="",AF9=""),"E_MISSING_INPUT",IF(OR(NOT(ISNUMBER(AE9)),NOT(ISNUMBER(AF9))),"E_INVALID_DATE",IF(OR(AE9&lt;1900,AE9&gt;9999,AE9&lt;&gt;INT(AE9),AF9&lt;1,AF9&gt;12,AF9&lt;&gt;INT(AF9)),"E_INVALID_DATE",""))),IF(AA9="YEAR",IF(AE9="","E_MISSING_INPUT",IF(NOT(ISNUMBER(AE9)),"E_INVALID_DATE",IF(OR(AE9&lt;1900,AE9&gt;9999,AE9&lt;&gt;INT(AE9)),"E_INVALID_DATE",""))),IF(AA9="RANGE",IF(OR(AG9="",AH9=""),"E_MISSING_INPUT",IF(OR(NOT(ISNUMBER(AG9)),NOT(ISNUMBER(AH9))),"E_INVALID_DATE",IF(OR(AG9&lt;&gt;INT(AG9),AH9&lt;&gt;INT(AH9)),"E_INVALID_DATE",IF(AG9&gt;AH9,"E_REVERSED_BOUNDS","")))),"E_INVALID_UNIT")))))))</f>
        <v/>
      </c>
      <c r="AK9" s="22">
        <f t="shared" si="6"/>
        <v>0</v>
      </c>
      <c r="AL9" s="22">
        <f t="shared" si="7"/>
        <v>0</v>
      </c>
      <c r="AM9" s="28" t="str">
        <f t="shared" si="8"/>
        <v/>
      </c>
      <c r="AN9" s="28" t="str">
        <f t="shared" si="9"/>
        <v/>
      </c>
      <c r="AO9" s="22" t="str">
        <f t="shared" si="10"/>
        <v/>
      </c>
      <c r="AP9" s="22" t="str">
        <f t="shared" si="11"/>
        <v/>
      </c>
      <c r="AQ9" s="21" t="str">
        <f t="shared" si="12"/>
        <v/>
      </c>
      <c r="AR9" s="22">
        <f>IF(AQ9="",0,COUNTIF(nEVT_Key,AQ9))</f>
        <v>0</v>
      </c>
      <c r="AS9" s="21" t="str">
        <f t="shared" si="13"/>
        <v/>
      </c>
      <c r="AT9" s="21" t="str">
        <f>IF(AS9="","",AS9&amp;": "&amp;SUBSTITUTE(IFERROR(INDEX(nMSG_Text,MATCH(AS9,nMSG_Code,0)),""),"[input]",IF(D9="","an Episode_ID","the date fields required by the selected precision")))</f>
        <v/>
      </c>
    </row>
    <row r="10" spans="1:46" x14ac:dyDescent="0.2">
      <c r="A10" s="10"/>
      <c r="B10" s="12"/>
      <c r="C10" s="10"/>
      <c r="D10" s="10"/>
      <c r="E10" s="10"/>
      <c r="F10" s="10"/>
      <c r="G10" s="17"/>
      <c r="H10" s="10"/>
      <c r="I10" s="10"/>
      <c r="J10" s="17"/>
      <c r="K10" s="15"/>
      <c r="L10" s="26"/>
      <c r="M10" s="10"/>
      <c r="N10" s="12"/>
      <c r="O10" s="12"/>
      <c r="P10" s="15"/>
      <c r="Q10" s="15"/>
      <c r="R10" s="10"/>
      <c r="S10" s="21" t="str">
        <f>IF(COUNTA(J10:Q10)=0,"",IF(J10="","E_MISSING_INPUT",IF(J10="TIMESTAMP",IF(OR(K10="",L10="",M10=""),"E_MISSING_INPUT",IF(OR(NOT(ISNUMBER(K10)),NOT(ISNUMBER(L10))),"E_INVALID_DATE",IF(OR(K10&lt;&gt;INT(K10),L10&lt;0,L10&gt;=1),"E_INVALID_DATE",IF(ISNA(MATCH(M10,nLIST_Offset,0)),"E_INVALID_UNIT","")))),IF(J10="DATE",IF(K10="","E_MISSING_INPUT",IF(NOT(ISNUMBER(K10)),"E_INVALID_DATE",IF(K10&lt;&gt;INT(K10),"E_INVALID_DATE",""))),IF(J10="MONTH",IF(OR(N10="",O10=""),"E_MISSING_INPUT",IF(OR(NOT(ISNUMBER(N10)),NOT(ISNUMBER(O10))),"E_INVALID_DATE",IF(OR(N10&lt;1900,N10&gt;9999,N10&lt;&gt;INT(N10),O10&lt;1,O10&gt;12,O10&lt;&gt;INT(O10)),"E_INVALID_DATE",""))),IF(J10="YEAR",IF(N10="","E_MISSING_INPUT",IF(NOT(ISNUMBER(N10)),"E_INVALID_DATE",IF(OR(N10&lt;1900,N10&gt;9999,N10&lt;&gt;INT(N10)),"E_INVALID_DATE",""))),IF(J10="RANGE",IF(OR(P10="",Q10=""),"E_MISSING_INPUT",IF(OR(NOT(ISNUMBER(P10)),NOT(ISNUMBER(Q10))),"E_INVALID_DATE",IF(OR(P10&lt;&gt;INT(P10),Q10&lt;&gt;INT(Q10)),"E_INVALID_DATE",IF(P10&gt;Q10,"E_REVERSED_BOUNDS","")))),"E_INVALID_UNIT")))))))</f>
        <v/>
      </c>
      <c r="T10" s="22">
        <f t="shared" si="0"/>
        <v>0</v>
      </c>
      <c r="U10" s="22">
        <f t="shared" si="1"/>
        <v>0</v>
      </c>
      <c r="V10" s="28" t="str">
        <f t="shared" si="2"/>
        <v/>
      </c>
      <c r="W10" s="28" t="str">
        <f t="shared" si="3"/>
        <v/>
      </c>
      <c r="X10" s="22" t="str">
        <f t="shared" si="4"/>
        <v/>
      </c>
      <c r="Y10" s="22" t="str">
        <f t="shared" si="5"/>
        <v/>
      </c>
      <c r="Z10" s="10"/>
      <c r="AA10" s="17"/>
      <c r="AB10" s="15"/>
      <c r="AC10" s="26"/>
      <c r="AD10" s="10"/>
      <c r="AE10" s="12"/>
      <c r="AF10" s="12"/>
      <c r="AG10" s="15"/>
      <c r="AH10" s="15"/>
      <c r="AI10" s="10"/>
      <c r="AJ10" s="21" t="str">
        <f>IF(COUNTA(AA10:AH10)=0,"",IF(AA10="","E_MISSING_INPUT",IF(AA10="TIMESTAMP",IF(OR(AB10="",AC10="",AD10=""),"E_MISSING_INPUT",IF(OR(NOT(ISNUMBER(AB10)),NOT(ISNUMBER(AC10))),"E_INVALID_DATE",IF(OR(AB10&lt;&gt;INT(AB10),AC10&lt;0,AC10&gt;=1),"E_INVALID_DATE",IF(ISNA(MATCH(AD10,nLIST_Offset,0)),"E_INVALID_UNIT","")))),IF(AA10="DATE",IF(AB10="","E_MISSING_INPUT",IF(NOT(ISNUMBER(AB10)),"E_INVALID_DATE",IF(AB10&lt;&gt;INT(AB10),"E_INVALID_DATE",""))),IF(AA10="MONTH",IF(OR(AE10="",AF10=""),"E_MISSING_INPUT",IF(OR(NOT(ISNUMBER(AE10)),NOT(ISNUMBER(AF10))),"E_INVALID_DATE",IF(OR(AE10&lt;1900,AE10&gt;9999,AE10&lt;&gt;INT(AE10),AF10&lt;1,AF10&gt;12,AF10&lt;&gt;INT(AF10)),"E_INVALID_DATE",""))),IF(AA10="YEAR",IF(AE10="","E_MISSING_INPUT",IF(NOT(ISNUMBER(AE10)),"E_INVALID_DATE",IF(OR(AE10&lt;1900,AE10&gt;9999,AE10&lt;&gt;INT(AE10)),"E_INVALID_DATE",""))),IF(AA10="RANGE",IF(OR(AG10="",AH10=""),"E_MISSING_INPUT",IF(OR(NOT(ISNUMBER(AG10)),NOT(ISNUMBER(AH10))),"E_INVALID_DATE",IF(OR(AG10&lt;&gt;INT(AG10),AH10&lt;&gt;INT(AH10)),"E_INVALID_DATE",IF(AG10&gt;AH10,"E_REVERSED_BOUNDS","")))),"E_INVALID_UNIT")))))))</f>
        <v/>
      </c>
      <c r="AK10" s="22">
        <f t="shared" si="6"/>
        <v>0</v>
      </c>
      <c r="AL10" s="22">
        <f t="shared" si="7"/>
        <v>0</v>
      </c>
      <c r="AM10" s="28" t="str">
        <f t="shared" si="8"/>
        <v/>
      </c>
      <c r="AN10" s="28" t="str">
        <f t="shared" si="9"/>
        <v/>
      </c>
      <c r="AO10" s="22" t="str">
        <f t="shared" si="10"/>
        <v/>
      </c>
      <c r="AP10" s="22" t="str">
        <f t="shared" si="11"/>
        <v/>
      </c>
      <c r="AQ10" s="21" t="str">
        <f t="shared" si="12"/>
        <v/>
      </c>
      <c r="AR10" s="22">
        <f>IF(AQ10="",0,COUNTIF(nEVT_Key,AQ10))</f>
        <v>0</v>
      </c>
      <c r="AS10" s="21" t="str">
        <f t="shared" si="13"/>
        <v/>
      </c>
      <c r="AT10" s="21" t="str">
        <f>IF(AS10="","",AS10&amp;": "&amp;SUBSTITUTE(IFERROR(INDEX(nMSG_Text,MATCH(AS10,nMSG_Code,0)),""),"[input]",IF(D10="","an Episode_ID","the date fields required by the selected precision")))</f>
        <v/>
      </c>
    </row>
    <row r="11" spans="1:46" x14ac:dyDescent="0.2">
      <c r="A11" s="10"/>
      <c r="B11" s="12"/>
      <c r="C11" s="10"/>
      <c r="D11" s="10"/>
      <c r="E11" s="10"/>
      <c r="F11" s="10"/>
      <c r="G11" s="17"/>
      <c r="H11" s="10"/>
      <c r="I11" s="10"/>
      <c r="J11" s="17"/>
      <c r="K11" s="15"/>
      <c r="L11" s="26"/>
      <c r="M11" s="10"/>
      <c r="N11" s="12"/>
      <c r="O11" s="12"/>
      <c r="P11" s="15"/>
      <c r="Q11" s="15"/>
      <c r="R11" s="10"/>
      <c r="S11" s="21" t="str">
        <f>IF(COUNTA(J11:Q11)=0,"",IF(J11="","E_MISSING_INPUT",IF(J11="TIMESTAMP",IF(OR(K11="",L11="",M11=""),"E_MISSING_INPUT",IF(OR(NOT(ISNUMBER(K11)),NOT(ISNUMBER(L11))),"E_INVALID_DATE",IF(OR(K11&lt;&gt;INT(K11),L11&lt;0,L11&gt;=1),"E_INVALID_DATE",IF(ISNA(MATCH(M11,nLIST_Offset,0)),"E_INVALID_UNIT","")))),IF(J11="DATE",IF(K11="","E_MISSING_INPUT",IF(NOT(ISNUMBER(K11)),"E_INVALID_DATE",IF(K11&lt;&gt;INT(K11),"E_INVALID_DATE",""))),IF(J11="MONTH",IF(OR(N11="",O11=""),"E_MISSING_INPUT",IF(OR(NOT(ISNUMBER(N11)),NOT(ISNUMBER(O11))),"E_INVALID_DATE",IF(OR(N11&lt;1900,N11&gt;9999,N11&lt;&gt;INT(N11),O11&lt;1,O11&gt;12,O11&lt;&gt;INT(O11)),"E_INVALID_DATE",""))),IF(J11="YEAR",IF(N11="","E_MISSING_INPUT",IF(NOT(ISNUMBER(N11)),"E_INVALID_DATE",IF(OR(N11&lt;1900,N11&gt;9999,N11&lt;&gt;INT(N11)),"E_INVALID_DATE",""))),IF(J11="RANGE",IF(OR(P11="",Q11=""),"E_MISSING_INPUT",IF(OR(NOT(ISNUMBER(P11)),NOT(ISNUMBER(Q11))),"E_INVALID_DATE",IF(OR(P11&lt;&gt;INT(P11),Q11&lt;&gt;INT(Q11)),"E_INVALID_DATE",IF(P11&gt;Q11,"E_REVERSED_BOUNDS","")))),"E_INVALID_UNIT")))))))</f>
        <v/>
      </c>
      <c r="T11" s="22">
        <f t="shared" si="0"/>
        <v>0</v>
      </c>
      <c r="U11" s="22">
        <f t="shared" si="1"/>
        <v>0</v>
      </c>
      <c r="V11" s="28" t="str">
        <f t="shared" si="2"/>
        <v/>
      </c>
      <c r="W11" s="28" t="str">
        <f t="shared" si="3"/>
        <v/>
      </c>
      <c r="X11" s="22" t="str">
        <f t="shared" si="4"/>
        <v/>
      </c>
      <c r="Y11" s="22" t="str">
        <f t="shared" si="5"/>
        <v/>
      </c>
      <c r="Z11" s="10"/>
      <c r="AA11" s="17"/>
      <c r="AB11" s="15"/>
      <c r="AC11" s="26"/>
      <c r="AD11" s="10"/>
      <c r="AE11" s="12"/>
      <c r="AF11" s="12"/>
      <c r="AG11" s="15"/>
      <c r="AH11" s="15"/>
      <c r="AI11" s="10"/>
      <c r="AJ11" s="21" t="str">
        <f>IF(COUNTA(AA11:AH11)=0,"",IF(AA11="","E_MISSING_INPUT",IF(AA11="TIMESTAMP",IF(OR(AB11="",AC11="",AD11=""),"E_MISSING_INPUT",IF(OR(NOT(ISNUMBER(AB11)),NOT(ISNUMBER(AC11))),"E_INVALID_DATE",IF(OR(AB11&lt;&gt;INT(AB11),AC11&lt;0,AC11&gt;=1),"E_INVALID_DATE",IF(ISNA(MATCH(AD11,nLIST_Offset,0)),"E_INVALID_UNIT","")))),IF(AA11="DATE",IF(AB11="","E_MISSING_INPUT",IF(NOT(ISNUMBER(AB11)),"E_INVALID_DATE",IF(AB11&lt;&gt;INT(AB11),"E_INVALID_DATE",""))),IF(AA11="MONTH",IF(OR(AE11="",AF11=""),"E_MISSING_INPUT",IF(OR(NOT(ISNUMBER(AE11)),NOT(ISNUMBER(AF11))),"E_INVALID_DATE",IF(OR(AE11&lt;1900,AE11&gt;9999,AE11&lt;&gt;INT(AE11),AF11&lt;1,AF11&gt;12,AF11&lt;&gt;INT(AF11)),"E_INVALID_DATE",""))),IF(AA11="YEAR",IF(AE11="","E_MISSING_INPUT",IF(NOT(ISNUMBER(AE11)),"E_INVALID_DATE",IF(OR(AE11&lt;1900,AE11&gt;9999,AE11&lt;&gt;INT(AE11)),"E_INVALID_DATE",""))),IF(AA11="RANGE",IF(OR(AG11="",AH11=""),"E_MISSING_INPUT",IF(OR(NOT(ISNUMBER(AG11)),NOT(ISNUMBER(AH11))),"E_INVALID_DATE",IF(OR(AG11&lt;&gt;INT(AG11),AH11&lt;&gt;INT(AH11)),"E_INVALID_DATE",IF(AG11&gt;AH11,"E_REVERSED_BOUNDS","")))),"E_INVALID_UNIT")))))))</f>
        <v/>
      </c>
      <c r="AK11" s="22">
        <f t="shared" si="6"/>
        <v>0</v>
      </c>
      <c r="AL11" s="22">
        <f t="shared" si="7"/>
        <v>0</v>
      </c>
      <c r="AM11" s="28" t="str">
        <f t="shared" si="8"/>
        <v/>
      </c>
      <c r="AN11" s="28" t="str">
        <f t="shared" si="9"/>
        <v/>
      </c>
      <c r="AO11" s="22" t="str">
        <f t="shared" si="10"/>
        <v/>
      </c>
      <c r="AP11" s="22" t="str">
        <f t="shared" si="11"/>
        <v/>
      </c>
      <c r="AQ11" s="21" t="str">
        <f t="shared" si="12"/>
        <v/>
      </c>
      <c r="AR11" s="22">
        <f>IF(AQ11="",0,COUNTIF(nEVT_Key,AQ11))</f>
        <v>0</v>
      </c>
      <c r="AS11" s="21" t="str">
        <f t="shared" si="13"/>
        <v/>
      </c>
      <c r="AT11" s="21" t="str">
        <f>IF(AS11="","",AS11&amp;": "&amp;SUBSTITUTE(IFERROR(INDEX(nMSG_Text,MATCH(AS11,nMSG_Code,0)),""),"[input]",IF(D11="","an Episode_ID","the date fields required by the selected precision")))</f>
        <v/>
      </c>
    </row>
    <row r="12" spans="1:46" x14ac:dyDescent="0.2">
      <c r="A12" s="10"/>
      <c r="B12" s="12"/>
      <c r="C12" s="10"/>
      <c r="D12" s="10"/>
      <c r="E12" s="10"/>
      <c r="F12" s="10"/>
      <c r="G12" s="17"/>
      <c r="H12" s="10"/>
      <c r="I12" s="10"/>
      <c r="J12" s="17"/>
      <c r="K12" s="15"/>
      <c r="L12" s="26"/>
      <c r="M12" s="10"/>
      <c r="N12" s="12"/>
      <c r="O12" s="12"/>
      <c r="P12" s="15"/>
      <c r="Q12" s="15"/>
      <c r="R12" s="10"/>
      <c r="S12" s="21" t="str">
        <f>IF(COUNTA(J12:Q12)=0,"",IF(J12="","E_MISSING_INPUT",IF(J12="TIMESTAMP",IF(OR(K12="",L12="",M12=""),"E_MISSING_INPUT",IF(OR(NOT(ISNUMBER(K12)),NOT(ISNUMBER(L12))),"E_INVALID_DATE",IF(OR(K12&lt;&gt;INT(K12),L12&lt;0,L12&gt;=1),"E_INVALID_DATE",IF(ISNA(MATCH(M12,nLIST_Offset,0)),"E_INVALID_UNIT","")))),IF(J12="DATE",IF(K12="","E_MISSING_INPUT",IF(NOT(ISNUMBER(K12)),"E_INVALID_DATE",IF(K12&lt;&gt;INT(K12),"E_INVALID_DATE",""))),IF(J12="MONTH",IF(OR(N12="",O12=""),"E_MISSING_INPUT",IF(OR(NOT(ISNUMBER(N12)),NOT(ISNUMBER(O12))),"E_INVALID_DATE",IF(OR(N12&lt;1900,N12&gt;9999,N12&lt;&gt;INT(N12),O12&lt;1,O12&gt;12,O12&lt;&gt;INT(O12)),"E_INVALID_DATE",""))),IF(J12="YEAR",IF(N12="","E_MISSING_INPUT",IF(NOT(ISNUMBER(N12)),"E_INVALID_DATE",IF(OR(N12&lt;1900,N12&gt;9999,N12&lt;&gt;INT(N12)),"E_INVALID_DATE",""))),IF(J12="RANGE",IF(OR(P12="",Q12=""),"E_MISSING_INPUT",IF(OR(NOT(ISNUMBER(P12)),NOT(ISNUMBER(Q12))),"E_INVALID_DATE",IF(OR(P12&lt;&gt;INT(P12),Q12&lt;&gt;INT(Q12)),"E_INVALID_DATE",IF(P12&gt;Q12,"E_REVERSED_BOUNDS","")))),"E_INVALID_UNIT")))))))</f>
        <v/>
      </c>
      <c r="T12" s="22">
        <f t="shared" si="0"/>
        <v>0</v>
      </c>
      <c r="U12" s="22">
        <f t="shared" si="1"/>
        <v>0</v>
      </c>
      <c r="V12" s="28" t="str">
        <f t="shared" si="2"/>
        <v/>
      </c>
      <c r="W12" s="28" t="str">
        <f t="shared" si="3"/>
        <v/>
      </c>
      <c r="X12" s="22" t="str">
        <f t="shared" si="4"/>
        <v/>
      </c>
      <c r="Y12" s="22" t="str">
        <f t="shared" si="5"/>
        <v/>
      </c>
      <c r="Z12" s="10"/>
      <c r="AA12" s="17"/>
      <c r="AB12" s="15"/>
      <c r="AC12" s="26"/>
      <c r="AD12" s="10"/>
      <c r="AE12" s="12"/>
      <c r="AF12" s="12"/>
      <c r="AG12" s="15"/>
      <c r="AH12" s="15"/>
      <c r="AI12" s="10"/>
      <c r="AJ12" s="21" t="str">
        <f>IF(COUNTA(AA12:AH12)=0,"",IF(AA12="","E_MISSING_INPUT",IF(AA12="TIMESTAMP",IF(OR(AB12="",AC12="",AD12=""),"E_MISSING_INPUT",IF(OR(NOT(ISNUMBER(AB12)),NOT(ISNUMBER(AC12))),"E_INVALID_DATE",IF(OR(AB12&lt;&gt;INT(AB12),AC12&lt;0,AC12&gt;=1),"E_INVALID_DATE",IF(ISNA(MATCH(AD12,nLIST_Offset,0)),"E_INVALID_UNIT","")))),IF(AA12="DATE",IF(AB12="","E_MISSING_INPUT",IF(NOT(ISNUMBER(AB12)),"E_INVALID_DATE",IF(AB12&lt;&gt;INT(AB12),"E_INVALID_DATE",""))),IF(AA12="MONTH",IF(OR(AE12="",AF12=""),"E_MISSING_INPUT",IF(OR(NOT(ISNUMBER(AE12)),NOT(ISNUMBER(AF12))),"E_INVALID_DATE",IF(OR(AE12&lt;1900,AE12&gt;9999,AE12&lt;&gt;INT(AE12),AF12&lt;1,AF12&gt;12,AF12&lt;&gt;INT(AF12)),"E_INVALID_DATE",""))),IF(AA12="YEAR",IF(AE12="","E_MISSING_INPUT",IF(NOT(ISNUMBER(AE12)),"E_INVALID_DATE",IF(OR(AE12&lt;1900,AE12&gt;9999,AE12&lt;&gt;INT(AE12)),"E_INVALID_DATE",""))),IF(AA12="RANGE",IF(OR(AG12="",AH12=""),"E_MISSING_INPUT",IF(OR(NOT(ISNUMBER(AG12)),NOT(ISNUMBER(AH12))),"E_INVALID_DATE",IF(OR(AG12&lt;&gt;INT(AG12),AH12&lt;&gt;INT(AH12)),"E_INVALID_DATE",IF(AG12&gt;AH12,"E_REVERSED_BOUNDS","")))),"E_INVALID_UNIT")))))))</f>
        <v/>
      </c>
      <c r="AK12" s="22">
        <f t="shared" si="6"/>
        <v>0</v>
      </c>
      <c r="AL12" s="22">
        <f t="shared" si="7"/>
        <v>0</v>
      </c>
      <c r="AM12" s="28" t="str">
        <f t="shared" si="8"/>
        <v/>
      </c>
      <c r="AN12" s="28" t="str">
        <f t="shared" si="9"/>
        <v/>
      </c>
      <c r="AO12" s="22" t="str">
        <f t="shared" si="10"/>
        <v/>
      </c>
      <c r="AP12" s="22" t="str">
        <f t="shared" si="11"/>
        <v/>
      </c>
      <c r="AQ12" s="21" t="str">
        <f t="shared" si="12"/>
        <v/>
      </c>
      <c r="AR12" s="22">
        <f>IF(AQ12="",0,COUNTIF(nEVT_Key,AQ12))</f>
        <v>0</v>
      </c>
      <c r="AS12" s="21" t="str">
        <f t="shared" si="13"/>
        <v/>
      </c>
      <c r="AT12" s="21" t="str">
        <f>IF(AS12="","",AS12&amp;": "&amp;SUBSTITUTE(IFERROR(INDEX(nMSG_Text,MATCH(AS12,nMSG_Code,0)),""),"[input]",IF(D12="","an Episode_ID","the date fields required by the selected precision")))</f>
        <v/>
      </c>
    </row>
    <row r="13" spans="1:46" x14ac:dyDescent="0.2">
      <c r="A13" s="10"/>
      <c r="B13" s="12"/>
      <c r="C13" s="10"/>
      <c r="D13" s="10"/>
      <c r="E13" s="10"/>
      <c r="F13" s="10"/>
      <c r="G13" s="17"/>
      <c r="H13" s="10"/>
      <c r="I13" s="10"/>
      <c r="J13" s="17"/>
      <c r="K13" s="15"/>
      <c r="L13" s="26"/>
      <c r="M13" s="10"/>
      <c r="N13" s="12"/>
      <c r="O13" s="12"/>
      <c r="P13" s="15"/>
      <c r="Q13" s="15"/>
      <c r="R13" s="10"/>
      <c r="S13" s="21" t="str">
        <f>IF(COUNTA(J13:Q13)=0,"",IF(J13="","E_MISSING_INPUT",IF(J13="TIMESTAMP",IF(OR(K13="",L13="",M13=""),"E_MISSING_INPUT",IF(OR(NOT(ISNUMBER(K13)),NOT(ISNUMBER(L13))),"E_INVALID_DATE",IF(OR(K13&lt;&gt;INT(K13),L13&lt;0,L13&gt;=1),"E_INVALID_DATE",IF(ISNA(MATCH(M13,nLIST_Offset,0)),"E_INVALID_UNIT","")))),IF(J13="DATE",IF(K13="","E_MISSING_INPUT",IF(NOT(ISNUMBER(K13)),"E_INVALID_DATE",IF(K13&lt;&gt;INT(K13),"E_INVALID_DATE",""))),IF(J13="MONTH",IF(OR(N13="",O13=""),"E_MISSING_INPUT",IF(OR(NOT(ISNUMBER(N13)),NOT(ISNUMBER(O13))),"E_INVALID_DATE",IF(OR(N13&lt;1900,N13&gt;9999,N13&lt;&gt;INT(N13),O13&lt;1,O13&gt;12,O13&lt;&gt;INT(O13)),"E_INVALID_DATE",""))),IF(J13="YEAR",IF(N13="","E_MISSING_INPUT",IF(NOT(ISNUMBER(N13)),"E_INVALID_DATE",IF(OR(N13&lt;1900,N13&gt;9999,N13&lt;&gt;INT(N13)),"E_INVALID_DATE",""))),IF(J13="RANGE",IF(OR(P13="",Q13=""),"E_MISSING_INPUT",IF(OR(NOT(ISNUMBER(P13)),NOT(ISNUMBER(Q13))),"E_INVALID_DATE",IF(OR(P13&lt;&gt;INT(P13),Q13&lt;&gt;INT(Q13)),"E_INVALID_DATE",IF(P13&gt;Q13,"E_REVERSED_BOUNDS","")))),"E_INVALID_UNIT")))))))</f>
        <v/>
      </c>
      <c r="T13" s="22">
        <f t="shared" si="0"/>
        <v>0</v>
      </c>
      <c r="U13" s="22">
        <f t="shared" si="1"/>
        <v>0</v>
      </c>
      <c r="V13" s="28" t="str">
        <f t="shared" si="2"/>
        <v/>
      </c>
      <c r="W13" s="28" t="str">
        <f t="shared" si="3"/>
        <v/>
      </c>
      <c r="X13" s="22" t="str">
        <f t="shared" si="4"/>
        <v/>
      </c>
      <c r="Y13" s="22" t="str">
        <f t="shared" si="5"/>
        <v/>
      </c>
      <c r="Z13" s="10"/>
      <c r="AA13" s="17"/>
      <c r="AB13" s="15"/>
      <c r="AC13" s="26"/>
      <c r="AD13" s="10"/>
      <c r="AE13" s="12"/>
      <c r="AF13" s="12"/>
      <c r="AG13" s="15"/>
      <c r="AH13" s="15"/>
      <c r="AI13" s="10"/>
      <c r="AJ13" s="21" t="str">
        <f>IF(COUNTA(AA13:AH13)=0,"",IF(AA13="","E_MISSING_INPUT",IF(AA13="TIMESTAMP",IF(OR(AB13="",AC13="",AD13=""),"E_MISSING_INPUT",IF(OR(NOT(ISNUMBER(AB13)),NOT(ISNUMBER(AC13))),"E_INVALID_DATE",IF(OR(AB13&lt;&gt;INT(AB13),AC13&lt;0,AC13&gt;=1),"E_INVALID_DATE",IF(ISNA(MATCH(AD13,nLIST_Offset,0)),"E_INVALID_UNIT","")))),IF(AA13="DATE",IF(AB13="","E_MISSING_INPUT",IF(NOT(ISNUMBER(AB13)),"E_INVALID_DATE",IF(AB13&lt;&gt;INT(AB13),"E_INVALID_DATE",""))),IF(AA13="MONTH",IF(OR(AE13="",AF13=""),"E_MISSING_INPUT",IF(OR(NOT(ISNUMBER(AE13)),NOT(ISNUMBER(AF13))),"E_INVALID_DATE",IF(OR(AE13&lt;1900,AE13&gt;9999,AE13&lt;&gt;INT(AE13),AF13&lt;1,AF13&gt;12,AF13&lt;&gt;INT(AF13)),"E_INVALID_DATE",""))),IF(AA13="YEAR",IF(AE13="","E_MISSING_INPUT",IF(NOT(ISNUMBER(AE13)),"E_INVALID_DATE",IF(OR(AE13&lt;1900,AE13&gt;9999,AE13&lt;&gt;INT(AE13)),"E_INVALID_DATE",""))),IF(AA13="RANGE",IF(OR(AG13="",AH13=""),"E_MISSING_INPUT",IF(OR(NOT(ISNUMBER(AG13)),NOT(ISNUMBER(AH13))),"E_INVALID_DATE",IF(OR(AG13&lt;&gt;INT(AG13),AH13&lt;&gt;INT(AH13)),"E_INVALID_DATE",IF(AG13&gt;AH13,"E_REVERSED_BOUNDS","")))),"E_INVALID_UNIT")))))))</f>
        <v/>
      </c>
      <c r="AK13" s="22">
        <f t="shared" si="6"/>
        <v>0</v>
      </c>
      <c r="AL13" s="22">
        <f t="shared" si="7"/>
        <v>0</v>
      </c>
      <c r="AM13" s="28" t="str">
        <f t="shared" si="8"/>
        <v/>
      </c>
      <c r="AN13" s="28" t="str">
        <f t="shared" si="9"/>
        <v/>
      </c>
      <c r="AO13" s="22" t="str">
        <f t="shared" si="10"/>
        <v/>
      </c>
      <c r="AP13" s="22" t="str">
        <f t="shared" si="11"/>
        <v/>
      </c>
      <c r="AQ13" s="21" t="str">
        <f t="shared" si="12"/>
        <v/>
      </c>
      <c r="AR13" s="22">
        <f>IF(AQ13="",0,COUNTIF(nEVT_Key,AQ13))</f>
        <v>0</v>
      </c>
      <c r="AS13" s="21" t="str">
        <f t="shared" si="13"/>
        <v/>
      </c>
      <c r="AT13" s="21" t="str">
        <f>IF(AS13="","",AS13&amp;": "&amp;SUBSTITUTE(IFERROR(INDEX(nMSG_Text,MATCH(AS13,nMSG_Code,0)),""),"[input]",IF(D13="","an Episode_ID","the date fields required by the selected precision")))</f>
        <v/>
      </c>
    </row>
    <row r="14" spans="1:46" x14ac:dyDescent="0.2">
      <c r="A14" s="10"/>
      <c r="B14" s="12"/>
      <c r="C14" s="10"/>
      <c r="D14" s="10"/>
      <c r="E14" s="10"/>
      <c r="F14" s="10"/>
      <c r="G14" s="17"/>
      <c r="H14" s="10"/>
      <c r="I14" s="10"/>
      <c r="J14" s="17"/>
      <c r="K14" s="15"/>
      <c r="L14" s="26"/>
      <c r="M14" s="10"/>
      <c r="N14" s="12"/>
      <c r="O14" s="12"/>
      <c r="P14" s="15"/>
      <c r="Q14" s="15"/>
      <c r="R14" s="10"/>
      <c r="S14" s="21" t="str">
        <f>IF(COUNTA(J14:Q14)=0,"",IF(J14="","E_MISSING_INPUT",IF(J14="TIMESTAMP",IF(OR(K14="",L14="",M14=""),"E_MISSING_INPUT",IF(OR(NOT(ISNUMBER(K14)),NOT(ISNUMBER(L14))),"E_INVALID_DATE",IF(OR(K14&lt;&gt;INT(K14),L14&lt;0,L14&gt;=1),"E_INVALID_DATE",IF(ISNA(MATCH(M14,nLIST_Offset,0)),"E_INVALID_UNIT","")))),IF(J14="DATE",IF(K14="","E_MISSING_INPUT",IF(NOT(ISNUMBER(K14)),"E_INVALID_DATE",IF(K14&lt;&gt;INT(K14),"E_INVALID_DATE",""))),IF(J14="MONTH",IF(OR(N14="",O14=""),"E_MISSING_INPUT",IF(OR(NOT(ISNUMBER(N14)),NOT(ISNUMBER(O14))),"E_INVALID_DATE",IF(OR(N14&lt;1900,N14&gt;9999,N14&lt;&gt;INT(N14),O14&lt;1,O14&gt;12,O14&lt;&gt;INT(O14)),"E_INVALID_DATE",""))),IF(J14="YEAR",IF(N14="","E_MISSING_INPUT",IF(NOT(ISNUMBER(N14)),"E_INVALID_DATE",IF(OR(N14&lt;1900,N14&gt;9999,N14&lt;&gt;INT(N14)),"E_INVALID_DATE",""))),IF(J14="RANGE",IF(OR(P14="",Q14=""),"E_MISSING_INPUT",IF(OR(NOT(ISNUMBER(P14)),NOT(ISNUMBER(Q14))),"E_INVALID_DATE",IF(OR(P14&lt;&gt;INT(P14),Q14&lt;&gt;INT(Q14)),"E_INVALID_DATE",IF(P14&gt;Q14,"E_REVERSED_BOUNDS","")))),"E_INVALID_UNIT")))))))</f>
        <v/>
      </c>
      <c r="T14" s="22">
        <f t="shared" si="0"/>
        <v>0</v>
      </c>
      <c r="U14" s="22">
        <f t="shared" si="1"/>
        <v>0</v>
      </c>
      <c r="V14" s="28" t="str">
        <f t="shared" si="2"/>
        <v/>
      </c>
      <c r="W14" s="28" t="str">
        <f t="shared" si="3"/>
        <v/>
      </c>
      <c r="X14" s="22" t="str">
        <f t="shared" si="4"/>
        <v/>
      </c>
      <c r="Y14" s="22" t="str">
        <f t="shared" si="5"/>
        <v/>
      </c>
      <c r="Z14" s="10"/>
      <c r="AA14" s="17"/>
      <c r="AB14" s="15"/>
      <c r="AC14" s="26"/>
      <c r="AD14" s="10"/>
      <c r="AE14" s="12"/>
      <c r="AF14" s="12"/>
      <c r="AG14" s="15"/>
      <c r="AH14" s="15"/>
      <c r="AI14" s="10"/>
      <c r="AJ14" s="21" t="str">
        <f>IF(COUNTA(AA14:AH14)=0,"",IF(AA14="","E_MISSING_INPUT",IF(AA14="TIMESTAMP",IF(OR(AB14="",AC14="",AD14=""),"E_MISSING_INPUT",IF(OR(NOT(ISNUMBER(AB14)),NOT(ISNUMBER(AC14))),"E_INVALID_DATE",IF(OR(AB14&lt;&gt;INT(AB14),AC14&lt;0,AC14&gt;=1),"E_INVALID_DATE",IF(ISNA(MATCH(AD14,nLIST_Offset,0)),"E_INVALID_UNIT","")))),IF(AA14="DATE",IF(AB14="","E_MISSING_INPUT",IF(NOT(ISNUMBER(AB14)),"E_INVALID_DATE",IF(AB14&lt;&gt;INT(AB14),"E_INVALID_DATE",""))),IF(AA14="MONTH",IF(OR(AE14="",AF14=""),"E_MISSING_INPUT",IF(OR(NOT(ISNUMBER(AE14)),NOT(ISNUMBER(AF14))),"E_INVALID_DATE",IF(OR(AE14&lt;1900,AE14&gt;9999,AE14&lt;&gt;INT(AE14),AF14&lt;1,AF14&gt;12,AF14&lt;&gt;INT(AF14)),"E_INVALID_DATE",""))),IF(AA14="YEAR",IF(AE14="","E_MISSING_INPUT",IF(NOT(ISNUMBER(AE14)),"E_INVALID_DATE",IF(OR(AE14&lt;1900,AE14&gt;9999,AE14&lt;&gt;INT(AE14)),"E_INVALID_DATE",""))),IF(AA14="RANGE",IF(OR(AG14="",AH14=""),"E_MISSING_INPUT",IF(OR(NOT(ISNUMBER(AG14)),NOT(ISNUMBER(AH14))),"E_INVALID_DATE",IF(OR(AG14&lt;&gt;INT(AG14),AH14&lt;&gt;INT(AH14)),"E_INVALID_DATE",IF(AG14&gt;AH14,"E_REVERSED_BOUNDS","")))),"E_INVALID_UNIT")))))))</f>
        <v/>
      </c>
      <c r="AK14" s="22">
        <f t="shared" si="6"/>
        <v>0</v>
      </c>
      <c r="AL14" s="22">
        <f t="shared" si="7"/>
        <v>0</v>
      </c>
      <c r="AM14" s="28" t="str">
        <f t="shared" si="8"/>
        <v/>
      </c>
      <c r="AN14" s="28" t="str">
        <f t="shared" si="9"/>
        <v/>
      </c>
      <c r="AO14" s="22" t="str">
        <f t="shared" si="10"/>
        <v/>
      </c>
      <c r="AP14" s="22" t="str">
        <f t="shared" si="11"/>
        <v/>
      </c>
      <c r="AQ14" s="21" t="str">
        <f t="shared" si="12"/>
        <v/>
      </c>
      <c r="AR14" s="22">
        <f>IF(AQ14="",0,COUNTIF(nEVT_Key,AQ14))</f>
        <v>0</v>
      </c>
      <c r="AS14" s="21" t="str">
        <f t="shared" si="13"/>
        <v/>
      </c>
      <c r="AT14" s="21" t="str">
        <f>IF(AS14="","",AS14&amp;": "&amp;SUBSTITUTE(IFERROR(INDEX(nMSG_Text,MATCH(AS14,nMSG_Code,0)),""),"[input]",IF(D14="","an Episode_ID","the date fields required by the selected precision")))</f>
        <v/>
      </c>
    </row>
    <row r="15" spans="1:46" x14ac:dyDescent="0.2">
      <c r="A15" s="10"/>
      <c r="B15" s="12"/>
      <c r="C15" s="10"/>
      <c r="D15" s="10"/>
      <c r="E15" s="10"/>
      <c r="F15" s="10"/>
      <c r="G15" s="17"/>
      <c r="H15" s="10"/>
      <c r="I15" s="10"/>
      <c r="J15" s="17"/>
      <c r="K15" s="15"/>
      <c r="L15" s="26"/>
      <c r="M15" s="10"/>
      <c r="N15" s="12"/>
      <c r="O15" s="12"/>
      <c r="P15" s="15"/>
      <c r="Q15" s="15"/>
      <c r="R15" s="10"/>
      <c r="S15" s="21" t="str">
        <f>IF(COUNTA(J15:Q15)=0,"",IF(J15="","E_MISSING_INPUT",IF(J15="TIMESTAMP",IF(OR(K15="",L15="",M15=""),"E_MISSING_INPUT",IF(OR(NOT(ISNUMBER(K15)),NOT(ISNUMBER(L15))),"E_INVALID_DATE",IF(OR(K15&lt;&gt;INT(K15),L15&lt;0,L15&gt;=1),"E_INVALID_DATE",IF(ISNA(MATCH(M15,nLIST_Offset,0)),"E_INVALID_UNIT","")))),IF(J15="DATE",IF(K15="","E_MISSING_INPUT",IF(NOT(ISNUMBER(K15)),"E_INVALID_DATE",IF(K15&lt;&gt;INT(K15),"E_INVALID_DATE",""))),IF(J15="MONTH",IF(OR(N15="",O15=""),"E_MISSING_INPUT",IF(OR(NOT(ISNUMBER(N15)),NOT(ISNUMBER(O15))),"E_INVALID_DATE",IF(OR(N15&lt;1900,N15&gt;9999,N15&lt;&gt;INT(N15),O15&lt;1,O15&gt;12,O15&lt;&gt;INT(O15)),"E_INVALID_DATE",""))),IF(J15="YEAR",IF(N15="","E_MISSING_INPUT",IF(NOT(ISNUMBER(N15)),"E_INVALID_DATE",IF(OR(N15&lt;1900,N15&gt;9999,N15&lt;&gt;INT(N15)),"E_INVALID_DATE",""))),IF(J15="RANGE",IF(OR(P15="",Q15=""),"E_MISSING_INPUT",IF(OR(NOT(ISNUMBER(P15)),NOT(ISNUMBER(Q15))),"E_INVALID_DATE",IF(OR(P15&lt;&gt;INT(P15),Q15&lt;&gt;INT(Q15)),"E_INVALID_DATE",IF(P15&gt;Q15,"E_REVERSED_BOUNDS","")))),"E_INVALID_UNIT")))))))</f>
        <v/>
      </c>
      <c r="T15" s="22">
        <f t="shared" si="0"/>
        <v>0</v>
      </c>
      <c r="U15" s="22">
        <f t="shared" si="1"/>
        <v>0</v>
      </c>
      <c r="V15" s="28" t="str">
        <f t="shared" si="2"/>
        <v/>
      </c>
      <c r="W15" s="28" t="str">
        <f t="shared" si="3"/>
        <v/>
      </c>
      <c r="X15" s="22" t="str">
        <f t="shared" si="4"/>
        <v/>
      </c>
      <c r="Y15" s="22" t="str">
        <f t="shared" si="5"/>
        <v/>
      </c>
      <c r="Z15" s="10"/>
      <c r="AA15" s="17"/>
      <c r="AB15" s="15"/>
      <c r="AC15" s="26"/>
      <c r="AD15" s="10"/>
      <c r="AE15" s="12"/>
      <c r="AF15" s="12"/>
      <c r="AG15" s="15"/>
      <c r="AH15" s="15"/>
      <c r="AI15" s="10"/>
      <c r="AJ15" s="21" t="str">
        <f>IF(COUNTA(AA15:AH15)=0,"",IF(AA15="","E_MISSING_INPUT",IF(AA15="TIMESTAMP",IF(OR(AB15="",AC15="",AD15=""),"E_MISSING_INPUT",IF(OR(NOT(ISNUMBER(AB15)),NOT(ISNUMBER(AC15))),"E_INVALID_DATE",IF(OR(AB15&lt;&gt;INT(AB15),AC15&lt;0,AC15&gt;=1),"E_INVALID_DATE",IF(ISNA(MATCH(AD15,nLIST_Offset,0)),"E_INVALID_UNIT","")))),IF(AA15="DATE",IF(AB15="","E_MISSING_INPUT",IF(NOT(ISNUMBER(AB15)),"E_INVALID_DATE",IF(AB15&lt;&gt;INT(AB15),"E_INVALID_DATE",""))),IF(AA15="MONTH",IF(OR(AE15="",AF15=""),"E_MISSING_INPUT",IF(OR(NOT(ISNUMBER(AE15)),NOT(ISNUMBER(AF15))),"E_INVALID_DATE",IF(OR(AE15&lt;1900,AE15&gt;9999,AE15&lt;&gt;INT(AE15),AF15&lt;1,AF15&gt;12,AF15&lt;&gt;INT(AF15)),"E_INVALID_DATE",""))),IF(AA15="YEAR",IF(AE15="","E_MISSING_INPUT",IF(NOT(ISNUMBER(AE15)),"E_INVALID_DATE",IF(OR(AE15&lt;1900,AE15&gt;9999,AE15&lt;&gt;INT(AE15)),"E_INVALID_DATE",""))),IF(AA15="RANGE",IF(OR(AG15="",AH15=""),"E_MISSING_INPUT",IF(OR(NOT(ISNUMBER(AG15)),NOT(ISNUMBER(AH15))),"E_INVALID_DATE",IF(OR(AG15&lt;&gt;INT(AG15),AH15&lt;&gt;INT(AH15)),"E_INVALID_DATE",IF(AG15&gt;AH15,"E_REVERSED_BOUNDS","")))),"E_INVALID_UNIT")))))))</f>
        <v/>
      </c>
      <c r="AK15" s="22">
        <f t="shared" si="6"/>
        <v>0</v>
      </c>
      <c r="AL15" s="22">
        <f t="shared" si="7"/>
        <v>0</v>
      </c>
      <c r="AM15" s="28" t="str">
        <f t="shared" si="8"/>
        <v/>
      </c>
      <c r="AN15" s="28" t="str">
        <f t="shared" si="9"/>
        <v/>
      </c>
      <c r="AO15" s="22" t="str">
        <f t="shared" si="10"/>
        <v/>
      </c>
      <c r="AP15" s="22" t="str">
        <f t="shared" si="11"/>
        <v/>
      </c>
      <c r="AQ15" s="21" t="str">
        <f t="shared" si="12"/>
        <v/>
      </c>
      <c r="AR15" s="22">
        <f>IF(AQ15="",0,COUNTIF(nEVT_Key,AQ15))</f>
        <v>0</v>
      </c>
      <c r="AS15" s="21" t="str">
        <f t="shared" si="13"/>
        <v/>
      </c>
      <c r="AT15" s="21" t="str">
        <f>IF(AS15="","",AS15&amp;": "&amp;SUBSTITUTE(IFERROR(INDEX(nMSG_Text,MATCH(AS15,nMSG_Code,0)),""),"[input]",IF(D15="","an Episode_ID","the date fields required by the selected precision")))</f>
        <v/>
      </c>
    </row>
    <row r="16" spans="1:46" x14ac:dyDescent="0.2">
      <c r="A16" s="10"/>
      <c r="B16" s="12"/>
      <c r="C16" s="10"/>
      <c r="D16" s="10"/>
      <c r="E16" s="10"/>
      <c r="F16" s="10"/>
      <c r="G16" s="17"/>
      <c r="H16" s="10"/>
      <c r="I16" s="10"/>
      <c r="J16" s="17"/>
      <c r="K16" s="15"/>
      <c r="L16" s="26"/>
      <c r="M16" s="10"/>
      <c r="N16" s="12"/>
      <c r="O16" s="12"/>
      <c r="P16" s="15"/>
      <c r="Q16" s="15"/>
      <c r="R16" s="10"/>
      <c r="S16" s="21" t="str">
        <f>IF(COUNTA(J16:Q16)=0,"",IF(J16="","E_MISSING_INPUT",IF(J16="TIMESTAMP",IF(OR(K16="",L16="",M16=""),"E_MISSING_INPUT",IF(OR(NOT(ISNUMBER(K16)),NOT(ISNUMBER(L16))),"E_INVALID_DATE",IF(OR(K16&lt;&gt;INT(K16),L16&lt;0,L16&gt;=1),"E_INVALID_DATE",IF(ISNA(MATCH(M16,nLIST_Offset,0)),"E_INVALID_UNIT","")))),IF(J16="DATE",IF(K16="","E_MISSING_INPUT",IF(NOT(ISNUMBER(K16)),"E_INVALID_DATE",IF(K16&lt;&gt;INT(K16),"E_INVALID_DATE",""))),IF(J16="MONTH",IF(OR(N16="",O16=""),"E_MISSING_INPUT",IF(OR(NOT(ISNUMBER(N16)),NOT(ISNUMBER(O16))),"E_INVALID_DATE",IF(OR(N16&lt;1900,N16&gt;9999,N16&lt;&gt;INT(N16),O16&lt;1,O16&gt;12,O16&lt;&gt;INT(O16)),"E_INVALID_DATE",""))),IF(J16="YEAR",IF(N16="","E_MISSING_INPUT",IF(NOT(ISNUMBER(N16)),"E_INVALID_DATE",IF(OR(N16&lt;1900,N16&gt;9999,N16&lt;&gt;INT(N16)),"E_INVALID_DATE",""))),IF(J16="RANGE",IF(OR(P16="",Q16=""),"E_MISSING_INPUT",IF(OR(NOT(ISNUMBER(P16)),NOT(ISNUMBER(Q16))),"E_INVALID_DATE",IF(OR(P16&lt;&gt;INT(P16),Q16&lt;&gt;INT(Q16)),"E_INVALID_DATE",IF(P16&gt;Q16,"E_REVERSED_BOUNDS","")))),"E_INVALID_UNIT")))))))</f>
        <v/>
      </c>
      <c r="T16" s="22">
        <f t="shared" si="0"/>
        <v>0</v>
      </c>
      <c r="U16" s="22">
        <f t="shared" si="1"/>
        <v>0</v>
      </c>
      <c r="V16" s="28" t="str">
        <f t="shared" si="2"/>
        <v/>
      </c>
      <c r="W16" s="28" t="str">
        <f t="shared" si="3"/>
        <v/>
      </c>
      <c r="X16" s="22" t="str">
        <f t="shared" si="4"/>
        <v/>
      </c>
      <c r="Y16" s="22" t="str">
        <f t="shared" si="5"/>
        <v/>
      </c>
      <c r="Z16" s="10"/>
      <c r="AA16" s="17"/>
      <c r="AB16" s="15"/>
      <c r="AC16" s="26"/>
      <c r="AD16" s="10"/>
      <c r="AE16" s="12"/>
      <c r="AF16" s="12"/>
      <c r="AG16" s="15"/>
      <c r="AH16" s="15"/>
      <c r="AI16" s="10"/>
      <c r="AJ16" s="21" t="str">
        <f>IF(COUNTA(AA16:AH16)=0,"",IF(AA16="","E_MISSING_INPUT",IF(AA16="TIMESTAMP",IF(OR(AB16="",AC16="",AD16=""),"E_MISSING_INPUT",IF(OR(NOT(ISNUMBER(AB16)),NOT(ISNUMBER(AC16))),"E_INVALID_DATE",IF(OR(AB16&lt;&gt;INT(AB16),AC16&lt;0,AC16&gt;=1),"E_INVALID_DATE",IF(ISNA(MATCH(AD16,nLIST_Offset,0)),"E_INVALID_UNIT","")))),IF(AA16="DATE",IF(AB16="","E_MISSING_INPUT",IF(NOT(ISNUMBER(AB16)),"E_INVALID_DATE",IF(AB16&lt;&gt;INT(AB16),"E_INVALID_DATE",""))),IF(AA16="MONTH",IF(OR(AE16="",AF16=""),"E_MISSING_INPUT",IF(OR(NOT(ISNUMBER(AE16)),NOT(ISNUMBER(AF16))),"E_INVALID_DATE",IF(OR(AE16&lt;1900,AE16&gt;9999,AE16&lt;&gt;INT(AE16),AF16&lt;1,AF16&gt;12,AF16&lt;&gt;INT(AF16)),"E_INVALID_DATE",""))),IF(AA16="YEAR",IF(AE16="","E_MISSING_INPUT",IF(NOT(ISNUMBER(AE16)),"E_INVALID_DATE",IF(OR(AE16&lt;1900,AE16&gt;9999,AE16&lt;&gt;INT(AE16)),"E_INVALID_DATE",""))),IF(AA16="RANGE",IF(OR(AG16="",AH16=""),"E_MISSING_INPUT",IF(OR(NOT(ISNUMBER(AG16)),NOT(ISNUMBER(AH16))),"E_INVALID_DATE",IF(OR(AG16&lt;&gt;INT(AG16),AH16&lt;&gt;INT(AH16)),"E_INVALID_DATE",IF(AG16&gt;AH16,"E_REVERSED_BOUNDS","")))),"E_INVALID_UNIT")))))))</f>
        <v/>
      </c>
      <c r="AK16" s="22">
        <f t="shared" si="6"/>
        <v>0</v>
      </c>
      <c r="AL16" s="22">
        <f t="shared" si="7"/>
        <v>0</v>
      </c>
      <c r="AM16" s="28" t="str">
        <f t="shared" si="8"/>
        <v/>
      </c>
      <c r="AN16" s="28" t="str">
        <f t="shared" si="9"/>
        <v/>
      </c>
      <c r="AO16" s="22" t="str">
        <f t="shared" si="10"/>
        <v/>
      </c>
      <c r="AP16" s="22" t="str">
        <f t="shared" si="11"/>
        <v/>
      </c>
      <c r="AQ16" s="21" t="str">
        <f t="shared" si="12"/>
        <v/>
      </c>
      <c r="AR16" s="22">
        <f>IF(AQ16="",0,COUNTIF(nEVT_Key,AQ16))</f>
        <v>0</v>
      </c>
      <c r="AS16" s="21" t="str">
        <f t="shared" si="13"/>
        <v/>
      </c>
      <c r="AT16" s="21" t="str">
        <f>IF(AS16="","",AS16&amp;": "&amp;SUBSTITUTE(IFERROR(INDEX(nMSG_Text,MATCH(AS16,nMSG_Code,0)),""),"[input]",IF(D16="","an Episode_ID","the date fields required by the selected precision")))</f>
        <v/>
      </c>
    </row>
    <row r="17" spans="1:46" x14ac:dyDescent="0.2">
      <c r="A17" s="10"/>
      <c r="B17" s="12"/>
      <c r="C17" s="10"/>
      <c r="D17" s="10"/>
      <c r="E17" s="10"/>
      <c r="F17" s="10"/>
      <c r="G17" s="17"/>
      <c r="H17" s="10"/>
      <c r="I17" s="10"/>
      <c r="J17" s="17"/>
      <c r="K17" s="15"/>
      <c r="L17" s="26"/>
      <c r="M17" s="10"/>
      <c r="N17" s="12"/>
      <c r="O17" s="12"/>
      <c r="P17" s="15"/>
      <c r="Q17" s="15"/>
      <c r="R17" s="10"/>
      <c r="S17" s="21" t="str">
        <f>IF(COUNTA(J17:Q17)=0,"",IF(J17="","E_MISSING_INPUT",IF(J17="TIMESTAMP",IF(OR(K17="",L17="",M17=""),"E_MISSING_INPUT",IF(OR(NOT(ISNUMBER(K17)),NOT(ISNUMBER(L17))),"E_INVALID_DATE",IF(OR(K17&lt;&gt;INT(K17),L17&lt;0,L17&gt;=1),"E_INVALID_DATE",IF(ISNA(MATCH(M17,nLIST_Offset,0)),"E_INVALID_UNIT","")))),IF(J17="DATE",IF(K17="","E_MISSING_INPUT",IF(NOT(ISNUMBER(K17)),"E_INVALID_DATE",IF(K17&lt;&gt;INT(K17),"E_INVALID_DATE",""))),IF(J17="MONTH",IF(OR(N17="",O17=""),"E_MISSING_INPUT",IF(OR(NOT(ISNUMBER(N17)),NOT(ISNUMBER(O17))),"E_INVALID_DATE",IF(OR(N17&lt;1900,N17&gt;9999,N17&lt;&gt;INT(N17),O17&lt;1,O17&gt;12,O17&lt;&gt;INT(O17)),"E_INVALID_DATE",""))),IF(J17="YEAR",IF(N17="","E_MISSING_INPUT",IF(NOT(ISNUMBER(N17)),"E_INVALID_DATE",IF(OR(N17&lt;1900,N17&gt;9999,N17&lt;&gt;INT(N17)),"E_INVALID_DATE",""))),IF(J17="RANGE",IF(OR(P17="",Q17=""),"E_MISSING_INPUT",IF(OR(NOT(ISNUMBER(P17)),NOT(ISNUMBER(Q17))),"E_INVALID_DATE",IF(OR(P17&lt;&gt;INT(P17),Q17&lt;&gt;INT(Q17)),"E_INVALID_DATE",IF(P17&gt;Q17,"E_REVERSED_BOUNDS","")))),"E_INVALID_UNIT")))))))</f>
        <v/>
      </c>
      <c r="T17" s="22">
        <f t="shared" si="0"/>
        <v>0</v>
      </c>
      <c r="U17" s="22">
        <f t="shared" si="1"/>
        <v>0</v>
      </c>
      <c r="V17" s="28" t="str">
        <f t="shared" si="2"/>
        <v/>
      </c>
      <c r="W17" s="28" t="str">
        <f t="shared" si="3"/>
        <v/>
      </c>
      <c r="X17" s="22" t="str">
        <f t="shared" si="4"/>
        <v/>
      </c>
      <c r="Y17" s="22" t="str">
        <f t="shared" si="5"/>
        <v/>
      </c>
      <c r="Z17" s="10"/>
      <c r="AA17" s="17"/>
      <c r="AB17" s="15"/>
      <c r="AC17" s="26"/>
      <c r="AD17" s="10"/>
      <c r="AE17" s="12"/>
      <c r="AF17" s="12"/>
      <c r="AG17" s="15"/>
      <c r="AH17" s="15"/>
      <c r="AI17" s="10"/>
      <c r="AJ17" s="21" t="str">
        <f>IF(COUNTA(AA17:AH17)=0,"",IF(AA17="","E_MISSING_INPUT",IF(AA17="TIMESTAMP",IF(OR(AB17="",AC17="",AD17=""),"E_MISSING_INPUT",IF(OR(NOT(ISNUMBER(AB17)),NOT(ISNUMBER(AC17))),"E_INVALID_DATE",IF(OR(AB17&lt;&gt;INT(AB17),AC17&lt;0,AC17&gt;=1),"E_INVALID_DATE",IF(ISNA(MATCH(AD17,nLIST_Offset,0)),"E_INVALID_UNIT","")))),IF(AA17="DATE",IF(AB17="","E_MISSING_INPUT",IF(NOT(ISNUMBER(AB17)),"E_INVALID_DATE",IF(AB17&lt;&gt;INT(AB17),"E_INVALID_DATE",""))),IF(AA17="MONTH",IF(OR(AE17="",AF17=""),"E_MISSING_INPUT",IF(OR(NOT(ISNUMBER(AE17)),NOT(ISNUMBER(AF17))),"E_INVALID_DATE",IF(OR(AE17&lt;1900,AE17&gt;9999,AE17&lt;&gt;INT(AE17),AF17&lt;1,AF17&gt;12,AF17&lt;&gt;INT(AF17)),"E_INVALID_DATE",""))),IF(AA17="YEAR",IF(AE17="","E_MISSING_INPUT",IF(NOT(ISNUMBER(AE17)),"E_INVALID_DATE",IF(OR(AE17&lt;1900,AE17&gt;9999,AE17&lt;&gt;INT(AE17)),"E_INVALID_DATE",""))),IF(AA17="RANGE",IF(OR(AG17="",AH17=""),"E_MISSING_INPUT",IF(OR(NOT(ISNUMBER(AG17)),NOT(ISNUMBER(AH17))),"E_INVALID_DATE",IF(OR(AG17&lt;&gt;INT(AG17),AH17&lt;&gt;INT(AH17)),"E_INVALID_DATE",IF(AG17&gt;AH17,"E_REVERSED_BOUNDS","")))),"E_INVALID_UNIT")))))))</f>
        <v/>
      </c>
      <c r="AK17" s="22">
        <f t="shared" si="6"/>
        <v>0</v>
      </c>
      <c r="AL17" s="22">
        <f t="shared" si="7"/>
        <v>0</v>
      </c>
      <c r="AM17" s="28" t="str">
        <f t="shared" si="8"/>
        <v/>
      </c>
      <c r="AN17" s="28" t="str">
        <f t="shared" si="9"/>
        <v/>
      </c>
      <c r="AO17" s="22" t="str">
        <f t="shared" si="10"/>
        <v/>
      </c>
      <c r="AP17" s="22" t="str">
        <f t="shared" si="11"/>
        <v/>
      </c>
      <c r="AQ17" s="21" t="str">
        <f t="shared" si="12"/>
        <v/>
      </c>
      <c r="AR17" s="22">
        <f>IF(AQ17="",0,COUNTIF(nEVT_Key,AQ17))</f>
        <v>0</v>
      </c>
      <c r="AS17" s="21" t="str">
        <f t="shared" si="13"/>
        <v/>
      </c>
      <c r="AT17" s="21" t="str">
        <f>IF(AS17="","",AS17&amp;": "&amp;SUBSTITUTE(IFERROR(INDEX(nMSG_Text,MATCH(AS17,nMSG_Code,0)),""),"[input]",IF(D17="","an Episode_ID","the date fields required by the selected precision")))</f>
        <v/>
      </c>
    </row>
    <row r="18" spans="1:46" x14ac:dyDescent="0.2">
      <c r="A18" s="10"/>
      <c r="B18" s="12"/>
      <c r="C18" s="10"/>
      <c r="D18" s="10"/>
      <c r="E18" s="10"/>
      <c r="F18" s="10"/>
      <c r="G18" s="17"/>
      <c r="H18" s="10"/>
      <c r="I18" s="10"/>
      <c r="J18" s="17"/>
      <c r="K18" s="15"/>
      <c r="L18" s="26"/>
      <c r="M18" s="10"/>
      <c r="N18" s="12"/>
      <c r="O18" s="12"/>
      <c r="P18" s="15"/>
      <c r="Q18" s="15"/>
      <c r="R18" s="10"/>
      <c r="S18" s="21" t="str">
        <f>IF(COUNTA(J18:Q18)=0,"",IF(J18="","E_MISSING_INPUT",IF(J18="TIMESTAMP",IF(OR(K18="",L18="",M18=""),"E_MISSING_INPUT",IF(OR(NOT(ISNUMBER(K18)),NOT(ISNUMBER(L18))),"E_INVALID_DATE",IF(OR(K18&lt;&gt;INT(K18),L18&lt;0,L18&gt;=1),"E_INVALID_DATE",IF(ISNA(MATCH(M18,nLIST_Offset,0)),"E_INVALID_UNIT","")))),IF(J18="DATE",IF(K18="","E_MISSING_INPUT",IF(NOT(ISNUMBER(K18)),"E_INVALID_DATE",IF(K18&lt;&gt;INT(K18),"E_INVALID_DATE",""))),IF(J18="MONTH",IF(OR(N18="",O18=""),"E_MISSING_INPUT",IF(OR(NOT(ISNUMBER(N18)),NOT(ISNUMBER(O18))),"E_INVALID_DATE",IF(OR(N18&lt;1900,N18&gt;9999,N18&lt;&gt;INT(N18),O18&lt;1,O18&gt;12,O18&lt;&gt;INT(O18)),"E_INVALID_DATE",""))),IF(J18="YEAR",IF(N18="","E_MISSING_INPUT",IF(NOT(ISNUMBER(N18)),"E_INVALID_DATE",IF(OR(N18&lt;1900,N18&gt;9999,N18&lt;&gt;INT(N18)),"E_INVALID_DATE",""))),IF(J18="RANGE",IF(OR(P18="",Q18=""),"E_MISSING_INPUT",IF(OR(NOT(ISNUMBER(P18)),NOT(ISNUMBER(Q18))),"E_INVALID_DATE",IF(OR(P18&lt;&gt;INT(P18),Q18&lt;&gt;INT(Q18)),"E_INVALID_DATE",IF(P18&gt;Q18,"E_REVERSED_BOUNDS","")))),"E_INVALID_UNIT")))))))</f>
        <v/>
      </c>
      <c r="T18" s="22">
        <f t="shared" si="0"/>
        <v>0</v>
      </c>
      <c r="U18" s="22">
        <f t="shared" si="1"/>
        <v>0</v>
      </c>
      <c r="V18" s="28" t="str">
        <f t="shared" si="2"/>
        <v/>
      </c>
      <c r="W18" s="28" t="str">
        <f t="shared" si="3"/>
        <v/>
      </c>
      <c r="X18" s="22" t="str">
        <f t="shared" si="4"/>
        <v/>
      </c>
      <c r="Y18" s="22" t="str">
        <f t="shared" si="5"/>
        <v/>
      </c>
      <c r="Z18" s="10"/>
      <c r="AA18" s="17"/>
      <c r="AB18" s="15"/>
      <c r="AC18" s="26"/>
      <c r="AD18" s="10"/>
      <c r="AE18" s="12"/>
      <c r="AF18" s="12"/>
      <c r="AG18" s="15"/>
      <c r="AH18" s="15"/>
      <c r="AI18" s="10"/>
      <c r="AJ18" s="21" t="str">
        <f>IF(COUNTA(AA18:AH18)=0,"",IF(AA18="","E_MISSING_INPUT",IF(AA18="TIMESTAMP",IF(OR(AB18="",AC18="",AD18=""),"E_MISSING_INPUT",IF(OR(NOT(ISNUMBER(AB18)),NOT(ISNUMBER(AC18))),"E_INVALID_DATE",IF(OR(AB18&lt;&gt;INT(AB18),AC18&lt;0,AC18&gt;=1),"E_INVALID_DATE",IF(ISNA(MATCH(AD18,nLIST_Offset,0)),"E_INVALID_UNIT","")))),IF(AA18="DATE",IF(AB18="","E_MISSING_INPUT",IF(NOT(ISNUMBER(AB18)),"E_INVALID_DATE",IF(AB18&lt;&gt;INT(AB18),"E_INVALID_DATE",""))),IF(AA18="MONTH",IF(OR(AE18="",AF18=""),"E_MISSING_INPUT",IF(OR(NOT(ISNUMBER(AE18)),NOT(ISNUMBER(AF18))),"E_INVALID_DATE",IF(OR(AE18&lt;1900,AE18&gt;9999,AE18&lt;&gt;INT(AE18),AF18&lt;1,AF18&gt;12,AF18&lt;&gt;INT(AF18)),"E_INVALID_DATE",""))),IF(AA18="YEAR",IF(AE18="","E_MISSING_INPUT",IF(NOT(ISNUMBER(AE18)),"E_INVALID_DATE",IF(OR(AE18&lt;1900,AE18&gt;9999,AE18&lt;&gt;INT(AE18)),"E_INVALID_DATE",""))),IF(AA18="RANGE",IF(OR(AG18="",AH18=""),"E_MISSING_INPUT",IF(OR(NOT(ISNUMBER(AG18)),NOT(ISNUMBER(AH18))),"E_INVALID_DATE",IF(OR(AG18&lt;&gt;INT(AG18),AH18&lt;&gt;INT(AH18)),"E_INVALID_DATE",IF(AG18&gt;AH18,"E_REVERSED_BOUNDS","")))),"E_INVALID_UNIT")))))))</f>
        <v/>
      </c>
      <c r="AK18" s="22">
        <f t="shared" si="6"/>
        <v>0</v>
      </c>
      <c r="AL18" s="22">
        <f t="shared" si="7"/>
        <v>0</v>
      </c>
      <c r="AM18" s="28" t="str">
        <f t="shared" si="8"/>
        <v/>
      </c>
      <c r="AN18" s="28" t="str">
        <f t="shared" si="9"/>
        <v/>
      </c>
      <c r="AO18" s="22" t="str">
        <f t="shared" si="10"/>
        <v/>
      </c>
      <c r="AP18" s="22" t="str">
        <f t="shared" si="11"/>
        <v/>
      </c>
      <c r="AQ18" s="21" t="str">
        <f t="shared" si="12"/>
        <v/>
      </c>
      <c r="AR18" s="22">
        <f>IF(AQ18="",0,COUNTIF(nEVT_Key,AQ18))</f>
        <v>0</v>
      </c>
      <c r="AS18" s="21" t="str">
        <f t="shared" si="13"/>
        <v/>
      </c>
      <c r="AT18" s="21" t="str">
        <f>IF(AS18="","",AS18&amp;": "&amp;SUBSTITUTE(IFERROR(INDEX(nMSG_Text,MATCH(AS18,nMSG_Code,0)),""),"[input]",IF(D18="","an Episode_ID","the date fields required by the selected precision")))</f>
        <v/>
      </c>
    </row>
    <row r="19" spans="1:46" x14ac:dyDescent="0.2">
      <c r="A19" s="10"/>
      <c r="B19" s="12"/>
      <c r="C19" s="10"/>
      <c r="D19" s="10"/>
      <c r="E19" s="10"/>
      <c r="F19" s="10"/>
      <c r="G19" s="17"/>
      <c r="H19" s="10"/>
      <c r="I19" s="10"/>
      <c r="J19" s="17"/>
      <c r="K19" s="15"/>
      <c r="L19" s="26"/>
      <c r="M19" s="10"/>
      <c r="N19" s="12"/>
      <c r="O19" s="12"/>
      <c r="P19" s="15"/>
      <c r="Q19" s="15"/>
      <c r="R19" s="10"/>
      <c r="S19" s="21" t="str">
        <f>IF(COUNTA(J19:Q19)=0,"",IF(J19="","E_MISSING_INPUT",IF(J19="TIMESTAMP",IF(OR(K19="",L19="",M19=""),"E_MISSING_INPUT",IF(OR(NOT(ISNUMBER(K19)),NOT(ISNUMBER(L19))),"E_INVALID_DATE",IF(OR(K19&lt;&gt;INT(K19),L19&lt;0,L19&gt;=1),"E_INVALID_DATE",IF(ISNA(MATCH(M19,nLIST_Offset,0)),"E_INVALID_UNIT","")))),IF(J19="DATE",IF(K19="","E_MISSING_INPUT",IF(NOT(ISNUMBER(K19)),"E_INVALID_DATE",IF(K19&lt;&gt;INT(K19),"E_INVALID_DATE",""))),IF(J19="MONTH",IF(OR(N19="",O19=""),"E_MISSING_INPUT",IF(OR(NOT(ISNUMBER(N19)),NOT(ISNUMBER(O19))),"E_INVALID_DATE",IF(OR(N19&lt;1900,N19&gt;9999,N19&lt;&gt;INT(N19),O19&lt;1,O19&gt;12,O19&lt;&gt;INT(O19)),"E_INVALID_DATE",""))),IF(J19="YEAR",IF(N19="","E_MISSING_INPUT",IF(NOT(ISNUMBER(N19)),"E_INVALID_DATE",IF(OR(N19&lt;1900,N19&gt;9999,N19&lt;&gt;INT(N19)),"E_INVALID_DATE",""))),IF(J19="RANGE",IF(OR(P19="",Q19=""),"E_MISSING_INPUT",IF(OR(NOT(ISNUMBER(P19)),NOT(ISNUMBER(Q19))),"E_INVALID_DATE",IF(OR(P19&lt;&gt;INT(P19),Q19&lt;&gt;INT(Q19)),"E_INVALID_DATE",IF(P19&gt;Q19,"E_REVERSED_BOUNDS","")))),"E_INVALID_UNIT")))))))</f>
        <v/>
      </c>
      <c r="T19" s="22">
        <f t="shared" si="0"/>
        <v>0</v>
      </c>
      <c r="U19" s="22">
        <f t="shared" si="1"/>
        <v>0</v>
      </c>
      <c r="V19" s="28" t="str">
        <f t="shared" si="2"/>
        <v/>
      </c>
      <c r="W19" s="28" t="str">
        <f t="shared" si="3"/>
        <v/>
      </c>
      <c r="X19" s="22" t="str">
        <f t="shared" si="4"/>
        <v/>
      </c>
      <c r="Y19" s="22" t="str">
        <f t="shared" si="5"/>
        <v/>
      </c>
      <c r="Z19" s="10"/>
      <c r="AA19" s="17"/>
      <c r="AB19" s="15"/>
      <c r="AC19" s="26"/>
      <c r="AD19" s="10"/>
      <c r="AE19" s="12"/>
      <c r="AF19" s="12"/>
      <c r="AG19" s="15"/>
      <c r="AH19" s="15"/>
      <c r="AI19" s="10"/>
      <c r="AJ19" s="21" t="str">
        <f>IF(COUNTA(AA19:AH19)=0,"",IF(AA19="","E_MISSING_INPUT",IF(AA19="TIMESTAMP",IF(OR(AB19="",AC19="",AD19=""),"E_MISSING_INPUT",IF(OR(NOT(ISNUMBER(AB19)),NOT(ISNUMBER(AC19))),"E_INVALID_DATE",IF(OR(AB19&lt;&gt;INT(AB19),AC19&lt;0,AC19&gt;=1),"E_INVALID_DATE",IF(ISNA(MATCH(AD19,nLIST_Offset,0)),"E_INVALID_UNIT","")))),IF(AA19="DATE",IF(AB19="","E_MISSING_INPUT",IF(NOT(ISNUMBER(AB19)),"E_INVALID_DATE",IF(AB19&lt;&gt;INT(AB19),"E_INVALID_DATE",""))),IF(AA19="MONTH",IF(OR(AE19="",AF19=""),"E_MISSING_INPUT",IF(OR(NOT(ISNUMBER(AE19)),NOT(ISNUMBER(AF19))),"E_INVALID_DATE",IF(OR(AE19&lt;1900,AE19&gt;9999,AE19&lt;&gt;INT(AE19),AF19&lt;1,AF19&gt;12,AF19&lt;&gt;INT(AF19)),"E_INVALID_DATE",""))),IF(AA19="YEAR",IF(AE19="","E_MISSING_INPUT",IF(NOT(ISNUMBER(AE19)),"E_INVALID_DATE",IF(OR(AE19&lt;1900,AE19&gt;9999,AE19&lt;&gt;INT(AE19)),"E_INVALID_DATE",""))),IF(AA19="RANGE",IF(OR(AG19="",AH19=""),"E_MISSING_INPUT",IF(OR(NOT(ISNUMBER(AG19)),NOT(ISNUMBER(AH19))),"E_INVALID_DATE",IF(OR(AG19&lt;&gt;INT(AG19),AH19&lt;&gt;INT(AH19)),"E_INVALID_DATE",IF(AG19&gt;AH19,"E_REVERSED_BOUNDS","")))),"E_INVALID_UNIT")))))))</f>
        <v/>
      </c>
      <c r="AK19" s="22">
        <f t="shared" si="6"/>
        <v>0</v>
      </c>
      <c r="AL19" s="22">
        <f t="shared" si="7"/>
        <v>0</v>
      </c>
      <c r="AM19" s="28" t="str">
        <f t="shared" si="8"/>
        <v/>
      </c>
      <c r="AN19" s="28" t="str">
        <f t="shared" si="9"/>
        <v/>
      </c>
      <c r="AO19" s="22" t="str">
        <f t="shared" si="10"/>
        <v/>
      </c>
      <c r="AP19" s="22" t="str">
        <f t="shared" si="11"/>
        <v/>
      </c>
      <c r="AQ19" s="21" t="str">
        <f t="shared" si="12"/>
        <v/>
      </c>
      <c r="AR19" s="22">
        <f>IF(AQ19="",0,COUNTIF(nEVT_Key,AQ19))</f>
        <v>0</v>
      </c>
      <c r="AS19" s="21" t="str">
        <f t="shared" si="13"/>
        <v/>
      </c>
      <c r="AT19" s="21" t="str">
        <f>IF(AS19="","",AS19&amp;": "&amp;SUBSTITUTE(IFERROR(INDEX(nMSG_Text,MATCH(AS19,nMSG_Code,0)),""),"[input]",IF(D19="","an Episode_ID","the date fields required by the selected precision")))</f>
        <v/>
      </c>
    </row>
    <row r="20" spans="1:46" x14ac:dyDescent="0.2">
      <c r="A20" s="24" t="s">
        <v>288</v>
      </c>
      <c r="B20" s="23"/>
      <c r="C20" s="23"/>
      <c r="D20" s="23"/>
      <c r="E20" s="23"/>
      <c r="F20" s="23"/>
      <c r="G20" s="23"/>
      <c r="H20" s="23"/>
      <c r="I20" s="23"/>
      <c r="J20" s="23"/>
      <c r="K20" s="23"/>
      <c r="L20" s="23"/>
      <c r="M20" s="23"/>
      <c r="N20" s="23"/>
      <c r="O20" s="23"/>
      <c r="P20" s="23"/>
      <c r="Q20" s="23"/>
      <c r="R20" s="23"/>
      <c r="S20" s="23"/>
      <c r="T20" s="23"/>
      <c r="U20" s="23"/>
      <c r="V20" s="23"/>
      <c r="W20" s="23"/>
      <c r="X20" s="23"/>
      <c r="Y20" s="23"/>
      <c r="Z20" s="23"/>
      <c r="AA20" s="23"/>
      <c r="AB20" s="23"/>
      <c r="AC20" s="23"/>
      <c r="AD20" s="23"/>
      <c r="AE20" s="23"/>
      <c r="AF20" s="23"/>
      <c r="AG20" s="23"/>
      <c r="AH20" s="23"/>
      <c r="AI20" s="23"/>
      <c r="AJ20" s="23"/>
      <c r="AK20" s="23"/>
      <c r="AL20" s="23"/>
      <c r="AM20" s="23"/>
      <c r="AN20" s="23"/>
      <c r="AO20" s="23"/>
      <c r="AP20" s="23"/>
      <c r="AQ20" s="23"/>
      <c r="AR20" s="23"/>
      <c r="AS20" s="23"/>
      <c r="AT20" s="23"/>
    </row>
    <row r="21" spans="1:46" x14ac:dyDescent="0.2">
      <c r="A21" s="9" t="s">
        <v>291</v>
      </c>
      <c r="B21" s="11">
        <v>2</v>
      </c>
      <c r="C21" s="9" t="s">
        <v>662</v>
      </c>
      <c r="D21" s="9" t="s">
        <v>663</v>
      </c>
      <c r="E21" s="9" t="s">
        <v>665</v>
      </c>
      <c r="F21" s="9" t="s">
        <v>664</v>
      </c>
      <c r="G21" s="16"/>
      <c r="H21" s="9"/>
      <c r="I21" s="9" t="s">
        <v>667</v>
      </c>
      <c r="J21" s="16" t="s">
        <v>3</v>
      </c>
      <c r="K21" s="14">
        <v>46032</v>
      </c>
      <c r="L21" s="25">
        <v>0.38541666666666602</v>
      </c>
      <c r="M21" s="9" t="s">
        <v>18</v>
      </c>
      <c r="N21" s="11"/>
      <c r="O21" s="11"/>
      <c r="P21" s="14"/>
      <c r="Q21" s="14"/>
      <c r="R21" s="9" t="s">
        <v>666</v>
      </c>
      <c r="S21" s="21" t="str">
        <f>IF(COUNTA(J21:Q21)=0,"",IF(J21="","E_MISSING_INPUT",IF(J21="TIMESTAMP",IF(OR(K21="",L21="",M21=""),"E_MISSING_INPUT",IF(OR(NOT(ISNUMBER(K21)),NOT(ISNUMBER(L21))),"E_INVALID_DATE",IF(OR(K21&lt;&gt;INT(K21),L21&lt;0,L21&gt;=1),"E_INVALID_DATE",IF(ISNA(MATCH(M21,nLIST_Offset,0)),"E_INVALID_UNIT","")))),IF(J21="DATE",IF(K21="","E_MISSING_INPUT",IF(NOT(ISNUMBER(K21)),"E_INVALID_DATE",IF(K21&lt;&gt;INT(K21),"E_INVALID_DATE",""))),IF(J21="MONTH",IF(OR(N21="",O21=""),"E_MISSING_INPUT",IF(OR(NOT(ISNUMBER(N21)),NOT(ISNUMBER(O21))),"E_INVALID_DATE",IF(OR(N21&lt;1900,N21&gt;9999,N21&lt;&gt;INT(N21),O21&lt;1,O21&gt;12,O21&lt;&gt;INT(O21)),"E_INVALID_DATE",""))),IF(J21="YEAR",IF(N21="","E_MISSING_INPUT",IF(NOT(ISNUMBER(N21)),"E_INVALID_DATE",IF(OR(N21&lt;1900,N21&gt;9999,N21&lt;&gt;INT(N21)),"E_INVALID_DATE",""))),IF(J21="RANGE",IF(OR(P21="",Q21=""),"E_MISSING_INPUT",IF(OR(NOT(ISNUMBER(P21)),NOT(ISNUMBER(Q21))),"E_INVALID_DATE",IF(OR(P21&lt;&gt;INT(P21),Q21&lt;&gt;INT(Q21)),"E_INVALID_DATE",IF(P21&gt;Q21,"E_REVERSED_BOUNDS","")))),"E_INVALID_UNIT")))))))</f>
        <v/>
      </c>
      <c r="T21" s="22">
        <f t="shared" ref="T21:T23" si="14">IF(AND(S21="",J21="TIMESTAMP"),1,0)</f>
        <v>1</v>
      </c>
      <c r="U21" s="22">
        <f t="shared" ref="U21:U23" si="15">IF(AND(T21=1,M21&lt;&gt;"unknown"),1,0)</f>
        <v>1</v>
      </c>
      <c r="V21" s="28">
        <f t="shared" ref="V21:V23" si="16">IF(OR(S21&lt;&gt;"",J21=""),"",IF(OR(J21="TIMESTAMP",J21="DATE"),K21,IF(J21="MONTH",DATE(N21,O21,1),IF(J21="YEAR",DATE(N21,1,1),P21))))</f>
        <v>46032</v>
      </c>
      <c r="W21" s="28">
        <f t="shared" ref="W21:W23" si="17">IF(OR(S21&lt;&gt;"",J21=""),"",IF(OR(J21="TIMESTAMP",J21="DATE"),K21,IF(J21="MONTH",EOMONTH(DATE(N21,O21,1),0),IF(J21="YEAR",DATE(N21,12,31),Q21))))</f>
        <v>46032</v>
      </c>
      <c r="X21" s="22">
        <f t="shared" ref="X21:X23" si="18">IF(T21=1,K21*1440+ROUND(L21*1440,0),"")</f>
        <v>66286635</v>
      </c>
      <c r="Y21" s="22">
        <f t="shared" ref="Y21:Y23" si="19">IF(U21=1,X21-(IF(LEFT(M21,1)="-",-1,1)*(VALUE(MID(M21,2,2))*60+VALUE(MID(M21,5,2)))),"")</f>
        <v>66286935</v>
      </c>
      <c r="Z21" s="9"/>
      <c r="AA21" s="16"/>
      <c r="AB21" s="14"/>
      <c r="AC21" s="25"/>
      <c r="AD21" s="9"/>
      <c r="AE21" s="11"/>
      <c r="AF21" s="11"/>
      <c r="AG21" s="14"/>
      <c r="AH21" s="14"/>
      <c r="AI21" s="9"/>
      <c r="AJ21" s="21" t="str">
        <f>IF(COUNTA(AA21:AH21)=0,"",IF(AA21="","E_MISSING_INPUT",IF(AA21="TIMESTAMP",IF(OR(AB21="",AC21="",AD21=""),"E_MISSING_INPUT",IF(OR(NOT(ISNUMBER(AB21)),NOT(ISNUMBER(AC21))),"E_INVALID_DATE",IF(OR(AB21&lt;&gt;INT(AB21),AC21&lt;0,AC21&gt;=1),"E_INVALID_DATE",IF(ISNA(MATCH(AD21,nLIST_Offset,0)),"E_INVALID_UNIT","")))),IF(AA21="DATE",IF(AB21="","E_MISSING_INPUT",IF(NOT(ISNUMBER(AB21)),"E_INVALID_DATE",IF(AB21&lt;&gt;INT(AB21),"E_INVALID_DATE",""))),IF(AA21="MONTH",IF(OR(AE21="",AF21=""),"E_MISSING_INPUT",IF(OR(NOT(ISNUMBER(AE21)),NOT(ISNUMBER(AF21))),"E_INVALID_DATE",IF(OR(AE21&lt;1900,AE21&gt;9999,AE21&lt;&gt;INT(AE21),AF21&lt;1,AF21&gt;12,AF21&lt;&gt;INT(AF21)),"E_INVALID_DATE",""))),IF(AA21="YEAR",IF(AE21="","E_MISSING_INPUT",IF(NOT(ISNUMBER(AE21)),"E_INVALID_DATE",IF(OR(AE21&lt;1900,AE21&gt;9999,AE21&lt;&gt;INT(AE21)),"E_INVALID_DATE",""))),IF(AA21="RANGE",IF(OR(AG21="",AH21=""),"E_MISSING_INPUT",IF(OR(NOT(ISNUMBER(AG21)),NOT(ISNUMBER(AH21))),"E_INVALID_DATE",IF(OR(AG21&lt;&gt;INT(AG21),AH21&lt;&gt;INT(AH21)),"E_INVALID_DATE",IF(AG21&gt;AH21,"E_REVERSED_BOUNDS","")))),"E_INVALID_UNIT")))))))</f>
        <v/>
      </c>
      <c r="AK21" s="22">
        <f t="shared" ref="AK21:AK23" si="20">IF(AND(AJ21="",AA21="TIMESTAMP"),1,0)</f>
        <v>0</v>
      </c>
      <c r="AL21" s="22">
        <f t="shared" ref="AL21:AL23" si="21">IF(AND(AK21=1,AD21&lt;&gt;"unknown"),1,0)</f>
        <v>0</v>
      </c>
      <c r="AM21" s="28" t="str">
        <f t="shared" ref="AM21:AM23" si="22">IF(OR(AJ21&lt;&gt;"",AA21=""),"",IF(OR(AA21="TIMESTAMP",AA21="DATE"),AB21,IF(AA21="MONTH",DATE(AE21,AF21,1),IF(AA21="YEAR",DATE(AE21,1,1),AG21))))</f>
        <v/>
      </c>
      <c r="AN21" s="28" t="str">
        <f t="shared" ref="AN21:AN23" si="23">IF(OR(AJ21&lt;&gt;"",AA21=""),"",IF(OR(AA21="TIMESTAMP",AA21="DATE"),AB21,IF(AA21="MONTH",EOMONTH(DATE(AE21,AF21,1),0),IF(AA21="YEAR",DATE(AE21,12,31),AH21))))</f>
        <v/>
      </c>
      <c r="AO21" s="22" t="str">
        <f t="shared" ref="AO21:AO23" si="24">IF(AK21=1,AB21*1440+ROUND(AC21*1440,0),"")</f>
        <v/>
      </c>
      <c r="AP21" s="22" t="str">
        <f t="shared" ref="AP21:AP23" si="25">IF(AL21=1,AO21-(IF(LEFT(AD21,1)="-",-1,1)*(VALUE(MID(AD21,2,2))*60+VALUE(MID(AD21,5,2)))),"")</f>
        <v/>
      </c>
      <c r="AQ21" s="21" t="str">
        <f t="shared" ref="AQ21:AQ23" si="26">IF(D21="","",A21&amp;"|"&amp;B21&amp;"|"&amp;D21)</f>
        <v>EX-C01|2|EV-1</v>
      </c>
      <c r="AR21" s="22">
        <f>IF(AQ21="",0,COUNTIF(nEVT_Key,AQ21))</f>
        <v>1</v>
      </c>
      <c r="AS21" s="21" t="str">
        <f t="shared" ref="AS21:AS23" si="27">IF(D21="",IF(COUNTA(E21,J21,K21)&gt;0,"E_MISSING_INPUT",""),IF(AR21&gt;1,"E_DUPLICATE_ID",IF(S21&lt;&gt;"",S21,AJ21)))</f>
        <v/>
      </c>
      <c r="AT21" s="21" t="str">
        <f>IF(AS21="","",AS21&amp;": "&amp;SUBSTITUTE(IFERROR(INDEX(nMSG_Text,MATCH(AS21,nMSG_Code,0)),""),"[input]",IF(D21="","an Episode_ID","the date fields required by the selected precision")))</f>
        <v/>
      </c>
    </row>
    <row r="22" spans="1:46" x14ac:dyDescent="0.2">
      <c r="A22" s="9" t="s">
        <v>295</v>
      </c>
      <c r="B22" s="11">
        <v>2</v>
      </c>
      <c r="C22" s="9" t="s">
        <v>662</v>
      </c>
      <c r="D22" s="9" t="s">
        <v>663</v>
      </c>
      <c r="E22" s="9" t="s">
        <v>669</v>
      </c>
      <c r="F22" s="9" t="s">
        <v>668</v>
      </c>
      <c r="G22" s="16"/>
      <c r="H22" s="9"/>
      <c r="I22" s="9" t="s">
        <v>670</v>
      </c>
      <c r="J22" s="16" t="s">
        <v>4</v>
      </c>
      <c r="K22" s="14">
        <v>46208</v>
      </c>
      <c r="L22" s="25"/>
      <c r="M22" s="9"/>
      <c r="N22" s="11"/>
      <c r="O22" s="11"/>
      <c r="P22" s="14"/>
      <c r="Q22" s="14"/>
      <c r="R22" s="9" t="s">
        <v>454</v>
      </c>
      <c r="S22" s="21" t="str">
        <f>IF(COUNTA(J22:Q22)=0,"",IF(J22="","E_MISSING_INPUT",IF(J22="TIMESTAMP",IF(OR(K22="",L22="",M22=""),"E_MISSING_INPUT",IF(OR(NOT(ISNUMBER(K22)),NOT(ISNUMBER(L22))),"E_INVALID_DATE",IF(OR(K22&lt;&gt;INT(K22),L22&lt;0,L22&gt;=1),"E_INVALID_DATE",IF(ISNA(MATCH(M22,nLIST_Offset,0)),"E_INVALID_UNIT","")))),IF(J22="DATE",IF(K22="","E_MISSING_INPUT",IF(NOT(ISNUMBER(K22)),"E_INVALID_DATE",IF(K22&lt;&gt;INT(K22),"E_INVALID_DATE",""))),IF(J22="MONTH",IF(OR(N22="",O22=""),"E_MISSING_INPUT",IF(OR(NOT(ISNUMBER(N22)),NOT(ISNUMBER(O22))),"E_INVALID_DATE",IF(OR(N22&lt;1900,N22&gt;9999,N22&lt;&gt;INT(N22),O22&lt;1,O22&gt;12,O22&lt;&gt;INT(O22)),"E_INVALID_DATE",""))),IF(J22="YEAR",IF(N22="","E_MISSING_INPUT",IF(NOT(ISNUMBER(N22)),"E_INVALID_DATE",IF(OR(N22&lt;1900,N22&gt;9999,N22&lt;&gt;INT(N22)),"E_INVALID_DATE",""))),IF(J22="RANGE",IF(OR(P22="",Q22=""),"E_MISSING_INPUT",IF(OR(NOT(ISNUMBER(P22)),NOT(ISNUMBER(Q22))),"E_INVALID_DATE",IF(OR(P22&lt;&gt;INT(P22),Q22&lt;&gt;INT(Q22)),"E_INVALID_DATE",IF(P22&gt;Q22,"E_REVERSED_BOUNDS","")))),"E_INVALID_UNIT")))))))</f>
        <v/>
      </c>
      <c r="T22" s="22">
        <f t="shared" si="14"/>
        <v>0</v>
      </c>
      <c r="U22" s="22">
        <f t="shared" si="15"/>
        <v>0</v>
      </c>
      <c r="V22" s="28">
        <f t="shared" si="16"/>
        <v>46208</v>
      </c>
      <c r="W22" s="28">
        <f t="shared" si="17"/>
        <v>46208</v>
      </c>
      <c r="X22" s="22" t="str">
        <f t="shared" si="18"/>
        <v/>
      </c>
      <c r="Y22" s="22" t="str">
        <f t="shared" si="19"/>
        <v/>
      </c>
      <c r="Z22" s="9"/>
      <c r="AA22" s="16"/>
      <c r="AB22" s="14"/>
      <c r="AC22" s="25"/>
      <c r="AD22" s="9"/>
      <c r="AE22" s="11"/>
      <c r="AF22" s="11"/>
      <c r="AG22" s="14"/>
      <c r="AH22" s="14"/>
      <c r="AI22" s="9"/>
      <c r="AJ22" s="21" t="str">
        <f>IF(COUNTA(AA22:AH22)=0,"",IF(AA22="","E_MISSING_INPUT",IF(AA22="TIMESTAMP",IF(OR(AB22="",AC22="",AD22=""),"E_MISSING_INPUT",IF(OR(NOT(ISNUMBER(AB22)),NOT(ISNUMBER(AC22))),"E_INVALID_DATE",IF(OR(AB22&lt;&gt;INT(AB22),AC22&lt;0,AC22&gt;=1),"E_INVALID_DATE",IF(ISNA(MATCH(AD22,nLIST_Offset,0)),"E_INVALID_UNIT","")))),IF(AA22="DATE",IF(AB22="","E_MISSING_INPUT",IF(NOT(ISNUMBER(AB22)),"E_INVALID_DATE",IF(AB22&lt;&gt;INT(AB22),"E_INVALID_DATE",""))),IF(AA22="MONTH",IF(OR(AE22="",AF22=""),"E_MISSING_INPUT",IF(OR(NOT(ISNUMBER(AE22)),NOT(ISNUMBER(AF22))),"E_INVALID_DATE",IF(OR(AE22&lt;1900,AE22&gt;9999,AE22&lt;&gt;INT(AE22),AF22&lt;1,AF22&gt;12,AF22&lt;&gt;INT(AF22)),"E_INVALID_DATE",""))),IF(AA22="YEAR",IF(AE22="","E_MISSING_INPUT",IF(NOT(ISNUMBER(AE22)),"E_INVALID_DATE",IF(OR(AE22&lt;1900,AE22&gt;9999,AE22&lt;&gt;INT(AE22)),"E_INVALID_DATE",""))),IF(AA22="RANGE",IF(OR(AG22="",AH22=""),"E_MISSING_INPUT",IF(OR(NOT(ISNUMBER(AG22)),NOT(ISNUMBER(AH22))),"E_INVALID_DATE",IF(OR(AG22&lt;&gt;INT(AG22),AH22&lt;&gt;INT(AH22)),"E_INVALID_DATE",IF(AG22&gt;AH22,"E_REVERSED_BOUNDS","")))),"E_INVALID_UNIT")))))))</f>
        <v/>
      </c>
      <c r="AK22" s="22">
        <f t="shared" si="20"/>
        <v>0</v>
      </c>
      <c r="AL22" s="22">
        <f t="shared" si="21"/>
        <v>0</v>
      </c>
      <c r="AM22" s="28" t="str">
        <f t="shared" si="22"/>
        <v/>
      </c>
      <c r="AN22" s="28" t="str">
        <f t="shared" si="23"/>
        <v/>
      </c>
      <c r="AO22" s="22" t="str">
        <f t="shared" si="24"/>
        <v/>
      </c>
      <c r="AP22" s="22" t="str">
        <f t="shared" si="25"/>
        <v/>
      </c>
      <c r="AQ22" s="21" t="str">
        <f t="shared" si="26"/>
        <v>EX-C04|2|EV-1</v>
      </c>
      <c r="AR22" s="22">
        <f>IF(AQ22="",0,COUNTIF(nEVT_Key,AQ22))</f>
        <v>1</v>
      </c>
      <c r="AS22" s="21" t="str">
        <f t="shared" si="27"/>
        <v/>
      </c>
      <c r="AT22" s="21" t="str">
        <f>IF(AS22="","",AS22&amp;": "&amp;SUBSTITUTE(IFERROR(INDEX(nMSG_Text,MATCH(AS22,nMSG_Code,0)),""),"[input]",IF(D22="","an Episode_ID","the date fields required by the selected precision")))</f>
        <v/>
      </c>
    </row>
    <row r="23" spans="1:46" x14ac:dyDescent="0.2">
      <c r="A23" s="9" t="s">
        <v>299</v>
      </c>
      <c r="B23" s="11">
        <v>2</v>
      </c>
      <c r="C23" s="9" t="s">
        <v>662</v>
      </c>
      <c r="D23" s="9" t="s">
        <v>671</v>
      </c>
      <c r="E23" s="9" t="s">
        <v>673</v>
      </c>
      <c r="F23" s="9" t="s">
        <v>672</v>
      </c>
      <c r="G23" s="16"/>
      <c r="H23" s="9"/>
      <c r="I23" s="9" t="s">
        <v>675</v>
      </c>
      <c r="J23" s="16" t="s">
        <v>7</v>
      </c>
      <c r="K23" s="14"/>
      <c r="L23" s="25"/>
      <c r="M23" s="9"/>
      <c r="N23" s="11"/>
      <c r="O23" s="11"/>
      <c r="P23" s="14">
        <v>46062</v>
      </c>
      <c r="Q23" s="14">
        <v>46154</v>
      </c>
      <c r="R23" s="9" t="s">
        <v>674</v>
      </c>
      <c r="S23" s="21" t="str">
        <f>IF(COUNTA(J23:Q23)=0,"",IF(J23="","E_MISSING_INPUT",IF(J23="TIMESTAMP",IF(OR(K23="",L23="",M23=""),"E_MISSING_INPUT",IF(OR(NOT(ISNUMBER(K23)),NOT(ISNUMBER(L23))),"E_INVALID_DATE",IF(OR(K23&lt;&gt;INT(K23),L23&lt;0,L23&gt;=1),"E_INVALID_DATE",IF(ISNA(MATCH(M23,nLIST_Offset,0)),"E_INVALID_UNIT","")))),IF(J23="DATE",IF(K23="","E_MISSING_INPUT",IF(NOT(ISNUMBER(K23)),"E_INVALID_DATE",IF(K23&lt;&gt;INT(K23),"E_INVALID_DATE",""))),IF(J23="MONTH",IF(OR(N23="",O23=""),"E_MISSING_INPUT",IF(OR(NOT(ISNUMBER(N23)),NOT(ISNUMBER(O23))),"E_INVALID_DATE",IF(OR(N23&lt;1900,N23&gt;9999,N23&lt;&gt;INT(N23),O23&lt;1,O23&gt;12,O23&lt;&gt;INT(O23)),"E_INVALID_DATE",""))),IF(J23="YEAR",IF(N23="","E_MISSING_INPUT",IF(NOT(ISNUMBER(N23)),"E_INVALID_DATE",IF(OR(N23&lt;1900,N23&gt;9999,N23&lt;&gt;INT(N23)),"E_INVALID_DATE",""))),IF(J23="RANGE",IF(OR(P23="",Q23=""),"E_MISSING_INPUT",IF(OR(NOT(ISNUMBER(P23)),NOT(ISNUMBER(Q23))),"E_INVALID_DATE",IF(OR(P23&lt;&gt;INT(P23),Q23&lt;&gt;INT(Q23)),"E_INVALID_DATE",IF(P23&gt;Q23,"E_REVERSED_BOUNDS","")))),"E_INVALID_UNIT")))))))</f>
        <v/>
      </c>
      <c r="T23" s="22">
        <f t="shared" si="14"/>
        <v>0</v>
      </c>
      <c r="U23" s="22">
        <f t="shared" si="15"/>
        <v>0</v>
      </c>
      <c r="V23" s="28">
        <f t="shared" si="16"/>
        <v>46062</v>
      </c>
      <c r="W23" s="28">
        <f t="shared" si="17"/>
        <v>46154</v>
      </c>
      <c r="X23" s="22" t="str">
        <f t="shared" si="18"/>
        <v/>
      </c>
      <c r="Y23" s="22" t="str">
        <f t="shared" si="19"/>
        <v/>
      </c>
      <c r="Z23" s="9" t="s">
        <v>676</v>
      </c>
      <c r="AA23" s="16" t="s">
        <v>4</v>
      </c>
      <c r="AB23" s="14">
        <v>46154</v>
      </c>
      <c r="AC23" s="25"/>
      <c r="AD23" s="9"/>
      <c r="AE23" s="11"/>
      <c r="AF23" s="11"/>
      <c r="AG23" s="14"/>
      <c r="AH23" s="14"/>
      <c r="AI23" s="9" t="s">
        <v>489</v>
      </c>
      <c r="AJ23" s="21" t="str">
        <f>IF(COUNTA(AA23:AH23)=0,"",IF(AA23="","E_MISSING_INPUT",IF(AA23="TIMESTAMP",IF(OR(AB23="",AC23="",AD23=""),"E_MISSING_INPUT",IF(OR(NOT(ISNUMBER(AB23)),NOT(ISNUMBER(AC23))),"E_INVALID_DATE",IF(OR(AB23&lt;&gt;INT(AB23),AC23&lt;0,AC23&gt;=1),"E_INVALID_DATE",IF(ISNA(MATCH(AD23,nLIST_Offset,0)),"E_INVALID_UNIT","")))),IF(AA23="DATE",IF(AB23="","E_MISSING_INPUT",IF(NOT(ISNUMBER(AB23)),"E_INVALID_DATE",IF(AB23&lt;&gt;INT(AB23),"E_INVALID_DATE",""))),IF(AA23="MONTH",IF(OR(AE23="",AF23=""),"E_MISSING_INPUT",IF(OR(NOT(ISNUMBER(AE23)),NOT(ISNUMBER(AF23))),"E_INVALID_DATE",IF(OR(AE23&lt;1900,AE23&gt;9999,AE23&lt;&gt;INT(AE23),AF23&lt;1,AF23&gt;12,AF23&lt;&gt;INT(AF23)),"E_INVALID_DATE",""))),IF(AA23="YEAR",IF(AE23="","E_MISSING_INPUT",IF(NOT(ISNUMBER(AE23)),"E_INVALID_DATE",IF(OR(AE23&lt;1900,AE23&gt;9999,AE23&lt;&gt;INT(AE23)),"E_INVALID_DATE",""))),IF(AA23="RANGE",IF(OR(AG23="",AH23=""),"E_MISSING_INPUT",IF(OR(NOT(ISNUMBER(AG23)),NOT(ISNUMBER(AH23))),"E_INVALID_DATE",IF(OR(AG23&lt;&gt;INT(AG23),AH23&lt;&gt;INT(AH23)),"E_INVALID_DATE",IF(AG23&gt;AH23,"E_REVERSED_BOUNDS","")))),"E_INVALID_UNIT")))))))</f>
        <v/>
      </c>
      <c r="AK23" s="22">
        <f t="shared" si="20"/>
        <v>0</v>
      </c>
      <c r="AL23" s="22">
        <f t="shared" si="21"/>
        <v>0</v>
      </c>
      <c r="AM23" s="28">
        <f t="shared" si="22"/>
        <v>46154</v>
      </c>
      <c r="AN23" s="28">
        <f t="shared" si="23"/>
        <v>46154</v>
      </c>
      <c r="AO23" s="22" t="str">
        <f t="shared" si="24"/>
        <v/>
      </c>
      <c r="AP23" s="22" t="str">
        <f t="shared" si="25"/>
        <v/>
      </c>
      <c r="AQ23" s="21" t="str">
        <f t="shared" si="26"/>
        <v>EX-C28|2|EV-HBV</v>
      </c>
      <c r="AR23" s="22">
        <f>IF(AQ23="",0,COUNTIF(nEVT_Key,AQ23))</f>
        <v>1</v>
      </c>
      <c r="AS23" s="21" t="str">
        <f t="shared" si="27"/>
        <v/>
      </c>
      <c r="AT23" s="21" t="str">
        <f>IF(AS23="","",AS23&amp;": "&amp;SUBSTITUTE(IFERROR(INDEX(nMSG_Text,MATCH(AS23,nMSG_Code,0)),""),"[input]",IF(D23="","an Episode_ID","the date fields required by the selected precision")))</f>
        <v/>
      </c>
    </row>
    <row r="24" spans="1:46" x14ac:dyDescent="0.2">
      <c r="A24" s="24" t="s">
        <v>289</v>
      </c>
      <c r="B24" s="23"/>
      <c r="C24" s="23"/>
      <c r="D24" s="23"/>
      <c r="E24" s="23"/>
      <c r="F24" s="23"/>
      <c r="G24" s="23"/>
      <c r="H24" s="23"/>
      <c r="I24" s="23"/>
      <c r="J24" s="23"/>
      <c r="K24" s="23"/>
      <c r="L24" s="23"/>
      <c r="M24" s="23"/>
      <c r="N24" s="23"/>
      <c r="O24" s="23"/>
      <c r="P24" s="23"/>
      <c r="Q24" s="23"/>
      <c r="R24" s="23"/>
      <c r="S24" s="23"/>
      <c r="T24" s="23"/>
      <c r="U24" s="23"/>
      <c r="V24" s="23"/>
      <c r="W24" s="23"/>
      <c r="X24" s="23"/>
      <c r="Y24" s="23"/>
      <c r="Z24" s="23"/>
      <c r="AA24" s="23"/>
      <c r="AB24" s="23"/>
      <c r="AC24" s="23"/>
      <c r="AD24" s="23"/>
      <c r="AE24" s="23"/>
      <c r="AF24" s="23"/>
      <c r="AG24" s="23"/>
      <c r="AH24" s="23"/>
      <c r="AI24" s="23"/>
      <c r="AJ24" s="23"/>
      <c r="AK24" s="23"/>
      <c r="AL24" s="23"/>
      <c r="AM24" s="23"/>
      <c r="AN24" s="23"/>
      <c r="AO24" s="23"/>
      <c r="AP24" s="23"/>
      <c r="AQ24" s="23"/>
      <c r="AR24" s="23"/>
      <c r="AS24" s="23"/>
      <c r="AT24" s="23"/>
    </row>
    <row r="25" spans="1:46" x14ac:dyDescent="0.2">
      <c r="A25" s="9" t="s">
        <v>302</v>
      </c>
      <c r="B25" s="11">
        <v>1</v>
      </c>
      <c r="C25" s="9" t="s">
        <v>662</v>
      </c>
      <c r="D25" s="9" t="s">
        <v>677</v>
      </c>
      <c r="E25" s="9" t="s">
        <v>678</v>
      </c>
      <c r="F25" s="9"/>
      <c r="G25" s="16"/>
      <c r="H25" s="9"/>
      <c r="I25" s="9" t="s">
        <v>679</v>
      </c>
      <c r="J25" s="16" t="s">
        <v>3</v>
      </c>
      <c r="K25" s="14">
        <v>46032</v>
      </c>
      <c r="L25" s="25">
        <v>0.38541666666666602</v>
      </c>
      <c r="M25" s="9" t="s">
        <v>18</v>
      </c>
      <c r="N25" s="11"/>
      <c r="O25" s="11"/>
      <c r="P25" s="14"/>
      <c r="Q25" s="14"/>
      <c r="R25" s="9" t="s">
        <v>497</v>
      </c>
      <c r="S25" s="21" t="str">
        <f>IF(COUNTA(J25:Q25)=0,"",IF(J25="","E_MISSING_INPUT",IF(J25="TIMESTAMP",IF(OR(K25="",L25="",M25=""),"E_MISSING_INPUT",IF(OR(NOT(ISNUMBER(K25)),NOT(ISNUMBER(L25))),"E_INVALID_DATE",IF(OR(K25&lt;&gt;INT(K25),L25&lt;0,L25&gt;=1),"E_INVALID_DATE",IF(ISNA(MATCH(M25,nLIST_Offset,0)),"E_INVALID_UNIT","")))),IF(J25="DATE",IF(K25="","E_MISSING_INPUT",IF(NOT(ISNUMBER(K25)),"E_INVALID_DATE",IF(K25&lt;&gt;INT(K25),"E_INVALID_DATE",""))),IF(J25="MONTH",IF(OR(N25="",O25=""),"E_MISSING_INPUT",IF(OR(NOT(ISNUMBER(N25)),NOT(ISNUMBER(O25))),"E_INVALID_DATE",IF(OR(N25&lt;1900,N25&gt;9999,N25&lt;&gt;INT(N25),O25&lt;1,O25&gt;12,O25&lt;&gt;INT(O25)),"E_INVALID_DATE",""))),IF(J25="YEAR",IF(N25="","E_MISSING_INPUT",IF(NOT(ISNUMBER(N25)),"E_INVALID_DATE",IF(OR(N25&lt;1900,N25&gt;9999,N25&lt;&gt;INT(N25)),"E_INVALID_DATE",""))),IF(J25="RANGE",IF(OR(P25="",Q25=""),"E_MISSING_INPUT",IF(OR(NOT(ISNUMBER(P25)),NOT(ISNUMBER(Q25))),"E_INVALID_DATE",IF(OR(P25&lt;&gt;INT(P25),Q25&lt;&gt;INT(Q25)),"E_INVALID_DATE",IF(P25&gt;Q25,"E_REVERSED_BOUNDS","")))),"E_INVALID_UNIT")))))))</f>
        <v/>
      </c>
      <c r="T25" s="22">
        <f t="shared" ref="T25:T41" si="28">IF(AND(S25="",J25="TIMESTAMP"),1,0)</f>
        <v>1</v>
      </c>
      <c r="U25" s="22">
        <f t="shared" ref="U25:U41" si="29">IF(AND(T25=1,M25&lt;&gt;"unknown"),1,0)</f>
        <v>1</v>
      </c>
      <c r="V25" s="28">
        <f t="shared" ref="V25:V41" si="30">IF(OR(S25&lt;&gt;"",J25=""),"",IF(OR(J25="TIMESTAMP",J25="DATE"),K25,IF(J25="MONTH",DATE(N25,O25,1),IF(J25="YEAR",DATE(N25,1,1),P25))))</f>
        <v>46032</v>
      </c>
      <c r="W25" s="28">
        <f t="shared" ref="W25:W41" si="31">IF(OR(S25&lt;&gt;"",J25=""),"",IF(OR(J25="TIMESTAMP",J25="DATE"),K25,IF(J25="MONTH",EOMONTH(DATE(N25,O25,1),0),IF(J25="YEAR",DATE(N25,12,31),Q25))))</f>
        <v>46032</v>
      </c>
      <c r="X25" s="22">
        <f t="shared" ref="X25:X41" si="32">IF(T25=1,K25*1440+ROUND(L25*1440,0),"")</f>
        <v>66286635</v>
      </c>
      <c r="Y25" s="22">
        <f t="shared" ref="Y25:Y41" si="33">IF(U25=1,X25-(IF(LEFT(M25,1)="-",-1,1)*(VALUE(MID(M25,2,2))*60+VALUE(MID(M25,5,2)))),"")</f>
        <v>66286935</v>
      </c>
      <c r="Z25" s="9"/>
      <c r="AA25" s="16"/>
      <c r="AB25" s="14"/>
      <c r="AC25" s="25"/>
      <c r="AD25" s="9"/>
      <c r="AE25" s="11"/>
      <c r="AF25" s="11"/>
      <c r="AG25" s="14"/>
      <c r="AH25" s="14"/>
      <c r="AI25" s="9"/>
      <c r="AJ25" s="21" t="str">
        <f>IF(COUNTA(AA25:AH25)=0,"",IF(AA25="","E_MISSING_INPUT",IF(AA25="TIMESTAMP",IF(OR(AB25="",AC25="",AD25=""),"E_MISSING_INPUT",IF(OR(NOT(ISNUMBER(AB25)),NOT(ISNUMBER(AC25))),"E_INVALID_DATE",IF(OR(AB25&lt;&gt;INT(AB25),AC25&lt;0,AC25&gt;=1),"E_INVALID_DATE",IF(ISNA(MATCH(AD25,nLIST_Offset,0)),"E_INVALID_UNIT","")))),IF(AA25="DATE",IF(AB25="","E_MISSING_INPUT",IF(NOT(ISNUMBER(AB25)),"E_INVALID_DATE",IF(AB25&lt;&gt;INT(AB25),"E_INVALID_DATE",""))),IF(AA25="MONTH",IF(OR(AE25="",AF25=""),"E_MISSING_INPUT",IF(OR(NOT(ISNUMBER(AE25)),NOT(ISNUMBER(AF25))),"E_INVALID_DATE",IF(OR(AE25&lt;1900,AE25&gt;9999,AE25&lt;&gt;INT(AE25),AF25&lt;1,AF25&gt;12,AF25&lt;&gt;INT(AF25)),"E_INVALID_DATE",""))),IF(AA25="YEAR",IF(AE25="","E_MISSING_INPUT",IF(NOT(ISNUMBER(AE25)),"E_INVALID_DATE",IF(OR(AE25&lt;1900,AE25&gt;9999,AE25&lt;&gt;INT(AE25)),"E_INVALID_DATE",""))),IF(AA25="RANGE",IF(OR(AG25="",AH25=""),"E_MISSING_INPUT",IF(OR(NOT(ISNUMBER(AG25)),NOT(ISNUMBER(AH25))),"E_INVALID_DATE",IF(OR(AG25&lt;&gt;INT(AG25),AH25&lt;&gt;INT(AH25)),"E_INVALID_DATE",IF(AG25&gt;AH25,"E_REVERSED_BOUNDS","")))),"E_INVALID_UNIT")))))))</f>
        <v/>
      </c>
      <c r="AK25" s="22">
        <f t="shared" ref="AK25:AK41" si="34">IF(AND(AJ25="",AA25="TIMESTAMP"),1,0)</f>
        <v>0</v>
      </c>
      <c r="AL25" s="22">
        <f t="shared" ref="AL25:AL41" si="35">IF(AND(AK25=1,AD25&lt;&gt;"unknown"),1,0)</f>
        <v>0</v>
      </c>
      <c r="AM25" s="28" t="str">
        <f t="shared" ref="AM25:AM41" si="36">IF(OR(AJ25&lt;&gt;"",AA25=""),"",IF(OR(AA25="TIMESTAMP",AA25="DATE"),AB25,IF(AA25="MONTH",DATE(AE25,AF25,1),IF(AA25="YEAR",DATE(AE25,1,1),AG25))))</f>
        <v/>
      </c>
      <c r="AN25" s="28" t="str">
        <f t="shared" ref="AN25:AN41" si="37">IF(OR(AJ25&lt;&gt;"",AA25=""),"",IF(OR(AA25="TIMESTAMP",AA25="DATE"),AB25,IF(AA25="MONTH",EOMONTH(DATE(AE25,AF25,1),0),IF(AA25="YEAR",DATE(AE25,12,31),AH25))))</f>
        <v/>
      </c>
      <c r="AO25" s="22" t="str">
        <f t="shared" ref="AO25:AO41" si="38">IF(AK25=1,AB25*1440+ROUND(AC25*1440,0),"")</f>
        <v/>
      </c>
      <c r="AP25" s="22" t="str">
        <f t="shared" ref="AP25:AP41" si="39">IF(AL25=1,AO25-(IF(LEFT(AD25,1)="-",-1,1)*(VALUE(MID(AD25,2,2))*60+VALUE(MID(AD25,5,2)))),"")</f>
        <v/>
      </c>
      <c r="AQ25" s="21" t="str">
        <f t="shared" ref="AQ25:AQ41" si="40">IF(D25="","",A25&amp;"|"&amp;B25&amp;"|"&amp;D25)</f>
        <v>VEC-V01|1|EV1</v>
      </c>
      <c r="AR25" s="22">
        <f>IF(AQ25="",0,COUNTIF(nEVT_Key,AQ25))</f>
        <v>1</v>
      </c>
      <c r="AS25" s="21" t="str">
        <f t="shared" ref="AS25:AS41" si="41">IF(D25="",IF(COUNTA(E25,J25,K25)&gt;0,"E_MISSING_INPUT",""),IF(AR25&gt;1,"E_DUPLICATE_ID",IF(S25&lt;&gt;"",S25,AJ25)))</f>
        <v/>
      </c>
      <c r="AT25" s="21" t="str">
        <f>IF(AS25="","",AS25&amp;": "&amp;SUBSTITUTE(IFERROR(INDEX(nMSG_Text,MATCH(AS25,nMSG_Code,0)),""),"[input]",IF(D25="","an Episode_ID","the date fields required by the selected precision")))</f>
        <v/>
      </c>
    </row>
    <row r="26" spans="1:46" x14ac:dyDescent="0.2">
      <c r="A26" s="9" t="s">
        <v>305</v>
      </c>
      <c r="B26" s="11">
        <v>1</v>
      </c>
      <c r="C26" s="9" t="s">
        <v>662</v>
      </c>
      <c r="D26" s="9" t="s">
        <v>677</v>
      </c>
      <c r="E26" s="9" t="s">
        <v>678</v>
      </c>
      <c r="F26" s="9"/>
      <c r="G26" s="16"/>
      <c r="H26" s="9"/>
      <c r="I26" s="9" t="s">
        <v>680</v>
      </c>
      <c r="J26" s="16" t="s">
        <v>4</v>
      </c>
      <c r="K26" s="14">
        <v>46028</v>
      </c>
      <c r="L26" s="25"/>
      <c r="M26" s="9"/>
      <c r="N26" s="11"/>
      <c r="O26" s="11"/>
      <c r="P26" s="14"/>
      <c r="Q26" s="14"/>
      <c r="R26" s="9" t="s">
        <v>499</v>
      </c>
      <c r="S26" s="21" t="str">
        <f>IF(COUNTA(J26:Q26)=0,"",IF(J26="","E_MISSING_INPUT",IF(J26="TIMESTAMP",IF(OR(K26="",L26="",M26=""),"E_MISSING_INPUT",IF(OR(NOT(ISNUMBER(K26)),NOT(ISNUMBER(L26))),"E_INVALID_DATE",IF(OR(K26&lt;&gt;INT(K26),L26&lt;0,L26&gt;=1),"E_INVALID_DATE",IF(ISNA(MATCH(M26,nLIST_Offset,0)),"E_INVALID_UNIT","")))),IF(J26="DATE",IF(K26="","E_MISSING_INPUT",IF(NOT(ISNUMBER(K26)),"E_INVALID_DATE",IF(K26&lt;&gt;INT(K26),"E_INVALID_DATE",""))),IF(J26="MONTH",IF(OR(N26="",O26=""),"E_MISSING_INPUT",IF(OR(NOT(ISNUMBER(N26)),NOT(ISNUMBER(O26))),"E_INVALID_DATE",IF(OR(N26&lt;1900,N26&gt;9999,N26&lt;&gt;INT(N26),O26&lt;1,O26&gt;12,O26&lt;&gt;INT(O26)),"E_INVALID_DATE",""))),IF(J26="YEAR",IF(N26="","E_MISSING_INPUT",IF(NOT(ISNUMBER(N26)),"E_INVALID_DATE",IF(OR(N26&lt;1900,N26&gt;9999,N26&lt;&gt;INT(N26)),"E_INVALID_DATE",""))),IF(J26="RANGE",IF(OR(P26="",Q26=""),"E_MISSING_INPUT",IF(OR(NOT(ISNUMBER(P26)),NOT(ISNUMBER(Q26))),"E_INVALID_DATE",IF(OR(P26&lt;&gt;INT(P26),Q26&lt;&gt;INT(Q26)),"E_INVALID_DATE",IF(P26&gt;Q26,"E_REVERSED_BOUNDS","")))),"E_INVALID_UNIT")))))))</f>
        <v/>
      </c>
      <c r="T26" s="22">
        <f t="shared" si="28"/>
        <v>0</v>
      </c>
      <c r="U26" s="22">
        <f t="shared" si="29"/>
        <v>0</v>
      </c>
      <c r="V26" s="28">
        <f t="shared" si="30"/>
        <v>46028</v>
      </c>
      <c r="W26" s="28">
        <f t="shared" si="31"/>
        <v>46028</v>
      </c>
      <c r="X26" s="22" t="str">
        <f t="shared" si="32"/>
        <v/>
      </c>
      <c r="Y26" s="22" t="str">
        <f t="shared" si="33"/>
        <v/>
      </c>
      <c r="Z26" s="9"/>
      <c r="AA26" s="16"/>
      <c r="AB26" s="14"/>
      <c r="AC26" s="25"/>
      <c r="AD26" s="9"/>
      <c r="AE26" s="11"/>
      <c r="AF26" s="11"/>
      <c r="AG26" s="14"/>
      <c r="AH26" s="14"/>
      <c r="AI26" s="9"/>
      <c r="AJ26" s="21" t="str">
        <f>IF(COUNTA(AA26:AH26)=0,"",IF(AA26="","E_MISSING_INPUT",IF(AA26="TIMESTAMP",IF(OR(AB26="",AC26="",AD26=""),"E_MISSING_INPUT",IF(OR(NOT(ISNUMBER(AB26)),NOT(ISNUMBER(AC26))),"E_INVALID_DATE",IF(OR(AB26&lt;&gt;INT(AB26),AC26&lt;0,AC26&gt;=1),"E_INVALID_DATE",IF(ISNA(MATCH(AD26,nLIST_Offset,0)),"E_INVALID_UNIT","")))),IF(AA26="DATE",IF(AB26="","E_MISSING_INPUT",IF(NOT(ISNUMBER(AB26)),"E_INVALID_DATE",IF(AB26&lt;&gt;INT(AB26),"E_INVALID_DATE",""))),IF(AA26="MONTH",IF(OR(AE26="",AF26=""),"E_MISSING_INPUT",IF(OR(NOT(ISNUMBER(AE26)),NOT(ISNUMBER(AF26))),"E_INVALID_DATE",IF(OR(AE26&lt;1900,AE26&gt;9999,AE26&lt;&gt;INT(AE26),AF26&lt;1,AF26&gt;12,AF26&lt;&gt;INT(AF26)),"E_INVALID_DATE",""))),IF(AA26="YEAR",IF(AE26="","E_MISSING_INPUT",IF(NOT(ISNUMBER(AE26)),"E_INVALID_DATE",IF(OR(AE26&lt;1900,AE26&gt;9999,AE26&lt;&gt;INT(AE26)),"E_INVALID_DATE",""))),IF(AA26="RANGE",IF(OR(AG26="",AH26=""),"E_MISSING_INPUT",IF(OR(NOT(ISNUMBER(AG26)),NOT(ISNUMBER(AH26))),"E_INVALID_DATE",IF(OR(AG26&lt;&gt;INT(AG26),AH26&lt;&gt;INT(AH26)),"E_INVALID_DATE",IF(AG26&gt;AH26,"E_REVERSED_BOUNDS","")))),"E_INVALID_UNIT")))))))</f>
        <v/>
      </c>
      <c r="AK26" s="22">
        <f t="shared" si="34"/>
        <v>0</v>
      </c>
      <c r="AL26" s="22">
        <f t="shared" si="35"/>
        <v>0</v>
      </c>
      <c r="AM26" s="28" t="str">
        <f t="shared" si="36"/>
        <v/>
      </c>
      <c r="AN26" s="28" t="str">
        <f t="shared" si="37"/>
        <v/>
      </c>
      <c r="AO26" s="22" t="str">
        <f t="shared" si="38"/>
        <v/>
      </c>
      <c r="AP26" s="22" t="str">
        <f t="shared" si="39"/>
        <v/>
      </c>
      <c r="AQ26" s="21" t="str">
        <f t="shared" si="40"/>
        <v>VEC-V02|1|EV1</v>
      </c>
      <c r="AR26" s="22">
        <f>IF(AQ26="",0,COUNTIF(nEVT_Key,AQ26))</f>
        <v>1</v>
      </c>
      <c r="AS26" s="21" t="str">
        <f t="shared" si="41"/>
        <v/>
      </c>
      <c r="AT26" s="21" t="str">
        <f>IF(AS26="","",AS26&amp;": "&amp;SUBSTITUTE(IFERROR(INDEX(nMSG_Text,MATCH(AS26,nMSG_Code,0)),""),"[input]",IF(D26="","an Episode_ID","the date fields required by the selected precision")))</f>
        <v/>
      </c>
    </row>
    <row r="27" spans="1:46" x14ac:dyDescent="0.2">
      <c r="A27" s="9" t="s">
        <v>307</v>
      </c>
      <c r="B27" s="11">
        <v>1</v>
      </c>
      <c r="C27" s="9" t="s">
        <v>662</v>
      </c>
      <c r="D27" s="9" t="s">
        <v>677</v>
      </c>
      <c r="E27" s="9" t="s">
        <v>678</v>
      </c>
      <c r="F27" s="9"/>
      <c r="G27" s="16"/>
      <c r="H27" s="9"/>
      <c r="I27" s="9" t="s">
        <v>500</v>
      </c>
      <c r="J27" s="16" t="s">
        <v>4</v>
      </c>
      <c r="K27" s="14">
        <v>46027</v>
      </c>
      <c r="L27" s="25"/>
      <c r="M27" s="9"/>
      <c r="N27" s="11"/>
      <c r="O27" s="11"/>
      <c r="P27" s="14"/>
      <c r="Q27" s="14"/>
      <c r="R27" s="9" t="s">
        <v>501</v>
      </c>
      <c r="S27" s="21" t="str">
        <f>IF(COUNTA(J27:Q27)=0,"",IF(J27="","E_MISSING_INPUT",IF(J27="TIMESTAMP",IF(OR(K27="",L27="",M27=""),"E_MISSING_INPUT",IF(OR(NOT(ISNUMBER(K27)),NOT(ISNUMBER(L27))),"E_INVALID_DATE",IF(OR(K27&lt;&gt;INT(K27),L27&lt;0,L27&gt;=1),"E_INVALID_DATE",IF(ISNA(MATCH(M27,nLIST_Offset,0)),"E_INVALID_UNIT","")))),IF(J27="DATE",IF(K27="","E_MISSING_INPUT",IF(NOT(ISNUMBER(K27)),"E_INVALID_DATE",IF(K27&lt;&gt;INT(K27),"E_INVALID_DATE",""))),IF(J27="MONTH",IF(OR(N27="",O27=""),"E_MISSING_INPUT",IF(OR(NOT(ISNUMBER(N27)),NOT(ISNUMBER(O27))),"E_INVALID_DATE",IF(OR(N27&lt;1900,N27&gt;9999,N27&lt;&gt;INT(N27),O27&lt;1,O27&gt;12,O27&lt;&gt;INT(O27)),"E_INVALID_DATE",""))),IF(J27="YEAR",IF(N27="","E_MISSING_INPUT",IF(NOT(ISNUMBER(N27)),"E_INVALID_DATE",IF(OR(N27&lt;1900,N27&gt;9999,N27&lt;&gt;INT(N27)),"E_INVALID_DATE",""))),IF(J27="RANGE",IF(OR(P27="",Q27=""),"E_MISSING_INPUT",IF(OR(NOT(ISNUMBER(P27)),NOT(ISNUMBER(Q27))),"E_INVALID_DATE",IF(OR(P27&lt;&gt;INT(P27),Q27&lt;&gt;INT(Q27)),"E_INVALID_DATE",IF(P27&gt;Q27,"E_REVERSED_BOUNDS","")))),"E_INVALID_UNIT")))))))</f>
        <v/>
      </c>
      <c r="T27" s="22">
        <f t="shared" si="28"/>
        <v>0</v>
      </c>
      <c r="U27" s="22">
        <f t="shared" si="29"/>
        <v>0</v>
      </c>
      <c r="V27" s="28">
        <f t="shared" si="30"/>
        <v>46027</v>
      </c>
      <c r="W27" s="28">
        <f t="shared" si="31"/>
        <v>46027</v>
      </c>
      <c r="X27" s="22" t="str">
        <f t="shared" si="32"/>
        <v/>
      </c>
      <c r="Y27" s="22" t="str">
        <f t="shared" si="33"/>
        <v/>
      </c>
      <c r="Z27" s="9"/>
      <c r="AA27" s="16"/>
      <c r="AB27" s="14"/>
      <c r="AC27" s="25"/>
      <c r="AD27" s="9"/>
      <c r="AE27" s="11"/>
      <c r="AF27" s="11"/>
      <c r="AG27" s="14"/>
      <c r="AH27" s="14"/>
      <c r="AI27" s="9"/>
      <c r="AJ27" s="21" t="str">
        <f>IF(COUNTA(AA27:AH27)=0,"",IF(AA27="","E_MISSING_INPUT",IF(AA27="TIMESTAMP",IF(OR(AB27="",AC27="",AD27=""),"E_MISSING_INPUT",IF(OR(NOT(ISNUMBER(AB27)),NOT(ISNUMBER(AC27))),"E_INVALID_DATE",IF(OR(AB27&lt;&gt;INT(AB27),AC27&lt;0,AC27&gt;=1),"E_INVALID_DATE",IF(ISNA(MATCH(AD27,nLIST_Offset,0)),"E_INVALID_UNIT","")))),IF(AA27="DATE",IF(AB27="","E_MISSING_INPUT",IF(NOT(ISNUMBER(AB27)),"E_INVALID_DATE",IF(AB27&lt;&gt;INT(AB27),"E_INVALID_DATE",""))),IF(AA27="MONTH",IF(OR(AE27="",AF27=""),"E_MISSING_INPUT",IF(OR(NOT(ISNUMBER(AE27)),NOT(ISNUMBER(AF27))),"E_INVALID_DATE",IF(OR(AE27&lt;1900,AE27&gt;9999,AE27&lt;&gt;INT(AE27),AF27&lt;1,AF27&gt;12,AF27&lt;&gt;INT(AF27)),"E_INVALID_DATE",""))),IF(AA27="YEAR",IF(AE27="","E_MISSING_INPUT",IF(NOT(ISNUMBER(AE27)),"E_INVALID_DATE",IF(OR(AE27&lt;1900,AE27&gt;9999,AE27&lt;&gt;INT(AE27)),"E_INVALID_DATE",""))),IF(AA27="RANGE",IF(OR(AG27="",AH27=""),"E_MISSING_INPUT",IF(OR(NOT(ISNUMBER(AG27)),NOT(ISNUMBER(AH27))),"E_INVALID_DATE",IF(OR(AG27&lt;&gt;INT(AG27),AH27&lt;&gt;INT(AH27)),"E_INVALID_DATE",IF(AG27&gt;AH27,"E_REVERSED_BOUNDS","")))),"E_INVALID_UNIT")))))))</f>
        <v/>
      </c>
      <c r="AK27" s="22">
        <f t="shared" si="34"/>
        <v>0</v>
      </c>
      <c r="AL27" s="22">
        <f t="shared" si="35"/>
        <v>0</v>
      </c>
      <c r="AM27" s="28" t="str">
        <f t="shared" si="36"/>
        <v/>
      </c>
      <c r="AN27" s="28" t="str">
        <f t="shared" si="37"/>
        <v/>
      </c>
      <c r="AO27" s="22" t="str">
        <f t="shared" si="38"/>
        <v/>
      </c>
      <c r="AP27" s="22" t="str">
        <f t="shared" si="39"/>
        <v/>
      </c>
      <c r="AQ27" s="21" t="str">
        <f t="shared" si="40"/>
        <v>VEC-V03|1|EV1</v>
      </c>
      <c r="AR27" s="22">
        <f>IF(AQ27="",0,COUNTIF(nEVT_Key,AQ27))</f>
        <v>1</v>
      </c>
      <c r="AS27" s="21" t="str">
        <f t="shared" si="41"/>
        <v/>
      </c>
      <c r="AT27" s="21" t="str">
        <f>IF(AS27="","",AS27&amp;": "&amp;SUBSTITUTE(IFERROR(INDEX(nMSG_Text,MATCH(AS27,nMSG_Code,0)),""),"[input]",IF(D27="","an Episode_ID","the date fields required by the selected precision")))</f>
        <v/>
      </c>
    </row>
    <row r="28" spans="1:46" x14ac:dyDescent="0.2">
      <c r="A28" s="9" t="s">
        <v>309</v>
      </c>
      <c r="B28" s="11">
        <v>1</v>
      </c>
      <c r="C28" s="9" t="s">
        <v>662</v>
      </c>
      <c r="D28" s="9" t="s">
        <v>677</v>
      </c>
      <c r="E28" s="9" t="s">
        <v>678</v>
      </c>
      <c r="F28" s="9"/>
      <c r="G28" s="16"/>
      <c r="H28" s="9"/>
      <c r="I28" s="9" t="s">
        <v>681</v>
      </c>
      <c r="J28" s="16" t="s">
        <v>4</v>
      </c>
      <c r="K28" s="14">
        <v>45352</v>
      </c>
      <c r="L28" s="25"/>
      <c r="M28" s="9"/>
      <c r="N28" s="11"/>
      <c r="O28" s="11"/>
      <c r="P28" s="14"/>
      <c r="Q28" s="14"/>
      <c r="R28" s="9" t="s">
        <v>503</v>
      </c>
      <c r="S28" s="21" t="str">
        <f>IF(COUNTA(J28:Q28)=0,"",IF(J28="","E_MISSING_INPUT",IF(J28="TIMESTAMP",IF(OR(K28="",L28="",M28=""),"E_MISSING_INPUT",IF(OR(NOT(ISNUMBER(K28)),NOT(ISNUMBER(L28))),"E_INVALID_DATE",IF(OR(K28&lt;&gt;INT(K28),L28&lt;0,L28&gt;=1),"E_INVALID_DATE",IF(ISNA(MATCH(M28,nLIST_Offset,0)),"E_INVALID_UNIT","")))),IF(J28="DATE",IF(K28="","E_MISSING_INPUT",IF(NOT(ISNUMBER(K28)),"E_INVALID_DATE",IF(K28&lt;&gt;INT(K28),"E_INVALID_DATE",""))),IF(J28="MONTH",IF(OR(N28="",O28=""),"E_MISSING_INPUT",IF(OR(NOT(ISNUMBER(N28)),NOT(ISNUMBER(O28))),"E_INVALID_DATE",IF(OR(N28&lt;1900,N28&gt;9999,N28&lt;&gt;INT(N28),O28&lt;1,O28&gt;12,O28&lt;&gt;INT(O28)),"E_INVALID_DATE",""))),IF(J28="YEAR",IF(N28="","E_MISSING_INPUT",IF(NOT(ISNUMBER(N28)),"E_INVALID_DATE",IF(OR(N28&lt;1900,N28&gt;9999,N28&lt;&gt;INT(N28)),"E_INVALID_DATE",""))),IF(J28="RANGE",IF(OR(P28="",Q28=""),"E_MISSING_INPUT",IF(OR(NOT(ISNUMBER(P28)),NOT(ISNUMBER(Q28))),"E_INVALID_DATE",IF(OR(P28&lt;&gt;INT(P28),Q28&lt;&gt;INT(Q28)),"E_INVALID_DATE",IF(P28&gt;Q28,"E_REVERSED_BOUNDS","")))),"E_INVALID_UNIT")))))))</f>
        <v/>
      </c>
      <c r="T28" s="22">
        <f t="shared" si="28"/>
        <v>0</v>
      </c>
      <c r="U28" s="22">
        <f t="shared" si="29"/>
        <v>0</v>
      </c>
      <c r="V28" s="28">
        <f t="shared" si="30"/>
        <v>45352</v>
      </c>
      <c r="W28" s="28">
        <f t="shared" si="31"/>
        <v>45352</v>
      </c>
      <c r="X28" s="22" t="str">
        <f t="shared" si="32"/>
        <v/>
      </c>
      <c r="Y28" s="22" t="str">
        <f t="shared" si="33"/>
        <v/>
      </c>
      <c r="Z28" s="9"/>
      <c r="AA28" s="16"/>
      <c r="AB28" s="14"/>
      <c r="AC28" s="25"/>
      <c r="AD28" s="9"/>
      <c r="AE28" s="11"/>
      <c r="AF28" s="11"/>
      <c r="AG28" s="14"/>
      <c r="AH28" s="14"/>
      <c r="AI28" s="9"/>
      <c r="AJ28" s="21" t="str">
        <f>IF(COUNTA(AA28:AH28)=0,"",IF(AA28="","E_MISSING_INPUT",IF(AA28="TIMESTAMP",IF(OR(AB28="",AC28="",AD28=""),"E_MISSING_INPUT",IF(OR(NOT(ISNUMBER(AB28)),NOT(ISNUMBER(AC28))),"E_INVALID_DATE",IF(OR(AB28&lt;&gt;INT(AB28),AC28&lt;0,AC28&gt;=1),"E_INVALID_DATE",IF(ISNA(MATCH(AD28,nLIST_Offset,0)),"E_INVALID_UNIT","")))),IF(AA28="DATE",IF(AB28="","E_MISSING_INPUT",IF(NOT(ISNUMBER(AB28)),"E_INVALID_DATE",IF(AB28&lt;&gt;INT(AB28),"E_INVALID_DATE",""))),IF(AA28="MONTH",IF(OR(AE28="",AF28=""),"E_MISSING_INPUT",IF(OR(NOT(ISNUMBER(AE28)),NOT(ISNUMBER(AF28))),"E_INVALID_DATE",IF(OR(AE28&lt;1900,AE28&gt;9999,AE28&lt;&gt;INT(AE28),AF28&lt;1,AF28&gt;12,AF28&lt;&gt;INT(AF28)),"E_INVALID_DATE",""))),IF(AA28="YEAR",IF(AE28="","E_MISSING_INPUT",IF(NOT(ISNUMBER(AE28)),"E_INVALID_DATE",IF(OR(AE28&lt;1900,AE28&gt;9999,AE28&lt;&gt;INT(AE28)),"E_INVALID_DATE",""))),IF(AA28="RANGE",IF(OR(AG28="",AH28=""),"E_MISSING_INPUT",IF(OR(NOT(ISNUMBER(AG28)),NOT(ISNUMBER(AH28))),"E_INVALID_DATE",IF(OR(AG28&lt;&gt;INT(AG28),AH28&lt;&gt;INT(AH28)),"E_INVALID_DATE",IF(AG28&gt;AH28,"E_REVERSED_BOUNDS","")))),"E_INVALID_UNIT")))))))</f>
        <v/>
      </c>
      <c r="AK28" s="22">
        <f t="shared" si="34"/>
        <v>0</v>
      </c>
      <c r="AL28" s="22">
        <f t="shared" si="35"/>
        <v>0</v>
      </c>
      <c r="AM28" s="28" t="str">
        <f t="shared" si="36"/>
        <v/>
      </c>
      <c r="AN28" s="28" t="str">
        <f t="shared" si="37"/>
        <v/>
      </c>
      <c r="AO28" s="22" t="str">
        <f t="shared" si="38"/>
        <v/>
      </c>
      <c r="AP28" s="22" t="str">
        <f t="shared" si="39"/>
        <v/>
      </c>
      <c r="AQ28" s="21" t="str">
        <f t="shared" si="40"/>
        <v>VEC-V04|1|EV1</v>
      </c>
      <c r="AR28" s="22">
        <f>IF(AQ28="",0,COUNTIF(nEVT_Key,AQ28))</f>
        <v>1</v>
      </c>
      <c r="AS28" s="21" t="str">
        <f t="shared" si="41"/>
        <v/>
      </c>
      <c r="AT28" s="21" t="str">
        <f>IF(AS28="","",AS28&amp;": "&amp;SUBSTITUTE(IFERROR(INDEX(nMSG_Text,MATCH(AS28,nMSG_Code,0)),""),"[input]",IF(D28="","an Episode_ID","the date fields required by the selected precision")))</f>
        <v/>
      </c>
    </row>
    <row r="29" spans="1:46" x14ac:dyDescent="0.2">
      <c r="A29" s="9" t="s">
        <v>311</v>
      </c>
      <c r="B29" s="11">
        <v>1</v>
      </c>
      <c r="C29" s="9" t="s">
        <v>662</v>
      </c>
      <c r="D29" s="9" t="s">
        <v>677</v>
      </c>
      <c r="E29" s="9" t="s">
        <v>678</v>
      </c>
      <c r="F29" s="9"/>
      <c r="G29" s="16"/>
      <c r="H29" s="9"/>
      <c r="I29" s="9" t="s">
        <v>527</v>
      </c>
      <c r="J29" s="16" t="s">
        <v>4</v>
      </c>
      <c r="K29" s="14">
        <v>46037</v>
      </c>
      <c r="L29" s="25"/>
      <c r="M29" s="9"/>
      <c r="N29" s="11"/>
      <c r="O29" s="11"/>
      <c r="P29" s="14"/>
      <c r="Q29" s="14"/>
      <c r="R29" s="9" t="s">
        <v>505</v>
      </c>
      <c r="S29" s="21" t="str">
        <f>IF(COUNTA(J29:Q29)=0,"",IF(J29="","E_MISSING_INPUT",IF(J29="TIMESTAMP",IF(OR(K29="",L29="",M29=""),"E_MISSING_INPUT",IF(OR(NOT(ISNUMBER(K29)),NOT(ISNUMBER(L29))),"E_INVALID_DATE",IF(OR(K29&lt;&gt;INT(K29),L29&lt;0,L29&gt;=1),"E_INVALID_DATE",IF(ISNA(MATCH(M29,nLIST_Offset,0)),"E_INVALID_UNIT","")))),IF(J29="DATE",IF(K29="","E_MISSING_INPUT",IF(NOT(ISNUMBER(K29)),"E_INVALID_DATE",IF(K29&lt;&gt;INT(K29),"E_INVALID_DATE",""))),IF(J29="MONTH",IF(OR(N29="",O29=""),"E_MISSING_INPUT",IF(OR(NOT(ISNUMBER(N29)),NOT(ISNUMBER(O29))),"E_INVALID_DATE",IF(OR(N29&lt;1900,N29&gt;9999,N29&lt;&gt;INT(N29),O29&lt;1,O29&gt;12,O29&lt;&gt;INT(O29)),"E_INVALID_DATE",""))),IF(J29="YEAR",IF(N29="","E_MISSING_INPUT",IF(NOT(ISNUMBER(N29)),"E_INVALID_DATE",IF(OR(N29&lt;1900,N29&gt;9999,N29&lt;&gt;INT(N29)),"E_INVALID_DATE",""))),IF(J29="RANGE",IF(OR(P29="",Q29=""),"E_MISSING_INPUT",IF(OR(NOT(ISNUMBER(P29)),NOT(ISNUMBER(Q29))),"E_INVALID_DATE",IF(OR(P29&lt;&gt;INT(P29),Q29&lt;&gt;INT(Q29)),"E_INVALID_DATE",IF(P29&gt;Q29,"E_REVERSED_BOUNDS","")))),"E_INVALID_UNIT")))))))</f>
        <v/>
      </c>
      <c r="T29" s="22">
        <f t="shared" si="28"/>
        <v>0</v>
      </c>
      <c r="U29" s="22">
        <f t="shared" si="29"/>
        <v>0</v>
      </c>
      <c r="V29" s="28">
        <f t="shared" si="30"/>
        <v>46037</v>
      </c>
      <c r="W29" s="28">
        <f t="shared" si="31"/>
        <v>46037</v>
      </c>
      <c r="X29" s="22" t="str">
        <f t="shared" si="32"/>
        <v/>
      </c>
      <c r="Y29" s="22" t="str">
        <f t="shared" si="33"/>
        <v/>
      </c>
      <c r="Z29" s="9"/>
      <c r="AA29" s="16"/>
      <c r="AB29" s="14"/>
      <c r="AC29" s="25"/>
      <c r="AD29" s="9"/>
      <c r="AE29" s="11"/>
      <c r="AF29" s="11"/>
      <c r="AG29" s="14"/>
      <c r="AH29" s="14"/>
      <c r="AI29" s="9"/>
      <c r="AJ29" s="21" t="str">
        <f>IF(COUNTA(AA29:AH29)=0,"",IF(AA29="","E_MISSING_INPUT",IF(AA29="TIMESTAMP",IF(OR(AB29="",AC29="",AD29=""),"E_MISSING_INPUT",IF(OR(NOT(ISNUMBER(AB29)),NOT(ISNUMBER(AC29))),"E_INVALID_DATE",IF(OR(AB29&lt;&gt;INT(AB29),AC29&lt;0,AC29&gt;=1),"E_INVALID_DATE",IF(ISNA(MATCH(AD29,nLIST_Offset,0)),"E_INVALID_UNIT","")))),IF(AA29="DATE",IF(AB29="","E_MISSING_INPUT",IF(NOT(ISNUMBER(AB29)),"E_INVALID_DATE",IF(AB29&lt;&gt;INT(AB29),"E_INVALID_DATE",""))),IF(AA29="MONTH",IF(OR(AE29="",AF29=""),"E_MISSING_INPUT",IF(OR(NOT(ISNUMBER(AE29)),NOT(ISNUMBER(AF29))),"E_INVALID_DATE",IF(OR(AE29&lt;1900,AE29&gt;9999,AE29&lt;&gt;INT(AE29),AF29&lt;1,AF29&gt;12,AF29&lt;&gt;INT(AF29)),"E_INVALID_DATE",""))),IF(AA29="YEAR",IF(AE29="","E_MISSING_INPUT",IF(NOT(ISNUMBER(AE29)),"E_INVALID_DATE",IF(OR(AE29&lt;1900,AE29&gt;9999,AE29&lt;&gt;INT(AE29)),"E_INVALID_DATE",""))),IF(AA29="RANGE",IF(OR(AG29="",AH29=""),"E_MISSING_INPUT",IF(OR(NOT(ISNUMBER(AG29)),NOT(ISNUMBER(AH29))),"E_INVALID_DATE",IF(OR(AG29&lt;&gt;INT(AG29),AH29&lt;&gt;INT(AH29)),"E_INVALID_DATE",IF(AG29&gt;AH29,"E_REVERSED_BOUNDS","")))),"E_INVALID_UNIT")))))))</f>
        <v/>
      </c>
      <c r="AK29" s="22">
        <f t="shared" si="34"/>
        <v>0</v>
      </c>
      <c r="AL29" s="22">
        <f t="shared" si="35"/>
        <v>0</v>
      </c>
      <c r="AM29" s="28" t="str">
        <f t="shared" si="36"/>
        <v/>
      </c>
      <c r="AN29" s="28" t="str">
        <f t="shared" si="37"/>
        <v/>
      </c>
      <c r="AO29" s="22" t="str">
        <f t="shared" si="38"/>
        <v/>
      </c>
      <c r="AP29" s="22" t="str">
        <f t="shared" si="39"/>
        <v/>
      </c>
      <c r="AQ29" s="21" t="str">
        <f t="shared" si="40"/>
        <v>VEC-V05|1|EV1</v>
      </c>
      <c r="AR29" s="22">
        <f>IF(AQ29="",0,COUNTIF(nEVT_Key,AQ29))</f>
        <v>1</v>
      </c>
      <c r="AS29" s="21" t="str">
        <f t="shared" si="41"/>
        <v/>
      </c>
      <c r="AT29" s="21" t="str">
        <f>IF(AS29="","",AS29&amp;": "&amp;SUBSTITUTE(IFERROR(INDEX(nMSG_Text,MATCH(AS29,nMSG_Code,0)),""),"[input]",IF(D29="","an Episode_ID","the date fields required by the selected precision")))</f>
        <v/>
      </c>
    </row>
    <row r="30" spans="1:46" x14ac:dyDescent="0.2">
      <c r="A30" s="9" t="s">
        <v>313</v>
      </c>
      <c r="B30" s="11">
        <v>1</v>
      </c>
      <c r="C30" s="9" t="s">
        <v>662</v>
      </c>
      <c r="D30" s="9" t="s">
        <v>677</v>
      </c>
      <c r="E30" s="9" t="s">
        <v>678</v>
      </c>
      <c r="F30" s="9"/>
      <c r="G30" s="16"/>
      <c r="H30" s="9"/>
      <c r="I30" s="9" t="s">
        <v>500</v>
      </c>
      <c r="J30" s="16" t="s">
        <v>4</v>
      </c>
      <c r="K30" s="14">
        <v>46027</v>
      </c>
      <c r="L30" s="25"/>
      <c r="M30" s="9"/>
      <c r="N30" s="11"/>
      <c r="O30" s="11"/>
      <c r="P30" s="14"/>
      <c r="Q30" s="14"/>
      <c r="R30" s="9" t="s">
        <v>506</v>
      </c>
      <c r="S30" s="21" t="str">
        <f>IF(COUNTA(J30:Q30)=0,"",IF(J30="","E_MISSING_INPUT",IF(J30="TIMESTAMP",IF(OR(K30="",L30="",M30=""),"E_MISSING_INPUT",IF(OR(NOT(ISNUMBER(K30)),NOT(ISNUMBER(L30))),"E_INVALID_DATE",IF(OR(K30&lt;&gt;INT(K30),L30&lt;0,L30&gt;=1),"E_INVALID_DATE",IF(ISNA(MATCH(M30,nLIST_Offset,0)),"E_INVALID_UNIT","")))),IF(J30="DATE",IF(K30="","E_MISSING_INPUT",IF(NOT(ISNUMBER(K30)),"E_INVALID_DATE",IF(K30&lt;&gt;INT(K30),"E_INVALID_DATE",""))),IF(J30="MONTH",IF(OR(N30="",O30=""),"E_MISSING_INPUT",IF(OR(NOT(ISNUMBER(N30)),NOT(ISNUMBER(O30))),"E_INVALID_DATE",IF(OR(N30&lt;1900,N30&gt;9999,N30&lt;&gt;INT(N30),O30&lt;1,O30&gt;12,O30&lt;&gt;INT(O30)),"E_INVALID_DATE",""))),IF(J30="YEAR",IF(N30="","E_MISSING_INPUT",IF(NOT(ISNUMBER(N30)),"E_INVALID_DATE",IF(OR(N30&lt;1900,N30&gt;9999,N30&lt;&gt;INT(N30)),"E_INVALID_DATE",""))),IF(J30="RANGE",IF(OR(P30="",Q30=""),"E_MISSING_INPUT",IF(OR(NOT(ISNUMBER(P30)),NOT(ISNUMBER(Q30))),"E_INVALID_DATE",IF(OR(P30&lt;&gt;INT(P30),Q30&lt;&gt;INT(Q30)),"E_INVALID_DATE",IF(P30&gt;Q30,"E_REVERSED_BOUNDS","")))),"E_INVALID_UNIT")))))))</f>
        <v/>
      </c>
      <c r="T30" s="22">
        <f t="shared" si="28"/>
        <v>0</v>
      </c>
      <c r="U30" s="22">
        <f t="shared" si="29"/>
        <v>0</v>
      </c>
      <c r="V30" s="28">
        <f t="shared" si="30"/>
        <v>46027</v>
      </c>
      <c r="W30" s="28">
        <f t="shared" si="31"/>
        <v>46027</v>
      </c>
      <c r="X30" s="22" t="str">
        <f t="shared" si="32"/>
        <v/>
      </c>
      <c r="Y30" s="22" t="str">
        <f t="shared" si="33"/>
        <v/>
      </c>
      <c r="Z30" s="9"/>
      <c r="AA30" s="16"/>
      <c r="AB30" s="14"/>
      <c r="AC30" s="25"/>
      <c r="AD30" s="9"/>
      <c r="AE30" s="11"/>
      <c r="AF30" s="11"/>
      <c r="AG30" s="14"/>
      <c r="AH30" s="14"/>
      <c r="AI30" s="9"/>
      <c r="AJ30" s="21" t="str">
        <f>IF(COUNTA(AA30:AH30)=0,"",IF(AA30="","E_MISSING_INPUT",IF(AA30="TIMESTAMP",IF(OR(AB30="",AC30="",AD30=""),"E_MISSING_INPUT",IF(OR(NOT(ISNUMBER(AB30)),NOT(ISNUMBER(AC30))),"E_INVALID_DATE",IF(OR(AB30&lt;&gt;INT(AB30),AC30&lt;0,AC30&gt;=1),"E_INVALID_DATE",IF(ISNA(MATCH(AD30,nLIST_Offset,0)),"E_INVALID_UNIT","")))),IF(AA30="DATE",IF(AB30="","E_MISSING_INPUT",IF(NOT(ISNUMBER(AB30)),"E_INVALID_DATE",IF(AB30&lt;&gt;INT(AB30),"E_INVALID_DATE",""))),IF(AA30="MONTH",IF(OR(AE30="",AF30=""),"E_MISSING_INPUT",IF(OR(NOT(ISNUMBER(AE30)),NOT(ISNUMBER(AF30))),"E_INVALID_DATE",IF(OR(AE30&lt;1900,AE30&gt;9999,AE30&lt;&gt;INT(AE30),AF30&lt;1,AF30&gt;12,AF30&lt;&gt;INT(AF30)),"E_INVALID_DATE",""))),IF(AA30="YEAR",IF(AE30="","E_MISSING_INPUT",IF(NOT(ISNUMBER(AE30)),"E_INVALID_DATE",IF(OR(AE30&lt;1900,AE30&gt;9999,AE30&lt;&gt;INT(AE30)),"E_INVALID_DATE",""))),IF(AA30="RANGE",IF(OR(AG30="",AH30=""),"E_MISSING_INPUT",IF(OR(NOT(ISNUMBER(AG30)),NOT(ISNUMBER(AH30))),"E_INVALID_DATE",IF(OR(AG30&lt;&gt;INT(AG30),AH30&lt;&gt;INT(AH30)),"E_INVALID_DATE",IF(AG30&gt;AH30,"E_REVERSED_BOUNDS","")))),"E_INVALID_UNIT")))))))</f>
        <v/>
      </c>
      <c r="AK30" s="22">
        <f t="shared" si="34"/>
        <v>0</v>
      </c>
      <c r="AL30" s="22">
        <f t="shared" si="35"/>
        <v>0</v>
      </c>
      <c r="AM30" s="28" t="str">
        <f t="shared" si="36"/>
        <v/>
      </c>
      <c r="AN30" s="28" t="str">
        <f t="shared" si="37"/>
        <v/>
      </c>
      <c r="AO30" s="22" t="str">
        <f t="shared" si="38"/>
        <v/>
      </c>
      <c r="AP30" s="22" t="str">
        <f t="shared" si="39"/>
        <v/>
      </c>
      <c r="AQ30" s="21" t="str">
        <f t="shared" si="40"/>
        <v>VEC-V06|1|EV1</v>
      </c>
      <c r="AR30" s="22">
        <f>IF(AQ30="",0,COUNTIF(nEVT_Key,AQ30))</f>
        <v>1</v>
      </c>
      <c r="AS30" s="21" t="str">
        <f t="shared" si="41"/>
        <v/>
      </c>
      <c r="AT30" s="21" t="str">
        <f>IF(AS30="","",AS30&amp;": "&amp;SUBSTITUTE(IFERROR(INDEX(nMSG_Text,MATCH(AS30,nMSG_Code,0)),""),"[input]",IF(D30="","an Episode_ID","the date fields required by the selected precision")))</f>
        <v/>
      </c>
    </row>
    <row r="31" spans="1:46" x14ac:dyDescent="0.2">
      <c r="A31" s="9" t="s">
        <v>315</v>
      </c>
      <c r="B31" s="11">
        <v>1</v>
      </c>
      <c r="C31" s="9" t="s">
        <v>662</v>
      </c>
      <c r="D31" s="9" t="s">
        <v>677</v>
      </c>
      <c r="E31" s="9" t="s">
        <v>678</v>
      </c>
      <c r="F31" s="9"/>
      <c r="G31" s="16"/>
      <c r="H31" s="9"/>
      <c r="I31" s="9" t="s">
        <v>682</v>
      </c>
      <c r="J31" s="16" t="s">
        <v>3</v>
      </c>
      <c r="K31" s="14">
        <v>46083</v>
      </c>
      <c r="L31" s="25">
        <v>0.83333333333333304</v>
      </c>
      <c r="M31" s="9" t="s">
        <v>18</v>
      </c>
      <c r="N31" s="11"/>
      <c r="O31" s="11"/>
      <c r="P31" s="14"/>
      <c r="Q31" s="14"/>
      <c r="R31" s="9" t="s">
        <v>508</v>
      </c>
      <c r="S31" s="21" t="str">
        <f>IF(COUNTA(J31:Q31)=0,"",IF(J31="","E_MISSING_INPUT",IF(J31="TIMESTAMP",IF(OR(K31="",L31="",M31=""),"E_MISSING_INPUT",IF(OR(NOT(ISNUMBER(K31)),NOT(ISNUMBER(L31))),"E_INVALID_DATE",IF(OR(K31&lt;&gt;INT(K31),L31&lt;0,L31&gt;=1),"E_INVALID_DATE",IF(ISNA(MATCH(M31,nLIST_Offset,0)),"E_INVALID_UNIT","")))),IF(J31="DATE",IF(K31="","E_MISSING_INPUT",IF(NOT(ISNUMBER(K31)),"E_INVALID_DATE",IF(K31&lt;&gt;INT(K31),"E_INVALID_DATE",""))),IF(J31="MONTH",IF(OR(N31="",O31=""),"E_MISSING_INPUT",IF(OR(NOT(ISNUMBER(N31)),NOT(ISNUMBER(O31))),"E_INVALID_DATE",IF(OR(N31&lt;1900,N31&gt;9999,N31&lt;&gt;INT(N31),O31&lt;1,O31&gt;12,O31&lt;&gt;INT(O31)),"E_INVALID_DATE",""))),IF(J31="YEAR",IF(N31="","E_MISSING_INPUT",IF(NOT(ISNUMBER(N31)),"E_INVALID_DATE",IF(OR(N31&lt;1900,N31&gt;9999,N31&lt;&gt;INT(N31)),"E_INVALID_DATE",""))),IF(J31="RANGE",IF(OR(P31="",Q31=""),"E_MISSING_INPUT",IF(OR(NOT(ISNUMBER(P31)),NOT(ISNUMBER(Q31))),"E_INVALID_DATE",IF(OR(P31&lt;&gt;INT(P31),Q31&lt;&gt;INT(Q31)),"E_INVALID_DATE",IF(P31&gt;Q31,"E_REVERSED_BOUNDS","")))),"E_INVALID_UNIT")))))))</f>
        <v/>
      </c>
      <c r="T31" s="22">
        <f t="shared" si="28"/>
        <v>1</v>
      </c>
      <c r="U31" s="22">
        <f t="shared" si="29"/>
        <v>1</v>
      </c>
      <c r="V31" s="28">
        <f t="shared" si="30"/>
        <v>46083</v>
      </c>
      <c r="W31" s="28">
        <f t="shared" si="31"/>
        <v>46083</v>
      </c>
      <c r="X31" s="22">
        <f t="shared" si="32"/>
        <v>66360720</v>
      </c>
      <c r="Y31" s="22">
        <f t="shared" si="33"/>
        <v>66361020</v>
      </c>
      <c r="Z31" s="9"/>
      <c r="AA31" s="16"/>
      <c r="AB31" s="14"/>
      <c r="AC31" s="25"/>
      <c r="AD31" s="9"/>
      <c r="AE31" s="11"/>
      <c r="AF31" s="11"/>
      <c r="AG31" s="14"/>
      <c r="AH31" s="14"/>
      <c r="AI31" s="9"/>
      <c r="AJ31" s="21" t="str">
        <f>IF(COUNTA(AA31:AH31)=0,"",IF(AA31="","E_MISSING_INPUT",IF(AA31="TIMESTAMP",IF(OR(AB31="",AC31="",AD31=""),"E_MISSING_INPUT",IF(OR(NOT(ISNUMBER(AB31)),NOT(ISNUMBER(AC31))),"E_INVALID_DATE",IF(OR(AB31&lt;&gt;INT(AB31),AC31&lt;0,AC31&gt;=1),"E_INVALID_DATE",IF(ISNA(MATCH(AD31,nLIST_Offset,0)),"E_INVALID_UNIT","")))),IF(AA31="DATE",IF(AB31="","E_MISSING_INPUT",IF(NOT(ISNUMBER(AB31)),"E_INVALID_DATE",IF(AB31&lt;&gt;INT(AB31),"E_INVALID_DATE",""))),IF(AA31="MONTH",IF(OR(AE31="",AF31=""),"E_MISSING_INPUT",IF(OR(NOT(ISNUMBER(AE31)),NOT(ISNUMBER(AF31))),"E_INVALID_DATE",IF(OR(AE31&lt;1900,AE31&gt;9999,AE31&lt;&gt;INT(AE31),AF31&lt;1,AF31&gt;12,AF31&lt;&gt;INT(AF31)),"E_INVALID_DATE",""))),IF(AA31="YEAR",IF(AE31="","E_MISSING_INPUT",IF(NOT(ISNUMBER(AE31)),"E_INVALID_DATE",IF(OR(AE31&lt;1900,AE31&gt;9999,AE31&lt;&gt;INT(AE31)),"E_INVALID_DATE",""))),IF(AA31="RANGE",IF(OR(AG31="",AH31=""),"E_MISSING_INPUT",IF(OR(NOT(ISNUMBER(AG31)),NOT(ISNUMBER(AH31))),"E_INVALID_DATE",IF(OR(AG31&lt;&gt;INT(AG31),AH31&lt;&gt;INT(AH31)),"E_INVALID_DATE",IF(AG31&gt;AH31,"E_REVERSED_BOUNDS","")))),"E_INVALID_UNIT")))))))</f>
        <v/>
      </c>
      <c r="AK31" s="22">
        <f t="shared" si="34"/>
        <v>0</v>
      </c>
      <c r="AL31" s="22">
        <f t="shared" si="35"/>
        <v>0</v>
      </c>
      <c r="AM31" s="28" t="str">
        <f t="shared" si="36"/>
        <v/>
      </c>
      <c r="AN31" s="28" t="str">
        <f t="shared" si="37"/>
        <v/>
      </c>
      <c r="AO31" s="22" t="str">
        <f t="shared" si="38"/>
        <v/>
      </c>
      <c r="AP31" s="22" t="str">
        <f t="shared" si="39"/>
        <v/>
      </c>
      <c r="AQ31" s="21" t="str">
        <f t="shared" si="40"/>
        <v>VEC-V07|1|EV1</v>
      </c>
      <c r="AR31" s="22">
        <f>IF(AQ31="",0,COUNTIF(nEVT_Key,AQ31))</f>
        <v>1</v>
      </c>
      <c r="AS31" s="21" t="str">
        <f t="shared" si="41"/>
        <v/>
      </c>
      <c r="AT31" s="21" t="str">
        <f>IF(AS31="","",AS31&amp;": "&amp;SUBSTITUTE(IFERROR(INDEX(nMSG_Text,MATCH(AS31,nMSG_Code,0)),""),"[input]",IF(D31="","an Episode_ID","the date fields required by the selected precision")))</f>
        <v/>
      </c>
    </row>
    <row r="32" spans="1:46" x14ac:dyDescent="0.2">
      <c r="A32" s="9" t="s">
        <v>317</v>
      </c>
      <c r="B32" s="11">
        <v>1</v>
      </c>
      <c r="C32" s="9" t="s">
        <v>662</v>
      </c>
      <c r="D32" s="9" t="s">
        <v>677</v>
      </c>
      <c r="E32" s="9" t="s">
        <v>678</v>
      </c>
      <c r="F32" s="9"/>
      <c r="G32" s="16"/>
      <c r="H32" s="9"/>
      <c r="I32" s="9" t="s">
        <v>683</v>
      </c>
      <c r="J32" s="16" t="s">
        <v>4</v>
      </c>
      <c r="K32" s="14">
        <v>46067</v>
      </c>
      <c r="L32" s="25"/>
      <c r="M32" s="9"/>
      <c r="N32" s="11"/>
      <c r="O32" s="11"/>
      <c r="P32" s="14"/>
      <c r="Q32" s="14"/>
      <c r="R32" s="9" t="s">
        <v>510</v>
      </c>
      <c r="S32" s="21" t="str">
        <f>IF(COUNTA(J32:Q32)=0,"",IF(J32="","E_MISSING_INPUT",IF(J32="TIMESTAMP",IF(OR(K32="",L32="",M32=""),"E_MISSING_INPUT",IF(OR(NOT(ISNUMBER(K32)),NOT(ISNUMBER(L32))),"E_INVALID_DATE",IF(OR(K32&lt;&gt;INT(K32),L32&lt;0,L32&gt;=1),"E_INVALID_DATE",IF(ISNA(MATCH(M32,nLIST_Offset,0)),"E_INVALID_UNIT","")))),IF(J32="DATE",IF(K32="","E_MISSING_INPUT",IF(NOT(ISNUMBER(K32)),"E_INVALID_DATE",IF(K32&lt;&gt;INT(K32),"E_INVALID_DATE",""))),IF(J32="MONTH",IF(OR(N32="",O32=""),"E_MISSING_INPUT",IF(OR(NOT(ISNUMBER(N32)),NOT(ISNUMBER(O32))),"E_INVALID_DATE",IF(OR(N32&lt;1900,N32&gt;9999,N32&lt;&gt;INT(N32),O32&lt;1,O32&gt;12,O32&lt;&gt;INT(O32)),"E_INVALID_DATE",""))),IF(J32="YEAR",IF(N32="","E_MISSING_INPUT",IF(NOT(ISNUMBER(N32)),"E_INVALID_DATE",IF(OR(N32&lt;1900,N32&gt;9999,N32&lt;&gt;INT(N32)),"E_INVALID_DATE",""))),IF(J32="RANGE",IF(OR(P32="",Q32=""),"E_MISSING_INPUT",IF(OR(NOT(ISNUMBER(P32)),NOT(ISNUMBER(Q32))),"E_INVALID_DATE",IF(OR(P32&lt;&gt;INT(P32),Q32&lt;&gt;INT(Q32)),"E_INVALID_DATE",IF(P32&gt;Q32,"E_REVERSED_BOUNDS","")))),"E_INVALID_UNIT")))))))</f>
        <v/>
      </c>
      <c r="T32" s="22">
        <f t="shared" si="28"/>
        <v>0</v>
      </c>
      <c r="U32" s="22">
        <f t="shared" si="29"/>
        <v>0</v>
      </c>
      <c r="V32" s="28">
        <f t="shared" si="30"/>
        <v>46067</v>
      </c>
      <c r="W32" s="28">
        <f t="shared" si="31"/>
        <v>46067</v>
      </c>
      <c r="X32" s="22" t="str">
        <f t="shared" si="32"/>
        <v/>
      </c>
      <c r="Y32" s="22" t="str">
        <f t="shared" si="33"/>
        <v/>
      </c>
      <c r="Z32" s="9"/>
      <c r="AA32" s="16"/>
      <c r="AB32" s="14"/>
      <c r="AC32" s="25"/>
      <c r="AD32" s="9"/>
      <c r="AE32" s="11"/>
      <c r="AF32" s="11"/>
      <c r="AG32" s="14"/>
      <c r="AH32" s="14"/>
      <c r="AI32" s="9"/>
      <c r="AJ32" s="21" t="str">
        <f>IF(COUNTA(AA32:AH32)=0,"",IF(AA32="","E_MISSING_INPUT",IF(AA32="TIMESTAMP",IF(OR(AB32="",AC32="",AD32=""),"E_MISSING_INPUT",IF(OR(NOT(ISNUMBER(AB32)),NOT(ISNUMBER(AC32))),"E_INVALID_DATE",IF(OR(AB32&lt;&gt;INT(AB32),AC32&lt;0,AC32&gt;=1),"E_INVALID_DATE",IF(ISNA(MATCH(AD32,nLIST_Offset,0)),"E_INVALID_UNIT","")))),IF(AA32="DATE",IF(AB32="","E_MISSING_INPUT",IF(NOT(ISNUMBER(AB32)),"E_INVALID_DATE",IF(AB32&lt;&gt;INT(AB32),"E_INVALID_DATE",""))),IF(AA32="MONTH",IF(OR(AE32="",AF32=""),"E_MISSING_INPUT",IF(OR(NOT(ISNUMBER(AE32)),NOT(ISNUMBER(AF32))),"E_INVALID_DATE",IF(OR(AE32&lt;1900,AE32&gt;9999,AE32&lt;&gt;INT(AE32),AF32&lt;1,AF32&gt;12,AF32&lt;&gt;INT(AF32)),"E_INVALID_DATE",""))),IF(AA32="YEAR",IF(AE32="","E_MISSING_INPUT",IF(NOT(ISNUMBER(AE32)),"E_INVALID_DATE",IF(OR(AE32&lt;1900,AE32&gt;9999,AE32&lt;&gt;INT(AE32)),"E_INVALID_DATE",""))),IF(AA32="RANGE",IF(OR(AG32="",AH32=""),"E_MISSING_INPUT",IF(OR(NOT(ISNUMBER(AG32)),NOT(ISNUMBER(AH32))),"E_INVALID_DATE",IF(OR(AG32&lt;&gt;INT(AG32),AH32&lt;&gt;INT(AH32)),"E_INVALID_DATE",IF(AG32&gt;AH32,"E_REVERSED_BOUNDS","")))),"E_INVALID_UNIT")))))))</f>
        <v/>
      </c>
      <c r="AK32" s="22">
        <f t="shared" si="34"/>
        <v>0</v>
      </c>
      <c r="AL32" s="22">
        <f t="shared" si="35"/>
        <v>0</v>
      </c>
      <c r="AM32" s="28" t="str">
        <f t="shared" si="36"/>
        <v/>
      </c>
      <c r="AN32" s="28" t="str">
        <f t="shared" si="37"/>
        <v/>
      </c>
      <c r="AO32" s="22" t="str">
        <f t="shared" si="38"/>
        <v/>
      </c>
      <c r="AP32" s="22" t="str">
        <f t="shared" si="39"/>
        <v/>
      </c>
      <c r="AQ32" s="21" t="str">
        <f t="shared" si="40"/>
        <v>VEC-V08|1|EV1</v>
      </c>
      <c r="AR32" s="22">
        <f>IF(AQ32="",0,COUNTIF(nEVT_Key,AQ32))</f>
        <v>1</v>
      </c>
      <c r="AS32" s="21" t="str">
        <f t="shared" si="41"/>
        <v/>
      </c>
      <c r="AT32" s="21" t="str">
        <f>IF(AS32="","",AS32&amp;": "&amp;SUBSTITUTE(IFERROR(INDEX(nMSG_Text,MATCH(AS32,nMSG_Code,0)),""),"[input]",IF(D32="","an Episode_ID","the date fields required by the selected precision")))</f>
        <v/>
      </c>
    </row>
    <row r="33" spans="1:46" x14ac:dyDescent="0.2">
      <c r="A33" s="9" t="s">
        <v>319</v>
      </c>
      <c r="B33" s="11">
        <v>1</v>
      </c>
      <c r="C33" s="9" t="s">
        <v>662</v>
      </c>
      <c r="D33" s="9" t="s">
        <v>677</v>
      </c>
      <c r="E33" s="9" t="s">
        <v>678</v>
      </c>
      <c r="F33" s="9"/>
      <c r="G33" s="16"/>
      <c r="H33" s="9"/>
      <c r="I33" s="9" t="s">
        <v>684</v>
      </c>
      <c r="J33" s="16" t="s">
        <v>3</v>
      </c>
      <c r="K33" s="14">
        <v>46327</v>
      </c>
      <c r="L33" s="25">
        <v>6.25E-2</v>
      </c>
      <c r="M33" s="9" t="s">
        <v>18</v>
      </c>
      <c r="N33" s="11"/>
      <c r="O33" s="11"/>
      <c r="P33" s="14"/>
      <c r="Q33" s="14"/>
      <c r="R33" s="9" t="s">
        <v>514</v>
      </c>
      <c r="S33" s="21" t="str">
        <f>IF(COUNTA(J33:Q33)=0,"",IF(J33="","E_MISSING_INPUT",IF(J33="TIMESTAMP",IF(OR(K33="",L33="",M33=""),"E_MISSING_INPUT",IF(OR(NOT(ISNUMBER(K33)),NOT(ISNUMBER(L33))),"E_INVALID_DATE",IF(OR(K33&lt;&gt;INT(K33),L33&lt;0,L33&gt;=1),"E_INVALID_DATE",IF(ISNA(MATCH(M33,nLIST_Offset,0)),"E_INVALID_UNIT","")))),IF(J33="DATE",IF(K33="","E_MISSING_INPUT",IF(NOT(ISNUMBER(K33)),"E_INVALID_DATE",IF(K33&lt;&gt;INT(K33),"E_INVALID_DATE",""))),IF(J33="MONTH",IF(OR(N33="",O33=""),"E_MISSING_INPUT",IF(OR(NOT(ISNUMBER(N33)),NOT(ISNUMBER(O33))),"E_INVALID_DATE",IF(OR(N33&lt;1900,N33&gt;9999,N33&lt;&gt;INT(N33),O33&lt;1,O33&gt;12,O33&lt;&gt;INT(O33)),"E_INVALID_DATE",""))),IF(J33="YEAR",IF(N33="","E_MISSING_INPUT",IF(NOT(ISNUMBER(N33)),"E_INVALID_DATE",IF(OR(N33&lt;1900,N33&gt;9999,N33&lt;&gt;INT(N33)),"E_INVALID_DATE",""))),IF(J33="RANGE",IF(OR(P33="",Q33=""),"E_MISSING_INPUT",IF(OR(NOT(ISNUMBER(P33)),NOT(ISNUMBER(Q33))),"E_INVALID_DATE",IF(OR(P33&lt;&gt;INT(P33),Q33&lt;&gt;INT(Q33)),"E_INVALID_DATE",IF(P33&gt;Q33,"E_REVERSED_BOUNDS","")))),"E_INVALID_UNIT")))))))</f>
        <v/>
      </c>
      <c r="T33" s="22">
        <f t="shared" si="28"/>
        <v>1</v>
      </c>
      <c r="U33" s="22">
        <f t="shared" si="29"/>
        <v>1</v>
      </c>
      <c r="V33" s="28">
        <f t="shared" si="30"/>
        <v>46327</v>
      </c>
      <c r="W33" s="28">
        <f t="shared" si="31"/>
        <v>46327</v>
      </c>
      <c r="X33" s="22">
        <f t="shared" si="32"/>
        <v>66710970</v>
      </c>
      <c r="Y33" s="22">
        <f t="shared" si="33"/>
        <v>66711270</v>
      </c>
      <c r="Z33" s="9"/>
      <c r="AA33" s="16"/>
      <c r="AB33" s="14"/>
      <c r="AC33" s="25"/>
      <c r="AD33" s="9"/>
      <c r="AE33" s="11"/>
      <c r="AF33" s="11"/>
      <c r="AG33" s="14"/>
      <c r="AH33" s="14"/>
      <c r="AI33" s="9"/>
      <c r="AJ33" s="21" t="str">
        <f>IF(COUNTA(AA33:AH33)=0,"",IF(AA33="","E_MISSING_INPUT",IF(AA33="TIMESTAMP",IF(OR(AB33="",AC33="",AD33=""),"E_MISSING_INPUT",IF(OR(NOT(ISNUMBER(AB33)),NOT(ISNUMBER(AC33))),"E_INVALID_DATE",IF(OR(AB33&lt;&gt;INT(AB33),AC33&lt;0,AC33&gt;=1),"E_INVALID_DATE",IF(ISNA(MATCH(AD33,nLIST_Offset,0)),"E_INVALID_UNIT","")))),IF(AA33="DATE",IF(AB33="","E_MISSING_INPUT",IF(NOT(ISNUMBER(AB33)),"E_INVALID_DATE",IF(AB33&lt;&gt;INT(AB33),"E_INVALID_DATE",""))),IF(AA33="MONTH",IF(OR(AE33="",AF33=""),"E_MISSING_INPUT",IF(OR(NOT(ISNUMBER(AE33)),NOT(ISNUMBER(AF33))),"E_INVALID_DATE",IF(OR(AE33&lt;1900,AE33&gt;9999,AE33&lt;&gt;INT(AE33),AF33&lt;1,AF33&gt;12,AF33&lt;&gt;INT(AF33)),"E_INVALID_DATE",""))),IF(AA33="YEAR",IF(AE33="","E_MISSING_INPUT",IF(NOT(ISNUMBER(AE33)),"E_INVALID_DATE",IF(OR(AE33&lt;1900,AE33&gt;9999,AE33&lt;&gt;INT(AE33)),"E_INVALID_DATE",""))),IF(AA33="RANGE",IF(OR(AG33="",AH33=""),"E_MISSING_INPUT",IF(OR(NOT(ISNUMBER(AG33)),NOT(ISNUMBER(AH33))),"E_INVALID_DATE",IF(OR(AG33&lt;&gt;INT(AG33),AH33&lt;&gt;INT(AH33)),"E_INVALID_DATE",IF(AG33&gt;AH33,"E_REVERSED_BOUNDS","")))),"E_INVALID_UNIT")))))))</f>
        <v/>
      </c>
      <c r="AK33" s="22">
        <f t="shared" si="34"/>
        <v>0</v>
      </c>
      <c r="AL33" s="22">
        <f t="shared" si="35"/>
        <v>0</v>
      </c>
      <c r="AM33" s="28" t="str">
        <f t="shared" si="36"/>
        <v/>
      </c>
      <c r="AN33" s="28" t="str">
        <f t="shared" si="37"/>
        <v/>
      </c>
      <c r="AO33" s="22" t="str">
        <f t="shared" si="38"/>
        <v/>
      </c>
      <c r="AP33" s="22" t="str">
        <f t="shared" si="39"/>
        <v/>
      </c>
      <c r="AQ33" s="21" t="str">
        <f t="shared" si="40"/>
        <v>VEC-V09|1|EV1</v>
      </c>
      <c r="AR33" s="22">
        <f>IF(AQ33="",0,COUNTIF(nEVT_Key,AQ33))</f>
        <v>1</v>
      </c>
      <c r="AS33" s="21" t="str">
        <f t="shared" si="41"/>
        <v/>
      </c>
      <c r="AT33" s="21" t="str">
        <f>IF(AS33="","",AS33&amp;": "&amp;SUBSTITUTE(IFERROR(INDEX(nMSG_Text,MATCH(AS33,nMSG_Code,0)),""),"[input]",IF(D33="","an Episode_ID","the date fields required by the selected precision")))</f>
        <v/>
      </c>
    </row>
    <row r="34" spans="1:46" x14ac:dyDescent="0.2">
      <c r="A34" s="9" t="s">
        <v>321</v>
      </c>
      <c r="B34" s="11">
        <v>1</v>
      </c>
      <c r="C34" s="9" t="s">
        <v>662</v>
      </c>
      <c r="D34" s="9" t="s">
        <v>677</v>
      </c>
      <c r="E34" s="9" t="s">
        <v>678</v>
      </c>
      <c r="F34" s="9"/>
      <c r="G34" s="16"/>
      <c r="H34" s="9"/>
      <c r="I34" s="9" t="s">
        <v>685</v>
      </c>
      <c r="J34" s="16" t="s">
        <v>3</v>
      </c>
      <c r="K34" s="14">
        <v>46089</v>
      </c>
      <c r="L34" s="25">
        <v>0.14583333333333301</v>
      </c>
      <c r="M34" s="9" t="s">
        <v>9</v>
      </c>
      <c r="N34" s="11"/>
      <c r="O34" s="11"/>
      <c r="P34" s="14"/>
      <c r="Q34" s="14"/>
      <c r="R34" s="9" t="s">
        <v>516</v>
      </c>
      <c r="S34" s="21" t="str">
        <f>IF(COUNTA(J34:Q34)=0,"",IF(J34="","E_MISSING_INPUT",IF(J34="TIMESTAMP",IF(OR(K34="",L34="",M34=""),"E_MISSING_INPUT",IF(OR(NOT(ISNUMBER(K34)),NOT(ISNUMBER(L34))),"E_INVALID_DATE",IF(OR(K34&lt;&gt;INT(K34),L34&lt;0,L34&gt;=1),"E_INVALID_DATE",IF(ISNA(MATCH(M34,nLIST_Offset,0)),"E_INVALID_UNIT","")))),IF(J34="DATE",IF(K34="","E_MISSING_INPUT",IF(NOT(ISNUMBER(K34)),"E_INVALID_DATE",IF(K34&lt;&gt;INT(K34),"E_INVALID_DATE",""))),IF(J34="MONTH",IF(OR(N34="",O34=""),"E_MISSING_INPUT",IF(OR(NOT(ISNUMBER(N34)),NOT(ISNUMBER(O34))),"E_INVALID_DATE",IF(OR(N34&lt;1900,N34&gt;9999,N34&lt;&gt;INT(N34),O34&lt;1,O34&gt;12,O34&lt;&gt;INT(O34)),"E_INVALID_DATE",""))),IF(J34="YEAR",IF(N34="","E_MISSING_INPUT",IF(NOT(ISNUMBER(N34)),"E_INVALID_DATE",IF(OR(N34&lt;1900,N34&gt;9999,N34&lt;&gt;INT(N34)),"E_INVALID_DATE",""))),IF(J34="RANGE",IF(OR(P34="",Q34=""),"E_MISSING_INPUT",IF(OR(NOT(ISNUMBER(P34)),NOT(ISNUMBER(Q34))),"E_INVALID_DATE",IF(OR(P34&lt;&gt;INT(P34),Q34&lt;&gt;INT(Q34)),"E_INVALID_DATE",IF(P34&gt;Q34,"E_REVERSED_BOUNDS","")))),"E_INVALID_UNIT")))))))</f>
        <v/>
      </c>
      <c r="T34" s="22">
        <f t="shared" si="28"/>
        <v>1</v>
      </c>
      <c r="U34" s="22">
        <f t="shared" si="29"/>
        <v>0</v>
      </c>
      <c r="V34" s="28">
        <f t="shared" si="30"/>
        <v>46089</v>
      </c>
      <c r="W34" s="28">
        <f t="shared" si="31"/>
        <v>46089</v>
      </c>
      <c r="X34" s="22">
        <f t="shared" si="32"/>
        <v>66368370</v>
      </c>
      <c r="Y34" s="22" t="str">
        <f t="shared" si="33"/>
        <v/>
      </c>
      <c r="Z34" s="9"/>
      <c r="AA34" s="16"/>
      <c r="AB34" s="14"/>
      <c r="AC34" s="25"/>
      <c r="AD34" s="9"/>
      <c r="AE34" s="11"/>
      <c r="AF34" s="11"/>
      <c r="AG34" s="14"/>
      <c r="AH34" s="14"/>
      <c r="AI34" s="9"/>
      <c r="AJ34" s="21" t="str">
        <f>IF(COUNTA(AA34:AH34)=0,"",IF(AA34="","E_MISSING_INPUT",IF(AA34="TIMESTAMP",IF(OR(AB34="",AC34="",AD34=""),"E_MISSING_INPUT",IF(OR(NOT(ISNUMBER(AB34)),NOT(ISNUMBER(AC34))),"E_INVALID_DATE",IF(OR(AB34&lt;&gt;INT(AB34),AC34&lt;0,AC34&gt;=1),"E_INVALID_DATE",IF(ISNA(MATCH(AD34,nLIST_Offset,0)),"E_INVALID_UNIT","")))),IF(AA34="DATE",IF(AB34="","E_MISSING_INPUT",IF(NOT(ISNUMBER(AB34)),"E_INVALID_DATE",IF(AB34&lt;&gt;INT(AB34),"E_INVALID_DATE",""))),IF(AA34="MONTH",IF(OR(AE34="",AF34=""),"E_MISSING_INPUT",IF(OR(NOT(ISNUMBER(AE34)),NOT(ISNUMBER(AF34))),"E_INVALID_DATE",IF(OR(AE34&lt;1900,AE34&gt;9999,AE34&lt;&gt;INT(AE34),AF34&lt;1,AF34&gt;12,AF34&lt;&gt;INT(AF34)),"E_INVALID_DATE",""))),IF(AA34="YEAR",IF(AE34="","E_MISSING_INPUT",IF(NOT(ISNUMBER(AE34)),"E_INVALID_DATE",IF(OR(AE34&lt;1900,AE34&gt;9999,AE34&lt;&gt;INT(AE34)),"E_INVALID_DATE",""))),IF(AA34="RANGE",IF(OR(AG34="",AH34=""),"E_MISSING_INPUT",IF(OR(NOT(ISNUMBER(AG34)),NOT(ISNUMBER(AH34))),"E_INVALID_DATE",IF(OR(AG34&lt;&gt;INT(AG34),AH34&lt;&gt;INT(AH34)),"E_INVALID_DATE",IF(AG34&gt;AH34,"E_REVERSED_BOUNDS","")))),"E_INVALID_UNIT")))))))</f>
        <v/>
      </c>
      <c r="AK34" s="22">
        <f t="shared" si="34"/>
        <v>0</v>
      </c>
      <c r="AL34" s="22">
        <f t="shared" si="35"/>
        <v>0</v>
      </c>
      <c r="AM34" s="28" t="str">
        <f t="shared" si="36"/>
        <v/>
      </c>
      <c r="AN34" s="28" t="str">
        <f t="shared" si="37"/>
        <v/>
      </c>
      <c r="AO34" s="22" t="str">
        <f t="shared" si="38"/>
        <v/>
      </c>
      <c r="AP34" s="22" t="str">
        <f t="shared" si="39"/>
        <v/>
      </c>
      <c r="AQ34" s="21" t="str">
        <f t="shared" si="40"/>
        <v>VEC-V10|1|EV1</v>
      </c>
      <c r="AR34" s="22">
        <f>IF(AQ34="",0,COUNTIF(nEVT_Key,AQ34))</f>
        <v>1</v>
      </c>
      <c r="AS34" s="21" t="str">
        <f t="shared" si="41"/>
        <v/>
      </c>
      <c r="AT34" s="21" t="str">
        <f>IF(AS34="","",AS34&amp;": "&amp;SUBSTITUTE(IFERROR(INDEX(nMSG_Text,MATCH(AS34,nMSG_Code,0)),""),"[input]",IF(D34="","an Episode_ID","the date fields required by the selected precision")))</f>
        <v/>
      </c>
    </row>
    <row r="35" spans="1:46" x14ac:dyDescent="0.2">
      <c r="A35" s="9" t="s">
        <v>323</v>
      </c>
      <c r="B35" s="11">
        <v>1</v>
      </c>
      <c r="C35" s="9" t="s">
        <v>662</v>
      </c>
      <c r="D35" s="9" t="s">
        <v>677</v>
      </c>
      <c r="E35" s="9" t="s">
        <v>678</v>
      </c>
      <c r="F35" s="9"/>
      <c r="G35" s="16"/>
      <c r="H35" s="9"/>
      <c r="I35" s="9" t="s">
        <v>686</v>
      </c>
      <c r="J35" s="16" t="s">
        <v>3</v>
      </c>
      <c r="K35" s="14">
        <v>46113</v>
      </c>
      <c r="L35" s="25">
        <v>0.58333333333333304</v>
      </c>
      <c r="M35" s="9" t="s">
        <v>18</v>
      </c>
      <c r="N35" s="11"/>
      <c r="O35" s="11"/>
      <c r="P35" s="14"/>
      <c r="Q35" s="14"/>
      <c r="R35" s="9" t="s">
        <v>518</v>
      </c>
      <c r="S35" s="21" t="str">
        <f>IF(COUNTA(J35:Q35)=0,"",IF(J35="","E_MISSING_INPUT",IF(J35="TIMESTAMP",IF(OR(K35="",L35="",M35=""),"E_MISSING_INPUT",IF(OR(NOT(ISNUMBER(K35)),NOT(ISNUMBER(L35))),"E_INVALID_DATE",IF(OR(K35&lt;&gt;INT(K35),L35&lt;0,L35&gt;=1),"E_INVALID_DATE",IF(ISNA(MATCH(M35,nLIST_Offset,0)),"E_INVALID_UNIT","")))),IF(J35="DATE",IF(K35="","E_MISSING_INPUT",IF(NOT(ISNUMBER(K35)),"E_INVALID_DATE",IF(K35&lt;&gt;INT(K35),"E_INVALID_DATE",""))),IF(J35="MONTH",IF(OR(N35="",O35=""),"E_MISSING_INPUT",IF(OR(NOT(ISNUMBER(N35)),NOT(ISNUMBER(O35))),"E_INVALID_DATE",IF(OR(N35&lt;1900,N35&gt;9999,N35&lt;&gt;INT(N35),O35&lt;1,O35&gt;12,O35&lt;&gt;INT(O35)),"E_INVALID_DATE",""))),IF(J35="YEAR",IF(N35="","E_MISSING_INPUT",IF(NOT(ISNUMBER(N35)),"E_INVALID_DATE",IF(OR(N35&lt;1900,N35&gt;9999,N35&lt;&gt;INT(N35)),"E_INVALID_DATE",""))),IF(J35="RANGE",IF(OR(P35="",Q35=""),"E_MISSING_INPUT",IF(OR(NOT(ISNUMBER(P35)),NOT(ISNUMBER(Q35))),"E_INVALID_DATE",IF(OR(P35&lt;&gt;INT(P35),Q35&lt;&gt;INT(Q35)),"E_INVALID_DATE",IF(P35&gt;Q35,"E_REVERSED_BOUNDS","")))),"E_INVALID_UNIT")))))))</f>
        <v/>
      </c>
      <c r="T35" s="22">
        <f t="shared" si="28"/>
        <v>1</v>
      </c>
      <c r="U35" s="22">
        <f t="shared" si="29"/>
        <v>1</v>
      </c>
      <c r="V35" s="28">
        <f t="shared" si="30"/>
        <v>46113</v>
      </c>
      <c r="W35" s="28">
        <f t="shared" si="31"/>
        <v>46113</v>
      </c>
      <c r="X35" s="22">
        <f t="shared" si="32"/>
        <v>66403560</v>
      </c>
      <c r="Y35" s="22">
        <f t="shared" si="33"/>
        <v>66403860</v>
      </c>
      <c r="Z35" s="9"/>
      <c r="AA35" s="16"/>
      <c r="AB35" s="14"/>
      <c r="AC35" s="25"/>
      <c r="AD35" s="9"/>
      <c r="AE35" s="11"/>
      <c r="AF35" s="11"/>
      <c r="AG35" s="14"/>
      <c r="AH35" s="14"/>
      <c r="AI35" s="9"/>
      <c r="AJ35" s="21" t="str">
        <f>IF(COUNTA(AA35:AH35)=0,"",IF(AA35="","E_MISSING_INPUT",IF(AA35="TIMESTAMP",IF(OR(AB35="",AC35="",AD35=""),"E_MISSING_INPUT",IF(OR(NOT(ISNUMBER(AB35)),NOT(ISNUMBER(AC35))),"E_INVALID_DATE",IF(OR(AB35&lt;&gt;INT(AB35),AC35&lt;0,AC35&gt;=1),"E_INVALID_DATE",IF(ISNA(MATCH(AD35,nLIST_Offset,0)),"E_INVALID_UNIT","")))),IF(AA35="DATE",IF(AB35="","E_MISSING_INPUT",IF(NOT(ISNUMBER(AB35)),"E_INVALID_DATE",IF(AB35&lt;&gt;INT(AB35),"E_INVALID_DATE",""))),IF(AA35="MONTH",IF(OR(AE35="",AF35=""),"E_MISSING_INPUT",IF(OR(NOT(ISNUMBER(AE35)),NOT(ISNUMBER(AF35))),"E_INVALID_DATE",IF(OR(AE35&lt;1900,AE35&gt;9999,AE35&lt;&gt;INT(AE35),AF35&lt;1,AF35&gt;12,AF35&lt;&gt;INT(AF35)),"E_INVALID_DATE",""))),IF(AA35="YEAR",IF(AE35="","E_MISSING_INPUT",IF(NOT(ISNUMBER(AE35)),"E_INVALID_DATE",IF(OR(AE35&lt;1900,AE35&gt;9999,AE35&lt;&gt;INT(AE35)),"E_INVALID_DATE",""))),IF(AA35="RANGE",IF(OR(AG35="",AH35=""),"E_MISSING_INPUT",IF(OR(NOT(ISNUMBER(AG35)),NOT(ISNUMBER(AH35))),"E_INVALID_DATE",IF(OR(AG35&lt;&gt;INT(AG35),AH35&lt;&gt;INT(AH35)),"E_INVALID_DATE",IF(AG35&gt;AH35,"E_REVERSED_BOUNDS","")))),"E_INVALID_UNIT")))))))</f>
        <v/>
      </c>
      <c r="AK35" s="22">
        <f t="shared" si="34"/>
        <v>0</v>
      </c>
      <c r="AL35" s="22">
        <f t="shared" si="35"/>
        <v>0</v>
      </c>
      <c r="AM35" s="28" t="str">
        <f t="shared" si="36"/>
        <v/>
      </c>
      <c r="AN35" s="28" t="str">
        <f t="shared" si="37"/>
        <v/>
      </c>
      <c r="AO35" s="22" t="str">
        <f t="shared" si="38"/>
        <v/>
      </c>
      <c r="AP35" s="22" t="str">
        <f t="shared" si="39"/>
        <v/>
      </c>
      <c r="AQ35" s="21" t="str">
        <f t="shared" si="40"/>
        <v>VEC-V11|1|EV1</v>
      </c>
      <c r="AR35" s="22">
        <f>IF(AQ35="",0,COUNTIF(nEVT_Key,AQ35))</f>
        <v>1</v>
      </c>
      <c r="AS35" s="21" t="str">
        <f t="shared" si="41"/>
        <v/>
      </c>
      <c r="AT35" s="21" t="str">
        <f>IF(AS35="","",AS35&amp;": "&amp;SUBSTITUTE(IFERROR(INDEX(nMSG_Text,MATCH(AS35,nMSG_Code,0)),""),"[input]",IF(D35="","an Episode_ID","the date fields required by the selected precision")))</f>
        <v/>
      </c>
    </row>
    <row r="36" spans="1:46" x14ac:dyDescent="0.2">
      <c r="A36" s="9" t="s">
        <v>325</v>
      </c>
      <c r="B36" s="11">
        <v>1</v>
      </c>
      <c r="C36" s="9" t="s">
        <v>662</v>
      </c>
      <c r="D36" s="9" t="s">
        <v>677</v>
      </c>
      <c r="E36" s="9" t="s">
        <v>678</v>
      </c>
      <c r="F36" s="9"/>
      <c r="G36" s="16"/>
      <c r="H36" s="9"/>
      <c r="I36" s="9" t="s">
        <v>687</v>
      </c>
      <c r="J36" s="16" t="s">
        <v>4</v>
      </c>
      <c r="K36" s="14">
        <v>46152</v>
      </c>
      <c r="L36" s="25"/>
      <c r="M36" s="9"/>
      <c r="N36" s="11"/>
      <c r="O36" s="11"/>
      <c r="P36" s="14"/>
      <c r="Q36" s="14"/>
      <c r="R36" s="9" t="s">
        <v>520</v>
      </c>
      <c r="S36" s="21" t="str">
        <f>IF(COUNTA(J36:Q36)=0,"",IF(J36="","E_MISSING_INPUT",IF(J36="TIMESTAMP",IF(OR(K36="",L36="",M36=""),"E_MISSING_INPUT",IF(OR(NOT(ISNUMBER(K36)),NOT(ISNUMBER(L36))),"E_INVALID_DATE",IF(OR(K36&lt;&gt;INT(K36),L36&lt;0,L36&gt;=1),"E_INVALID_DATE",IF(ISNA(MATCH(M36,nLIST_Offset,0)),"E_INVALID_UNIT","")))),IF(J36="DATE",IF(K36="","E_MISSING_INPUT",IF(NOT(ISNUMBER(K36)),"E_INVALID_DATE",IF(K36&lt;&gt;INT(K36),"E_INVALID_DATE",""))),IF(J36="MONTH",IF(OR(N36="",O36=""),"E_MISSING_INPUT",IF(OR(NOT(ISNUMBER(N36)),NOT(ISNUMBER(O36))),"E_INVALID_DATE",IF(OR(N36&lt;1900,N36&gt;9999,N36&lt;&gt;INT(N36),O36&lt;1,O36&gt;12,O36&lt;&gt;INT(O36)),"E_INVALID_DATE",""))),IF(J36="YEAR",IF(N36="","E_MISSING_INPUT",IF(NOT(ISNUMBER(N36)),"E_INVALID_DATE",IF(OR(N36&lt;1900,N36&gt;9999,N36&lt;&gt;INT(N36)),"E_INVALID_DATE",""))),IF(J36="RANGE",IF(OR(P36="",Q36=""),"E_MISSING_INPUT",IF(OR(NOT(ISNUMBER(P36)),NOT(ISNUMBER(Q36))),"E_INVALID_DATE",IF(OR(P36&lt;&gt;INT(P36),Q36&lt;&gt;INT(Q36)),"E_INVALID_DATE",IF(P36&gt;Q36,"E_REVERSED_BOUNDS","")))),"E_INVALID_UNIT")))))))</f>
        <v/>
      </c>
      <c r="T36" s="22">
        <f t="shared" si="28"/>
        <v>0</v>
      </c>
      <c r="U36" s="22">
        <f t="shared" si="29"/>
        <v>0</v>
      </c>
      <c r="V36" s="28">
        <f t="shared" si="30"/>
        <v>46152</v>
      </c>
      <c r="W36" s="28">
        <f t="shared" si="31"/>
        <v>46152</v>
      </c>
      <c r="X36" s="22" t="str">
        <f t="shared" si="32"/>
        <v/>
      </c>
      <c r="Y36" s="22" t="str">
        <f t="shared" si="33"/>
        <v/>
      </c>
      <c r="Z36" s="9"/>
      <c r="AA36" s="16"/>
      <c r="AB36" s="14"/>
      <c r="AC36" s="25"/>
      <c r="AD36" s="9"/>
      <c r="AE36" s="11"/>
      <c r="AF36" s="11"/>
      <c r="AG36" s="14"/>
      <c r="AH36" s="14"/>
      <c r="AI36" s="9"/>
      <c r="AJ36" s="21" t="str">
        <f>IF(COUNTA(AA36:AH36)=0,"",IF(AA36="","E_MISSING_INPUT",IF(AA36="TIMESTAMP",IF(OR(AB36="",AC36="",AD36=""),"E_MISSING_INPUT",IF(OR(NOT(ISNUMBER(AB36)),NOT(ISNUMBER(AC36))),"E_INVALID_DATE",IF(OR(AB36&lt;&gt;INT(AB36),AC36&lt;0,AC36&gt;=1),"E_INVALID_DATE",IF(ISNA(MATCH(AD36,nLIST_Offset,0)),"E_INVALID_UNIT","")))),IF(AA36="DATE",IF(AB36="","E_MISSING_INPUT",IF(NOT(ISNUMBER(AB36)),"E_INVALID_DATE",IF(AB36&lt;&gt;INT(AB36),"E_INVALID_DATE",""))),IF(AA36="MONTH",IF(OR(AE36="",AF36=""),"E_MISSING_INPUT",IF(OR(NOT(ISNUMBER(AE36)),NOT(ISNUMBER(AF36))),"E_INVALID_DATE",IF(OR(AE36&lt;1900,AE36&gt;9999,AE36&lt;&gt;INT(AE36),AF36&lt;1,AF36&gt;12,AF36&lt;&gt;INT(AF36)),"E_INVALID_DATE",""))),IF(AA36="YEAR",IF(AE36="","E_MISSING_INPUT",IF(NOT(ISNUMBER(AE36)),"E_INVALID_DATE",IF(OR(AE36&lt;1900,AE36&gt;9999,AE36&lt;&gt;INT(AE36)),"E_INVALID_DATE",""))),IF(AA36="RANGE",IF(OR(AG36="",AH36=""),"E_MISSING_INPUT",IF(OR(NOT(ISNUMBER(AG36)),NOT(ISNUMBER(AH36))),"E_INVALID_DATE",IF(OR(AG36&lt;&gt;INT(AG36),AH36&lt;&gt;INT(AH36)),"E_INVALID_DATE",IF(AG36&gt;AH36,"E_REVERSED_BOUNDS","")))),"E_INVALID_UNIT")))))))</f>
        <v/>
      </c>
      <c r="AK36" s="22">
        <f t="shared" si="34"/>
        <v>0</v>
      </c>
      <c r="AL36" s="22">
        <f t="shared" si="35"/>
        <v>0</v>
      </c>
      <c r="AM36" s="28" t="str">
        <f t="shared" si="36"/>
        <v/>
      </c>
      <c r="AN36" s="28" t="str">
        <f t="shared" si="37"/>
        <v/>
      </c>
      <c r="AO36" s="22" t="str">
        <f t="shared" si="38"/>
        <v/>
      </c>
      <c r="AP36" s="22" t="str">
        <f t="shared" si="39"/>
        <v/>
      </c>
      <c r="AQ36" s="21" t="str">
        <f t="shared" si="40"/>
        <v>VEC-V12|1|EV1</v>
      </c>
      <c r="AR36" s="22">
        <f>IF(AQ36="",0,COUNTIF(nEVT_Key,AQ36))</f>
        <v>1</v>
      </c>
      <c r="AS36" s="21" t="str">
        <f t="shared" si="41"/>
        <v/>
      </c>
      <c r="AT36" s="21" t="str">
        <f>IF(AS36="","",AS36&amp;": "&amp;SUBSTITUTE(IFERROR(INDEX(nMSG_Text,MATCH(AS36,nMSG_Code,0)),""),"[input]",IF(D36="","an Episode_ID","the date fields required by the selected precision")))</f>
        <v/>
      </c>
    </row>
    <row r="37" spans="1:46" x14ac:dyDescent="0.2">
      <c r="A37" s="9" t="s">
        <v>325</v>
      </c>
      <c r="B37" s="11">
        <v>2</v>
      </c>
      <c r="C37" s="9" t="s">
        <v>662</v>
      </c>
      <c r="D37" s="9" t="s">
        <v>677</v>
      </c>
      <c r="E37" s="9" t="s">
        <v>678</v>
      </c>
      <c r="F37" s="9"/>
      <c r="G37" s="16"/>
      <c r="H37" s="9"/>
      <c r="I37" s="9" t="s">
        <v>688</v>
      </c>
      <c r="J37" s="16" t="s">
        <v>4</v>
      </c>
      <c r="K37" s="14">
        <v>46150</v>
      </c>
      <c r="L37" s="25"/>
      <c r="M37" s="9"/>
      <c r="N37" s="11"/>
      <c r="O37" s="11"/>
      <c r="P37" s="14"/>
      <c r="Q37" s="14"/>
      <c r="R37" s="9" t="s">
        <v>520</v>
      </c>
      <c r="S37" s="21" t="str">
        <f>IF(COUNTA(J37:Q37)=0,"",IF(J37="","E_MISSING_INPUT",IF(J37="TIMESTAMP",IF(OR(K37="",L37="",M37=""),"E_MISSING_INPUT",IF(OR(NOT(ISNUMBER(K37)),NOT(ISNUMBER(L37))),"E_INVALID_DATE",IF(OR(K37&lt;&gt;INT(K37),L37&lt;0,L37&gt;=1),"E_INVALID_DATE",IF(ISNA(MATCH(M37,nLIST_Offset,0)),"E_INVALID_UNIT","")))),IF(J37="DATE",IF(K37="","E_MISSING_INPUT",IF(NOT(ISNUMBER(K37)),"E_INVALID_DATE",IF(K37&lt;&gt;INT(K37),"E_INVALID_DATE",""))),IF(J37="MONTH",IF(OR(N37="",O37=""),"E_MISSING_INPUT",IF(OR(NOT(ISNUMBER(N37)),NOT(ISNUMBER(O37))),"E_INVALID_DATE",IF(OR(N37&lt;1900,N37&gt;9999,N37&lt;&gt;INT(N37),O37&lt;1,O37&gt;12,O37&lt;&gt;INT(O37)),"E_INVALID_DATE",""))),IF(J37="YEAR",IF(N37="","E_MISSING_INPUT",IF(NOT(ISNUMBER(N37)),"E_INVALID_DATE",IF(OR(N37&lt;1900,N37&gt;9999,N37&lt;&gt;INT(N37)),"E_INVALID_DATE",""))),IF(J37="RANGE",IF(OR(P37="",Q37=""),"E_MISSING_INPUT",IF(OR(NOT(ISNUMBER(P37)),NOT(ISNUMBER(Q37))),"E_INVALID_DATE",IF(OR(P37&lt;&gt;INT(P37),Q37&lt;&gt;INT(Q37)),"E_INVALID_DATE",IF(P37&gt;Q37,"E_REVERSED_BOUNDS","")))),"E_INVALID_UNIT")))))))</f>
        <v/>
      </c>
      <c r="T37" s="22">
        <f t="shared" si="28"/>
        <v>0</v>
      </c>
      <c r="U37" s="22">
        <f t="shared" si="29"/>
        <v>0</v>
      </c>
      <c r="V37" s="28">
        <f t="shared" si="30"/>
        <v>46150</v>
      </c>
      <c r="W37" s="28">
        <f t="shared" si="31"/>
        <v>46150</v>
      </c>
      <c r="X37" s="22" t="str">
        <f t="shared" si="32"/>
        <v/>
      </c>
      <c r="Y37" s="22" t="str">
        <f t="shared" si="33"/>
        <v/>
      </c>
      <c r="Z37" s="9"/>
      <c r="AA37" s="16"/>
      <c r="AB37" s="14"/>
      <c r="AC37" s="25"/>
      <c r="AD37" s="9"/>
      <c r="AE37" s="11"/>
      <c r="AF37" s="11"/>
      <c r="AG37" s="14"/>
      <c r="AH37" s="14"/>
      <c r="AI37" s="9"/>
      <c r="AJ37" s="21" t="str">
        <f>IF(COUNTA(AA37:AH37)=0,"",IF(AA37="","E_MISSING_INPUT",IF(AA37="TIMESTAMP",IF(OR(AB37="",AC37="",AD37=""),"E_MISSING_INPUT",IF(OR(NOT(ISNUMBER(AB37)),NOT(ISNUMBER(AC37))),"E_INVALID_DATE",IF(OR(AB37&lt;&gt;INT(AB37),AC37&lt;0,AC37&gt;=1),"E_INVALID_DATE",IF(ISNA(MATCH(AD37,nLIST_Offset,0)),"E_INVALID_UNIT","")))),IF(AA37="DATE",IF(AB37="","E_MISSING_INPUT",IF(NOT(ISNUMBER(AB37)),"E_INVALID_DATE",IF(AB37&lt;&gt;INT(AB37),"E_INVALID_DATE",""))),IF(AA37="MONTH",IF(OR(AE37="",AF37=""),"E_MISSING_INPUT",IF(OR(NOT(ISNUMBER(AE37)),NOT(ISNUMBER(AF37))),"E_INVALID_DATE",IF(OR(AE37&lt;1900,AE37&gt;9999,AE37&lt;&gt;INT(AE37),AF37&lt;1,AF37&gt;12,AF37&lt;&gt;INT(AF37)),"E_INVALID_DATE",""))),IF(AA37="YEAR",IF(AE37="","E_MISSING_INPUT",IF(NOT(ISNUMBER(AE37)),"E_INVALID_DATE",IF(OR(AE37&lt;1900,AE37&gt;9999,AE37&lt;&gt;INT(AE37)),"E_INVALID_DATE",""))),IF(AA37="RANGE",IF(OR(AG37="",AH37=""),"E_MISSING_INPUT",IF(OR(NOT(ISNUMBER(AG37)),NOT(ISNUMBER(AH37))),"E_INVALID_DATE",IF(OR(AG37&lt;&gt;INT(AG37),AH37&lt;&gt;INT(AH37)),"E_INVALID_DATE",IF(AG37&gt;AH37,"E_REVERSED_BOUNDS","")))),"E_INVALID_UNIT")))))))</f>
        <v/>
      </c>
      <c r="AK37" s="22">
        <f t="shared" si="34"/>
        <v>0</v>
      </c>
      <c r="AL37" s="22">
        <f t="shared" si="35"/>
        <v>0</v>
      </c>
      <c r="AM37" s="28" t="str">
        <f t="shared" si="36"/>
        <v/>
      </c>
      <c r="AN37" s="28" t="str">
        <f t="shared" si="37"/>
        <v/>
      </c>
      <c r="AO37" s="22" t="str">
        <f t="shared" si="38"/>
        <v/>
      </c>
      <c r="AP37" s="22" t="str">
        <f t="shared" si="39"/>
        <v/>
      </c>
      <c r="AQ37" s="21" t="str">
        <f t="shared" si="40"/>
        <v>VEC-V12|2|EV1</v>
      </c>
      <c r="AR37" s="22">
        <f>IF(AQ37="",0,COUNTIF(nEVT_Key,AQ37))</f>
        <v>1</v>
      </c>
      <c r="AS37" s="21" t="str">
        <f t="shared" si="41"/>
        <v/>
      </c>
      <c r="AT37" s="21" t="str">
        <f>IF(AS37="","",AS37&amp;": "&amp;SUBSTITUTE(IFERROR(INDEX(nMSG_Text,MATCH(AS37,nMSG_Code,0)),""),"[input]",IF(D37="","an Episode_ID","the date fields required by the selected precision")))</f>
        <v/>
      </c>
    </row>
    <row r="38" spans="1:46" x14ac:dyDescent="0.2">
      <c r="A38" s="9" t="s">
        <v>329</v>
      </c>
      <c r="B38" s="11">
        <v>1</v>
      </c>
      <c r="C38" s="9" t="s">
        <v>662</v>
      </c>
      <c r="D38" s="9" t="s">
        <v>677</v>
      </c>
      <c r="E38" s="9" t="s">
        <v>678</v>
      </c>
      <c r="F38" s="9"/>
      <c r="G38" s="16"/>
      <c r="H38" s="9"/>
      <c r="I38" s="9" t="s">
        <v>689</v>
      </c>
      <c r="J38" s="16" t="s">
        <v>4</v>
      </c>
      <c r="K38" s="29" t="s">
        <v>690</v>
      </c>
      <c r="L38" s="25"/>
      <c r="M38" s="9"/>
      <c r="N38" s="11"/>
      <c r="O38" s="11"/>
      <c r="P38" s="14"/>
      <c r="Q38" s="14"/>
      <c r="R38" s="9" t="s">
        <v>522</v>
      </c>
      <c r="S38" s="21" t="str">
        <f>IF(COUNTA(J38:Q38)=0,"",IF(J38="","E_MISSING_INPUT",IF(J38="TIMESTAMP",IF(OR(K38="",L38="",M38=""),"E_MISSING_INPUT",IF(OR(NOT(ISNUMBER(K38)),NOT(ISNUMBER(L38))),"E_INVALID_DATE",IF(OR(K38&lt;&gt;INT(K38),L38&lt;0,L38&gt;=1),"E_INVALID_DATE",IF(ISNA(MATCH(M38,nLIST_Offset,0)),"E_INVALID_UNIT","")))),IF(J38="DATE",IF(K38="","E_MISSING_INPUT",IF(NOT(ISNUMBER(K38)),"E_INVALID_DATE",IF(K38&lt;&gt;INT(K38),"E_INVALID_DATE",""))),IF(J38="MONTH",IF(OR(N38="",O38=""),"E_MISSING_INPUT",IF(OR(NOT(ISNUMBER(N38)),NOT(ISNUMBER(O38))),"E_INVALID_DATE",IF(OR(N38&lt;1900,N38&gt;9999,N38&lt;&gt;INT(N38),O38&lt;1,O38&gt;12,O38&lt;&gt;INT(O38)),"E_INVALID_DATE",""))),IF(J38="YEAR",IF(N38="","E_MISSING_INPUT",IF(NOT(ISNUMBER(N38)),"E_INVALID_DATE",IF(OR(N38&lt;1900,N38&gt;9999,N38&lt;&gt;INT(N38)),"E_INVALID_DATE",""))),IF(J38="RANGE",IF(OR(P38="",Q38=""),"E_MISSING_INPUT",IF(OR(NOT(ISNUMBER(P38)),NOT(ISNUMBER(Q38))),"E_INVALID_DATE",IF(OR(P38&lt;&gt;INT(P38),Q38&lt;&gt;INT(Q38)),"E_INVALID_DATE",IF(P38&gt;Q38,"E_REVERSED_BOUNDS","")))),"E_INVALID_UNIT")))))))</f>
        <v>E_INVALID_DATE</v>
      </c>
      <c r="T38" s="22">
        <f t="shared" si="28"/>
        <v>0</v>
      </c>
      <c r="U38" s="22">
        <f t="shared" si="29"/>
        <v>0</v>
      </c>
      <c r="V38" s="28" t="str">
        <f t="shared" si="30"/>
        <v/>
      </c>
      <c r="W38" s="28" t="str">
        <f t="shared" si="31"/>
        <v/>
      </c>
      <c r="X38" s="22" t="str">
        <f t="shared" si="32"/>
        <v/>
      </c>
      <c r="Y38" s="22" t="str">
        <f t="shared" si="33"/>
        <v/>
      </c>
      <c r="Z38" s="9"/>
      <c r="AA38" s="16"/>
      <c r="AB38" s="14"/>
      <c r="AC38" s="25"/>
      <c r="AD38" s="9"/>
      <c r="AE38" s="11"/>
      <c r="AF38" s="11"/>
      <c r="AG38" s="14"/>
      <c r="AH38" s="14"/>
      <c r="AI38" s="9"/>
      <c r="AJ38" s="21" t="str">
        <f>IF(COUNTA(AA38:AH38)=0,"",IF(AA38="","E_MISSING_INPUT",IF(AA38="TIMESTAMP",IF(OR(AB38="",AC38="",AD38=""),"E_MISSING_INPUT",IF(OR(NOT(ISNUMBER(AB38)),NOT(ISNUMBER(AC38))),"E_INVALID_DATE",IF(OR(AB38&lt;&gt;INT(AB38),AC38&lt;0,AC38&gt;=1),"E_INVALID_DATE",IF(ISNA(MATCH(AD38,nLIST_Offset,0)),"E_INVALID_UNIT","")))),IF(AA38="DATE",IF(AB38="","E_MISSING_INPUT",IF(NOT(ISNUMBER(AB38)),"E_INVALID_DATE",IF(AB38&lt;&gt;INT(AB38),"E_INVALID_DATE",""))),IF(AA38="MONTH",IF(OR(AE38="",AF38=""),"E_MISSING_INPUT",IF(OR(NOT(ISNUMBER(AE38)),NOT(ISNUMBER(AF38))),"E_INVALID_DATE",IF(OR(AE38&lt;1900,AE38&gt;9999,AE38&lt;&gt;INT(AE38),AF38&lt;1,AF38&gt;12,AF38&lt;&gt;INT(AF38)),"E_INVALID_DATE",""))),IF(AA38="YEAR",IF(AE38="","E_MISSING_INPUT",IF(NOT(ISNUMBER(AE38)),"E_INVALID_DATE",IF(OR(AE38&lt;1900,AE38&gt;9999,AE38&lt;&gt;INT(AE38)),"E_INVALID_DATE",""))),IF(AA38="RANGE",IF(OR(AG38="",AH38=""),"E_MISSING_INPUT",IF(OR(NOT(ISNUMBER(AG38)),NOT(ISNUMBER(AH38))),"E_INVALID_DATE",IF(OR(AG38&lt;&gt;INT(AG38),AH38&lt;&gt;INT(AH38)),"E_INVALID_DATE",IF(AG38&gt;AH38,"E_REVERSED_BOUNDS","")))),"E_INVALID_UNIT")))))))</f>
        <v/>
      </c>
      <c r="AK38" s="22">
        <f t="shared" si="34"/>
        <v>0</v>
      </c>
      <c r="AL38" s="22">
        <f t="shared" si="35"/>
        <v>0</v>
      </c>
      <c r="AM38" s="28" t="str">
        <f t="shared" si="36"/>
        <v/>
      </c>
      <c r="AN38" s="28" t="str">
        <f t="shared" si="37"/>
        <v/>
      </c>
      <c r="AO38" s="22" t="str">
        <f t="shared" si="38"/>
        <v/>
      </c>
      <c r="AP38" s="22" t="str">
        <f t="shared" si="39"/>
        <v/>
      </c>
      <c r="AQ38" s="21" t="str">
        <f t="shared" si="40"/>
        <v>VEC-V13|1|EV1</v>
      </c>
      <c r="AR38" s="22">
        <f>IF(AQ38="",0,COUNTIF(nEVT_Key,AQ38))</f>
        <v>1</v>
      </c>
      <c r="AS38" s="21" t="str">
        <f t="shared" si="41"/>
        <v>E_INVALID_DATE</v>
      </c>
      <c r="AT38" s="21" t="str">
        <f>IF(AS38="","",AS38&amp;": "&amp;SUBSTITUTE(IFERROR(INDEX(nMSG_Text,MATCH(AS38,nMSG_Code,0)),""),"[input]",IF(D38="","an Episode_ID","the date fields required by the selected precision")))</f>
        <v>E_INVALID_DATE: This date does not exist. Check the source, or record it as a partial date.</v>
      </c>
    </row>
    <row r="39" spans="1:46" x14ac:dyDescent="0.2">
      <c r="A39" s="9" t="s">
        <v>329</v>
      </c>
      <c r="B39" s="11">
        <v>1</v>
      </c>
      <c r="C39" s="9" t="s">
        <v>662</v>
      </c>
      <c r="D39" s="9" t="s">
        <v>691</v>
      </c>
      <c r="E39" s="9" t="s">
        <v>678</v>
      </c>
      <c r="F39" s="9"/>
      <c r="G39" s="16"/>
      <c r="H39" s="9"/>
      <c r="I39" s="9" t="s">
        <v>692</v>
      </c>
      <c r="J39" s="16" t="s">
        <v>4</v>
      </c>
      <c r="K39" s="14">
        <v>46042</v>
      </c>
      <c r="L39" s="25"/>
      <c r="M39" s="9"/>
      <c r="N39" s="11"/>
      <c r="O39" s="11"/>
      <c r="P39" s="14"/>
      <c r="Q39" s="14"/>
      <c r="R39" s="9" t="s">
        <v>522</v>
      </c>
      <c r="S39" s="21" t="str">
        <f>IF(COUNTA(J39:Q39)=0,"",IF(J39="","E_MISSING_INPUT",IF(J39="TIMESTAMP",IF(OR(K39="",L39="",M39=""),"E_MISSING_INPUT",IF(OR(NOT(ISNUMBER(K39)),NOT(ISNUMBER(L39))),"E_INVALID_DATE",IF(OR(K39&lt;&gt;INT(K39),L39&lt;0,L39&gt;=1),"E_INVALID_DATE",IF(ISNA(MATCH(M39,nLIST_Offset,0)),"E_INVALID_UNIT","")))),IF(J39="DATE",IF(K39="","E_MISSING_INPUT",IF(NOT(ISNUMBER(K39)),"E_INVALID_DATE",IF(K39&lt;&gt;INT(K39),"E_INVALID_DATE",""))),IF(J39="MONTH",IF(OR(N39="",O39=""),"E_MISSING_INPUT",IF(OR(NOT(ISNUMBER(N39)),NOT(ISNUMBER(O39))),"E_INVALID_DATE",IF(OR(N39&lt;1900,N39&gt;9999,N39&lt;&gt;INT(N39),O39&lt;1,O39&gt;12,O39&lt;&gt;INT(O39)),"E_INVALID_DATE",""))),IF(J39="YEAR",IF(N39="","E_MISSING_INPUT",IF(NOT(ISNUMBER(N39)),"E_INVALID_DATE",IF(OR(N39&lt;1900,N39&gt;9999,N39&lt;&gt;INT(N39)),"E_INVALID_DATE",""))),IF(J39="RANGE",IF(OR(P39="",Q39=""),"E_MISSING_INPUT",IF(OR(NOT(ISNUMBER(P39)),NOT(ISNUMBER(Q39))),"E_INVALID_DATE",IF(OR(P39&lt;&gt;INT(P39),Q39&lt;&gt;INT(Q39)),"E_INVALID_DATE",IF(P39&gt;Q39,"E_REVERSED_BOUNDS","")))),"E_INVALID_UNIT")))))))</f>
        <v/>
      </c>
      <c r="T39" s="22">
        <f t="shared" si="28"/>
        <v>0</v>
      </c>
      <c r="U39" s="22">
        <f t="shared" si="29"/>
        <v>0</v>
      </c>
      <c r="V39" s="28">
        <f t="shared" si="30"/>
        <v>46042</v>
      </c>
      <c r="W39" s="28">
        <f t="shared" si="31"/>
        <v>46042</v>
      </c>
      <c r="X39" s="22" t="str">
        <f t="shared" si="32"/>
        <v/>
      </c>
      <c r="Y39" s="22" t="str">
        <f t="shared" si="33"/>
        <v/>
      </c>
      <c r="Z39" s="9"/>
      <c r="AA39" s="16"/>
      <c r="AB39" s="14"/>
      <c r="AC39" s="25"/>
      <c r="AD39" s="9"/>
      <c r="AE39" s="11"/>
      <c r="AF39" s="11"/>
      <c r="AG39" s="14"/>
      <c r="AH39" s="14"/>
      <c r="AI39" s="9"/>
      <c r="AJ39" s="21" t="str">
        <f>IF(COUNTA(AA39:AH39)=0,"",IF(AA39="","E_MISSING_INPUT",IF(AA39="TIMESTAMP",IF(OR(AB39="",AC39="",AD39=""),"E_MISSING_INPUT",IF(OR(NOT(ISNUMBER(AB39)),NOT(ISNUMBER(AC39))),"E_INVALID_DATE",IF(OR(AB39&lt;&gt;INT(AB39),AC39&lt;0,AC39&gt;=1),"E_INVALID_DATE",IF(ISNA(MATCH(AD39,nLIST_Offset,0)),"E_INVALID_UNIT","")))),IF(AA39="DATE",IF(AB39="","E_MISSING_INPUT",IF(NOT(ISNUMBER(AB39)),"E_INVALID_DATE",IF(AB39&lt;&gt;INT(AB39),"E_INVALID_DATE",""))),IF(AA39="MONTH",IF(OR(AE39="",AF39=""),"E_MISSING_INPUT",IF(OR(NOT(ISNUMBER(AE39)),NOT(ISNUMBER(AF39))),"E_INVALID_DATE",IF(OR(AE39&lt;1900,AE39&gt;9999,AE39&lt;&gt;INT(AE39),AF39&lt;1,AF39&gt;12,AF39&lt;&gt;INT(AF39)),"E_INVALID_DATE",""))),IF(AA39="YEAR",IF(AE39="","E_MISSING_INPUT",IF(NOT(ISNUMBER(AE39)),"E_INVALID_DATE",IF(OR(AE39&lt;1900,AE39&gt;9999,AE39&lt;&gt;INT(AE39)),"E_INVALID_DATE",""))),IF(AA39="RANGE",IF(OR(AG39="",AH39=""),"E_MISSING_INPUT",IF(OR(NOT(ISNUMBER(AG39)),NOT(ISNUMBER(AH39))),"E_INVALID_DATE",IF(OR(AG39&lt;&gt;INT(AG39),AH39&lt;&gt;INT(AH39)),"E_INVALID_DATE",IF(AG39&gt;AH39,"E_REVERSED_BOUNDS","")))),"E_INVALID_UNIT")))))))</f>
        <v/>
      </c>
      <c r="AK39" s="22">
        <f t="shared" si="34"/>
        <v>0</v>
      </c>
      <c r="AL39" s="22">
        <f t="shared" si="35"/>
        <v>0</v>
      </c>
      <c r="AM39" s="28" t="str">
        <f t="shared" si="36"/>
        <v/>
      </c>
      <c r="AN39" s="28" t="str">
        <f t="shared" si="37"/>
        <v/>
      </c>
      <c r="AO39" s="22" t="str">
        <f t="shared" si="38"/>
        <v/>
      </c>
      <c r="AP39" s="22" t="str">
        <f t="shared" si="39"/>
        <v/>
      </c>
      <c r="AQ39" s="21" t="str">
        <f t="shared" si="40"/>
        <v>VEC-V13|1|EV2</v>
      </c>
      <c r="AR39" s="22">
        <f>IF(AQ39="",0,COUNTIF(nEVT_Key,AQ39))</f>
        <v>1</v>
      </c>
      <c r="AS39" s="21" t="str">
        <f t="shared" si="41"/>
        <v/>
      </c>
      <c r="AT39" s="21" t="str">
        <f>IF(AS39="","",AS39&amp;": "&amp;SUBSTITUTE(IFERROR(INDEX(nMSG_Text,MATCH(AS39,nMSG_Code,0)),""),"[input]",IF(D39="","an Episode_ID","the date fields required by the selected precision")))</f>
        <v/>
      </c>
    </row>
    <row r="40" spans="1:46" x14ac:dyDescent="0.2">
      <c r="A40" s="9" t="s">
        <v>331</v>
      </c>
      <c r="B40" s="11">
        <v>1</v>
      </c>
      <c r="C40" s="9" t="s">
        <v>662</v>
      </c>
      <c r="D40" s="9" t="s">
        <v>677</v>
      </c>
      <c r="E40" s="9" t="s">
        <v>678</v>
      </c>
      <c r="F40" s="9"/>
      <c r="G40" s="16"/>
      <c r="H40" s="9" t="s">
        <v>693</v>
      </c>
      <c r="I40" s="9"/>
      <c r="J40" s="16"/>
      <c r="K40" s="14"/>
      <c r="L40" s="25"/>
      <c r="M40" s="9"/>
      <c r="N40" s="11"/>
      <c r="O40" s="11"/>
      <c r="P40" s="14"/>
      <c r="Q40" s="14"/>
      <c r="R40" s="9"/>
      <c r="S40" s="21" t="str">
        <f>IF(COUNTA(J40:Q40)=0,"",IF(J40="","E_MISSING_INPUT",IF(J40="TIMESTAMP",IF(OR(K40="",L40="",M40=""),"E_MISSING_INPUT",IF(OR(NOT(ISNUMBER(K40)),NOT(ISNUMBER(L40))),"E_INVALID_DATE",IF(OR(K40&lt;&gt;INT(K40),L40&lt;0,L40&gt;=1),"E_INVALID_DATE",IF(ISNA(MATCH(M40,nLIST_Offset,0)),"E_INVALID_UNIT","")))),IF(J40="DATE",IF(K40="","E_MISSING_INPUT",IF(NOT(ISNUMBER(K40)),"E_INVALID_DATE",IF(K40&lt;&gt;INT(K40),"E_INVALID_DATE",""))),IF(J40="MONTH",IF(OR(N40="",O40=""),"E_MISSING_INPUT",IF(OR(NOT(ISNUMBER(N40)),NOT(ISNUMBER(O40))),"E_INVALID_DATE",IF(OR(N40&lt;1900,N40&gt;9999,N40&lt;&gt;INT(N40),O40&lt;1,O40&gt;12,O40&lt;&gt;INT(O40)),"E_INVALID_DATE",""))),IF(J40="YEAR",IF(N40="","E_MISSING_INPUT",IF(NOT(ISNUMBER(N40)),"E_INVALID_DATE",IF(OR(N40&lt;1900,N40&gt;9999,N40&lt;&gt;INT(N40)),"E_INVALID_DATE",""))),IF(J40="RANGE",IF(OR(P40="",Q40=""),"E_MISSING_INPUT",IF(OR(NOT(ISNUMBER(P40)),NOT(ISNUMBER(Q40))),"E_INVALID_DATE",IF(OR(P40&lt;&gt;INT(P40),Q40&lt;&gt;INT(Q40)),"E_INVALID_DATE",IF(P40&gt;Q40,"E_REVERSED_BOUNDS","")))),"E_INVALID_UNIT")))))))</f>
        <v/>
      </c>
      <c r="T40" s="22">
        <f t="shared" si="28"/>
        <v>0</v>
      </c>
      <c r="U40" s="22">
        <f t="shared" si="29"/>
        <v>0</v>
      </c>
      <c r="V40" s="28" t="str">
        <f t="shared" si="30"/>
        <v/>
      </c>
      <c r="W40" s="28" t="str">
        <f t="shared" si="31"/>
        <v/>
      </c>
      <c r="X40" s="22" t="str">
        <f t="shared" si="32"/>
        <v/>
      </c>
      <c r="Y40" s="22" t="str">
        <f t="shared" si="33"/>
        <v/>
      </c>
      <c r="Z40" s="9"/>
      <c r="AA40" s="16"/>
      <c r="AB40" s="14"/>
      <c r="AC40" s="25"/>
      <c r="AD40" s="9"/>
      <c r="AE40" s="11"/>
      <c r="AF40" s="11"/>
      <c r="AG40" s="14"/>
      <c r="AH40" s="14"/>
      <c r="AI40" s="9"/>
      <c r="AJ40" s="21" t="str">
        <f>IF(COUNTA(AA40:AH40)=0,"",IF(AA40="","E_MISSING_INPUT",IF(AA40="TIMESTAMP",IF(OR(AB40="",AC40="",AD40=""),"E_MISSING_INPUT",IF(OR(NOT(ISNUMBER(AB40)),NOT(ISNUMBER(AC40))),"E_INVALID_DATE",IF(OR(AB40&lt;&gt;INT(AB40),AC40&lt;0,AC40&gt;=1),"E_INVALID_DATE",IF(ISNA(MATCH(AD40,nLIST_Offset,0)),"E_INVALID_UNIT","")))),IF(AA40="DATE",IF(AB40="","E_MISSING_INPUT",IF(NOT(ISNUMBER(AB40)),"E_INVALID_DATE",IF(AB40&lt;&gt;INT(AB40),"E_INVALID_DATE",""))),IF(AA40="MONTH",IF(OR(AE40="",AF40=""),"E_MISSING_INPUT",IF(OR(NOT(ISNUMBER(AE40)),NOT(ISNUMBER(AF40))),"E_INVALID_DATE",IF(OR(AE40&lt;1900,AE40&gt;9999,AE40&lt;&gt;INT(AE40),AF40&lt;1,AF40&gt;12,AF40&lt;&gt;INT(AF40)),"E_INVALID_DATE",""))),IF(AA40="YEAR",IF(AE40="","E_MISSING_INPUT",IF(NOT(ISNUMBER(AE40)),"E_INVALID_DATE",IF(OR(AE40&lt;1900,AE40&gt;9999,AE40&lt;&gt;INT(AE40)),"E_INVALID_DATE",""))),IF(AA40="RANGE",IF(OR(AG40="",AH40=""),"E_MISSING_INPUT",IF(OR(NOT(ISNUMBER(AG40)),NOT(ISNUMBER(AH40))),"E_INVALID_DATE",IF(OR(AG40&lt;&gt;INT(AG40),AH40&lt;&gt;INT(AH40)),"E_INVALID_DATE",IF(AG40&gt;AH40,"E_REVERSED_BOUNDS","")))),"E_INVALID_UNIT")))))))</f>
        <v/>
      </c>
      <c r="AK40" s="22">
        <f t="shared" si="34"/>
        <v>0</v>
      </c>
      <c r="AL40" s="22">
        <f t="shared" si="35"/>
        <v>0</v>
      </c>
      <c r="AM40" s="28" t="str">
        <f t="shared" si="36"/>
        <v/>
      </c>
      <c r="AN40" s="28" t="str">
        <f t="shared" si="37"/>
        <v/>
      </c>
      <c r="AO40" s="22" t="str">
        <f t="shared" si="38"/>
        <v/>
      </c>
      <c r="AP40" s="22" t="str">
        <f t="shared" si="39"/>
        <v/>
      </c>
      <c r="AQ40" s="21" t="str">
        <f t="shared" si="40"/>
        <v>VEC-V15|1|EV1</v>
      </c>
      <c r="AR40" s="22">
        <f>IF(AQ40="",0,COUNTIF(nEVT_Key,AQ40))</f>
        <v>1</v>
      </c>
      <c r="AS40" s="21" t="str">
        <f t="shared" si="41"/>
        <v/>
      </c>
      <c r="AT40" s="21" t="str">
        <f>IF(AS40="","",AS40&amp;": "&amp;SUBSTITUTE(IFERROR(INDEX(nMSG_Text,MATCH(AS40,nMSG_Code,0)),""),"[input]",IF(D40="","an Episode_ID","the date fields required by the selected precision")))</f>
        <v/>
      </c>
    </row>
    <row r="41" spans="1:46" x14ac:dyDescent="0.2">
      <c r="A41" s="9" t="s">
        <v>351</v>
      </c>
      <c r="B41" s="11">
        <v>1</v>
      </c>
      <c r="C41" s="9" t="s">
        <v>662</v>
      </c>
      <c r="D41" s="9" t="s">
        <v>677</v>
      </c>
      <c r="E41" s="9" t="s">
        <v>678</v>
      </c>
      <c r="F41" s="9"/>
      <c r="G41" s="16"/>
      <c r="H41" s="9"/>
      <c r="I41" s="9" t="s">
        <v>694</v>
      </c>
      <c r="J41" s="16" t="s">
        <v>3</v>
      </c>
      <c r="K41" s="14">
        <v>46032</v>
      </c>
      <c r="L41" s="25">
        <v>0.40972222222222199</v>
      </c>
      <c r="M41" s="9" t="s">
        <v>18</v>
      </c>
      <c r="N41" s="11"/>
      <c r="O41" s="11"/>
      <c r="P41" s="14"/>
      <c r="Q41" s="14"/>
      <c r="R41" s="9" t="s">
        <v>530</v>
      </c>
      <c r="S41" s="21" t="str">
        <f>IF(COUNTA(J41:Q41)=0,"",IF(J41="","E_MISSING_INPUT",IF(J41="TIMESTAMP",IF(OR(K41="",L41="",M41=""),"E_MISSING_INPUT",IF(OR(NOT(ISNUMBER(K41)),NOT(ISNUMBER(L41))),"E_INVALID_DATE",IF(OR(K41&lt;&gt;INT(K41),L41&lt;0,L41&gt;=1),"E_INVALID_DATE",IF(ISNA(MATCH(M41,nLIST_Offset,0)),"E_INVALID_UNIT","")))),IF(J41="DATE",IF(K41="","E_MISSING_INPUT",IF(NOT(ISNUMBER(K41)),"E_INVALID_DATE",IF(K41&lt;&gt;INT(K41),"E_INVALID_DATE",""))),IF(J41="MONTH",IF(OR(N41="",O41=""),"E_MISSING_INPUT",IF(OR(NOT(ISNUMBER(N41)),NOT(ISNUMBER(O41))),"E_INVALID_DATE",IF(OR(N41&lt;1900,N41&gt;9999,N41&lt;&gt;INT(N41),O41&lt;1,O41&gt;12,O41&lt;&gt;INT(O41)),"E_INVALID_DATE",""))),IF(J41="YEAR",IF(N41="","E_MISSING_INPUT",IF(NOT(ISNUMBER(N41)),"E_INVALID_DATE",IF(OR(N41&lt;1900,N41&gt;9999,N41&lt;&gt;INT(N41)),"E_INVALID_DATE",""))),IF(J41="RANGE",IF(OR(P41="",Q41=""),"E_MISSING_INPUT",IF(OR(NOT(ISNUMBER(P41)),NOT(ISNUMBER(Q41))),"E_INVALID_DATE",IF(OR(P41&lt;&gt;INT(P41),Q41&lt;&gt;INT(Q41)),"E_INVALID_DATE",IF(P41&gt;Q41,"E_REVERSED_BOUNDS","")))),"E_INVALID_UNIT")))))))</f>
        <v/>
      </c>
      <c r="T41" s="22">
        <f t="shared" si="28"/>
        <v>1</v>
      </c>
      <c r="U41" s="22">
        <f t="shared" si="29"/>
        <v>1</v>
      </c>
      <c r="V41" s="28">
        <f t="shared" si="30"/>
        <v>46032</v>
      </c>
      <c r="W41" s="28">
        <f t="shared" si="31"/>
        <v>46032</v>
      </c>
      <c r="X41" s="22">
        <f t="shared" si="32"/>
        <v>66286670</v>
      </c>
      <c r="Y41" s="22">
        <f t="shared" si="33"/>
        <v>66286970</v>
      </c>
      <c r="Z41" s="9"/>
      <c r="AA41" s="16"/>
      <c r="AB41" s="14"/>
      <c r="AC41" s="25"/>
      <c r="AD41" s="9"/>
      <c r="AE41" s="11"/>
      <c r="AF41" s="11"/>
      <c r="AG41" s="14"/>
      <c r="AH41" s="14"/>
      <c r="AI41" s="9"/>
      <c r="AJ41" s="21" t="str">
        <f>IF(COUNTA(AA41:AH41)=0,"",IF(AA41="","E_MISSING_INPUT",IF(AA41="TIMESTAMP",IF(OR(AB41="",AC41="",AD41=""),"E_MISSING_INPUT",IF(OR(NOT(ISNUMBER(AB41)),NOT(ISNUMBER(AC41))),"E_INVALID_DATE",IF(OR(AB41&lt;&gt;INT(AB41),AC41&lt;0,AC41&gt;=1),"E_INVALID_DATE",IF(ISNA(MATCH(AD41,nLIST_Offset,0)),"E_INVALID_UNIT","")))),IF(AA41="DATE",IF(AB41="","E_MISSING_INPUT",IF(NOT(ISNUMBER(AB41)),"E_INVALID_DATE",IF(AB41&lt;&gt;INT(AB41),"E_INVALID_DATE",""))),IF(AA41="MONTH",IF(OR(AE41="",AF41=""),"E_MISSING_INPUT",IF(OR(NOT(ISNUMBER(AE41)),NOT(ISNUMBER(AF41))),"E_INVALID_DATE",IF(OR(AE41&lt;1900,AE41&gt;9999,AE41&lt;&gt;INT(AE41),AF41&lt;1,AF41&gt;12,AF41&lt;&gt;INT(AF41)),"E_INVALID_DATE",""))),IF(AA41="YEAR",IF(AE41="","E_MISSING_INPUT",IF(NOT(ISNUMBER(AE41)),"E_INVALID_DATE",IF(OR(AE41&lt;1900,AE41&gt;9999,AE41&lt;&gt;INT(AE41)),"E_INVALID_DATE",""))),IF(AA41="RANGE",IF(OR(AG41="",AH41=""),"E_MISSING_INPUT",IF(OR(NOT(ISNUMBER(AG41)),NOT(ISNUMBER(AH41))),"E_INVALID_DATE",IF(OR(AG41&lt;&gt;INT(AG41),AH41&lt;&gt;INT(AH41)),"E_INVALID_DATE",IF(AG41&gt;AH41,"E_REVERSED_BOUNDS","")))),"E_INVALID_UNIT")))))))</f>
        <v/>
      </c>
      <c r="AK41" s="22">
        <f t="shared" si="34"/>
        <v>0</v>
      </c>
      <c r="AL41" s="22">
        <f t="shared" si="35"/>
        <v>0</v>
      </c>
      <c r="AM41" s="28" t="str">
        <f t="shared" si="36"/>
        <v/>
      </c>
      <c r="AN41" s="28" t="str">
        <f t="shared" si="37"/>
        <v/>
      </c>
      <c r="AO41" s="22" t="str">
        <f t="shared" si="38"/>
        <v/>
      </c>
      <c r="AP41" s="22" t="str">
        <f t="shared" si="39"/>
        <v/>
      </c>
      <c r="AQ41" s="21" t="str">
        <f t="shared" si="40"/>
        <v>VEC-V25|1|EV1</v>
      </c>
      <c r="AR41" s="22">
        <f>IF(AQ41="",0,COUNTIF(nEVT_Key,AQ41))</f>
        <v>1</v>
      </c>
      <c r="AS41" s="21" t="str">
        <f t="shared" si="41"/>
        <v/>
      </c>
      <c r="AT41" s="21" t="str">
        <f>IF(AS41="","",AS41&amp;": "&amp;SUBSTITUTE(IFERROR(INDEX(nMSG_Text,MATCH(AS41,nMSG_Code,0)),""),"[input]",IF(D41="","an Episode_ID","the date fields required by the selected precision")))</f>
        <v/>
      </c>
    </row>
  </sheetData>
  <sheetProtection sheet="1" objects="1" scenarios="1" formatColumns="0" formatRows="0" autoFilter="0"/>
  <autoFilter ref="A4:AT41" xr:uid="{2F097A67-B4E6-4DC4-BD73-0CEE330FD15F}"/>
  <dataValidations count="10">
    <dataValidation type="whole" operator="greaterThanOrEqual" allowBlank="1" showInputMessage="1" showErrorMessage="1" sqref="B5:B19" xr:uid="{8E96AE02-0294-4EF8-BF47-B95F53CDBB5D}">
      <formula1>1</formula1>
    </dataValidation>
    <dataValidation type="list" errorStyle="information" allowBlank="1" showInputMessage="1" showErrorMessage="1" sqref="G5:G19" xr:uid="{4BAF5A9F-00DF-4306-BB2B-A776B26E2972}">
      <formula1>nLIST_MissingReason</formula1>
    </dataValidation>
    <dataValidation type="list" allowBlank="1" showInputMessage="1" showErrorMessage="1" prompt="TIMESTAMP: Date + Time + UTC offset (choose unknown if not recorded). DATE: Date only. MONTH: Year + Month. YEAR: Year. RANGE: earliest and latest dates as stated, with the source." sqref="J5:J19" xr:uid="{12E2BAC3-D2BB-4343-B316-68A9DA6F8FFB}">
      <formula1>nLIST_Precision</formula1>
    </dataValidation>
    <dataValidation type="date" allowBlank="1" showInputMessage="1" showErrorMessage="1" sqref="K5:K19 P5:P19 Q5:Q19 AB5:AB19 AG5:AG19 AH5:AH19" xr:uid="{FFD531AB-A9F2-4B4B-93FC-908ECC35771E}">
      <formula1>1</formula1>
      <formula2>2958465</formula2>
    </dataValidation>
    <dataValidation type="time" allowBlank="1" showInputMessage="1" showErrorMessage="1" sqref="L5:L19" xr:uid="{1F9F65CA-8143-4197-A41E-90B438A56780}">
      <formula1>0</formula1>
      <formula2>0.9993055</formula2>
    </dataValidation>
    <dataValidation type="list" allowBlank="1" showInputMessage="1" showErrorMessage="1" sqref="M5:M19 AD5:AD19" xr:uid="{9530ADB7-21A8-44B1-AB43-12AAE6712755}">
      <formula1>nLIST_Offset</formula1>
    </dataValidation>
    <dataValidation type="whole" allowBlank="1" showInputMessage="1" showErrorMessage="1" sqref="N5:N19 AE5:AE19" xr:uid="{571F8F87-5331-431B-B52E-D357AC579412}">
      <formula1>1900</formula1>
      <formula2>9999</formula2>
    </dataValidation>
    <dataValidation type="whole" allowBlank="1" showInputMessage="1" showErrorMessage="1" sqref="O5:O19 AF5:AF19" xr:uid="{47CE9818-3F8F-477E-8365-35DFCE890A6E}">
      <formula1>1</formula1>
      <formula2>12</formula2>
    </dataValidation>
    <dataValidation type="list" allowBlank="1" showInputMessage="1" showErrorMessage="1" sqref="AA5:AA19" xr:uid="{940CFCF7-F842-4158-B264-3A5755D28A67}">
      <formula1>nLIST_Precision</formula1>
    </dataValidation>
    <dataValidation type="time" allowBlank="1" showInputMessage="1" showErrorMessage="1" sqref="AC5:AC19" xr:uid="{8E836031-3963-4B4A-8871-31F86FCE4B51}">
      <formula1>0</formula1>
      <formula2>0.999305555555556</formula2>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4E2B4-E2C9-40B4-9CAA-DBB80EEC7DB6}">
  <dimension ref="A1:AF66"/>
  <sheetViews>
    <sheetView zoomScale="90" zoomScaleNormal="90" workbookViewId="0">
      <pane xSplit="3" ySplit="4" topLeftCell="D5" activePane="bottomRight" state="frozenSplit"/>
      <selection pane="topRight" activeCell="D1" sqref="D1"/>
      <selection pane="bottomLeft" activeCell="A5" sqref="A5"/>
      <selection pane="bottomRight"/>
    </sheetView>
  </sheetViews>
  <sheetFormatPr defaultRowHeight="12.75" x14ac:dyDescent="0.2"/>
  <cols>
    <col min="1" max="1" width="10.7109375" style="1" customWidth="1"/>
    <col min="2" max="2" width="7.7109375" style="1" customWidth="1"/>
    <col min="3" max="3" width="11.7109375" style="1" customWidth="1"/>
    <col min="4" max="4" width="14.7109375" style="1" customWidth="1"/>
    <col min="5" max="5" width="10.7109375" style="1" customWidth="1"/>
    <col min="6" max="6" width="30.7109375" style="1" customWidth="1"/>
    <col min="7" max="7" width="8.7109375" style="1" customWidth="1"/>
    <col min="8" max="8" width="9.7109375" style="1" customWidth="1"/>
    <col min="9" max="10" width="12.7109375" style="1" customWidth="1"/>
    <col min="11" max="11" width="20.7109375" style="1" customWidth="1"/>
    <col min="12" max="12" width="26.7109375" style="1" customWidth="1"/>
    <col min="13" max="13" width="11.7109375" style="1" customWidth="1"/>
    <col min="14" max="14" width="15.7109375" style="1" customWidth="1"/>
    <col min="15" max="16" width="9.7109375" style="1" customWidth="1"/>
    <col min="17" max="18" width="7.7109375" style="1" customWidth="1"/>
    <col min="19" max="20" width="15.7109375" style="1" customWidth="1"/>
    <col min="21" max="21" width="22.7109375" style="1" customWidth="1"/>
    <col min="22" max="22" width="12.7109375" style="1" customWidth="1"/>
    <col min="23" max="24" width="6.7109375" style="1" customWidth="1"/>
    <col min="25" max="26" width="14.7109375" style="1" customWidth="1"/>
    <col min="27" max="28" width="11.7109375" style="1" customWidth="1"/>
    <col min="29" max="29" width="14.7109375" style="1" customWidth="1"/>
    <col min="30" max="30" width="5.7109375" style="1" customWidth="1"/>
    <col min="31" max="31" width="14.7109375" style="1" customWidth="1"/>
    <col min="32" max="32" width="40.7109375" style="1" customWidth="1"/>
    <col min="33" max="16384" width="9.140625" style="1"/>
  </cols>
  <sheetData>
    <row r="1" spans="1:32" ht="17.25" x14ac:dyDescent="0.3">
      <c r="A1" s="6" t="s">
        <v>695</v>
      </c>
    </row>
    <row r="2" spans="1:32" x14ac:dyDescent="0.2">
      <c r="A2" s="7" t="s">
        <v>272</v>
      </c>
    </row>
    <row r="3" spans="1:32" x14ac:dyDescent="0.2">
      <c r="A3" s="2" t="s">
        <v>696</v>
      </c>
      <c r="L3" s="2" t="s">
        <v>704</v>
      </c>
      <c r="AC3" s="2" t="s">
        <v>283</v>
      </c>
    </row>
    <row r="4" spans="1:32" ht="66" customHeight="1" x14ac:dyDescent="0.2">
      <c r="A4" s="8" t="s">
        <v>274</v>
      </c>
      <c r="B4" s="8" t="s">
        <v>275</v>
      </c>
      <c r="C4" s="8" t="s">
        <v>697</v>
      </c>
      <c r="D4" s="8" t="s">
        <v>698</v>
      </c>
      <c r="E4" s="8" t="s">
        <v>699</v>
      </c>
      <c r="F4" s="8" t="s">
        <v>700</v>
      </c>
      <c r="G4" s="8" t="s">
        <v>701</v>
      </c>
      <c r="H4" s="8" t="s">
        <v>702</v>
      </c>
      <c r="I4" s="8" t="s">
        <v>703</v>
      </c>
      <c r="J4" s="8" t="s">
        <v>366</v>
      </c>
      <c r="K4" s="8" t="s">
        <v>367</v>
      </c>
      <c r="L4" s="8" t="s">
        <v>705</v>
      </c>
      <c r="M4" s="8" t="s">
        <v>706</v>
      </c>
      <c r="N4" s="8" t="s">
        <v>707</v>
      </c>
      <c r="O4" s="8" t="s">
        <v>708</v>
      </c>
      <c r="P4" s="8" t="s">
        <v>709</v>
      </c>
      <c r="Q4" s="8" t="s">
        <v>710</v>
      </c>
      <c r="R4" s="8" t="s">
        <v>711</v>
      </c>
      <c r="S4" s="8" t="s">
        <v>712</v>
      </c>
      <c r="T4" s="8" t="s">
        <v>713</v>
      </c>
      <c r="U4" s="8" t="s">
        <v>714</v>
      </c>
      <c r="V4" s="19" t="s">
        <v>715</v>
      </c>
      <c r="W4" s="19" t="s">
        <v>716</v>
      </c>
      <c r="X4" s="19" t="s">
        <v>717</v>
      </c>
      <c r="Y4" s="19" t="s">
        <v>718</v>
      </c>
      <c r="Z4" s="19" t="s">
        <v>719</v>
      </c>
      <c r="AA4" s="19" t="s">
        <v>720</v>
      </c>
      <c r="AB4" s="19" t="s">
        <v>721</v>
      </c>
      <c r="AC4" s="19" t="s">
        <v>722</v>
      </c>
      <c r="AD4" s="19" t="s">
        <v>285</v>
      </c>
      <c r="AE4" s="19" t="s">
        <v>423</v>
      </c>
      <c r="AF4" s="19" t="s">
        <v>287</v>
      </c>
    </row>
    <row r="5" spans="1:32" x14ac:dyDescent="0.2">
      <c r="A5" s="10"/>
      <c r="B5" s="12"/>
      <c r="C5" s="10"/>
      <c r="D5" s="17"/>
      <c r="E5" s="10"/>
      <c r="F5" s="10"/>
      <c r="G5" s="17"/>
      <c r="H5" s="10"/>
      <c r="I5" s="10"/>
      <c r="J5" s="17"/>
      <c r="K5" s="10"/>
      <c r="L5" s="10"/>
      <c r="M5" s="17"/>
      <c r="N5" s="15"/>
      <c r="O5" s="26"/>
      <c r="P5" s="10"/>
      <c r="Q5" s="12"/>
      <c r="R5" s="12"/>
      <c r="S5" s="15"/>
      <c r="T5" s="15"/>
      <c r="U5" s="10"/>
      <c r="V5" s="21" t="str">
        <f>IF(COUNTA(M5:T5)=0,"",IF(M5="","E_MISSING_INPUT",IF(M5="TIMESTAMP",IF(OR(N5="",O5="",P5=""),"E_MISSING_INPUT",IF(OR(NOT(ISNUMBER(N5)),NOT(ISNUMBER(O5))),"E_INVALID_DATE",IF(OR(N5&lt;&gt;INT(N5),O5&lt;0,O5&gt;=1),"E_INVALID_DATE",IF(ISNA(MATCH(P5,nLIST_Offset,0)),"E_INVALID_UNIT","")))),IF(M5="DATE",IF(N5="","E_MISSING_INPUT",IF(NOT(ISNUMBER(N5)),"E_INVALID_DATE",IF(N5&lt;&gt;INT(N5),"E_INVALID_DATE",""))),IF(M5="MONTH",IF(OR(Q5="",R5=""),"E_MISSING_INPUT",IF(OR(NOT(ISNUMBER(Q5)),NOT(ISNUMBER(R5))),"E_INVALID_DATE",IF(OR(Q5&lt;1900,Q5&gt;9999,Q5&lt;&gt;INT(Q5),R5&lt;1,R5&gt;12,R5&lt;&gt;INT(R5)),"E_INVALID_DATE",""))),IF(M5="YEAR",IF(Q5="","E_MISSING_INPUT",IF(NOT(ISNUMBER(Q5)),"E_INVALID_DATE",IF(OR(Q5&lt;1900,Q5&gt;9999,Q5&lt;&gt;INT(Q5)),"E_INVALID_DATE",""))),IF(M5="RANGE",IF(OR(S5="",T5=""),"E_MISSING_INPUT",IF(OR(NOT(ISNUMBER(S5)),NOT(ISNUMBER(T5))),"E_INVALID_DATE",IF(OR(S5&lt;&gt;INT(S5),T5&lt;&gt;INT(T5)),"E_INVALID_DATE",IF(S5&gt;T5,"E_REVERSED_BOUNDS","")))),"E_INVALID_UNIT")))))))</f>
        <v/>
      </c>
      <c r="W5" s="22">
        <f t="shared" ref="W5:W44" si="0">IF(AND(V5="",M5="TIMESTAMP"),1,0)</f>
        <v>0</v>
      </c>
      <c r="X5" s="22">
        <f t="shared" ref="X5:X44" si="1">IF(AND(W5=1,P5&lt;&gt;"unknown"),1,0)</f>
        <v>0</v>
      </c>
      <c r="Y5" s="28" t="str">
        <f t="shared" ref="Y5:Y44" si="2">IF(OR(V5&lt;&gt;"",M5=""),"",IF(OR(M5="TIMESTAMP",M5="DATE"),N5,IF(M5="MONTH",DATE(Q5,R5,1),IF(M5="YEAR",DATE(Q5,1,1),S5))))</f>
        <v/>
      </c>
      <c r="Z5" s="28" t="str">
        <f t="shared" ref="Z5:Z44" si="3">IF(OR(V5&lt;&gt;"",M5=""),"",IF(OR(M5="TIMESTAMP",M5="DATE"),N5,IF(M5="MONTH",EOMONTH(DATE(Q5,R5,1),0),IF(M5="YEAR",DATE(Q5,12,31),T5))))</f>
        <v/>
      </c>
      <c r="AA5" s="22" t="str">
        <f t="shared" ref="AA5:AA44" si="4">IF(W5=1,N5*1440+ROUND(O5*1440,0),"")</f>
        <v/>
      </c>
      <c r="AB5" s="22" t="str">
        <f t="shared" ref="AB5:AB44" si="5">IF(X5=1,AA5-(IF(LEFT(P5,1)="-",-1,1)*(VALUE(MID(P5,2,2))*60+VALUE(MID(P5,5,2)))),"")</f>
        <v/>
      </c>
      <c r="AC5" s="21" t="str">
        <f t="shared" ref="AC5:AC44" si="6">IF(C5="","",A5&amp;"|"&amp;B5&amp;"|"&amp;C5)</f>
        <v/>
      </c>
      <c r="AD5" s="22">
        <f>IF(AC5="",0,COUNTIF(nMS_Key,AC5))</f>
        <v>0</v>
      </c>
      <c r="AE5" s="21" t="str">
        <f t="shared" ref="AE5:AE44" si="7">IF(C5="",IF(COUNTA(F5,M5,N5)&gt;0,"E_MISSING_INPUT",""),IF(AD5&gt;1,"E_DUPLICATE_ID",IF(D5="","E_MISSING_INPUT",V5)))</f>
        <v/>
      </c>
      <c r="AF5" s="21" t="str">
        <f>IF(AE5="","",AE5&amp;": "&amp;SUBSTITUTE(IFERROR(INDEX(nMSG_Text,MATCH(AE5,nMSG_Code,0)),""),"[input]",IF(C5="","a Milestone_ID",IF(D5="","a milestone Type","the date fields required by the selected precision"))))</f>
        <v/>
      </c>
    </row>
    <row r="6" spans="1:32" x14ac:dyDescent="0.2">
      <c r="A6" s="10"/>
      <c r="B6" s="12"/>
      <c r="C6" s="10"/>
      <c r="D6" s="17"/>
      <c r="E6" s="10"/>
      <c r="F6" s="10"/>
      <c r="G6" s="17"/>
      <c r="H6" s="10"/>
      <c r="I6" s="10"/>
      <c r="J6" s="17"/>
      <c r="K6" s="10"/>
      <c r="L6" s="10"/>
      <c r="M6" s="17"/>
      <c r="N6" s="15"/>
      <c r="O6" s="26"/>
      <c r="P6" s="10"/>
      <c r="Q6" s="12"/>
      <c r="R6" s="12"/>
      <c r="S6" s="15"/>
      <c r="T6" s="15"/>
      <c r="U6" s="10"/>
      <c r="V6" s="21" t="str">
        <f>IF(COUNTA(M6:T6)=0,"",IF(M6="","E_MISSING_INPUT",IF(M6="TIMESTAMP",IF(OR(N6="",O6="",P6=""),"E_MISSING_INPUT",IF(OR(NOT(ISNUMBER(N6)),NOT(ISNUMBER(O6))),"E_INVALID_DATE",IF(OR(N6&lt;&gt;INT(N6),O6&lt;0,O6&gt;=1),"E_INVALID_DATE",IF(ISNA(MATCH(P6,nLIST_Offset,0)),"E_INVALID_UNIT","")))),IF(M6="DATE",IF(N6="","E_MISSING_INPUT",IF(NOT(ISNUMBER(N6)),"E_INVALID_DATE",IF(N6&lt;&gt;INT(N6),"E_INVALID_DATE",""))),IF(M6="MONTH",IF(OR(Q6="",R6=""),"E_MISSING_INPUT",IF(OR(NOT(ISNUMBER(Q6)),NOT(ISNUMBER(R6))),"E_INVALID_DATE",IF(OR(Q6&lt;1900,Q6&gt;9999,Q6&lt;&gt;INT(Q6),R6&lt;1,R6&gt;12,R6&lt;&gt;INT(R6)),"E_INVALID_DATE",""))),IF(M6="YEAR",IF(Q6="","E_MISSING_INPUT",IF(NOT(ISNUMBER(Q6)),"E_INVALID_DATE",IF(OR(Q6&lt;1900,Q6&gt;9999,Q6&lt;&gt;INT(Q6)),"E_INVALID_DATE",""))),IF(M6="RANGE",IF(OR(S6="",T6=""),"E_MISSING_INPUT",IF(OR(NOT(ISNUMBER(S6)),NOT(ISNUMBER(T6))),"E_INVALID_DATE",IF(OR(S6&lt;&gt;INT(S6),T6&lt;&gt;INT(T6)),"E_INVALID_DATE",IF(S6&gt;T6,"E_REVERSED_BOUNDS","")))),"E_INVALID_UNIT")))))))</f>
        <v/>
      </c>
      <c r="W6" s="22">
        <f t="shared" si="0"/>
        <v>0</v>
      </c>
      <c r="X6" s="22">
        <f t="shared" si="1"/>
        <v>0</v>
      </c>
      <c r="Y6" s="28" t="str">
        <f t="shared" si="2"/>
        <v/>
      </c>
      <c r="Z6" s="28" t="str">
        <f t="shared" si="3"/>
        <v/>
      </c>
      <c r="AA6" s="22" t="str">
        <f t="shared" si="4"/>
        <v/>
      </c>
      <c r="AB6" s="22" t="str">
        <f t="shared" si="5"/>
        <v/>
      </c>
      <c r="AC6" s="21" t="str">
        <f t="shared" si="6"/>
        <v/>
      </c>
      <c r="AD6" s="22">
        <f>IF(AC6="",0,COUNTIF(nMS_Key,AC6))</f>
        <v>0</v>
      </c>
      <c r="AE6" s="21" t="str">
        <f t="shared" si="7"/>
        <v/>
      </c>
      <c r="AF6" s="21" t="str">
        <f>IF(AE6="","",AE6&amp;": "&amp;SUBSTITUTE(IFERROR(INDEX(nMSG_Text,MATCH(AE6,nMSG_Code,0)),""),"[input]",IF(C6="","a Milestone_ID",IF(D6="","a milestone Type","the date fields required by the selected precision"))))</f>
        <v/>
      </c>
    </row>
    <row r="7" spans="1:32" x14ac:dyDescent="0.2">
      <c r="A7" s="10"/>
      <c r="B7" s="12"/>
      <c r="C7" s="10"/>
      <c r="D7" s="17"/>
      <c r="E7" s="10"/>
      <c r="F7" s="10"/>
      <c r="G7" s="17"/>
      <c r="H7" s="10"/>
      <c r="I7" s="10"/>
      <c r="J7" s="17"/>
      <c r="K7" s="10"/>
      <c r="L7" s="10"/>
      <c r="M7" s="17"/>
      <c r="N7" s="15"/>
      <c r="O7" s="26"/>
      <c r="P7" s="10"/>
      <c r="Q7" s="12"/>
      <c r="R7" s="12"/>
      <c r="S7" s="15"/>
      <c r="T7" s="15"/>
      <c r="U7" s="10"/>
      <c r="V7" s="21" t="str">
        <f>IF(COUNTA(M7:T7)=0,"",IF(M7="","E_MISSING_INPUT",IF(M7="TIMESTAMP",IF(OR(N7="",O7="",P7=""),"E_MISSING_INPUT",IF(OR(NOT(ISNUMBER(N7)),NOT(ISNUMBER(O7))),"E_INVALID_DATE",IF(OR(N7&lt;&gt;INT(N7),O7&lt;0,O7&gt;=1),"E_INVALID_DATE",IF(ISNA(MATCH(P7,nLIST_Offset,0)),"E_INVALID_UNIT","")))),IF(M7="DATE",IF(N7="","E_MISSING_INPUT",IF(NOT(ISNUMBER(N7)),"E_INVALID_DATE",IF(N7&lt;&gt;INT(N7),"E_INVALID_DATE",""))),IF(M7="MONTH",IF(OR(Q7="",R7=""),"E_MISSING_INPUT",IF(OR(NOT(ISNUMBER(Q7)),NOT(ISNUMBER(R7))),"E_INVALID_DATE",IF(OR(Q7&lt;1900,Q7&gt;9999,Q7&lt;&gt;INT(Q7),R7&lt;1,R7&gt;12,R7&lt;&gt;INT(R7)),"E_INVALID_DATE",""))),IF(M7="YEAR",IF(Q7="","E_MISSING_INPUT",IF(NOT(ISNUMBER(Q7)),"E_INVALID_DATE",IF(OR(Q7&lt;1900,Q7&gt;9999,Q7&lt;&gt;INT(Q7)),"E_INVALID_DATE",""))),IF(M7="RANGE",IF(OR(S7="",T7=""),"E_MISSING_INPUT",IF(OR(NOT(ISNUMBER(S7)),NOT(ISNUMBER(T7))),"E_INVALID_DATE",IF(OR(S7&lt;&gt;INT(S7),T7&lt;&gt;INT(T7)),"E_INVALID_DATE",IF(S7&gt;T7,"E_REVERSED_BOUNDS","")))),"E_INVALID_UNIT")))))))</f>
        <v/>
      </c>
      <c r="W7" s="22">
        <f t="shared" si="0"/>
        <v>0</v>
      </c>
      <c r="X7" s="22">
        <f t="shared" si="1"/>
        <v>0</v>
      </c>
      <c r="Y7" s="28" t="str">
        <f t="shared" si="2"/>
        <v/>
      </c>
      <c r="Z7" s="28" t="str">
        <f t="shared" si="3"/>
        <v/>
      </c>
      <c r="AA7" s="22" t="str">
        <f t="shared" si="4"/>
        <v/>
      </c>
      <c r="AB7" s="22" t="str">
        <f t="shared" si="5"/>
        <v/>
      </c>
      <c r="AC7" s="21" t="str">
        <f t="shared" si="6"/>
        <v/>
      </c>
      <c r="AD7" s="22">
        <f>IF(AC7="",0,COUNTIF(nMS_Key,AC7))</f>
        <v>0</v>
      </c>
      <c r="AE7" s="21" t="str">
        <f t="shared" si="7"/>
        <v/>
      </c>
      <c r="AF7" s="21" t="str">
        <f>IF(AE7="","",AE7&amp;": "&amp;SUBSTITUTE(IFERROR(INDEX(nMSG_Text,MATCH(AE7,nMSG_Code,0)),""),"[input]",IF(C7="","a Milestone_ID",IF(D7="","a milestone Type","the date fields required by the selected precision"))))</f>
        <v/>
      </c>
    </row>
    <row r="8" spans="1:32" x14ac:dyDescent="0.2">
      <c r="A8" s="10"/>
      <c r="B8" s="12"/>
      <c r="C8" s="10"/>
      <c r="D8" s="17"/>
      <c r="E8" s="10"/>
      <c r="F8" s="10"/>
      <c r="G8" s="17"/>
      <c r="H8" s="10"/>
      <c r="I8" s="10"/>
      <c r="J8" s="17"/>
      <c r="K8" s="10"/>
      <c r="L8" s="10"/>
      <c r="M8" s="17"/>
      <c r="N8" s="15"/>
      <c r="O8" s="26"/>
      <c r="P8" s="10"/>
      <c r="Q8" s="12"/>
      <c r="R8" s="12"/>
      <c r="S8" s="15"/>
      <c r="T8" s="15"/>
      <c r="U8" s="10"/>
      <c r="V8" s="21" t="str">
        <f>IF(COUNTA(M8:T8)=0,"",IF(M8="","E_MISSING_INPUT",IF(M8="TIMESTAMP",IF(OR(N8="",O8="",P8=""),"E_MISSING_INPUT",IF(OR(NOT(ISNUMBER(N8)),NOT(ISNUMBER(O8))),"E_INVALID_DATE",IF(OR(N8&lt;&gt;INT(N8),O8&lt;0,O8&gt;=1),"E_INVALID_DATE",IF(ISNA(MATCH(P8,nLIST_Offset,0)),"E_INVALID_UNIT","")))),IF(M8="DATE",IF(N8="","E_MISSING_INPUT",IF(NOT(ISNUMBER(N8)),"E_INVALID_DATE",IF(N8&lt;&gt;INT(N8),"E_INVALID_DATE",""))),IF(M8="MONTH",IF(OR(Q8="",R8=""),"E_MISSING_INPUT",IF(OR(NOT(ISNUMBER(Q8)),NOT(ISNUMBER(R8))),"E_INVALID_DATE",IF(OR(Q8&lt;1900,Q8&gt;9999,Q8&lt;&gt;INT(Q8),R8&lt;1,R8&gt;12,R8&lt;&gt;INT(R8)),"E_INVALID_DATE",""))),IF(M8="YEAR",IF(Q8="","E_MISSING_INPUT",IF(NOT(ISNUMBER(Q8)),"E_INVALID_DATE",IF(OR(Q8&lt;1900,Q8&gt;9999,Q8&lt;&gt;INT(Q8)),"E_INVALID_DATE",""))),IF(M8="RANGE",IF(OR(S8="",T8=""),"E_MISSING_INPUT",IF(OR(NOT(ISNUMBER(S8)),NOT(ISNUMBER(T8))),"E_INVALID_DATE",IF(OR(S8&lt;&gt;INT(S8),T8&lt;&gt;INT(T8)),"E_INVALID_DATE",IF(S8&gt;T8,"E_REVERSED_BOUNDS","")))),"E_INVALID_UNIT")))))))</f>
        <v/>
      </c>
      <c r="W8" s="22">
        <f t="shared" si="0"/>
        <v>0</v>
      </c>
      <c r="X8" s="22">
        <f t="shared" si="1"/>
        <v>0</v>
      </c>
      <c r="Y8" s="28" t="str">
        <f t="shared" si="2"/>
        <v/>
      </c>
      <c r="Z8" s="28" t="str">
        <f t="shared" si="3"/>
        <v/>
      </c>
      <c r="AA8" s="22" t="str">
        <f t="shared" si="4"/>
        <v/>
      </c>
      <c r="AB8" s="22" t="str">
        <f t="shared" si="5"/>
        <v/>
      </c>
      <c r="AC8" s="21" t="str">
        <f t="shared" si="6"/>
        <v/>
      </c>
      <c r="AD8" s="22">
        <f>IF(AC8="",0,COUNTIF(nMS_Key,AC8))</f>
        <v>0</v>
      </c>
      <c r="AE8" s="21" t="str">
        <f t="shared" si="7"/>
        <v/>
      </c>
      <c r="AF8" s="21" t="str">
        <f>IF(AE8="","",AE8&amp;": "&amp;SUBSTITUTE(IFERROR(INDEX(nMSG_Text,MATCH(AE8,nMSG_Code,0)),""),"[input]",IF(C8="","a Milestone_ID",IF(D8="","a milestone Type","the date fields required by the selected precision"))))</f>
        <v/>
      </c>
    </row>
    <row r="9" spans="1:32" x14ac:dyDescent="0.2">
      <c r="A9" s="10"/>
      <c r="B9" s="12"/>
      <c r="C9" s="10"/>
      <c r="D9" s="17"/>
      <c r="E9" s="10"/>
      <c r="F9" s="10"/>
      <c r="G9" s="17"/>
      <c r="H9" s="10"/>
      <c r="I9" s="10"/>
      <c r="J9" s="17"/>
      <c r="K9" s="10"/>
      <c r="L9" s="10"/>
      <c r="M9" s="17"/>
      <c r="N9" s="15"/>
      <c r="O9" s="26"/>
      <c r="P9" s="10"/>
      <c r="Q9" s="12"/>
      <c r="R9" s="12"/>
      <c r="S9" s="15"/>
      <c r="T9" s="15"/>
      <c r="U9" s="10"/>
      <c r="V9" s="21" t="str">
        <f>IF(COUNTA(M9:T9)=0,"",IF(M9="","E_MISSING_INPUT",IF(M9="TIMESTAMP",IF(OR(N9="",O9="",P9=""),"E_MISSING_INPUT",IF(OR(NOT(ISNUMBER(N9)),NOT(ISNUMBER(O9))),"E_INVALID_DATE",IF(OR(N9&lt;&gt;INT(N9),O9&lt;0,O9&gt;=1),"E_INVALID_DATE",IF(ISNA(MATCH(P9,nLIST_Offset,0)),"E_INVALID_UNIT","")))),IF(M9="DATE",IF(N9="","E_MISSING_INPUT",IF(NOT(ISNUMBER(N9)),"E_INVALID_DATE",IF(N9&lt;&gt;INT(N9),"E_INVALID_DATE",""))),IF(M9="MONTH",IF(OR(Q9="",R9=""),"E_MISSING_INPUT",IF(OR(NOT(ISNUMBER(Q9)),NOT(ISNUMBER(R9))),"E_INVALID_DATE",IF(OR(Q9&lt;1900,Q9&gt;9999,Q9&lt;&gt;INT(Q9),R9&lt;1,R9&gt;12,R9&lt;&gt;INT(R9)),"E_INVALID_DATE",""))),IF(M9="YEAR",IF(Q9="","E_MISSING_INPUT",IF(NOT(ISNUMBER(Q9)),"E_INVALID_DATE",IF(OR(Q9&lt;1900,Q9&gt;9999,Q9&lt;&gt;INT(Q9)),"E_INVALID_DATE",""))),IF(M9="RANGE",IF(OR(S9="",T9=""),"E_MISSING_INPUT",IF(OR(NOT(ISNUMBER(S9)),NOT(ISNUMBER(T9))),"E_INVALID_DATE",IF(OR(S9&lt;&gt;INT(S9),T9&lt;&gt;INT(T9)),"E_INVALID_DATE",IF(S9&gt;T9,"E_REVERSED_BOUNDS","")))),"E_INVALID_UNIT")))))))</f>
        <v/>
      </c>
      <c r="W9" s="22">
        <f t="shared" si="0"/>
        <v>0</v>
      </c>
      <c r="X9" s="22">
        <f t="shared" si="1"/>
        <v>0</v>
      </c>
      <c r="Y9" s="28" t="str">
        <f t="shared" si="2"/>
        <v/>
      </c>
      <c r="Z9" s="28" t="str">
        <f t="shared" si="3"/>
        <v/>
      </c>
      <c r="AA9" s="22" t="str">
        <f t="shared" si="4"/>
        <v/>
      </c>
      <c r="AB9" s="22" t="str">
        <f t="shared" si="5"/>
        <v/>
      </c>
      <c r="AC9" s="21" t="str">
        <f t="shared" si="6"/>
        <v/>
      </c>
      <c r="AD9" s="22">
        <f>IF(AC9="",0,COUNTIF(nMS_Key,AC9))</f>
        <v>0</v>
      </c>
      <c r="AE9" s="21" t="str">
        <f t="shared" si="7"/>
        <v/>
      </c>
      <c r="AF9" s="21" t="str">
        <f>IF(AE9="","",AE9&amp;": "&amp;SUBSTITUTE(IFERROR(INDEX(nMSG_Text,MATCH(AE9,nMSG_Code,0)),""),"[input]",IF(C9="","a Milestone_ID",IF(D9="","a milestone Type","the date fields required by the selected precision"))))</f>
        <v/>
      </c>
    </row>
    <row r="10" spans="1:32" x14ac:dyDescent="0.2">
      <c r="A10" s="10"/>
      <c r="B10" s="12"/>
      <c r="C10" s="10"/>
      <c r="D10" s="17"/>
      <c r="E10" s="10"/>
      <c r="F10" s="10"/>
      <c r="G10" s="17"/>
      <c r="H10" s="10"/>
      <c r="I10" s="10"/>
      <c r="J10" s="17"/>
      <c r="K10" s="10"/>
      <c r="L10" s="10"/>
      <c r="M10" s="17"/>
      <c r="N10" s="15"/>
      <c r="O10" s="26"/>
      <c r="P10" s="10"/>
      <c r="Q10" s="12"/>
      <c r="R10" s="12"/>
      <c r="S10" s="15"/>
      <c r="T10" s="15"/>
      <c r="U10" s="10"/>
      <c r="V10" s="21" t="str">
        <f>IF(COUNTA(M10:T10)=0,"",IF(M10="","E_MISSING_INPUT",IF(M10="TIMESTAMP",IF(OR(N10="",O10="",P10=""),"E_MISSING_INPUT",IF(OR(NOT(ISNUMBER(N10)),NOT(ISNUMBER(O10))),"E_INVALID_DATE",IF(OR(N10&lt;&gt;INT(N10),O10&lt;0,O10&gt;=1),"E_INVALID_DATE",IF(ISNA(MATCH(P10,nLIST_Offset,0)),"E_INVALID_UNIT","")))),IF(M10="DATE",IF(N10="","E_MISSING_INPUT",IF(NOT(ISNUMBER(N10)),"E_INVALID_DATE",IF(N10&lt;&gt;INT(N10),"E_INVALID_DATE",""))),IF(M10="MONTH",IF(OR(Q10="",R10=""),"E_MISSING_INPUT",IF(OR(NOT(ISNUMBER(Q10)),NOT(ISNUMBER(R10))),"E_INVALID_DATE",IF(OR(Q10&lt;1900,Q10&gt;9999,Q10&lt;&gt;INT(Q10),R10&lt;1,R10&gt;12,R10&lt;&gt;INT(R10)),"E_INVALID_DATE",""))),IF(M10="YEAR",IF(Q10="","E_MISSING_INPUT",IF(NOT(ISNUMBER(Q10)),"E_INVALID_DATE",IF(OR(Q10&lt;1900,Q10&gt;9999,Q10&lt;&gt;INT(Q10)),"E_INVALID_DATE",""))),IF(M10="RANGE",IF(OR(S10="",T10=""),"E_MISSING_INPUT",IF(OR(NOT(ISNUMBER(S10)),NOT(ISNUMBER(T10))),"E_INVALID_DATE",IF(OR(S10&lt;&gt;INT(S10),T10&lt;&gt;INT(T10)),"E_INVALID_DATE",IF(S10&gt;T10,"E_REVERSED_BOUNDS","")))),"E_INVALID_UNIT")))))))</f>
        <v/>
      </c>
      <c r="W10" s="22">
        <f t="shared" si="0"/>
        <v>0</v>
      </c>
      <c r="X10" s="22">
        <f t="shared" si="1"/>
        <v>0</v>
      </c>
      <c r="Y10" s="28" t="str">
        <f t="shared" si="2"/>
        <v/>
      </c>
      <c r="Z10" s="28" t="str">
        <f t="shared" si="3"/>
        <v/>
      </c>
      <c r="AA10" s="22" t="str">
        <f t="shared" si="4"/>
        <v/>
      </c>
      <c r="AB10" s="22" t="str">
        <f t="shared" si="5"/>
        <v/>
      </c>
      <c r="AC10" s="21" t="str">
        <f t="shared" si="6"/>
        <v/>
      </c>
      <c r="AD10" s="22">
        <f>IF(AC10="",0,COUNTIF(nMS_Key,AC10))</f>
        <v>0</v>
      </c>
      <c r="AE10" s="21" t="str">
        <f t="shared" si="7"/>
        <v/>
      </c>
      <c r="AF10" s="21" t="str">
        <f>IF(AE10="","",AE10&amp;": "&amp;SUBSTITUTE(IFERROR(INDEX(nMSG_Text,MATCH(AE10,nMSG_Code,0)),""),"[input]",IF(C10="","a Milestone_ID",IF(D10="","a milestone Type","the date fields required by the selected precision"))))</f>
        <v/>
      </c>
    </row>
    <row r="11" spans="1:32" x14ac:dyDescent="0.2">
      <c r="A11" s="10"/>
      <c r="B11" s="12"/>
      <c r="C11" s="10"/>
      <c r="D11" s="17"/>
      <c r="E11" s="10"/>
      <c r="F11" s="10"/>
      <c r="G11" s="17"/>
      <c r="H11" s="10"/>
      <c r="I11" s="10"/>
      <c r="J11" s="17"/>
      <c r="K11" s="10"/>
      <c r="L11" s="10"/>
      <c r="M11" s="17"/>
      <c r="N11" s="15"/>
      <c r="O11" s="26"/>
      <c r="P11" s="10"/>
      <c r="Q11" s="12"/>
      <c r="R11" s="12"/>
      <c r="S11" s="15"/>
      <c r="T11" s="15"/>
      <c r="U11" s="10"/>
      <c r="V11" s="21" t="str">
        <f>IF(COUNTA(M11:T11)=0,"",IF(M11="","E_MISSING_INPUT",IF(M11="TIMESTAMP",IF(OR(N11="",O11="",P11=""),"E_MISSING_INPUT",IF(OR(NOT(ISNUMBER(N11)),NOT(ISNUMBER(O11))),"E_INVALID_DATE",IF(OR(N11&lt;&gt;INT(N11),O11&lt;0,O11&gt;=1),"E_INVALID_DATE",IF(ISNA(MATCH(P11,nLIST_Offset,0)),"E_INVALID_UNIT","")))),IF(M11="DATE",IF(N11="","E_MISSING_INPUT",IF(NOT(ISNUMBER(N11)),"E_INVALID_DATE",IF(N11&lt;&gt;INT(N11),"E_INVALID_DATE",""))),IF(M11="MONTH",IF(OR(Q11="",R11=""),"E_MISSING_INPUT",IF(OR(NOT(ISNUMBER(Q11)),NOT(ISNUMBER(R11))),"E_INVALID_DATE",IF(OR(Q11&lt;1900,Q11&gt;9999,Q11&lt;&gt;INT(Q11),R11&lt;1,R11&gt;12,R11&lt;&gt;INT(R11)),"E_INVALID_DATE",""))),IF(M11="YEAR",IF(Q11="","E_MISSING_INPUT",IF(NOT(ISNUMBER(Q11)),"E_INVALID_DATE",IF(OR(Q11&lt;1900,Q11&gt;9999,Q11&lt;&gt;INT(Q11)),"E_INVALID_DATE",""))),IF(M11="RANGE",IF(OR(S11="",T11=""),"E_MISSING_INPUT",IF(OR(NOT(ISNUMBER(S11)),NOT(ISNUMBER(T11))),"E_INVALID_DATE",IF(OR(S11&lt;&gt;INT(S11),T11&lt;&gt;INT(T11)),"E_INVALID_DATE",IF(S11&gt;T11,"E_REVERSED_BOUNDS","")))),"E_INVALID_UNIT")))))))</f>
        <v/>
      </c>
      <c r="W11" s="22">
        <f t="shared" si="0"/>
        <v>0</v>
      </c>
      <c r="X11" s="22">
        <f t="shared" si="1"/>
        <v>0</v>
      </c>
      <c r="Y11" s="28" t="str">
        <f t="shared" si="2"/>
        <v/>
      </c>
      <c r="Z11" s="28" t="str">
        <f t="shared" si="3"/>
        <v/>
      </c>
      <c r="AA11" s="22" t="str">
        <f t="shared" si="4"/>
        <v/>
      </c>
      <c r="AB11" s="22" t="str">
        <f t="shared" si="5"/>
        <v/>
      </c>
      <c r="AC11" s="21" t="str">
        <f t="shared" si="6"/>
        <v/>
      </c>
      <c r="AD11" s="22">
        <f>IF(AC11="",0,COUNTIF(nMS_Key,AC11))</f>
        <v>0</v>
      </c>
      <c r="AE11" s="21" t="str">
        <f t="shared" si="7"/>
        <v/>
      </c>
      <c r="AF11" s="21" t="str">
        <f>IF(AE11="","",AE11&amp;": "&amp;SUBSTITUTE(IFERROR(INDEX(nMSG_Text,MATCH(AE11,nMSG_Code,0)),""),"[input]",IF(C11="","a Milestone_ID",IF(D11="","a milestone Type","the date fields required by the selected precision"))))</f>
        <v/>
      </c>
    </row>
    <row r="12" spans="1:32" x14ac:dyDescent="0.2">
      <c r="A12" s="10"/>
      <c r="B12" s="12"/>
      <c r="C12" s="10"/>
      <c r="D12" s="17"/>
      <c r="E12" s="10"/>
      <c r="F12" s="10"/>
      <c r="G12" s="17"/>
      <c r="H12" s="10"/>
      <c r="I12" s="10"/>
      <c r="J12" s="17"/>
      <c r="K12" s="10"/>
      <c r="L12" s="10"/>
      <c r="M12" s="17"/>
      <c r="N12" s="15"/>
      <c r="O12" s="26"/>
      <c r="P12" s="10"/>
      <c r="Q12" s="12"/>
      <c r="R12" s="12"/>
      <c r="S12" s="15"/>
      <c r="T12" s="15"/>
      <c r="U12" s="10"/>
      <c r="V12" s="21" t="str">
        <f>IF(COUNTA(M12:T12)=0,"",IF(M12="","E_MISSING_INPUT",IF(M12="TIMESTAMP",IF(OR(N12="",O12="",P12=""),"E_MISSING_INPUT",IF(OR(NOT(ISNUMBER(N12)),NOT(ISNUMBER(O12))),"E_INVALID_DATE",IF(OR(N12&lt;&gt;INT(N12),O12&lt;0,O12&gt;=1),"E_INVALID_DATE",IF(ISNA(MATCH(P12,nLIST_Offset,0)),"E_INVALID_UNIT","")))),IF(M12="DATE",IF(N12="","E_MISSING_INPUT",IF(NOT(ISNUMBER(N12)),"E_INVALID_DATE",IF(N12&lt;&gt;INT(N12),"E_INVALID_DATE",""))),IF(M12="MONTH",IF(OR(Q12="",R12=""),"E_MISSING_INPUT",IF(OR(NOT(ISNUMBER(Q12)),NOT(ISNUMBER(R12))),"E_INVALID_DATE",IF(OR(Q12&lt;1900,Q12&gt;9999,Q12&lt;&gt;INT(Q12),R12&lt;1,R12&gt;12,R12&lt;&gt;INT(R12)),"E_INVALID_DATE",""))),IF(M12="YEAR",IF(Q12="","E_MISSING_INPUT",IF(NOT(ISNUMBER(Q12)),"E_INVALID_DATE",IF(OR(Q12&lt;1900,Q12&gt;9999,Q12&lt;&gt;INT(Q12)),"E_INVALID_DATE",""))),IF(M12="RANGE",IF(OR(S12="",T12=""),"E_MISSING_INPUT",IF(OR(NOT(ISNUMBER(S12)),NOT(ISNUMBER(T12))),"E_INVALID_DATE",IF(OR(S12&lt;&gt;INT(S12),T12&lt;&gt;INT(T12)),"E_INVALID_DATE",IF(S12&gt;T12,"E_REVERSED_BOUNDS","")))),"E_INVALID_UNIT")))))))</f>
        <v/>
      </c>
      <c r="W12" s="22">
        <f t="shared" si="0"/>
        <v>0</v>
      </c>
      <c r="X12" s="22">
        <f t="shared" si="1"/>
        <v>0</v>
      </c>
      <c r="Y12" s="28" t="str">
        <f t="shared" si="2"/>
        <v/>
      </c>
      <c r="Z12" s="28" t="str">
        <f t="shared" si="3"/>
        <v/>
      </c>
      <c r="AA12" s="22" t="str">
        <f t="shared" si="4"/>
        <v/>
      </c>
      <c r="AB12" s="22" t="str">
        <f t="shared" si="5"/>
        <v/>
      </c>
      <c r="AC12" s="21" t="str">
        <f t="shared" si="6"/>
        <v/>
      </c>
      <c r="AD12" s="22">
        <f>IF(AC12="",0,COUNTIF(nMS_Key,AC12))</f>
        <v>0</v>
      </c>
      <c r="AE12" s="21" t="str">
        <f t="shared" si="7"/>
        <v/>
      </c>
      <c r="AF12" s="21" t="str">
        <f>IF(AE12="","",AE12&amp;": "&amp;SUBSTITUTE(IFERROR(INDEX(nMSG_Text,MATCH(AE12,nMSG_Code,0)),""),"[input]",IF(C12="","a Milestone_ID",IF(D12="","a milestone Type","the date fields required by the selected precision"))))</f>
        <v/>
      </c>
    </row>
    <row r="13" spans="1:32" x14ac:dyDescent="0.2">
      <c r="A13" s="10"/>
      <c r="B13" s="12"/>
      <c r="C13" s="10"/>
      <c r="D13" s="17"/>
      <c r="E13" s="10"/>
      <c r="F13" s="10"/>
      <c r="G13" s="17"/>
      <c r="H13" s="10"/>
      <c r="I13" s="10"/>
      <c r="J13" s="17"/>
      <c r="K13" s="10"/>
      <c r="L13" s="10"/>
      <c r="M13" s="17"/>
      <c r="N13" s="15"/>
      <c r="O13" s="26"/>
      <c r="P13" s="10"/>
      <c r="Q13" s="12"/>
      <c r="R13" s="12"/>
      <c r="S13" s="15"/>
      <c r="T13" s="15"/>
      <c r="U13" s="10"/>
      <c r="V13" s="21" t="str">
        <f>IF(COUNTA(M13:T13)=0,"",IF(M13="","E_MISSING_INPUT",IF(M13="TIMESTAMP",IF(OR(N13="",O13="",P13=""),"E_MISSING_INPUT",IF(OR(NOT(ISNUMBER(N13)),NOT(ISNUMBER(O13))),"E_INVALID_DATE",IF(OR(N13&lt;&gt;INT(N13),O13&lt;0,O13&gt;=1),"E_INVALID_DATE",IF(ISNA(MATCH(P13,nLIST_Offset,0)),"E_INVALID_UNIT","")))),IF(M13="DATE",IF(N13="","E_MISSING_INPUT",IF(NOT(ISNUMBER(N13)),"E_INVALID_DATE",IF(N13&lt;&gt;INT(N13),"E_INVALID_DATE",""))),IF(M13="MONTH",IF(OR(Q13="",R13=""),"E_MISSING_INPUT",IF(OR(NOT(ISNUMBER(Q13)),NOT(ISNUMBER(R13))),"E_INVALID_DATE",IF(OR(Q13&lt;1900,Q13&gt;9999,Q13&lt;&gt;INT(Q13),R13&lt;1,R13&gt;12,R13&lt;&gt;INT(R13)),"E_INVALID_DATE",""))),IF(M13="YEAR",IF(Q13="","E_MISSING_INPUT",IF(NOT(ISNUMBER(Q13)),"E_INVALID_DATE",IF(OR(Q13&lt;1900,Q13&gt;9999,Q13&lt;&gt;INT(Q13)),"E_INVALID_DATE",""))),IF(M13="RANGE",IF(OR(S13="",T13=""),"E_MISSING_INPUT",IF(OR(NOT(ISNUMBER(S13)),NOT(ISNUMBER(T13))),"E_INVALID_DATE",IF(OR(S13&lt;&gt;INT(S13),T13&lt;&gt;INT(T13)),"E_INVALID_DATE",IF(S13&gt;T13,"E_REVERSED_BOUNDS","")))),"E_INVALID_UNIT")))))))</f>
        <v/>
      </c>
      <c r="W13" s="22">
        <f t="shared" si="0"/>
        <v>0</v>
      </c>
      <c r="X13" s="22">
        <f t="shared" si="1"/>
        <v>0</v>
      </c>
      <c r="Y13" s="28" t="str">
        <f t="shared" si="2"/>
        <v/>
      </c>
      <c r="Z13" s="28" t="str">
        <f t="shared" si="3"/>
        <v/>
      </c>
      <c r="AA13" s="22" t="str">
        <f t="shared" si="4"/>
        <v/>
      </c>
      <c r="AB13" s="22" t="str">
        <f t="shared" si="5"/>
        <v/>
      </c>
      <c r="AC13" s="21" t="str">
        <f t="shared" si="6"/>
        <v/>
      </c>
      <c r="AD13" s="22">
        <f>IF(AC13="",0,COUNTIF(nMS_Key,AC13))</f>
        <v>0</v>
      </c>
      <c r="AE13" s="21" t="str">
        <f t="shared" si="7"/>
        <v/>
      </c>
      <c r="AF13" s="21" t="str">
        <f>IF(AE13="","",AE13&amp;": "&amp;SUBSTITUTE(IFERROR(INDEX(nMSG_Text,MATCH(AE13,nMSG_Code,0)),""),"[input]",IF(C13="","a Milestone_ID",IF(D13="","a milestone Type","the date fields required by the selected precision"))))</f>
        <v/>
      </c>
    </row>
    <row r="14" spans="1:32" x14ac:dyDescent="0.2">
      <c r="A14" s="10"/>
      <c r="B14" s="12"/>
      <c r="C14" s="10"/>
      <c r="D14" s="17"/>
      <c r="E14" s="10"/>
      <c r="F14" s="10"/>
      <c r="G14" s="17"/>
      <c r="H14" s="10"/>
      <c r="I14" s="10"/>
      <c r="J14" s="17"/>
      <c r="K14" s="10"/>
      <c r="L14" s="10"/>
      <c r="M14" s="17"/>
      <c r="N14" s="15"/>
      <c r="O14" s="26"/>
      <c r="P14" s="10"/>
      <c r="Q14" s="12"/>
      <c r="R14" s="12"/>
      <c r="S14" s="15"/>
      <c r="T14" s="15"/>
      <c r="U14" s="10"/>
      <c r="V14" s="21" t="str">
        <f>IF(COUNTA(M14:T14)=0,"",IF(M14="","E_MISSING_INPUT",IF(M14="TIMESTAMP",IF(OR(N14="",O14="",P14=""),"E_MISSING_INPUT",IF(OR(NOT(ISNUMBER(N14)),NOT(ISNUMBER(O14))),"E_INVALID_DATE",IF(OR(N14&lt;&gt;INT(N14),O14&lt;0,O14&gt;=1),"E_INVALID_DATE",IF(ISNA(MATCH(P14,nLIST_Offset,0)),"E_INVALID_UNIT","")))),IF(M14="DATE",IF(N14="","E_MISSING_INPUT",IF(NOT(ISNUMBER(N14)),"E_INVALID_DATE",IF(N14&lt;&gt;INT(N14),"E_INVALID_DATE",""))),IF(M14="MONTH",IF(OR(Q14="",R14=""),"E_MISSING_INPUT",IF(OR(NOT(ISNUMBER(Q14)),NOT(ISNUMBER(R14))),"E_INVALID_DATE",IF(OR(Q14&lt;1900,Q14&gt;9999,Q14&lt;&gt;INT(Q14),R14&lt;1,R14&gt;12,R14&lt;&gt;INT(R14)),"E_INVALID_DATE",""))),IF(M14="YEAR",IF(Q14="","E_MISSING_INPUT",IF(NOT(ISNUMBER(Q14)),"E_INVALID_DATE",IF(OR(Q14&lt;1900,Q14&gt;9999,Q14&lt;&gt;INT(Q14)),"E_INVALID_DATE",""))),IF(M14="RANGE",IF(OR(S14="",T14=""),"E_MISSING_INPUT",IF(OR(NOT(ISNUMBER(S14)),NOT(ISNUMBER(T14))),"E_INVALID_DATE",IF(OR(S14&lt;&gt;INT(S14),T14&lt;&gt;INT(T14)),"E_INVALID_DATE",IF(S14&gt;T14,"E_REVERSED_BOUNDS","")))),"E_INVALID_UNIT")))))))</f>
        <v/>
      </c>
      <c r="W14" s="22">
        <f t="shared" si="0"/>
        <v>0</v>
      </c>
      <c r="X14" s="22">
        <f t="shared" si="1"/>
        <v>0</v>
      </c>
      <c r="Y14" s="28" t="str">
        <f t="shared" si="2"/>
        <v/>
      </c>
      <c r="Z14" s="28" t="str">
        <f t="shared" si="3"/>
        <v/>
      </c>
      <c r="AA14" s="22" t="str">
        <f t="shared" si="4"/>
        <v/>
      </c>
      <c r="AB14" s="22" t="str">
        <f t="shared" si="5"/>
        <v/>
      </c>
      <c r="AC14" s="21" t="str">
        <f t="shared" si="6"/>
        <v/>
      </c>
      <c r="AD14" s="22">
        <f>IF(AC14="",0,COUNTIF(nMS_Key,AC14))</f>
        <v>0</v>
      </c>
      <c r="AE14" s="21" t="str">
        <f t="shared" si="7"/>
        <v/>
      </c>
      <c r="AF14" s="21" t="str">
        <f>IF(AE14="","",AE14&amp;": "&amp;SUBSTITUTE(IFERROR(INDEX(nMSG_Text,MATCH(AE14,nMSG_Code,0)),""),"[input]",IF(C14="","a Milestone_ID",IF(D14="","a milestone Type","the date fields required by the selected precision"))))</f>
        <v/>
      </c>
    </row>
    <row r="15" spans="1:32" x14ac:dyDescent="0.2">
      <c r="A15" s="10"/>
      <c r="B15" s="12"/>
      <c r="C15" s="10"/>
      <c r="D15" s="17"/>
      <c r="E15" s="10"/>
      <c r="F15" s="10"/>
      <c r="G15" s="17"/>
      <c r="H15" s="10"/>
      <c r="I15" s="10"/>
      <c r="J15" s="17"/>
      <c r="K15" s="10"/>
      <c r="L15" s="10"/>
      <c r="M15" s="17"/>
      <c r="N15" s="15"/>
      <c r="O15" s="26"/>
      <c r="P15" s="10"/>
      <c r="Q15" s="12"/>
      <c r="R15" s="12"/>
      <c r="S15" s="15"/>
      <c r="T15" s="15"/>
      <c r="U15" s="10"/>
      <c r="V15" s="21" t="str">
        <f>IF(COUNTA(M15:T15)=0,"",IF(M15="","E_MISSING_INPUT",IF(M15="TIMESTAMP",IF(OR(N15="",O15="",P15=""),"E_MISSING_INPUT",IF(OR(NOT(ISNUMBER(N15)),NOT(ISNUMBER(O15))),"E_INVALID_DATE",IF(OR(N15&lt;&gt;INT(N15),O15&lt;0,O15&gt;=1),"E_INVALID_DATE",IF(ISNA(MATCH(P15,nLIST_Offset,0)),"E_INVALID_UNIT","")))),IF(M15="DATE",IF(N15="","E_MISSING_INPUT",IF(NOT(ISNUMBER(N15)),"E_INVALID_DATE",IF(N15&lt;&gt;INT(N15),"E_INVALID_DATE",""))),IF(M15="MONTH",IF(OR(Q15="",R15=""),"E_MISSING_INPUT",IF(OR(NOT(ISNUMBER(Q15)),NOT(ISNUMBER(R15))),"E_INVALID_DATE",IF(OR(Q15&lt;1900,Q15&gt;9999,Q15&lt;&gt;INT(Q15),R15&lt;1,R15&gt;12,R15&lt;&gt;INT(R15)),"E_INVALID_DATE",""))),IF(M15="YEAR",IF(Q15="","E_MISSING_INPUT",IF(NOT(ISNUMBER(Q15)),"E_INVALID_DATE",IF(OR(Q15&lt;1900,Q15&gt;9999,Q15&lt;&gt;INT(Q15)),"E_INVALID_DATE",""))),IF(M15="RANGE",IF(OR(S15="",T15=""),"E_MISSING_INPUT",IF(OR(NOT(ISNUMBER(S15)),NOT(ISNUMBER(T15))),"E_INVALID_DATE",IF(OR(S15&lt;&gt;INT(S15),T15&lt;&gt;INT(T15)),"E_INVALID_DATE",IF(S15&gt;T15,"E_REVERSED_BOUNDS","")))),"E_INVALID_UNIT")))))))</f>
        <v/>
      </c>
      <c r="W15" s="22">
        <f t="shared" si="0"/>
        <v>0</v>
      </c>
      <c r="X15" s="22">
        <f t="shared" si="1"/>
        <v>0</v>
      </c>
      <c r="Y15" s="28" t="str">
        <f t="shared" si="2"/>
        <v/>
      </c>
      <c r="Z15" s="28" t="str">
        <f t="shared" si="3"/>
        <v/>
      </c>
      <c r="AA15" s="22" t="str">
        <f t="shared" si="4"/>
        <v/>
      </c>
      <c r="AB15" s="22" t="str">
        <f t="shared" si="5"/>
        <v/>
      </c>
      <c r="AC15" s="21" t="str">
        <f t="shared" si="6"/>
        <v/>
      </c>
      <c r="AD15" s="22">
        <f>IF(AC15="",0,COUNTIF(nMS_Key,AC15))</f>
        <v>0</v>
      </c>
      <c r="AE15" s="21" t="str">
        <f t="shared" si="7"/>
        <v/>
      </c>
      <c r="AF15" s="21" t="str">
        <f>IF(AE15="","",AE15&amp;": "&amp;SUBSTITUTE(IFERROR(INDEX(nMSG_Text,MATCH(AE15,nMSG_Code,0)),""),"[input]",IF(C15="","a Milestone_ID",IF(D15="","a milestone Type","the date fields required by the selected precision"))))</f>
        <v/>
      </c>
    </row>
    <row r="16" spans="1:32" x14ac:dyDescent="0.2">
      <c r="A16" s="10"/>
      <c r="B16" s="12"/>
      <c r="C16" s="10"/>
      <c r="D16" s="17"/>
      <c r="E16" s="10"/>
      <c r="F16" s="10"/>
      <c r="G16" s="17"/>
      <c r="H16" s="10"/>
      <c r="I16" s="10"/>
      <c r="J16" s="17"/>
      <c r="K16" s="10"/>
      <c r="L16" s="10"/>
      <c r="M16" s="17"/>
      <c r="N16" s="15"/>
      <c r="O16" s="26"/>
      <c r="P16" s="10"/>
      <c r="Q16" s="12"/>
      <c r="R16" s="12"/>
      <c r="S16" s="15"/>
      <c r="T16" s="15"/>
      <c r="U16" s="10"/>
      <c r="V16" s="21" t="str">
        <f>IF(COUNTA(M16:T16)=0,"",IF(M16="","E_MISSING_INPUT",IF(M16="TIMESTAMP",IF(OR(N16="",O16="",P16=""),"E_MISSING_INPUT",IF(OR(NOT(ISNUMBER(N16)),NOT(ISNUMBER(O16))),"E_INVALID_DATE",IF(OR(N16&lt;&gt;INT(N16),O16&lt;0,O16&gt;=1),"E_INVALID_DATE",IF(ISNA(MATCH(P16,nLIST_Offset,0)),"E_INVALID_UNIT","")))),IF(M16="DATE",IF(N16="","E_MISSING_INPUT",IF(NOT(ISNUMBER(N16)),"E_INVALID_DATE",IF(N16&lt;&gt;INT(N16),"E_INVALID_DATE",""))),IF(M16="MONTH",IF(OR(Q16="",R16=""),"E_MISSING_INPUT",IF(OR(NOT(ISNUMBER(Q16)),NOT(ISNUMBER(R16))),"E_INVALID_DATE",IF(OR(Q16&lt;1900,Q16&gt;9999,Q16&lt;&gt;INT(Q16),R16&lt;1,R16&gt;12,R16&lt;&gt;INT(R16)),"E_INVALID_DATE",""))),IF(M16="YEAR",IF(Q16="","E_MISSING_INPUT",IF(NOT(ISNUMBER(Q16)),"E_INVALID_DATE",IF(OR(Q16&lt;1900,Q16&gt;9999,Q16&lt;&gt;INT(Q16)),"E_INVALID_DATE",""))),IF(M16="RANGE",IF(OR(S16="",T16=""),"E_MISSING_INPUT",IF(OR(NOT(ISNUMBER(S16)),NOT(ISNUMBER(T16))),"E_INVALID_DATE",IF(OR(S16&lt;&gt;INT(S16),T16&lt;&gt;INT(T16)),"E_INVALID_DATE",IF(S16&gt;T16,"E_REVERSED_BOUNDS","")))),"E_INVALID_UNIT")))))))</f>
        <v/>
      </c>
      <c r="W16" s="22">
        <f t="shared" si="0"/>
        <v>0</v>
      </c>
      <c r="X16" s="22">
        <f t="shared" si="1"/>
        <v>0</v>
      </c>
      <c r="Y16" s="28" t="str">
        <f t="shared" si="2"/>
        <v/>
      </c>
      <c r="Z16" s="28" t="str">
        <f t="shared" si="3"/>
        <v/>
      </c>
      <c r="AA16" s="22" t="str">
        <f t="shared" si="4"/>
        <v/>
      </c>
      <c r="AB16" s="22" t="str">
        <f t="shared" si="5"/>
        <v/>
      </c>
      <c r="AC16" s="21" t="str">
        <f t="shared" si="6"/>
        <v/>
      </c>
      <c r="AD16" s="22">
        <f>IF(AC16="",0,COUNTIF(nMS_Key,AC16))</f>
        <v>0</v>
      </c>
      <c r="AE16" s="21" t="str">
        <f t="shared" si="7"/>
        <v/>
      </c>
      <c r="AF16" s="21" t="str">
        <f>IF(AE16="","",AE16&amp;": "&amp;SUBSTITUTE(IFERROR(INDEX(nMSG_Text,MATCH(AE16,nMSG_Code,0)),""),"[input]",IF(C16="","a Milestone_ID",IF(D16="","a milestone Type","the date fields required by the selected precision"))))</f>
        <v/>
      </c>
    </row>
    <row r="17" spans="1:32" x14ac:dyDescent="0.2">
      <c r="A17" s="10"/>
      <c r="B17" s="12"/>
      <c r="C17" s="10"/>
      <c r="D17" s="17"/>
      <c r="E17" s="10"/>
      <c r="F17" s="10"/>
      <c r="G17" s="17"/>
      <c r="H17" s="10"/>
      <c r="I17" s="10"/>
      <c r="J17" s="17"/>
      <c r="K17" s="10"/>
      <c r="L17" s="10"/>
      <c r="M17" s="17"/>
      <c r="N17" s="15"/>
      <c r="O17" s="26"/>
      <c r="P17" s="10"/>
      <c r="Q17" s="12"/>
      <c r="R17" s="12"/>
      <c r="S17" s="15"/>
      <c r="T17" s="15"/>
      <c r="U17" s="10"/>
      <c r="V17" s="21" t="str">
        <f>IF(COUNTA(M17:T17)=0,"",IF(M17="","E_MISSING_INPUT",IF(M17="TIMESTAMP",IF(OR(N17="",O17="",P17=""),"E_MISSING_INPUT",IF(OR(NOT(ISNUMBER(N17)),NOT(ISNUMBER(O17))),"E_INVALID_DATE",IF(OR(N17&lt;&gt;INT(N17),O17&lt;0,O17&gt;=1),"E_INVALID_DATE",IF(ISNA(MATCH(P17,nLIST_Offset,0)),"E_INVALID_UNIT","")))),IF(M17="DATE",IF(N17="","E_MISSING_INPUT",IF(NOT(ISNUMBER(N17)),"E_INVALID_DATE",IF(N17&lt;&gt;INT(N17),"E_INVALID_DATE",""))),IF(M17="MONTH",IF(OR(Q17="",R17=""),"E_MISSING_INPUT",IF(OR(NOT(ISNUMBER(Q17)),NOT(ISNUMBER(R17))),"E_INVALID_DATE",IF(OR(Q17&lt;1900,Q17&gt;9999,Q17&lt;&gt;INT(Q17),R17&lt;1,R17&gt;12,R17&lt;&gt;INT(R17)),"E_INVALID_DATE",""))),IF(M17="YEAR",IF(Q17="","E_MISSING_INPUT",IF(NOT(ISNUMBER(Q17)),"E_INVALID_DATE",IF(OR(Q17&lt;1900,Q17&gt;9999,Q17&lt;&gt;INT(Q17)),"E_INVALID_DATE",""))),IF(M17="RANGE",IF(OR(S17="",T17=""),"E_MISSING_INPUT",IF(OR(NOT(ISNUMBER(S17)),NOT(ISNUMBER(T17))),"E_INVALID_DATE",IF(OR(S17&lt;&gt;INT(S17),T17&lt;&gt;INT(T17)),"E_INVALID_DATE",IF(S17&gt;T17,"E_REVERSED_BOUNDS","")))),"E_INVALID_UNIT")))))))</f>
        <v/>
      </c>
      <c r="W17" s="22">
        <f t="shared" si="0"/>
        <v>0</v>
      </c>
      <c r="X17" s="22">
        <f t="shared" si="1"/>
        <v>0</v>
      </c>
      <c r="Y17" s="28" t="str">
        <f t="shared" si="2"/>
        <v/>
      </c>
      <c r="Z17" s="28" t="str">
        <f t="shared" si="3"/>
        <v/>
      </c>
      <c r="AA17" s="22" t="str">
        <f t="shared" si="4"/>
        <v/>
      </c>
      <c r="AB17" s="22" t="str">
        <f t="shared" si="5"/>
        <v/>
      </c>
      <c r="AC17" s="21" t="str">
        <f t="shared" si="6"/>
        <v/>
      </c>
      <c r="AD17" s="22">
        <f>IF(AC17="",0,COUNTIF(nMS_Key,AC17))</f>
        <v>0</v>
      </c>
      <c r="AE17" s="21" t="str">
        <f t="shared" si="7"/>
        <v/>
      </c>
      <c r="AF17" s="21" t="str">
        <f>IF(AE17="","",AE17&amp;": "&amp;SUBSTITUTE(IFERROR(INDEX(nMSG_Text,MATCH(AE17,nMSG_Code,0)),""),"[input]",IF(C17="","a Milestone_ID",IF(D17="","a milestone Type","the date fields required by the selected precision"))))</f>
        <v/>
      </c>
    </row>
    <row r="18" spans="1:32" x14ac:dyDescent="0.2">
      <c r="A18" s="10"/>
      <c r="B18" s="12"/>
      <c r="C18" s="10"/>
      <c r="D18" s="17"/>
      <c r="E18" s="10"/>
      <c r="F18" s="10"/>
      <c r="G18" s="17"/>
      <c r="H18" s="10"/>
      <c r="I18" s="10"/>
      <c r="J18" s="17"/>
      <c r="K18" s="10"/>
      <c r="L18" s="10"/>
      <c r="M18" s="17"/>
      <c r="N18" s="15"/>
      <c r="O18" s="26"/>
      <c r="P18" s="10"/>
      <c r="Q18" s="12"/>
      <c r="R18" s="12"/>
      <c r="S18" s="15"/>
      <c r="T18" s="15"/>
      <c r="U18" s="10"/>
      <c r="V18" s="21" t="str">
        <f>IF(COUNTA(M18:T18)=0,"",IF(M18="","E_MISSING_INPUT",IF(M18="TIMESTAMP",IF(OR(N18="",O18="",P18=""),"E_MISSING_INPUT",IF(OR(NOT(ISNUMBER(N18)),NOT(ISNUMBER(O18))),"E_INVALID_DATE",IF(OR(N18&lt;&gt;INT(N18),O18&lt;0,O18&gt;=1),"E_INVALID_DATE",IF(ISNA(MATCH(P18,nLIST_Offset,0)),"E_INVALID_UNIT","")))),IF(M18="DATE",IF(N18="","E_MISSING_INPUT",IF(NOT(ISNUMBER(N18)),"E_INVALID_DATE",IF(N18&lt;&gt;INT(N18),"E_INVALID_DATE",""))),IF(M18="MONTH",IF(OR(Q18="",R18=""),"E_MISSING_INPUT",IF(OR(NOT(ISNUMBER(Q18)),NOT(ISNUMBER(R18))),"E_INVALID_DATE",IF(OR(Q18&lt;1900,Q18&gt;9999,Q18&lt;&gt;INT(Q18),R18&lt;1,R18&gt;12,R18&lt;&gt;INT(R18)),"E_INVALID_DATE",""))),IF(M18="YEAR",IF(Q18="","E_MISSING_INPUT",IF(NOT(ISNUMBER(Q18)),"E_INVALID_DATE",IF(OR(Q18&lt;1900,Q18&gt;9999,Q18&lt;&gt;INT(Q18)),"E_INVALID_DATE",""))),IF(M18="RANGE",IF(OR(S18="",T18=""),"E_MISSING_INPUT",IF(OR(NOT(ISNUMBER(S18)),NOT(ISNUMBER(T18))),"E_INVALID_DATE",IF(OR(S18&lt;&gt;INT(S18),T18&lt;&gt;INT(T18)),"E_INVALID_DATE",IF(S18&gt;T18,"E_REVERSED_BOUNDS","")))),"E_INVALID_UNIT")))))))</f>
        <v/>
      </c>
      <c r="W18" s="22">
        <f t="shared" si="0"/>
        <v>0</v>
      </c>
      <c r="X18" s="22">
        <f t="shared" si="1"/>
        <v>0</v>
      </c>
      <c r="Y18" s="28" t="str">
        <f t="shared" si="2"/>
        <v/>
      </c>
      <c r="Z18" s="28" t="str">
        <f t="shared" si="3"/>
        <v/>
      </c>
      <c r="AA18" s="22" t="str">
        <f t="shared" si="4"/>
        <v/>
      </c>
      <c r="AB18" s="22" t="str">
        <f t="shared" si="5"/>
        <v/>
      </c>
      <c r="AC18" s="21" t="str">
        <f t="shared" si="6"/>
        <v/>
      </c>
      <c r="AD18" s="22">
        <f>IF(AC18="",0,COUNTIF(nMS_Key,AC18))</f>
        <v>0</v>
      </c>
      <c r="AE18" s="21" t="str">
        <f t="shared" si="7"/>
        <v/>
      </c>
      <c r="AF18" s="21" t="str">
        <f>IF(AE18="","",AE18&amp;": "&amp;SUBSTITUTE(IFERROR(INDEX(nMSG_Text,MATCH(AE18,nMSG_Code,0)),""),"[input]",IF(C18="","a Milestone_ID",IF(D18="","a milestone Type","the date fields required by the selected precision"))))</f>
        <v/>
      </c>
    </row>
    <row r="19" spans="1:32" x14ac:dyDescent="0.2">
      <c r="A19" s="10"/>
      <c r="B19" s="12"/>
      <c r="C19" s="10"/>
      <c r="D19" s="17"/>
      <c r="E19" s="10"/>
      <c r="F19" s="10"/>
      <c r="G19" s="17"/>
      <c r="H19" s="10"/>
      <c r="I19" s="10"/>
      <c r="J19" s="17"/>
      <c r="K19" s="10"/>
      <c r="L19" s="10"/>
      <c r="M19" s="17"/>
      <c r="N19" s="15"/>
      <c r="O19" s="26"/>
      <c r="P19" s="10"/>
      <c r="Q19" s="12"/>
      <c r="R19" s="12"/>
      <c r="S19" s="15"/>
      <c r="T19" s="15"/>
      <c r="U19" s="10"/>
      <c r="V19" s="21" t="str">
        <f>IF(COUNTA(M19:T19)=0,"",IF(M19="","E_MISSING_INPUT",IF(M19="TIMESTAMP",IF(OR(N19="",O19="",P19=""),"E_MISSING_INPUT",IF(OR(NOT(ISNUMBER(N19)),NOT(ISNUMBER(O19))),"E_INVALID_DATE",IF(OR(N19&lt;&gt;INT(N19),O19&lt;0,O19&gt;=1),"E_INVALID_DATE",IF(ISNA(MATCH(P19,nLIST_Offset,0)),"E_INVALID_UNIT","")))),IF(M19="DATE",IF(N19="","E_MISSING_INPUT",IF(NOT(ISNUMBER(N19)),"E_INVALID_DATE",IF(N19&lt;&gt;INT(N19),"E_INVALID_DATE",""))),IF(M19="MONTH",IF(OR(Q19="",R19=""),"E_MISSING_INPUT",IF(OR(NOT(ISNUMBER(Q19)),NOT(ISNUMBER(R19))),"E_INVALID_DATE",IF(OR(Q19&lt;1900,Q19&gt;9999,Q19&lt;&gt;INT(Q19),R19&lt;1,R19&gt;12,R19&lt;&gt;INT(R19)),"E_INVALID_DATE",""))),IF(M19="YEAR",IF(Q19="","E_MISSING_INPUT",IF(NOT(ISNUMBER(Q19)),"E_INVALID_DATE",IF(OR(Q19&lt;1900,Q19&gt;9999,Q19&lt;&gt;INT(Q19)),"E_INVALID_DATE",""))),IF(M19="RANGE",IF(OR(S19="",T19=""),"E_MISSING_INPUT",IF(OR(NOT(ISNUMBER(S19)),NOT(ISNUMBER(T19))),"E_INVALID_DATE",IF(OR(S19&lt;&gt;INT(S19),T19&lt;&gt;INT(T19)),"E_INVALID_DATE",IF(S19&gt;T19,"E_REVERSED_BOUNDS","")))),"E_INVALID_UNIT")))))))</f>
        <v/>
      </c>
      <c r="W19" s="22">
        <f t="shared" si="0"/>
        <v>0</v>
      </c>
      <c r="X19" s="22">
        <f t="shared" si="1"/>
        <v>0</v>
      </c>
      <c r="Y19" s="28" t="str">
        <f t="shared" si="2"/>
        <v/>
      </c>
      <c r="Z19" s="28" t="str">
        <f t="shared" si="3"/>
        <v/>
      </c>
      <c r="AA19" s="22" t="str">
        <f t="shared" si="4"/>
        <v/>
      </c>
      <c r="AB19" s="22" t="str">
        <f t="shared" si="5"/>
        <v/>
      </c>
      <c r="AC19" s="21" t="str">
        <f t="shared" si="6"/>
        <v/>
      </c>
      <c r="AD19" s="22">
        <f>IF(AC19="",0,COUNTIF(nMS_Key,AC19))</f>
        <v>0</v>
      </c>
      <c r="AE19" s="21" t="str">
        <f t="shared" si="7"/>
        <v/>
      </c>
      <c r="AF19" s="21" t="str">
        <f>IF(AE19="","",AE19&amp;": "&amp;SUBSTITUTE(IFERROR(INDEX(nMSG_Text,MATCH(AE19,nMSG_Code,0)),""),"[input]",IF(C19="","a Milestone_ID",IF(D19="","a milestone Type","the date fields required by the selected precision"))))</f>
        <v/>
      </c>
    </row>
    <row r="20" spans="1:32" x14ac:dyDescent="0.2">
      <c r="A20" s="10"/>
      <c r="B20" s="12"/>
      <c r="C20" s="10"/>
      <c r="D20" s="17"/>
      <c r="E20" s="10"/>
      <c r="F20" s="10"/>
      <c r="G20" s="17"/>
      <c r="H20" s="10"/>
      <c r="I20" s="10"/>
      <c r="J20" s="17"/>
      <c r="K20" s="10"/>
      <c r="L20" s="10"/>
      <c r="M20" s="17"/>
      <c r="N20" s="15"/>
      <c r="O20" s="26"/>
      <c r="P20" s="10"/>
      <c r="Q20" s="12"/>
      <c r="R20" s="12"/>
      <c r="S20" s="15"/>
      <c r="T20" s="15"/>
      <c r="U20" s="10"/>
      <c r="V20" s="21" t="str">
        <f>IF(COUNTA(M20:T20)=0,"",IF(M20="","E_MISSING_INPUT",IF(M20="TIMESTAMP",IF(OR(N20="",O20="",P20=""),"E_MISSING_INPUT",IF(OR(NOT(ISNUMBER(N20)),NOT(ISNUMBER(O20))),"E_INVALID_DATE",IF(OR(N20&lt;&gt;INT(N20),O20&lt;0,O20&gt;=1),"E_INVALID_DATE",IF(ISNA(MATCH(P20,nLIST_Offset,0)),"E_INVALID_UNIT","")))),IF(M20="DATE",IF(N20="","E_MISSING_INPUT",IF(NOT(ISNUMBER(N20)),"E_INVALID_DATE",IF(N20&lt;&gt;INT(N20),"E_INVALID_DATE",""))),IF(M20="MONTH",IF(OR(Q20="",R20=""),"E_MISSING_INPUT",IF(OR(NOT(ISNUMBER(Q20)),NOT(ISNUMBER(R20))),"E_INVALID_DATE",IF(OR(Q20&lt;1900,Q20&gt;9999,Q20&lt;&gt;INT(Q20),R20&lt;1,R20&gt;12,R20&lt;&gt;INT(R20)),"E_INVALID_DATE",""))),IF(M20="YEAR",IF(Q20="","E_MISSING_INPUT",IF(NOT(ISNUMBER(Q20)),"E_INVALID_DATE",IF(OR(Q20&lt;1900,Q20&gt;9999,Q20&lt;&gt;INT(Q20)),"E_INVALID_DATE",""))),IF(M20="RANGE",IF(OR(S20="",T20=""),"E_MISSING_INPUT",IF(OR(NOT(ISNUMBER(S20)),NOT(ISNUMBER(T20))),"E_INVALID_DATE",IF(OR(S20&lt;&gt;INT(S20),T20&lt;&gt;INT(T20)),"E_INVALID_DATE",IF(S20&gt;T20,"E_REVERSED_BOUNDS","")))),"E_INVALID_UNIT")))))))</f>
        <v/>
      </c>
      <c r="W20" s="22">
        <f t="shared" si="0"/>
        <v>0</v>
      </c>
      <c r="X20" s="22">
        <f t="shared" si="1"/>
        <v>0</v>
      </c>
      <c r="Y20" s="28" t="str">
        <f t="shared" si="2"/>
        <v/>
      </c>
      <c r="Z20" s="28" t="str">
        <f t="shared" si="3"/>
        <v/>
      </c>
      <c r="AA20" s="22" t="str">
        <f t="shared" si="4"/>
        <v/>
      </c>
      <c r="AB20" s="22" t="str">
        <f t="shared" si="5"/>
        <v/>
      </c>
      <c r="AC20" s="21" t="str">
        <f t="shared" si="6"/>
        <v/>
      </c>
      <c r="AD20" s="22">
        <f>IF(AC20="",0,COUNTIF(nMS_Key,AC20))</f>
        <v>0</v>
      </c>
      <c r="AE20" s="21" t="str">
        <f t="shared" si="7"/>
        <v/>
      </c>
      <c r="AF20" s="21" t="str">
        <f>IF(AE20="","",AE20&amp;": "&amp;SUBSTITUTE(IFERROR(INDEX(nMSG_Text,MATCH(AE20,nMSG_Code,0)),""),"[input]",IF(C20="","a Milestone_ID",IF(D20="","a milestone Type","the date fields required by the selected precision"))))</f>
        <v/>
      </c>
    </row>
    <row r="21" spans="1:32" x14ac:dyDescent="0.2">
      <c r="A21" s="10"/>
      <c r="B21" s="12"/>
      <c r="C21" s="10"/>
      <c r="D21" s="17"/>
      <c r="E21" s="10"/>
      <c r="F21" s="10"/>
      <c r="G21" s="17"/>
      <c r="H21" s="10"/>
      <c r="I21" s="10"/>
      <c r="J21" s="17"/>
      <c r="K21" s="10"/>
      <c r="L21" s="10"/>
      <c r="M21" s="17"/>
      <c r="N21" s="15"/>
      <c r="O21" s="26"/>
      <c r="P21" s="10"/>
      <c r="Q21" s="12"/>
      <c r="R21" s="12"/>
      <c r="S21" s="15"/>
      <c r="T21" s="15"/>
      <c r="U21" s="10"/>
      <c r="V21" s="21" t="str">
        <f>IF(COUNTA(M21:T21)=0,"",IF(M21="","E_MISSING_INPUT",IF(M21="TIMESTAMP",IF(OR(N21="",O21="",P21=""),"E_MISSING_INPUT",IF(OR(NOT(ISNUMBER(N21)),NOT(ISNUMBER(O21))),"E_INVALID_DATE",IF(OR(N21&lt;&gt;INT(N21),O21&lt;0,O21&gt;=1),"E_INVALID_DATE",IF(ISNA(MATCH(P21,nLIST_Offset,0)),"E_INVALID_UNIT","")))),IF(M21="DATE",IF(N21="","E_MISSING_INPUT",IF(NOT(ISNUMBER(N21)),"E_INVALID_DATE",IF(N21&lt;&gt;INT(N21),"E_INVALID_DATE",""))),IF(M21="MONTH",IF(OR(Q21="",R21=""),"E_MISSING_INPUT",IF(OR(NOT(ISNUMBER(Q21)),NOT(ISNUMBER(R21))),"E_INVALID_DATE",IF(OR(Q21&lt;1900,Q21&gt;9999,Q21&lt;&gt;INT(Q21),R21&lt;1,R21&gt;12,R21&lt;&gt;INT(R21)),"E_INVALID_DATE",""))),IF(M21="YEAR",IF(Q21="","E_MISSING_INPUT",IF(NOT(ISNUMBER(Q21)),"E_INVALID_DATE",IF(OR(Q21&lt;1900,Q21&gt;9999,Q21&lt;&gt;INT(Q21)),"E_INVALID_DATE",""))),IF(M21="RANGE",IF(OR(S21="",T21=""),"E_MISSING_INPUT",IF(OR(NOT(ISNUMBER(S21)),NOT(ISNUMBER(T21))),"E_INVALID_DATE",IF(OR(S21&lt;&gt;INT(S21),T21&lt;&gt;INT(T21)),"E_INVALID_DATE",IF(S21&gt;T21,"E_REVERSED_BOUNDS","")))),"E_INVALID_UNIT")))))))</f>
        <v/>
      </c>
      <c r="W21" s="22">
        <f t="shared" si="0"/>
        <v>0</v>
      </c>
      <c r="X21" s="22">
        <f t="shared" si="1"/>
        <v>0</v>
      </c>
      <c r="Y21" s="28" t="str">
        <f t="shared" si="2"/>
        <v/>
      </c>
      <c r="Z21" s="28" t="str">
        <f t="shared" si="3"/>
        <v/>
      </c>
      <c r="AA21" s="22" t="str">
        <f t="shared" si="4"/>
        <v/>
      </c>
      <c r="AB21" s="22" t="str">
        <f t="shared" si="5"/>
        <v/>
      </c>
      <c r="AC21" s="21" t="str">
        <f t="shared" si="6"/>
        <v/>
      </c>
      <c r="AD21" s="22">
        <f>IF(AC21="",0,COUNTIF(nMS_Key,AC21))</f>
        <v>0</v>
      </c>
      <c r="AE21" s="21" t="str">
        <f t="shared" si="7"/>
        <v/>
      </c>
      <c r="AF21" s="21" t="str">
        <f>IF(AE21="","",AE21&amp;": "&amp;SUBSTITUTE(IFERROR(INDEX(nMSG_Text,MATCH(AE21,nMSG_Code,0)),""),"[input]",IF(C21="","a Milestone_ID",IF(D21="","a milestone Type","the date fields required by the selected precision"))))</f>
        <v/>
      </c>
    </row>
    <row r="22" spans="1:32" x14ac:dyDescent="0.2">
      <c r="A22" s="10"/>
      <c r="B22" s="12"/>
      <c r="C22" s="10"/>
      <c r="D22" s="17"/>
      <c r="E22" s="10"/>
      <c r="F22" s="10"/>
      <c r="G22" s="17"/>
      <c r="H22" s="10"/>
      <c r="I22" s="10"/>
      <c r="J22" s="17"/>
      <c r="K22" s="10"/>
      <c r="L22" s="10"/>
      <c r="M22" s="17"/>
      <c r="N22" s="15"/>
      <c r="O22" s="26"/>
      <c r="P22" s="10"/>
      <c r="Q22" s="12"/>
      <c r="R22" s="12"/>
      <c r="S22" s="15"/>
      <c r="T22" s="15"/>
      <c r="U22" s="10"/>
      <c r="V22" s="21" t="str">
        <f>IF(COUNTA(M22:T22)=0,"",IF(M22="","E_MISSING_INPUT",IF(M22="TIMESTAMP",IF(OR(N22="",O22="",P22=""),"E_MISSING_INPUT",IF(OR(NOT(ISNUMBER(N22)),NOT(ISNUMBER(O22))),"E_INVALID_DATE",IF(OR(N22&lt;&gt;INT(N22),O22&lt;0,O22&gt;=1),"E_INVALID_DATE",IF(ISNA(MATCH(P22,nLIST_Offset,0)),"E_INVALID_UNIT","")))),IF(M22="DATE",IF(N22="","E_MISSING_INPUT",IF(NOT(ISNUMBER(N22)),"E_INVALID_DATE",IF(N22&lt;&gt;INT(N22),"E_INVALID_DATE",""))),IF(M22="MONTH",IF(OR(Q22="",R22=""),"E_MISSING_INPUT",IF(OR(NOT(ISNUMBER(Q22)),NOT(ISNUMBER(R22))),"E_INVALID_DATE",IF(OR(Q22&lt;1900,Q22&gt;9999,Q22&lt;&gt;INT(Q22),R22&lt;1,R22&gt;12,R22&lt;&gt;INT(R22)),"E_INVALID_DATE",""))),IF(M22="YEAR",IF(Q22="","E_MISSING_INPUT",IF(NOT(ISNUMBER(Q22)),"E_INVALID_DATE",IF(OR(Q22&lt;1900,Q22&gt;9999,Q22&lt;&gt;INT(Q22)),"E_INVALID_DATE",""))),IF(M22="RANGE",IF(OR(S22="",T22=""),"E_MISSING_INPUT",IF(OR(NOT(ISNUMBER(S22)),NOT(ISNUMBER(T22))),"E_INVALID_DATE",IF(OR(S22&lt;&gt;INT(S22),T22&lt;&gt;INT(T22)),"E_INVALID_DATE",IF(S22&gt;T22,"E_REVERSED_BOUNDS","")))),"E_INVALID_UNIT")))))))</f>
        <v/>
      </c>
      <c r="W22" s="22">
        <f t="shared" si="0"/>
        <v>0</v>
      </c>
      <c r="X22" s="22">
        <f t="shared" si="1"/>
        <v>0</v>
      </c>
      <c r="Y22" s="28" t="str">
        <f t="shared" si="2"/>
        <v/>
      </c>
      <c r="Z22" s="28" t="str">
        <f t="shared" si="3"/>
        <v/>
      </c>
      <c r="AA22" s="22" t="str">
        <f t="shared" si="4"/>
        <v/>
      </c>
      <c r="AB22" s="22" t="str">
        <f t="shared" si="5"/>
        <v/>
      </c>
      <c r="AC22" s="21" t="str">
        <f t="shared" si="6"/>
        <v/>
      </c>
      <c r="AD22" s="22">
        <f>IF(AC22="",0,COUNTIF(nMS_Key,AC22))</f>
        <v>0</v>
      </c>
      <c r="AE22" s="21" t="str">
        <f t="shared" si="7"/>
        <v/>
      </c>
      <c r="AF22" s="21" t="str">
        <f>IF(AE22="","",AE22&amp;": "&amp;SUBSTITUTE(IFERROR(INDEX(nMSG_Text,MATCH(AE22,nMSG_Code,0)),""),"[input]",IF(C22="","a Milestone_ID",IF(D22="","a milestone Type","the date fields required by the selected precision"))))</f>
        <v/>
      </c>
    </row>
    <row r="23" spans="1:32" x14ac:dyDescent="0.2">
      <c r="A23" s="10"/>
      <c r="B23" s="12"/>
      <c r="C23" s="10"/>
      <c r="D23" s="17"/>
      <c r="E23" s="10"/>
      <c r="F23" s="10"/>
      <c r="G23" s="17"/>
      <c r="H23" s="10"/>
      <c r="I23" s="10"/>
      <c r="J23" s="17"/>
      <c r="K23" s="10"/>
      <c r="L23" s="10"/>
      <c r="M23" s="17"/>
      <c r="N23" s="15"/>
      <c r="O23" s="26"/>
      <c r="P23" s="10"/>
      <c r="Q23" s="12"/>
      <c r="R23" s="12"/>
      <c r="S23" s="15"/>
      <c r="T23" s="15"/>
      <c r="U23" s="10"/>
      <c r="V23" s="21" t="str">
        <f>IF(COUNTA(M23:T23)=0,"",IF(M23="","E_MISSING_INPUT",IF(M23="TIMESTAMP",IF(OR(N23="",O23="",P23=""),"E_MISSING_INPUT",IF(OR(NOT(ISNUMBER(N23)),NOT(ISNUMBER(O23))),"E_INVALID_DATE",IF(OR(N23&lt;&gt;INT(N23),O23&lt;0,O23&gt;=1),"E_INVALID_DATE",IF(ISNA(MATCH(P23,nLIST_Offset,0)),"E_INVALID_UNIT","")))),IF(M23="DATE",IF(N23="","E_MISSING_INPUT",IF(NOT(ISNUMBER(N23)),"E_INVALID_DATE",IF(N23&lt;&gt;INT(N23),"E_INVALID_DATE",""))),IF(M23="MONTH",IF(OR(Q23="",R23=""),"E_MISSING_INPUT",IF(OR(NOT(ISNUMBER(Q23)),NOT(ISNUMBER(R23))),"E_INVALID_DATE",IF(OR(Q23&lt;1900,Q23&gt;9999,Q23&lt;&gt;INT(Q23),R23&lt;1,R23&gt;12,R23&lt;&gt;INT(R23)),"E_INVALID_DATE",""))),IF(M23="YEAR",IF(Q23="","E_MISSING_INPUT",IF(NOT(ISNUMBER(Q23)),"E_INVALID_DATE",IF(OR(Q23&lt;1900,Q23&gt;9999,Q23&lt;&gt;INT(Q23)),"E_INVALID_DATE",""))),IF(M23="RANGE",IF(OR(S23="",T23=""),"E_MISSING_INPUT",IF(OR(NOT(ISNUMBER(S23)),NOT(ISNUMBER(T23))),"E_INVALID_DATE",IF(OR(S23&lt;&gt;INT(S23),T23&lt;&gt;INT(T23)),"E_INVALID_DATE",IF(S23&gt;T23,"E_REVERSED_BOUNDS","")))),"E_INVALID_UNIT")))))))</f>
        <v/>
      </c>
      <c r="W23" s="22">
        <f t="shared" si="0"/>
        <v>0</v>
      </c>
      <c r="X23" s="22">
        <f t="shared" si="1"/>
        <v>0</v>
      </c>
      <c r="Y23" s="28" t="str">
        <f t="shared" si="2"/>
        <v/>
      </c>
      <c r="Z23" s="28" t="str">
        <f t="shared" si="3"/>
        <v/>
      </c>
      <c r="AA23" s="22" t="str">
        <f t="shared" si="4"/>
        <v/>
      </c>
      <c r="AB23" s="22" t="str">
        <f t="shared" si="5"/>
        <v/>
      </c>
      <c r="AC23" s="21" t="str">
        <f t="shared" si="6"/>
        <v/>
      </c>
      <c r="AD23" s="22">
        <f>IF(AC23="",0,COUNTIF(nMS_Key,AC23))</f>
        <v>0</v>
      </c>
      <c r="AE23" s="21" t="str">
        <f t="shared" si="7"/>
        <v/>
      </c>
      <c r="AF23" s="21" t="str">
        <f>IF(AE23="","",AE23&amp;": "&amp;SUBSTITUTE(IFERROR(INDEX(nMSG_Text,MATCH(AE23,nMSG_Code,0)),""),"[input]",IF(C23="","a Milestone_ID",IF(D23="","a milestone Type","the date fields required by the selected precision"))))</f>
        <v/>
      </c>
    </row>
    <row r="24" spans="1:32" x14ac:dyDescent="0.2">
      <c r="A24" s="10"/>
      <c r="B24" s="12"/>
      <c r="C24" s="10"/>
      <c r="D24" s="17"/>
      <c r="E24" s="10"/>
      <c r="F24" s="10"/>
      <c r="G24" s="17"/>
      <c r="H24" s="10"/>
      <c r="I24" s="10"/>
      <c r="J24" s="17"/>
      <c r="K24" s="10"/>
      <c r="L24" s="10"/>
      <c r="M24" s="17"/>
      <c r="N24" s="15"/>
      <c r="O24" s="26"/>
      <c r="P24" s="10"/>
      <c r="Q24" s="12"/>
      <c r="R24" s="12"/>
      <c r="S24" s="15"/>
      <c r="T24" s="15"/>
      <c r="U24" s="10"/>
      <c r="V24" s="21" t="str">
        <f>IF(COUNTA(M24:T24)=0,"",IF(M24="","E_MISSING_INPUT",IF(M24="TIMESTAMP",IF(OR(N24="",O24="",P24=""),"E_MISSING_INPUT",IF(OR(NOT(ISNUMBER(N24)),NOT(ISNUMBER(O24))),"E_INVALID_DATE",IF(OR(N24&lt;&gt;INT(N24),O24&lt;0,O24&gt;=1),"E_INVALID_DATE",IF(ISNA(MATCH(P24,nLIST_Offset,0)),"E_INVALID_UNIT","")))),IF(M24="DATE",IF(N24="","E_MISSING_INPUT",IF(NOT(ISNUMBER(N24)),"E_INVALID_DATE",IF(N24&lt;&gt;INT(N24),"E_INVALID_DATE",""))),IF(M24="MONTH",IF(OR(Q24="",R24=""),"E_MISSING_INPUT",IF(OR(NOT(ISNUMBER(Q24)),NOT(ISNUMBER(R24))),"E_INVALID_DATE",IF(OR(Q24&lt;1900,Q24&gt;9999,Q24&lt;&gt;INT(Q24),R24&lt;1,R24&gt;12,R24&lt;&gt;INT(R24)),"E_INVALID_DATE",""))),IF(M24="YEAR",IF(Q24="","E_MISSING_INPUT",IF(NOT(ISNUMBER(Q24)),"E_INVALID_DATE",IF(OR(Q24&lt;1900,Q24&gt;9999,Q24&lt;&gt;INT(Q24)),"E_INVALID_DATE",""))),IF(M24="RANGE",IF(OR(S24="",T24=""),"E_MISSING_INPUT",IF(OR(NOT(ISNUMBER(S24)),NOT(ISNUMBER(T24))),"E_INVALID_DATE",IF(OR(S24&lt;&gt;INT(S24),T24&lt;&gt;INT(T24)),"E_INVALID_DATE",IF(S24&gt;T24,"E_REVERSED_BOUNDS","")))),"E_INVALID_UNIT")))))))</f>
        <v/>
      </c>
      <c r="W24" s="22">
        <f t="shared" si="0"/>
        <v>0</v>
      </c>
      <c r="X24" s="22">
        <f t="shared" si="1"/>
        <v>0</v>
      </c>
      <c r="Y24" s="28" t="str">
        <f t="shared" si="2"/>
        <v/>
      </c>
      <c r="Z24" s="28" t="str">
        <f t="shared" si="3"/>
        <v/>
      </c>
      <c r="AA24" s="22" t="str">
        <f t="shared" si="4"/>
        <v/>
      </c>
      <c r="AB24" s="22" t="str">
        <f t="shared" si="5"/>
        <v/>
      </c>
      <c r="AC24" s="21" t="str">
        <f t="shared" si="6"/>
        <v/>
      </c>
      <c r="AD24" s="22">
        <f>IF(AC24="",0,COUNTIF(nMS_Key,AC24))</f>
        <v>0</v>
      </c>
      <c r="AE24" s="21" t="str">
        <f t="shared" si="7"/>
        <v/>
      </c>
      <c r="AF24" s="21" t="str">
        <f>IF(AE24="","",AE24&amp;": "&amp;SUBSTITUTE(IFERROR(INDEX(nMSG_Text,MATCH(AE24,nMSG_Code,0)),""),"[input]",IF(C24="","a Milestone_ID",IF(D24="","a milestone Type","the date fields required by the selected precision"))))</f>
        <v/>
      </c>
    </row>
    <row r="25" spans="1:32" x14ac:dyDescent="0.2">
      <c r="A25" s="10"/>
      <c r="B25" s="12"/>
      <c r="C25" s="10"/>
      <c r="D25" s="17"/>
      <c r="E25" s="10"/>
      <c r="F25" s="10"/>
      <c r="G25" s="17"/>
      <c r="H25" s="10"/>
      <c r="I25" s="10"/>
      <c r="J25" s="17"/>
      <c r="K25" s="10"/>
      <c r="L25" s="10"/>
      <c r="M25" s="17"/>
      <c r="N25" s="15"/>
      <c r="O25" s="26"/>
      <c r="P25" s="10"/>
      <c r="Q25" s="12"/>
      <c r="R25" s="12"/>
      <c r="S25" s="15"/>
      <c r="T25" s="15"/>
      <c r="U25" s="10"/>
      <c r="V25" s="21" t="str">
        <f>IF(COUNTA(M25:T25)=0,"",IF(M25="","E_MISSING_INPUT",IF(M25="TIMESTAMP",IF(OR(N25="",O25="",P25=""),"E_MISSING_INPUT",IF(OR(NOT(ISNUMBER(N25)),NOT(ISNUMBER(O25))),"E_INVALID_DATE",IF(OR(N25&lt;&gt;INT(N25),O25&lt;0,O25&gt;=1),"E_INVALID_DATE",IF(ISNA(MATCH(P25,nLIST_Offset,0)),"E_INVALID_UNIT","")))),IF(M25="DATE",IF(N25="","E_MISSING_INPUT",IF(NOT(ISNUMBER(N25)),"E_INVALID_DATE",IF(N25&lt;&gt;INT(N25),"E_INVALID_DATE",""))),IF(M25="MONTH",IF(OR(Q25="",R25=""),"E_MISSING_INPUT",IF(OR(NOT(ISNUMBER(Q25)),NOT(ISNUMBER(R25))),"E_INVALID_DATE",IF(OR(Q25&lt;1900,Q25&gt;9999,Q25&lt;&gt;INT(Q25),R25&lt;1,R25&gt;12,R25&lt;&gt;INT(R25)),"E_INVALID_DATE",""))),IF(M25="YEAR",IF(Q25="","E_MISSING_INPUT",IF(NOT(ISNUMBER(Q25)),"E_INVALID_DATE",IF(OR(Q25&lt;1900,Q25&gt;9999,Q25&lt;&gt;INT(Q25)),"E_INVALID_DATE",""))),IF(M25="RANGE",IF(OR(S25="",T25=""),"E_MISSING_INPUT",IF(OR(NOT(ISNUMBER(S25)),NOT(ISNUMBER(T25))),"E_INVALID_DATE",IF(OR(S25&lt;&gt;INT(S25),T25&lt;&gt;INT(T25)),"E_INVALID_DATE",IF(S25&gt;T25,"E_REVERSED_BOUNDS","")))),"E_INVALID_UNIT")))))))</f>
        <v/>
      </c>
      <c r="W25" s="22">
        <f t="shared" si="0"/>
        <v>0</v>
      </c>
      <c r="X25" s="22">
        <f t="shared" si="1"/>
        <v>0</v>
      </c>
      <c r="Y25" s="28" t="str">
        <f t="shared" si="2"/>
        <v/>
      </c>
      <c r="Z25" s="28" t="str">
        <f t="shared" si="3"/>
        <v/>
      </c>
      <c r="AA25" s="22" t="str">
        <f t="shared" si="4"/>
        <v/>
      </c>
      <c r="AB25" s="22" t="str">
        <f t="shared" si="5"/>
        <v/>
      </c>
      <c r="AC25" s="21" t="str">
        <f t="shared" si="6"/>
        <v/>
      </c>
      <c r="AD25" s="22">
        <f>IF(AC25="",0,COUNTIF(nMS_Key,AC25))</f>
        <v>0</v>
      </c>
      <c r="AE25" s="21" t="str">
        <f t="shared" si="7"/>
        <v/>
      </c>
      <c r="AF25" s="21" t="str">
        <f>IF(AE25="","",AE25&amp;": "&amp;SUBSTITUTE(IFERROR(INDEX(nMSG_Text,MATCH(AE25,nMSG_Code,0)),""),"[input]",IF(C25="","a Milestone_ID",IF(D25="","a milestone Type","the date fields required by the selected precision"))))</f>
        <v/>
      </c>
    </row>
    <row r="26" spans="1:32" x14ac:dyDescent="0.2">
      <c r="A26" s="10"/>
      <c r="B26" s="12"/>
      <c r="C26" s="10"/>
      <c r="D26" s="17"/>
      <c r="E26" s="10"/>
      <c r="F26" s="10"/>
      <c r="G26" s="17"/>
      <c r="H26" s="10"/>
      <c r="I26" s="10"/>
      <c r="J26" s="17"/>
      <c r="K26" s="10"/>
      <c r="L26" s="10"/>
      <c r="M26" s="17"/>
      <c r="N26" s="15"/>
      <c r="O26" s="26"/>
      <c r="P26" s="10"/>
      <c r="Q26" s="12"/>
      <c r="R26" s="12"/>
      <c r="S26" s="15"/>
      <c r="T26" s="15"/>
      <c r="U26" s="10"/>
      <c r="V26" s="21" t="str">
        <f>IF(COUNTA(M26:T26)=0,"",IF(M26="","E_MISSING_INPUT",IF(M26="TIMESTAMP",IF(OR(N26="",O26="",P26=""),"E_MISSING_INPUT",IF(OR(NOT(ISNUMBER(N26)),NOT(ISNUMBER(O26))),"E_INVALID_DATE",IF(OR(N26&lt;&gt;INT(N26),O26&lt;0,O26&gt;=1),"E_INVALID_DATE",IF(ISNA(MATCH(P26,nLIST_Offset,0)),"E_INVALID_UNIT","")))),IF(M26="DATE",IF(N26="","E_MISSING_INPUT",IF(NOT(ISNUMBER(N26)),"E_INVALID_DATE",IF(N26&lt;&gt;INT(N26),"E_INVALID_DATE",""))),IF(M26="MONTH",IF(OR(Q26="",R26=""),"E_MISSING_INPUT",IF(OR(NOT(ISNUMBER(Q26)),NOT(ISNUMBER(R26))),"E_INVALID_DATE",IF(OR(Q26&lt;1900,Q26&gt;9999,Q26&lt;&gt;INT(Q26),R26&lt;1,R26&gt;12,R26&lt;&gt;INT(R26)),"E_INVALID_DATE",""))),IF(M26="YEAR",IF(Q26="","E_MISSING_INPUT",IF(NOT(ISNUMBER(Q26)),"E_INVALID_DATE",IF(OR(Q26&lt;1900,Q26&gt;9999,Q26&lt;&gt;INT(Q26)),"E_INVALID_DATE",""))),IF(M26="RANGE",IF(OR(S26="",T26=""),"E_MISSING_INPUT",IF(OR(NOT(ISNUMBER(S26)),NOT(ISNUMBER(T26))),"E_INVALID_DATE",IF(OR(S26&lt;&gt;INT(S26),T26&lt;&gt;INT(T26)),"E_INVALID_DATE",IF(S26&gt;T26,"E_REVERSED_BOUNDS","")))),"E_INVALID_UNIT")))))))</f>
        <v/>
      </c>
      <c r="W26" s="22">
        <f t="shared" si="0"/>
        <v>0</v>
      </c>
      <c r="X26" s="22">
        <f t="shared" si="1"/>
        <v>0</v>
      </c>
      <c r="Y26" s="28" t="str">
        <f t="shared" si="2"/>
        <v/>
      </c>
      <c r="Z26" s="28" t="str">
        <f t="shared" si="3"/>
        <v/>
      </c>
      <c r="AA26" s="22" t="str">
        <f t="shared" si="4"/>
        <v/>
      </c>
      <c r="AB26" s="22" t="str">
        <f t="shared" si="5"/>
        <v/>
      </c>
      <c r="AC26" s="21" t="str">
        <f t="shared" si="6"/>
        <v/>
      </c>
      <c r="AD26" s="22">
        <f>IF(AC26="",0,COUNTIF(nMS_Key,AC26))</f>
        <v>0</v>
      </c>
      <c r="AE26" s="21" t="str">
        <f t="shared" si="7"/>
        <v/>
      </c>
      <c r="AF26" s="21" t="str">
        <f>IF(AE26="","",AE26&amp;": "&amp;SUBSTITUTE(IFERROR(INDEX(nMSG_Text,MATCH(AE26,nMSG_Code,0)),""),"[input]",IF(C26="","a Milestone_ID",IF(D26="","a milestone Type","the date fields required by the selected precision"))))</f>
        <v/>
      </c>
    </row>
    <row r="27" spans="1:32" x14ac:dyDescent="0.2">
      <c r="A27" s="10"/>
      <c r="B27" s="12"/>
      <c r="C27" s="10"/>
      <c r="D27" s="17"/>
      <c r="E27" s="10"/>
      <c r="F27" s="10"/>
      <c r="G27" s="17"/>
      <c r="H27" s="10"/>
      <c r="I27" s="10"/>
      <c r="J27" s="17"/>
      <c r="K27" s="10"/>
      <c r="L27" s="10"/>
      <c r="M27" s="17"/>
      <c r="N27" s="15"/>
      <c r="O27" s="26"/>
      <c r="P27" s="10"/>
      <c r="Q27" s="12"/>
      <c r="R27" s="12"/>
      <c r="S27" s="15"/>
      <c r="T27" s="15"/>
      <c r="U27" s="10"/>
      <c r="V27" s="21" t="str">
        <f>IF(COUNTA(M27:T27)=0,"",IF(M27="","E_MISSING_INPUT",IF(M27="TIMESTAMP",IF(OR(N27="",O27="",P27=""),"E_MISSING_INPUT",IF(OR(NOT(ISNUMBER(N27)),NOT(ISNUMBER(O27))),"E_INVALID_DATE",IF(OR(N27&lt;&gt;INT(N27),O27&lt;0,O27&gt;=1),"E_INVALID_DATE",IF(ISNA(MATCH(P27,nLIST_Offset,0)),"E_INVALID_UNIT","")))),IF(M27="DATE",IF(N27="","E_MISSING_INPUT",IF(NOT(ISNUMBER(N27)),"E_INVALID_DATE",IF(N27&lt;&gt;INT(N27),"E_INVALID_DATE",""))),IF(M27="MONTH",IF(OR(Q27="",R27=""),"E_MISSING_INPUT",IF(OR(NOT(ISNUMBER(Q27)),NOT(ISNUMBER(R27))),"E_INVALID_DATE",IF(OR(Q27&lt;1900,Q27&gt;9999,Q27&lt;&gt;INT(Q27),R27&lt;1,R27&gt;12,R27&lt;&gt;INT(R27)),"E_INVALID_DATE",""))),IF(M27="YEAR",IF(Q27="","E_MISSING_INPUT",IF(NOT(ISNUMBER(Q27)),"E_INVALID_DATE",IF(OR(Q27&lt;1900,Q27&gt;9999,Q27&lt;&gt;INT(Q27)),"E_INVALID_DATE",""))),IF(M27="RANGE",IF(OR(S27="",T27=""),"E_MISSING_INPUT",IF(OR(NOT(ISNUMBER(S27)),NOT(ISNUMBER(T27))),"E_INVALID_DATE",IF(OR(S27&lt;&gt;INT(S27),T27&lt;&gt;INT(T27)),"E_INVALID_DATE",IF(S27&gt;T27,"E_REVERSED_BOUNDS","")))),"E_INVALID_UNIT")))))))</f>
        <v/>
      </c>
      <c r="W27" s="22">
        <f t="shared" si="0"/>
        <v>0</v>
      </c>
      <c r="X27" s="22">
        <f t="shared" si="1"/>
        <v>0</v>
      </c>
      <c r="Y27" s="28" t="str">
        <f t="shared" si="2"/>
        <v/>
      </c>
      <c r="Z27" s="28" t="str">
        <f t="shared" si="3"/>
        <v/>
      </c>
      <c r="AA27" s="22" t="str">
        <f t="shared" si="4"/>
        <v/>
      </c>
      <c r="AB27" s="22" t="str">
        <f t="shared" si="5"/>
        <v/>
      </c>
      <c r="AC27" s="21" t="str">
        <f t="shared" si="6"/>
        <v/>
      </c>
      <c r="AD27" s="22">
        <f>IF(AC27="",0,COUNTIF(nMS_Key,AC27))</f>
        <v>0</v>
      </c>
      <c r="AE27" s="21" t="str">
        <f t="shared" si="7"/>
        <v/>
      </c>
      <c r="AF27" s="21" t="str">
        <f>IF(AE27="","",AE27&amp;": "&amp;SUBSTITUTE(IFERROR(INDEX(nMSG_Text,MATCH(AE27,nMSG_Code,0)),""),"[input]",IF(C27="","a Milestone_ID",IF(D27="","a milestone Type","the date fields required by the selected precision"))))</f>
        <v/>
      </c>
    </row>
    <row r="28" spans="1:32" x14ac:dyDescent="0.2">
      <c r="A28" s="10"/>
      <c r="B28" s="12"/>
      <c r="C28" s="10"/>
      <c r="D28" s="17"/>
      <c r="E28" s="10"/>
      <c r="F28" s="10"/>
      <c r="G28" s="17"/>
      <c r="H28" s="10"/>
      <c r="I28" s="10"/>
      <c r="J28" s="17"/>
      <c r="K28" s="10"/>
      <c r="L28" s="10"/>
      <c r="M28" s="17"/>
      <c r="N28" s="15"/>
      <c r="O28" s="26"/>
      <c r="P28" s="10"/>
      <c r="Q28" s="12"/>
      <c r="R28" s="12"/>
      <c r="S28" s="15"/>
      <c r="T28" s="15"/>
      <c r="U28" s="10"/>
      <c r="V28" s="21" t="str">
        <f>IF(COUNTA(M28:T28)=0,"",IF(M28="","E_MISSING_INPUT",IF(M28="TIMESTAMP",IF(OR(N28="",O28="",P28=""),"E_MISSING_INPUT",IF(OR(NOT(ISNUMBER(N28)),NOT(ISNUMBER(O28))),"E_INVALID_DATE",IF(OR(N28&lt;&gt;INT(N28),O28&lt;0,O28&gt;=1),"E_INVALID_DATE",IF(ISNA(MATCH(P28,nLIST_Offset,0)),"E_INVALID_UNIT","")))),IF(M28="DATE",IF(N28="","E_MISSING_INPUT",IF(NOT(ISNUMBER(N28)),"E_INVALID_DATE",IF(N28&lt;&gt;INT(N28),"E_INVALID_DATE",""))),IF(M28="MONTH",IF(OR(Q28="",R28=""),"E_MISSING_INPUT",IF(OR(NOT(ISNUMBER(Q28)),NOT(ISNUMBER(R28))),"E_INVALID_DATE",IF(OR(Q28&lt;1900,Q28&gt;9999,Q28&lt;&gt;INT(Q28),R28&lt;1,R28&gt;12,R28&lt;&gt;INT(R28)),"E_INVALID_DATE",""))),IF(M28="YEAR",IF(Q28="","E_MISSING_INPUT",IF(NOT(ISNUMBER(Q28)),"E_INVALID_DATE",IF(OR(Q28&lt;1900,Q28&gt;9999,Q28&lt;&gt;INT(Q28)),"E_INVALID_DATE",""))),IF(M28="RANGE",IF(OR(S28="",T28=""),"E_MISSING_INPUT",IF(OR(NOT(ISNUMBER(S28)),NOT(ISNUMBER(T28))),"E_INVALID_DATE",IF(OR(S28&lt;&gt;INT(S28),T28&lt;&gt;INT(T28)),"E_INVALID_DATE",IF(S28&gt;T28,"E_REVERSED_BOUNDS","")))),"E_INVALID_UNIT")))))))</f>
        <v/>
      </c>
      <c r="W28" s="22">
        <f t="shared" si="0"/>
        <v>0</v>
      </c>
      <c r="X28" s="22">
        <f t="shared" si="1"/>
        <v>0</v>
      </c>
      <c r="Y28" s="28" t="str">
        <f t="shared" si="2"/>
        <v/>
      </c>
      <c r="Z28" s="28" t="str">
        <f t="shared" si="3"/>
        <v/>
      </c>
      <c r="AA28" s="22" t="str">
        <f t="shared" si="4"/>
        <v/>
      </c>
      <c r="AB28" s="22" t="str">
        <f t="shared" si="5"/>
        <v/>
      </c>
      <c r="AC28" s="21" t="str">
        <f t="shared" si="6"/>
        <v/>
      </c>
      <c r="AD28" s="22">
        <f>IF(AC28="",0,COUNTIF(nMS_Key,AC28))</f>
        <v>0</v>
      </c>
      <c r="AE28" s="21" t="str">
        <f t="shared" si="7"/>
        <v/>
      </c>
      <c r="AF28" s="21" t="str">
        <f>IF(AE28="","",AE28&amp;": "&amp;SUBSTITUTE(IFERROR(INDEX(nMSG_Text,MATCH(AE28,nMSG_Code,0)),""),"[input]",IF(C28="","a Milestone_ID",IF(D28="","a milestone Type","the date fields required by the selected precision"))))</f>
        <v/>
      </c>
    </row>
    <row r="29" spans="1:32" x14ac:dyDescent="0.2">
      <c r="A29" s="10"/>
      <c r="B29" s="12"/>
      <c r="C29" s="10"/>
      <c r="D29" s="17"/>
      <c r="E29" s="10"/>
      <c r="F29" s="10"/>
      <c r="G29" s="17"/>
      <c r="H29" s="10"/>
      <c r="I29" s="10"/>
      <c r="J29" s="17"/>
      <c r="K29" s="10"/>
      <c r="L29" s="10"/>
      <c r="M29" s="17"/>
      <c r="N29" s="15"/>
      <c r="O29" s="26"/>
      <c r="P29" s="10"/>
      <c r="Q29" s="12"/>
      <c r="R29" s="12"/>
      <c r="S29" s="15"/>
      <c r="T29" s="15"/>
      <c r="U29" s="10"/>
      <c r="V29" s="21" t="str">
        <f>IF(COUNTA(M29:T29)=0,"",IF(M29="","E_MISSING_INPUT",IF(M29="TIMESTAMP",IF(OR(N29="",O29="",P29=""),"E_MISSING_INPUT",IF(OR(NOT(ISNUMBER(N29)),NOT(ISNUMBER(O29))),"E_INVALID_DATE",IF(OR(N29&lt;&gt;INT(N29),O29&lt;0,O29&gt;=1),"E_INVALID_DATE",IF(ISNA(MATCH(P29,nLIST_Offset,0)),"E_INVALID_UNIT","")))),IF(M29="DATE",IF(N29="","E_MISSING_INPUT",IF(NOT(ISNUMBER(N29)),"E_INVALID_DATE",IF(N29&lt;&gt;INT(N29),"E_INVALID_DATE",""))),IF(M29="MONTH",IF(OR(Q29="",R29=""),"E_MISSING_INPUT",IF(OR(NOT(ISNUMBER(Q29)),NOT(ISNUMBER(R29))),"E_INVALID_DATE",IF(OR(Q29&lt;1900,Q29&gt;9999,Q29&lt;&gt;INT(Q29),R29&lt;1,R29&gt;12,R29&lt;&gt;INT(R29)),"E_INVALID_DATE",""))),IF(M29="YEAR",IF(Q29="","E_MISSING_INPUT",IF(NOT(ISNUMBER(Q29)),"E_INVALID_DATE",IF(OR(Q29&lt;1900,Q29&gt;9999,Q29&lt;&gt;INT(Q29)),"E_INVALID_DATE",""))),IF(M29="RANGE",IF(OR(S29="",T29=""),"E_MISSING_INPUT",IF(OR(NOT(ISNUMBER(S29)),NOT(ISNUMBER(T29))),"E_INVALID_DATE",IF(OR(S29&lt;&gt;INT(S29),T29&lt;&gt;INT(T29)),"E_INVALID_DATE",IF(S29&gt;T29,"E_REVERSED_BOUNDS","")))),"E_INVALID_UNIT")))))))</f>
        <v/>
      </c>
      <c r="W29" s="22">
        <f t="shared" si="0"/>
        <v>0</v>
      </c>
      <c r="X29" s="22">
        <f t="shared" si="1"/>
        <v>0</v>
      </c>
      <c r="Y29" s="28" t="str">
        <f t="shared" si="2"/>
        <v/>
      </c>
      <c r="Z29" s="28" t="str">
        <f t="shared" si="3"/>
        <v/>
      </c>
      <c r="AA29" s="22" t="str">
        <f t="shared" si="4"/>
        <v/>
      </c>
      <c r="AB29" s="22" t="str">
        <f t="shared" si="5"/>
        <v/>
      </c>
      <c r="AC29" s="21" t="str">
        <f t="shared" si="6"/>
        <v/>
      </c>
      <c r="AD29" s="22">
        <f>IF(AC29="",0,COUNTIF(nMS_Key,AC29))</f>
        <v>0</v>
      </c>
      <c r="AE29" s="21" t="str">
        <f t="shared" si="7"/>
        <v/>
      </c>
      <c r="AF29" s="21" t="str">
        <f>IF(AE29="","",AE29&amp;": "&amp;SUBSTITUTE(IFERROR(INDEX(nMSG_Text,MATCH(AE29,nMSG_Code,0)),""),"[input]",IF(C29="","a Milestone_ID",IF(D29="","a milestone Type","the date fields required by the selected precision"))))</f>
        <v/>
      </c>
    </row>
    <row r="30" spans="1:32" x14ac:dyDescent="0.2">
      <c r="A30" s="10"/>
      <c r="B30" s="12"/>
      <c r="C30" s="10"/>
      <c r="D30" s="17"/>
      <c r="E30" s="10"/>
      <c r="F30" s="10"/>
      <c r="G30" s="17"/>
      <c r="H30" s="10"/>
      <c r="I30" s="10"/>
      <c r="J30" s="17"/>
      <c r="K30" s="10"/>
      <c r="L30" s="10"/>
      <c r="M30" s="17"/>
      <c r="N30" s="15"/>
      <c r="O30" s="26"/>
      <c r="P30" s="10"/>
      <c r="Q30" s="12"/>
      <c r="R30" s="12"/>
      <c r="S30" s="15"/>
      <c r="T30" s="15"/>
      <c r="U30" s="10"/>
      <c r="V30" s="21" t="str">
        <f>IF(COUNTA(M30:T30)=0,"",IF(M30="","E_MISSING_INPUT",IF(M30="TIMESTAMP",IF(OR(N30="",O30="",P30=""),"E_MISSING_INPUT",IF(OR(NOT(ISNUMBER(N30)),NOT(ISNUMBER(O30))),"E_INVALID_DATE",IF(OR(N30&lt;&gt;INT(N30),O30&lt;0,O30&gt;=1),"E_INVALID_DATE",IF(ISNA(MATCH(P30,nLIST_Offset,0)),"E_INVALID_UNIT","")))),IF(M30="DATE",IF(N30="","E_MISSING_INPUT",IF(NOT(ISNUMBER(N30)),"E_INVALID_DATE",IF(N30&lt;&gt;INT(N30),"E_INVALID_DATE",""))),IF(M30="MONTH",IF(OR(Q30="",R30=""),"E_MISSING_INPUT",IF(OR(NOT(ISNUMBER(Q30)),NOT(ISNUMBER(R30))),"E_INVALID_DATE",IF(OR(Q30&lt;1900,Q30&gt;9999,Q30&lt;&gt;INT(Q30),R30&lt;1,R30&gt;12,R30&lt;&gt;INT(R30)),"E_INVALID_DATE",""))),IF(M30="YEAR",IF(Q30="","E_MISSING_INPUT",IF(NOT(ISNUMBER(Q30)),"E_INVALID_DATE",IF(OR(Q30&lt;1900,Q30&gt;9999,Q30&lt;&gt;INT(Q30)),"E_INVALID_DATE",""))),IF(M30="RANGE",IF(OR(S30="",T30=""),"E_MISSING_INPUT",IF(OR(NOT(ISNUMBER(S30)),NOT(ISNUMBER(T30))),"E_INVALID_DATE",IF(OR(S30&lt;&gt;INT(S30),T30&lt;&gt;INT(T30)),"E_INVALID_DATE",IF(S30&gt;T30,"E_REVERSED_BOUNDS","")))),"E_INVALID_UNIT")))))))</f>
        <v/>
      </c>
      <c r="W30" s="22">
        <f t="shared" si="0"/>
        <v>0</v>
      </c>
      <c r="X30" s="22">
        <f t="shared" si="1"/>
        <v>0</v>
      </c>
      <c r="Y30" s="28" t="str">
        <f t="shared" si="2"/>
        <v/>
      </c>
      <c r="Z30" s="28" t="str">
        <f t="shared" si="3"/>
        <v/>
      </c>
      <c r="AA30" s="22" t="str">
        <f t="shared" si="4"/>
        <v/>
      </c>
      <c r="AB30" s="22" t="str">
        <f t="shared" si="5"/>
        <v/>
      </c>
      <c r="AC30" s="21" t="str">
        <f t="shared" si="6"/>
        <v/>
      </c>
      <c r="AD30" s="22">
        <f>IF(AC30="",0,COUNTIF(nMS_Key,AC30))</f>
        <v>0</v>
      </c>
      <c r="AE30" s="21" t="str">
        <f t="shared" si="7"/>
        <v/>
      </c>
      <c r="AF30" s="21" t="str">
        <f>IF(AE30="","",AE30&amp;": "&amp;SUBSTITUTE(IFERROR(INDEX(nMSG_Text,MATCH(AE30,nMSG_Code,0)),""),"[input]",IF(C30="","a Milestone_ID",IF(D30="","a milestone Type","the date fields required by the selected precision"))))</f>
        <v/>
      </c>
    </row>
    <row r="31" spans="1:32" x14ac:dyDescent="0.2">
      <c r="A31" s="10"/>
      <c r="B31" s="12"/>
      <c r="C31" s="10"/>
      <c r="D31" s="17"/>
      <c r="E31" s="10"/>
      <c r="F31" s="10"/>
      <c r="G31" s="17"/>
      <c r="H31" s="10"/>
      <c r="I31" s="10"/>
      <c r="J31" s="17"/>
      <c r="K31" s="10"/>
      <c r="L31" s="10"/>
      <c r="M31" s="17"/>
      <c r="N31" s="15"/>
      <c r="O31" s="26"/>
      <c r="P31" s="10"/>
      <c r="Q31" s="12"/>
      <c r="R31" s="12"/>
      <c r="S31" s="15"/>
      <c r="T31" s="15"/>
      <c r="U31" s="10"/>
      <c r="V31" s="21" t="str">
        <f>IF(COUNTA(M31:T31)=0,"",IF(M31="","E_MISSING_INPUT",IF(M31="TIMESTAMP",IF(OR(N31="",O31="",P31=""),"E_MISSING_INPUT",IF(OR(NOT(ISNUMBER(N31)),NOT(ISNUMBER(O31))),"E_INVALID_DATE",IF(OR(N31&lt;&gt;INT(N31),O31&lt;0,O31&gt;=1),"E_INVALID_DATE",IF(ISNA(MATCH(P31,nLIST_Offset,0)),"E_INVALID_UNIT","")))),IF(M31="DATE",IF(N31="","E_MISSING_INPUT",IF(NOT(ISNUMBER(N31)),"E_INVALID_DATE",IF(N31&lt;&gt;INT(N31),"E_INVALID_DATE",""))),IF(M31="MONTH",IF(OR(Q31="",R31=""),"E_MISSING_INPUT",IF(OR(NOT(ISNUMBER(Q31)),NOT(ISNUMBER(R31))),"E_INVALID_DATE",IF(OR(Q31&lt;1900,Q31&gt;9999,Q31&lt;&gt;INT(Q31),R31&lt;1,R31&gt;12,R31&lt;&gt;INT(R31)),"E_INVALID_DATE",""))),IF(M31="YEAR",IF(Q31="","E_MISSING_INPUT",IF(NOT(ISNUMBER(Q31)),"E_INVALID_DATE",IF(OR(Q31&lt;1900,Q31&gt;9999,Q31&lt;&gt;INT(Q31)),"E_INVALID_DATE",""))),IF(M31="RANGE",IF(OR(S31="",T31=""),"E_MISSING_INPUT",IF(OR(NOT(ISNUMBER(S31)),NOT(ISNUMBER(T31))),"E_INVALID_DATE",IF(OR(S31&lt;&gt;INT(S31),T31&lt;&gt;INT(T31)),"E_INVALID_DATE",IF(S31&gt;T31,"E_REVERSED_BOUNDS","")))),"E_INVALID_UNIT")))))))</f>
        <v/>
      </c>
      <c r="W31" s="22">
        <f t="shared" si="0"/>
        <v>0</v>
      </c>
      <c r="X31" s="22">
        <f t="shared" si="1"/>
        <v>0</v>
      </c>
      <c r="Y31" s="28" t="str">
        <f t="shared" si="2"/>
        <v/>
      </c>
      <c r="Z31" s="28" t="str">
        <f t="shared" si="3"/>
        <v/>
      </c>
      <c r="AA31" s="22" t="str">
        <f t="shared" si="4"/>
        <v/>
      </c>
      <c r="AB31" s="22" t="str">
        <f t="shared" si="5"/>
        <v/>
      </c>
      <c r="AC31" s="21" t="str">
        <f t="shared" si="6"/>
        <v/>
      </c>
      <c r="AD31" s="22">
        <f>IF(AC31="",0,COUNTIF(nMS_Key,AC31))</f>
        <v>0</v>
      </c>
      <c r="AE31" s="21" t="str">
        <f t="shared" si="7"/>
        <v/>
      </c>
      <c r="AF31" s="21" t="str">
        <f>IF(AE31="","",AE31&amp;": "&amp;SUBSTITUTE(IFERROR(INDEX(nMSG_Text,MATCH(AE31,nMSG_Code,0)),""),"[input]",IF(C31="","a Milestone_ID",IF(D31="","a milestone Type","the date fields required by the selected precision"))))</f>
        <v/>
      </c>
    </row>
    <row r="32" spans="1:32" x14ac:dyDescent="0.2">
      <c r="A32" s="10"/>
      <c r="B32" s="12"/>
      <c r="C32" s="10"/>
      <c r="D32" s="17"/>
      <c r="E32" s="10"/>
      <c r="F32" s="10"/>
      <c r="G32" s="17"/>
      <c r="H32" s="10"/>
      <c r="I32" s="10"/>
      <c r="J32" s="17"/>
      <c r="K32" s="10"/>
      <c r="L32" s="10"/>
      <c r="M32" s="17"/>
      <c r="N32" s="15"/>
      <c r="O32" s="26"/>
      <c r="P32" s="10"/>
      <c r="Q32" s="12"/>
      <c r="R32" s="12"/>
      <c r="S32" s="15"/>
      <c r="T32" s="15"/>
      <c r="U32" s="10"/>
      <c r="V32" s="21" t="str">
        <f>IF(COUNTA(M32:T32)=0,"",IF(M32="","E_MISSING_INPUT",IF(M32="TIMESTAMP",IF(OR(N32="",O32="",P32=""),"E_MISSING_INPUT",IF(OR(NOT(ISNUMBER(N32)),NOT(ISNUMBER(O32))),"E_INVALID_DATE",IF(OR(N32&lt;&gt;INT(N32),O32&lt;0,O32&gt;=1),"E_INVALID_DATE",IF(ISNA(MATCH(P32,nLIST_Offset,0)),"E_INVALID_UNIT","")))),IF(M32="DATE",IF(N32="","E_MISSING_INPUT",IF(NOT(ISNUMBER(N32)),"E_INVALID_DATE",IF(N32&lt;&gt;INT(N32),"E_INVALID_DATE",""))),IF(M32="MONTH",IF(OR(Q32="",R32=""),"E_MISSING_INPUT",IF(OR(NOT(ISNUMBER(Q32)),NOT(ISNUMBER(R32))),"E_INVALID_DATE",IF(OR(Q32&lt;1900,Q32&gt;9999,Q32&lt;&gt;INT(Q32),R32&lt;1,R32&gt;12,R32&lt;&gt;INT(R32)),"E_INVALID_DATE",""))),IF(M32="YEAR",IF(Q32="","E_MISSING_INPUT",IF(NOT(ISNUMBER(Q32)),"E_INVALID_DATE",IF(OR(Q32&lt;1900,Q32&gt;9999,Q32&lt;&gt;INT(Q32)),"E_INVALID_DATE",""))),IF(M32="RANGE",IF(OR(S32="",T32=""),"E_MISSING_INPUT",IF(OR(NOT(ISNUMBER(S32)),NOT(ISNUMBER(T32))),"E_INVALID_DATE",IF(OR(S32&lt;&gt;INT(S32),T32&lt;&gt;INT(T32)),"E_INVALID_DATE",IF(S32&gt;T32,"E_REVERSED_BOUNDS","")))),"E_INVALID_UNIT")))))))</f>
        <v/>
      </c>
      <c r="W32" s="22">
        <f t="shared" si="0"/>
        <v>0</v>
      </c>
      <c r="X32" s="22">
        <f t="shared" si="1"/>
        <v>0</v>
      </c>
      <c r="Y32" s="28" t="str">
        <f t="shared" si="2"/>
        <v/>
      </c>
      <c r="Z32" s="28" t="str">
        <f t="shared" si="3"/>
        <v/>
      </c>
      <c r="AA32" s="22" t="str">
        <f t="shared" si="4"/>
        <v/>
      </c>
      <c r="AB32" s="22" t="str">
        <f t="shared" si="5"/>
        <v/>
      </c>
      <c r="AC32" s="21" t="str">
        <f t="shared" si="6"/>
        <v/>
      </c>
      <c r="AD32" s="22">
        <f>IF(AC32="",0,COUNTIF(nMS_Key,AC32))</f>
        <v>0</v>
      </c>
      <c r="AE32" s="21" t="str">
        <f t="shared" si="7"/>
        <v/>
      </c>
      <c r="AF32" s="21" t="str">
        <f>IF(AE32="","",AE32&amp;": "&amp;SUBSTITUTE(IFERROR(INDEX(nMSG_Text,MATCH(AE32,nMSG_Code,0)),""),"[input]",IF(C32="","a Milestone_ID",IF(D32="","a milestone Type","the date fields required by the selected precision"))))</f>
        <v/>
      </c>
    </row>
    <row r="33" spans="1:32" x14ac:dyDescent="0.2">
      <c r="A33" s="10"/>
      <c r="B33" s="12"/>
      <c r="C33" s="10"/>
      <c r="D33" s="17"/>
      <c r="E33" s="10"/>
      <c r="F33" s="10"/>
      <c r="G33" s="17"/>
      <c r="H33" s="10"/>
      <c r="I33" s="10"/>
      <c r="J33" s="17"/>
      <c r="K33" s="10"/>
      <c r="L33" s="10"/>
      <c r="M33" s="17"/>
      <c r="N33" s="15"/>
      <c r="O33" s="26"/>
      <c r="P33" s="10"/>
      <c r="Q33" s="12"/>
      <c r="R33" s="12"/>
      <c r="S33" s="15"/>
      <c r="T33" s="15"/>
      <c r="U33" s="10"/>
      <c r="V33" s="21" t="str">
        <f>IF(COUNTA(M33:T33)=0,"",IF(M33="","E_MISSING_INPUT",IF(M33="TIMESTAMP",IF(OR(N33="",O33="",P33=""),"E_MISSING_INPUT",IF(OR(NOT(ISNUMBER(N33)),NOT(ISNUMBER(O33))),"E_INVALID_DATE",IF(OR(N33&lt;&gt;INT(N33),O33&lt;0,O33&gt;=1),"E_INVALID_DATE",IF(ISNA(MATCH(P33,nLIST_Offset,0)),"E_INVALID_UNIT","")))),IF(M33="DATE",IF(N33="","E_MISSING_INPUT",IF(NOT(ISNUMBER(N33)),"E_INVALID_DATE",IF(N33&lt;&gt;INT(N33),"E_INVALID_DATE",""))),IF(M33="MONTH",IF(OR(Q33="",R33=""),"E_MISSING_INPUT",IF(OR(NOT(ISNUMBER(Q33)),NOT(ISNUMBER(R33))),"E_INVALID_DATE",IF(OR(Q33&lt;1900,Q33&gt;9999,Q33&lt;&gt;INT(Q33),R33&lt;1,R33&gt;12,R33&lt;&gt;INT(R33)),"E_INVALID_DATE",""))),IF(M33="YEAR",IF(Q33="","E_MISSING_INPUT",IF(NOT(ISNUMBER(Q33)),"E_INVALID_DATE",IF(OR(Q33&lt;1900,Q33&gt;9999,Q33&lt;&gt;INT(Q33)),"E_INVALID_DATE",""))),IF(M33="RANGE",IF(OR(S33="",T33=""),"E_MISSING_INPUT",IF(OR(NOT(ISNUMBER(S33)),NOT(ISNUMBER(T33))),"E_INVALID_DATE",IF(OR(S33&lt;&gt;INT(S33),T33&lt;&gt;INT(T33)),"E_INVALID_DATE",IF(S33&gt;T33,"E_REVERSED_BOUNDS","")))),"E_INVALID_UNIT")))))))</f>
        <v/>
      </c>
      <c r="W33" s="22">
        <f t="shared" si="0"/>
        <v>0</v>
      </c>
      <c r="X33" s="22">
        <f t="shared" si="1"/>
        <v>0</v>
      </c>
      <c r="Y33" s="28" t="str">
        <f t="shared" si="2"/>
        <v/>
      </c>
      <c r="Z33" s="28" t="str">
        <f t="shared" si="3"/>
        <v/>
      </c>
      <c r="AA33" s="22" t="str">
        <f t="shared" si="4"/>
        <v/>
      </c>
      <c r="AB33" s="22" t="str">
        <f t="shared" si="5"/>
        <v/>
      </c>
      <c r="AC33" s="21" t="str">
        <f t="shared" si="6"/>
        <v/>
      </c>
      <c r="AD33" s="22">
        <f>IF(AC33="",0,COUNTIF(nMS_Key,AC33))</f>
        <v>0</v>
      </c>
      <c r="AE33" s="21" t="str">
        <f t="shared" si="7"/>
        <v/>
      </c>
      <c r="AF33" s="21" t="str">
        <f>IF(AE33="","",AE33&amp;": "&amp;SUBSTITUTE(IFERROR(INDEX(nMSG_Text,MATCH(AE33,nMSG_Code,0)),""),"[input]",IF(C33="","a Milestone_ID",IF(D33="","a milestone Type","the date fields required by the selected precision"))))</f>
        <v/>
      </c>
    </row>
    <row r="34" spans="1:32" x14ac:dyDescent="0.2">
      <c r="A34" s="10"/>
      <c r="B34" s="12"/>
      <c r="C34" s="10"/>
      <c r="D34" s="17"/>
      <c r="E34" s="10"/>
      <c r="F34" s="10"/>
      <c r="G34" s="17"/>
      <c r="H34" s="10"/>
      <c r="I34" s="10"/>
      <c r="J34" s="17"/>
      <c r="K34" s="10"/>
      <c r="L34" s="10"/>
      <c r="M34" s="17"/>
      <c r="N34" s="15"/>
      <c r="O34" s="26"/>
      <c r="P34" s="10"/>
      <c r="Q34" s="12"/>
      <c r="R34" s="12"/>
      <c r="S34" s="15"/>
      <c r="T34" s="15"/>
      <c r="U34" s="10"/>
      <c r="V34" s="21" t="str">
        <f>IF(COUNTA(M34:T34)=0,"",IF(M34="","E_MISSING_INPUT",IF(M34="TIMESTAMP",IF(OR(N34="",O34="",P34=""),"E_MISSING_INPUT",IF(OR(NOT(ISNUMBER(N34)),NOT(ISNUMBER(O34))),"E_INVALID_DATE",IF(OR(N34&lt;&gt;INT(N34),O34&lt;0,O34&gt;=1),"E_INVALID_DATE",IF(ISNA(MATCH(P34,nLIST_Offset,0)),"E_INVALID_UNIT","")))),IF(M34="DATE",IF(N34="","E_MISSING_INPUT",IF(NOT(ISNUMBER(N34)),"E_INVALID_DATE",IF(N34&lt;&gt;INT(N34),"E_INVALID_DATE",""))),IF(M34="MONTH",IF(OR(Q34="",R34=""),"E_MISSING_INPUT",IF(OR(NOT(ISNUMBER(Q34)),NOT(ISNUMBER(R34))),"E_INVALID_DATE",IF(OR(Q34&lt;1900,Q34&gt;9999,Q34&lt;&gt;INT(Q34),R34&lt;1,R34&gt;12,R34&lt;&gt;INT(R34)),"E_INVALID_DATE",""))),IF(M34="YEAR",IF(Q34="","E_MISSING_INPUT",IF(NOT(ISNUMBER(Q34)),"E_INVALID_DATE",IF(OR(Q34&lt;1900,Q34&gt;9999,Q34&lt;&gt;INT(Q34)),"E_INVALID_DATE",""))),IF(M34="RANGE",IF(OR(S34="",T34=""),"E_MISSING_INPUT",IF(OR(NOT(ISNUMBER(S34)),NOT(ISNUMBER(T34))),"E_INVALID_DATE",IF(OR(S34&lt;&gt;INT(S34),T34&lt;&gt;INT(T34)),"E_INVALID_DATE",IF(S34&gt;T34,"E_REVERSED_BOUNDS","")))),"E_INVALID_UNIT")))))))</f>
        <v/>
      </c>
      <c r="W34" s="22">
        <f t="shared" si="0"/>
        <v>0</v>
      </c>
      <c r="X34" s="22">
        <f t="shared" si="1"/>
        <v>0</v>
      </c>
      <c r="Y34" s="28" t="str">
        <f t="shared" si="2"/>
        <v/>
      </c>
      <c r="Z34" s="28" t="str">
        <f t="shared" si="3"/>
        <v/>
      </c>
      <c r="AA34" s="22" t="str">
        <f t="shared" si="4"/>
        <v/>
      </c>
      <c r="AB34" s="22" t="str">
        <f t="shared" si="5"/>
        <v/>
      </c>
      <c r="AC34" s="21" t="str">
        <f t="shared" si="6"/>
        <v/>
      </c>
      <c r="AD34" s="22">
        <f>IF(AC34="",0,COUNTIF(nMS_Key,AC34))</f>
        <v>0</v>
      </c>
      <c r="AE34" s="21" t="str">
        <f t="shared" si="7"/>
        <v/>
      </c>
      <c r="AF34" s="21" t="str">
        <f>IF(AE34="","",AE34&amp;": "&amp;SUBSTITUTE(IFERROR(INDEX(nMSG_Text,MATCH(AE34,nMSG_Code,0)),""),"[input]",IF(C34="","a Milestone_ID",IF(D34="","a milestone Type","the date fields required by the selected precision"))))</f>
        <v/>
      </c>
    </row>
    <row r="35" spans="1:32" x14ac:dyDescent="0.2">
      <c r="A35" s="10"/>
      <c r="B35" s="12"/>
      <c r="C35" s="10"/>
      <c r="D35" s="17"/>
      <c r="E35" s="10"/>
      <c r="F35" s="10"/>
      <c r="G35" s="17"/>
      <c r="H35" s="10"/>
      <c r="I35" s="10"/>
      <c r="J35" s="17"/>
      <c r="K35" s="10"/>
      <c r="L35" s="10"/>
      <c r="M35" s="17"/>
      <c r="N35" s="15"/>
      <c r="O35" s="26"/>
      <c r="P35" s="10"/>
      <c r="Q35" s="12"/>
      <c r="R35" s="12"/>
      <c r="S35" s="15"/>
      <c r="T35" s="15"/>
      <c r="U35" s="10"/>
      <c r="V35" s="21" t="str">
        <f>IF(COUNTA(M35:T35)=0,"",IF(M35="","E_MISSING_INPUT",IF(M35="TIMESTAMP",IF(OR(N35="",O35="",P35=""),"E_MISSING_INPUT",IF(OR(NOT(ISNUMBER(N35)),NOT(ISNUMBER(O35))),"E_INVALID_DATE",IF(OR(N35&lt;&gt;INT(N35),O35&lt;0,O35&gt;=1),"E_INVALID_DATE",IF(ISNA(MATCH(P35,nLIST_Offset,0)),"E_INVALID_UNIT","")))),IF(M35="DATE",IF(N35="","E_MISSING_INPUT",IF(NOT(ISNUMBER(N35)),"E_INVALID_DATE",IF(N35&lt;&gt;INT(N35),"E_INVALID_DATE",""))),IF(M35="MONTH",IF(OR(Q35="",R35=""),"E_MISSING_INPUT",IF(OR(NOT(ISNUMBER(Q35)),NOT(ISNUMBER(R35))),"E_INVALID_DATE",IF(OR(Q35&lt;1900,Q35&gt;9999,Q35&lt;&gt;INT(Q35),R35&lt;1,R35&gt;12,R35&lt;&gt;INT(R35)),"E_INVALID_DATE",""))),IF(M35="YEAR",IF(Q35="","E_MISSING_INPUT",IF(NOT(ISNUMBER(Q35)),"E_INVALID_DATE",IF(OR(Q35&lt;1900,Q35&gt;9999,Q35&lt;&gt;INT(Q35)),"E_INVALID_DATE",""))),IF(M35="RANGE",IF(OR(S35="",T35=""),"E_MISSING_INPUT",IF(OR(NOT(ISNUMBER(S35)),NOT(ISNUMBER(T35))),"E_INVALID_DATE",IF(OR(S35&lt;&gt;INT(S35),T35&lt;&gt;INT(T35)),"E_INVALID_DATE",IF(S35&gt;T35,"E_REVERSED_BOUNDS","")))),"E_INVALID_UNIT")))))))</f>
        <v/>
      </c>
      <c r="W35" s="22">
        <f t="shared" si="0"/>
        <v>0</v>
      </c>
      <c r="X35" s="22">
        <f t="shared" si="1"/>
        <v>0</v>
      </c>
      <c r="Y35" s="28" t="str">
        <f t="shared" si="2"/>
        <v/>
      </c>
      <c r="Z35" s="28" t="str">
        <f t="shared" si="3"/>
        <v/>
      </c>
      <c r="AA35" s="22" t="str">
        <f t="shared" si="4"/>
        <v/>
      </c>
      <c r="AB35" s="22" t="str">
        <f t="shared" si="5"/>
        <v/>
      </c>
      <c r="AC35" s="21" t="str">
        <f t="shared" si="6"/>
        <v/>
      </c>
      <c r="AD35" s="22">
        <f>IF(AC35="",0,COUNTIF(nMS_Key,AC35))</f>
        <v>0</v>
      </c>
      <c r="AE35" s="21" t="str">
        <f t="shared" si="7"/>
        <v/>
      </c>
      <c r="AF35" s="21" t="str">
        <f>IF(AE35="","",AE35&amp;": "&amp;SUBSTITUTE(IFERROR(INDEX(nMSG_Text,MATCH(AE35,nMSG_Code,0)),""),"[input]",IF(C35="","a Milestone_ID",IF(D35="","a milestone Type","the date fields required by the selected precision"))))</f>
        <v/>
      </c>
    </row>
    <row r="36" spans="1:32" x14ac:dyDescent="0.2">
      <c r="A36" s="10"/>
      <c r="B36" s="12"/>
      <c r="C36" s="10"/>
      <c r="D36" s="17"/>
      <c r="E36" s="10"/>
      <c r="F36" s="10"/>
      <c r="G36" s="17"/>
      <c r="H36" s="10"/>
      <c r="I36" s="10"/>
      <c r="J36" s="17"/>
      <c r="K36" s="10"/>
      <c r="L36" s="10"/>
      <c r="M36" s="17"/>
      <c r="N36" s="15"/>
      <c r="O36" s="26"/>
      <c r="P36" s="10"/>
      <c r="Q36" s="12"/>
      <c r="R36" s="12"/>
      <c r="S36" s="15"/>
      <c r="T36" s="15"/>
      <c r="U36" s="10"/>
      <c r="V36" s="21" t="str">
        <f>IF(COUNTA(M36:T36)=0,"",IF(M36="","E_MISSING_INPUT",IF(M36="TIMESTAMP",IF(OR(N36="",O36="",P36=""),"E_MISSING_INPUT",IF(OR(NOT(ISNUMBER(N36)),NOT(ISNUMBER(O36))),"E_INVALID_DATE",IF(OR(N36&lt;&gt;INT(N36),O36&lt;0,O36&gt;=1),"E_INVALID_DATE",IF(ISNA(MATCH(P36,nLIST_Offset,0)),"E_INVALID_UNIT","")))),IF(M36="DATE",IF(N36="","E_MISSING_INPUT",IF(NOT(ISNUMBER(N36)),"E_INVALID_DATE",IF(N36&lt;&gt;INT(N36),"E_INVALID_DATE",""))),IF(M36="MONTH",IF(OR(Q36="",R36=""),"E_MISSING_INPUT",IF(OR(NOT(ISNUMBER(Q36)),NOT(ISNUMBER(R36))),"E_INVALID_DATE",IF(OR(Q36&lt;1900,Q36&gt;9999,Q36&lt;&gt;INT(Q36),R36&lt;1,R36&gt;12,R36&lt;&gt;INT(R36)),"E_INVALID_DATE",""))),IF(M36="YEAR",IF(Q36="","E_MISSING_INPUT",IF(NOT(ISNUMBER(Q36)),"E_INVALID_DATE",IF(OR(Q36&lt;1900,Q36&gt;9999,Q36&lt;&gt;INT(Q36)),"E_INVALID_DATE",""))),IF(M36="RANGE",IF(OR(S36="",T36=""),"E_MISSING_INPUT",IF(OR(NOT(ISNUMBER(S36)),NOT(ISNUMBER(T36))),"E_INVALID_DATE",IF(OR(S36&lt;&gt;INT(S36),T36&lt;&gt;INT(T36)),"E_INVALID_DATE",IF(S36&gt;T36,"E_REVERSED_BOUNDS","")))),"E_INVALID_UNIT")))))))</f>
        <v/>
      </c>
      <c r="W36" s="22">
        <f t="shared" si="0"/>
        <v>0</v>
      </c>
      <c r="X36" s="22">
        <f t="shared" si="1"/>
        <v>0</v>
      </c>
      <c r="Y36" s="28" t="str">
        <f t="shared" si="2"/>
        <v/>
      </c>
      <c r="Z36" s="28" t="str">
        <f t="shared" si="3"/>
        <v/>
      </c>
      <c r="AA36" s="22" t="str">
        <f t="shared" si="4"/>
        <v/>
      </c>
      <c r="AB36" s="22" t="str">
        <f t="shared" si="5"/>
        <v/>
      </c>
      <c r="AC36" s="21" t="str">
        <f t="shared" si="6"/>
        <v/>
      </c>
      <c r="AD36" s="22">
        <f>IF(AC36="",0,COUNTIF(nMS_Key,AC36))</f>
        <v>0</v>
      </c>
      <c r="AE36" s="21" t="str">
        <f t="shared" si="7"/>
        <v/>
      </c>
      <c r="AF36" s="21" t="str">
        <f>IF(AE36="","",AE36&amp;": "&amp;SUBSTITUTE(IFERROR(INDEX(nMSG_Text,MATCH(AE36,nMSG_Code,0)),""),"[input]",IF(C36="","a Milestone_ID",IF(D36="","a milestone Type","the date fields required by the selected precision"))))</f>
        <v/>
      </c>
    </row>
    <row r="37" spans="1:32" x14ac:dyDescent="0.2">
      <c r="A37" s="10"/>
      <c r="B37" s="12"/>
      <c r="C37" s="10"/>
      <c r="D37" s="17"/>
      <c r="E37" s="10"/>
      <c r="F37" s="10"/>
      <c r="G37" s="17"/>
      <c r="H37" s="10"/>
      <c r="I37" s="10"/>
      <c r="J37" s="17"/>
      <c r="K37" s="10"/>
      <c r="L37" s="10"/>
      <c r="M37" s="17"/>
      <c r="N37" s="15"/>
      <c r="O37" s="26"/>
      <c r="P37" s="10"/>
      <c r="Q37" s="12"/>
      <c r="R37" s="12"/>
      <c r="S37" s="15"/>
      <c r="T37" s="15"/>
      <c r="U37" s="10"/>
      <c r="V37" s="21" t="str">
        <f>IF(COUNTA(M37:T37)=0,"",IF(M37="","E_MISSING_INPUT",IF(M37="TIMESTAMP",IF(OR(N37="",O37="",P37=""),"E_MISSING_INPUT",IF(OR(NOT(ISNUMBER(N37)),NOT(ISNUMBER(O37))),"E_INVALID_DATE",IF(OR(N37&lt;&gt;INT(N37),O37&lt;0,O37&gt;=1),"E_INVALID_DATE",IF(ISNA(MATCH(P37,nLIST_Offset,0)),"E_INVALID_UNIT","")))),IF(M37="DATE",IF(N37="","E_MISSING_INPUT",IF(NOT(ISNUMBER(N37)),"E_INVALID_DATE",IF(N37&lt;&gt;INT(N37),"E_INVALID_DATE",""))),IF(M37="MONTH",IF(OR(Q37="",R37=""),"E_MISSING_INPUT",IF(OR(NOT(ISNUMBER(Q37)),NOT(ISNUMBER(R37))),"E_INVALID_DATE",IF(OR(Q37&lt;1900,Q37&gt;9999,Q37&lt;&gt;INT(Q37),R37&lt;1,R37&gt;12,R37&lt;&gt;INT(R37)),"E_INVALID_DATE",""))),IF(M37="YEAR",IF(Q37="","E_MISSING_INPUT",IF(NOT(ISNUMBER(Q37)),"E_INVALID_DATE",IF(OR(Q37&lt;1900,Q37&gt;9999,Q37&lt;&gt;INT(Q37)),"E_INVALID_DATE",""))),IF(M37="RANGE",IF(OR(S37="",T37=""),"E_MISSING_INPUT",IF(OR(NOT(ISNUMBER(S37)),NOT(ISNUMBER(T37))),"E_INVALID_DATE",IF(OR(S37&lt;&gt;INT(S37),T37&lt;&gt;INT(T37)),"E_INVALID_DATE",IF(S37&gt;T37,"E_REVERSED_BOUNDS","")))),"E_INVALID_UNIT")))))))</f>
        <v/>
      </c>
      <c r="W37" s="22">
        <f t="shared" si="0"/>
        <v>0</v>
      </c>
      <c r="X37" s="22">
        <f t="shared" si="1"/>
        <v>0</v>
      </c>
      <c r="Y37" s="28" t="str">
        <f t="shared" si="2"/>
        <v/>
      </c>
      <c r="Z37" s="28" t="str">
        <f t="shared" si="3"/>
        <v/>
      </c>
      <c r="AA37" s="22" t="str">
        <f t="shared" si="4"/>
        <v/>
      </c>
      <c r="AB37" s="22" t="str">
        <f t="shared" si="5"/>
        <v/>
      </c>
      <c r="AC37" s="21" t="str">
        <f t="shared" si="6"/>
        <v/>
      </c>
      <c r="AD37" s="22">
        <f>IF(AC37="",0,COUNTIF(nMS_Key,AC37))</f>
        <v>0</v>
      </c>
      <c r="AE37" s="21" t="str">
        <f t="shared" si="7"/>
        <v/>
      </c>
      <c r="AF37" s="21" t="str">
        <f>IF(AE37="","",AE37&amp;": "&amp;SUBSTITUTE(IFERROR(INDEX(nMSG_Text,MATCH(AE37,nMSG_Code,0)),""),"[input]",IF(C37="","a Milestone_ID",IF(D37="","a milestone Type","the date fields required by the selected precision"))))</f>
        <v/>
      </c>
    </row>
    <row r="38" spans="1:32" x14ac:dyDescent="0.2">
      <c r="A38" s="10"/>
      <c r="B38" s="12"/>
      <c r="C38" s="10"/>
      <c r="D38" s="17"/>
      <c r="E38" s="10"/>
      <c r="F38" s="10"/>
      <c r="G38" s="17"/>
      <c r="H38" s="10"/>
      <c r="I38" s="10"/>
      <c r="J38" s="17"/>
      <c r="K38" s="10"/>
      <c r="L38" s="10"/>
      <c r="M38" s="17"/>
      <c r="N38" s="15"/>
      <c r="O38" s="26"/>
      <c r="P38" s="10"/>
      <c r="Q38" s="12"/>
      <c r="R38" s="12"/>
      <c r="S38" s="15"/>
      <c r="T38" s="15"/>
      <c r="U38" s="10"/>
      <c r="V38" s="21" t="str">
        <f>IF(COUNTA(M38:T38)=0,"",IF(M38="","E_MISSING_INPUT",IF(M38="TIMESTAMP",IF(OR(N38="",O38="",P38=""),"E_MISSING_INPUT",IF(OR(NOT(ISNUMBER(N38)),NOT(ISNUMBER(O38))),"E_INVALID_DATE",IF(OR(N38&lt;&gt;INT(N38),O38&lt;0,O38&gt;=1),"E_INVALID_DATE",IF(ISNA(MATCH(P38,nLIST_Offset,0)),"E_INVALID_UNIT","")))),IF(M38="DATE",IF(N38="","E_MISSING_INPUT",IF(NOT(ISNUMBER(N38)),"E_INVALID_DATE",IF(N38&lt;&gt;INT(N38),"E_INVALID_DATE",""))),IF(M38="MONTH",IF(OR(Q38="",R38=""),"E_MISSING_INPUT",IF(OR(NOT(ISNUMBER(Q38)),NOT(ISNUMBER(R38))),"E_INVALID_DATE",IF(OR(Q38&lt;1900,Q38&gt;9999,Q38&lt;&gt;INT(Q38),R38&lt;1,R38&gt;12,R38&lt;&gt;INT(R38)),"E_INVALID_DATE",""))),IF(M38="YEAR",IF(Q38="","E_MISSING_INPUT",IF(NOT(ISNUMBER(Q38)),"E_INVALID_DATE",IF(OR(Q38&lt;1900,Q38&gt;9999,Q38&lt;&gt;INT(Q38)),"E_INVALID_DATE",""))),IF(M38="RANGE",IF(OR(S38="",T38=""),"E_MISSING_INPUT",IF(OR(NOT(ISNUMBER(S38)),NOT(ISNUMBER(T38))),"E_INVALID_DATE",IF(OR(S38&lt;&gt;INT(S38),T38&lt;&gt;INT(T38)),"E_INVALID_DATE",IF(S38&gt;T38,"E_REVERSED_BOUNDS","")))),"E_INVALID_UNIT")))))))</f>
        <v/>
      </c>
      <c r="W38" s="22">
        <f t="shared" si="0"/>
        <v>0</v>
      </c>
      <c r="X38" s="22">
        <f t="shared" si="1"/>
        <v>0</v>
      </c>
      <c r="Y38" s="28" t="str">
        <f t="shared" si="2"/>
        <v/>
      </c>
      <c r="Z38" s="28" t="str">
        <f t="shared" si="3"/>
        <v/>
      </c>
      <c r="AA38" s="22" t="str">
        <f t="shared" si="4"/>
        <v/>
      </c>
      <c r="AB38" s="22" t="str">
        <f t="shared" si="5"/>
        <v/>
      </c>
      <c r="AC38" s="21" t="str">
        <f t="shared" si="6"/>
        <v/>
      </c>
      <c r="AD38" s="22">
        <f>IF(AC38="",0,COUNTIF(nMS_Key,AC38))</f>
        <v>0</v>
      </c>
      <c r="AE38" s="21" t="str">
        <f t="shared" si="7"/>
        <v/>
      </c>
      <c r="AF38" s="21" t="str">
        <f>IF(AE38="","",AE38&amp;": "&amp;SUBSTITUTE(IFERROR(INDEX(nMSG_Text,MATCH(AE38,nMSG_Code,0)),""),"[input]",IF(C38="","a Milestone_ID",IF(D38="","a milestone Type","the date fields required by the selected precision"))))</f>
        <v/>
      </c>
    </row>
    <row r="39" spans="1:32" x14ac:dyDescent="0.2">
      <c r="A39" s="10"/>
      <c r="B39" s="12"/>
      <c r="C39" s="10"/>
      <c r="D39" s="17"/>
      <c r="E39" s="10"/>
      <c r="F39" s="10"/>
      <c r="G39" s="17"/>
      <c r="H39" s="10"/>
      <c r="I39" s="10"/>
      <c r="J39" s="17"/>
      <c r="K39" s="10"/>
      <c r="L39" s="10"/>
      <c r="M39" s="17"/>
      <c r="N39" s="15"/>
      <c r="O39" s="26"/>
      <c r="P39" s="10"/>
      <c r="Q39" s="12"/>
      <c r="R39" s="12"/>
      <c r="S39" s="15"/>
      <c r="T39" s="15"/>
      <c r="U39" s="10"/>
      <c r="V39" s="21" t="str">
        <f>IF(COUNTA(M39:T39)=0,"",IF(M39="","E_MISSING_INPUT",IF(M39="TIMESTAMP",IF(OR(N39="",O39="",P39=""),"E_MISSING_INPUT",IF(OR(NOT(ISNUMBER(N39)),NOT(ISNUMBER(O39))),"E_INVALID_DATE",IF(OR(N39&lt;&gt;INT(N39),O39&lt;0,O39&gt;=1),"E_INVALID_DATE",IF(ISNA(MATCH(P39,nLIST_Offset,0)),"E_INVALID_UNIT","")))),IF(M39="DATE",IF(N39="","E_MISSING_INPUT",IF(NOT(ISNUMBER(N39)),"E_INVALID_DATE",IF(N39&lt;&gt;INT(N39),"E_INVALID_DATE",""))),IF(M39="MONTH",IF(OR(Q39="",R39=""),"E_MISSING_INPUT",IF(OR(NOT(ISNUMBER(Q39)),NOT(ISNUMBER(R39))),"E_INVALID_DATE",IF(OR(Q39&lt;1900,Q39&gt;9999,Q39&lt;&gt;INT(Q39),R39&lt;1,R39&gt;12,R39&lt;&gt;INT(R39)),"E_INVALID_DATE",""))),IF(M39="YEAR",IF(Q39="","E_MISSING_INPUT",IF(NOT(ISNUMBER(Q39)),"E_INVALID_DATE",IF(OR(Q39&lt;1900,Q39&gt;9999,Q39&lt;&gt;INT(Q39)),"E_INVALID_DATE",""))),IF(M39="RANGE",IF(OR(S39="",T39=""),"E_MISSING_INPUT",IF(OR(NOT(ISNUMBER(S39)),NOT(ISNUMBER(T39))),"E_INVALID_DATE",IF(OR(S39&lt;&gt;INT(S39),T39&lt;&gt;INT(T39)),"E_INVALID_DATE",IF(S39&gt;T39,"E_REVERSED_BOUNDS","")))),"E_INVALID_UNIT")))))))</f>
        <v/>
      </c>
      <c r="W39" s="22">
        <f t="shared" si="0"/>
        <v>0</v>
      </c>
      <c r="X39" s="22">
        <f t="shared" si="1"/>
        <v>0</v>
      </c>
      <c r="Y39" s="28" t="str">
        <f t="shared" si="2"/>
        <v/>
      </c>
      <c r="Z39" s="28" t="str">
        <f t="shared" si="3"/>
        <v/>
      </c>
      <c r="AA39" s="22" t="str">
        <f t="shared" si="4"/>
        <v/>
      </c>
      <c r="AB39" s="22" t="str">
        <f t="shared" si="5"/>
        <v/>
      </c>
      <c r="AC39" s="21" t="str">
        <f t="shared" si="6"/>
        <v/>
      </c>
      <c r="AD39" s="22">
        <f>IF(AC39="",0,COUNTIF(nMS_Key,AC39))</f>
        <v>0</v>
      </c>
      <c r="AE39" s="21" t="str">
        <f t="shared" si="7"/>
        <v/>
      </c>
      <c r="AF39" s="21" t="str">
        <f>IF(AE39="","",AE39&amp;": "&amp;SUBSTITUTE(IFERROR(INDEX(nMSG_Text,MATCH(AE39,nMSG_Code,0)),""),"[input]",IF(C39="","a Milestone_ID",IF(D39="","a milestone Type","the date fields required by the selected precision"))))</f>
        <v/>
      </c>
    </row>
    <row r="40" spans="1:32" x14ac:dyDescent="0.2">
      <c r="A40" s="10"/>
      <c r="B40" s="12"/>
      <c r="C40" s="10"/>
      <c r="D40" s="17"/>
      <c r="E40" s="10"/>
      <c r="F40" s="10"/>
      <c r="G40" s="17"/>
      <c r="H40" s="10"/>
      <c r="I40" s="10"/>
      <c r="J40" s="17"/>
      <c r="K40" s="10"/>
      <c r="L40" s="10"/>
      <c r="M40" s="17"/>
      <c r="N40" s="15"/>
      <c r="O40" s="26"/>
      <c r="P40" s="10"/>
      <c r="Q40" s="12"/>
      <c r="R40" s="12"/>
      <c r="S40" s="15"/>
      <c r="T40" s="15"/>
      <c r="U40" s="10"/>
      <c r="V40" s="21" t="str">
        <f>IF(COUNTA(M40:T40)=0,"",IF(M40="","E_MISSING_INPUT",IF(M40="TIMESTAMP",IF(OR(N40="",O40="",P40=""),"E_MISSING_INPUT",IF(OR(NOT(ISNUMBER(N40)),NOT(ISNUMBER(O40))),"E_INVALID_DATE",IF(OR(N40&lt;&gt;INT(N40),O40&lt;0,O40&gt;=1),"E_INVALID_DATE",IF(ISNA(MATCH(P40,nLIST_Offset,0)),"E_INVALID_UNIT","")))),IF(M40="DATE",IF(N40="","E_MISSING_INPUT",IF(NOT(ISNUMBER(N40)),"E_INVALID_DATE",IF(N40&lt;&gt;INT(N40),"E_INVALID_DATE",""))),IF(M40="MONTH",IF(OR(Q40="",R40=""),"E_MISSING_INPUT",IF(OR(NOT(ISNUMBER(Q40)),NOT(ISNUMBER(R40))),"E_INVALID_DATE",IF(OR(Q40&lt;1900,Q40&gt;9999,Q40&lt;&gt;INT(Q40),R40&lt;1,R40&gt;12,R40&lt;&gt;INT(R40)),"E_INVALID_DATE",""))),IF(M40="YEAR",IF(Q40="","E_MISSING_INPUT",IF(NOT(ISNUMBER(Q40)),"E_INVALID_DATE",IF(OR(Q40&lt;1900,Q40&gt;9999,Q40&lt;&gt;INT(Q40)),"E_INVALID_DATE",""))),IF(M40="RANGE",IF(OR(S40="",T40=""),"E_MISSING_INPUT",IF(OR(NOT(ISNUMBER(S40)),NOT(ISNUMBER(T40))),"E_INVALID_DATE",IF(OR(S40&lt;&gt;INT(S40),T40&lt;&gt;INT(T40)),"E_INVALID_DATE",IF(S40&gt;T40,"E_REVERSED_BOUNDS","")))),"E_INVALID_UNIT")))))))</f>
        <v/>
      </c>
      <c r="W40" s="22">
        <f t="shared" si="0"/>
        <v>0</v>
      </c>
      <c r="X40" s="22">
        <f t="shared" si="1"/>
        <v>0</v>
      </c>
      <c r="Y40" s="28" t="str">
        <f t="shared" si="2"/>
        <v/>
      </c>
      <c r="Z40" s="28" t="str">
        <f t="shared" si="3"/>
        <v/>
      </c>
      <c r="AA40" s="22" t="str">
        <f t="shared" si="4"/>
        <v/>
      </c>
      <c r="AB40" s="22" t="str">
        <f t="shared" si="5"/>
        <v/>
      </c>
      <c r="AC40" s="21" t="str">
        <f t="shared" si="6"/>
        <v/>
      </c>
      <c r="AD40" s="22">
        <f>IF(AC40="",0,COUNTIF(nMS_Key,AC40))</f>
        <v>0</v>
      </c>
      <c r="AE40" s="21" t="str">
        <f t="shared" si="7"/>
        <v/>
      </c>
      <c r="AF40" s="21" t="str">
        <f>IF(AE40="","",AE40&amp;": "&amp;SUBSTITUTE(IFERROR(INDEX(nMSG_Text,MATCH(AE40,nMSG_Code,0)),""),"[input]",IF(C40="","a Milestone_ID",IF(D40="","a milestone Type","the date fields required by the selected precision"))))</f>
        <v/>
      </c>
    </row>
    <row r="41" spans="1:32" x14ac:dyDescent="0.2">
      <c r="A41" s="10"/>
      <c r="B41" s="12"/>
      <c r="C41" s="10"/>
      <c r="D41" s="17"/>
      <c r="E41" s="10"/>
      <c r="F41" s="10"/>
      <c r="G41" s="17"/>
      <c r="H41" s="10"/>
      <c r="I41" s="10"/>
      <c r="J41" s="17"/>
      <c r="K41" s="10"/>
      <c r="L41" s="10"/>
      <c r="M41" s="17"/>
      <c r="N41" s="15"/>
      <c r="O41" s="26"/>
      <c r="P41" s="10"/>
      <c r="Q41" s="12"/>
      <c r="R41" s="12"/>
      <c r="S41" s="15"/>
      <c r="T41" s="15"/>
      <c r="U41" s="10"/>
      <c r="V41" s="21" t="str">
        <f>IF(COUNTA(M41:T41)=0,"",IF(M41="","E_MISSING_INPUT",IF(M41="TIMESTAMP",IF(OR(N41="",O41="",P41=""),"E_MISSING_INPUT",IF(OR(NOT(ISNUMBER(N41)),NOT(ISNUMBER(O41))),"E_INVALID_DATE",IF(OR(N41&lt;&gt;INT(N41),O41&lt;0,O41&gt;=1),"E_INVALID_DATE",IF(ISNA(MATCH(P41,nLIST_Offset,0)),"E_INVALID_UNIT","")))),IF(M41="DATE",IF(N41="","E_MISSING_INPUT",IF(NOT(ISNUMBER(N41)),"E_INVALID_DATE",IF(N41&lt;&gt;INT(N41),"E_INVALID_DATE",""))),IF(M41="MONTH",IF(OR(Q41="",R41=""),"E_MISSING_INPUT",IF(OR(NOT(ISNUMBER(Q41)),NOT(ISNUMBER(R41))),"E_INVALID_DATE",IF(OR(Q41&lt;1900,Q41&gt;9999,Q41&lt;&gt;INT(Q41),R41&lt;1,R41&gt;12,R41&lt;&gt;INT(R41)),"E_INVALID_DATE",""))),IF(M41="YEAR",IF(Q41="","E_MISSING_INPUT",IF(NOT(ISNUMBER(Q41)),"E_INVALID_DATE",IF(OR(Q41&lt;1900,Q41&gt;9999,Q41&lt;&gt;INT(Q41)),"E_INVALID_DATE",""))),IF(M41="RANGE",IF(OR(S41="",T41=""),"E_MISSING_INPUT",IF(OR(NOT(ISNUMBER(S41)),NOT(ISNUMBER(T41))),"E_INVALID_DATE",IF(OR(S41&lt;&gt;INT(S41),T41&lt;&gt;INT(T41)),"E_INVALID_DATE",IF(S41&gt;T41,"E_REVERSED_BOUNDS","")))),"E_INVALID_UNIT")))))))</f>
        <v/>
      </c>
      <c r="W41" s="22">
        <f t="shared" si="0"/>
        <v>0</v>
      </c>
      <c r="X41" s="22">
        <f t="shared" si="1"/>
        <v>0</v>
      </c>
      <c r="Y41" s="28" t="str">
        <f t="shared" si="2"/>
        <v/>
      </c>
      <c r="Z41" s="28" t="str">
        <f t="shared" si="3"/>
        <v/>
      </c>
      <c r="AA41" s="22" t="str">
        <f t="shared" si="4"/>
        <v/>
      </c>
      <c r="AB41" s="22" t="str">
        <f t="shared" si="5"/>
        <v/>
      </c>
      <c r="AC41" s="21" t="str">
        <f t="shared" si="6"/>
        <v/>
      </c>
      <c r="AD41" s="22">
        <f>IF(AC41="",0,COUNTIF(nMS_Key,AC41))</f>
        <v>0</v>
      </c>
      <c r="AE41" s="21" t="str">
        <f t="shared" si="7"/>
        <v/>
      </c>
      <c r="AF41" s="21" t="str">
        <f>IF(AE41="","",AE41&amp;": "&amp;SUBSTITUTE(IFERROR(INDEX(nMSG_Text,MATCH(AE41,nMSG_Code,0)),""),"[input]",IF(C41="","a Milestone_ID",IF(D41="","a milestone Type","the date fields required by the selected precision"))))</f>
        <v/>
      </c>
    </row>
    <row r="42" spans="1:32" x14ac:dyDescent="0.2">
      <c r="A42" s="10"/>
      <c r="B42" s="12"/>
      <c r="C42" s="10"/>
      <c r="D42" s="17"/>
      <c r="E42" s="10"/>
      <c r="F42" s="10"/>
      <c r="G42" s="17"/>
      <c r="H42" s="10"/>
      <c r="I42" s="10"/>
      <c r="J42" s="17"/>
      <c r="K42" s="10"/>
      <c r="L42" s="10"/>
      <c r="M42" s="17"/>
      <c r="N42" s="15"/>
      <c r="O42" s="26"/>
      <c r="P42" s="10"/>
      <c r="Q42" s="12"/>
      <c r="R42" s="12"/>
      <c r="S42" s="15"/>
      <c r="T42" s="15"/>
      <c r="U42" s="10"/>
      <c r="V42" s="21" t="str">
        <f>IF(COUNTA(M42:T42)=0,"",IF(M42="","E_MISSING_INPUT",IF(M42="TIMESTAMP",IF(OR(N42="",O42="",P42=""),"E_MISSING_INPUT",IF(OR(NOT(ISNUMBER(N42)),NOT(ISNUMBER(O42))),"E_INVALID_DATE",IF(OR(N42&lt;&gt;INT(N42),O42&lt;0,O42&gt;=1),"E_INVALID_DATE",IF(ISNA(MATCH(P42,nLIST_Offset,0)),"E_INVALID_UNIT","")))),IF(M42="DATE",IF(N42="","E_MISSING_INPUT",IF(NOT(ISNUMBER(N42)),"E_INVALID_DATE",IF(N42&lt;&gt;INT(N42),"E_INVALID_DATE",""))),IF(M42="MONTH",IF(OR(Q42="",R42=""),"E_MISSING_INPUT",IF(OR(NOT(ISNUMBER(Q42)),NOT(ISNUMBER(R42))),"E_INVALID_DATE",IF(OR(Q42&lt;1900,Q42&gt;9999,Q42&lt;&gt;INT(Q42),R42&lt;1,R42&gt;12,R42&lt;&gt;INT(R42)),"E_INVALID_DATE",""))),IF(M42="YEAR",IF(Q42="","E_MISSING_INPUT",IF(NOT(ISNUMBER(Q42)),"E_INVALID_DATE",IF(OR(Q42&lt;1900,Q42&gt;9999,Q42&lt;&gt;INT(Q42)),"E_INVALID_DATE",""))),IF(M42="RANGE",IF(OR(S42="",T42=""),"E_MISSING_INPUT",IF(OR(NOT(ISNUMBER(S42)),NOT(ISNUMBER(T42))),"E_INVALID_DATE",IF(OR(S42&lt;&gt;INT(S42),T42&lt;&gt;INT(T42)),"E_INVALID_DATE",IF(S42&gt;T42,"E_REVERSED_BOUNDS","")))),"E_INVALID_UNIT")))))))</f>
        <v/>
      </c>
      <c r="W42" s="22">
        <f t="shared" si="0"/>
        <v>0</v>
      </c>
      <c r="X42" s="22">
        <f t="shared" si="1"/>
        <v>0</v>
      </c>
      <c r="Y42" s="28" t="str">
        <f t="shared" si="2"/>
        <v/>
      </c>
      <c r="Z42" s="28" t="str">
        <f t="shared" si="3"/>
        <v/>
      </c>
      <c r="AA42" s="22" t="str">
        <f t="shared" si="4"/>
        <v/>
      </c>
      <c r="AB42" s="22" t="str">
        <f t="shared" si="5"/>
        <v/>
      </c>
      <c r="AC42" s="21" t="str">
        <f t="shared" si="6"/>
        <v/>
      </c>
      <c r="AD42" s="22">
        <f>IF(AC42="",0,COUNTIF(nMS_Key,AC42))</f>
        <v>0</v>
      </c>
      <c r="AE42" s="21" t="str">
        <f t="shared" si="7"/>
        <v/>
      </c>
      <c r="AF42" s="21" t="str">
        <f>IF(AE42="","",AE42&amp;": "&amp;SUBSTITUTE(IFERROR(INDEX(nMSG_Text,MATCH(AE42,nMSG_Code,0)),""),"[input]",IF(C42="","a Milestone_ID",IF(D42="","a milestone Type","the date fields required by the selected precision"))))</f>
        <v/>
      </c>
    </row>
    <row r="43" spans="1:32" x14ac:dyDescent="0.2">
      <c r="A43" s="10"/>
      <c r="B43" s="12"/>
      <c r="C43" s="10"/>
      <c r="D43" s="17"/>
      <c r="E43" s="10"/>
      <c r="F43" s="10"/>
      <c r="G43" s="17"/>
      <c r="H43" s="10"/>
      <c r="I43" s="10"/>
      <c r="J43" s="17"/>
      <c r="K43" s="10"/>
      <c r="L43" s="10"/>
      <c r="M43" s="17"/>
      <c r="N43" s="15"/>
      <c r="O43" s="26"/>
      <c r="P43" s="10"/>
      <c r="Q43" s="12"/>
      <c r="R43" s="12"/>
      <c r="S43" s="15"/>
      <c r="T43" s="15"/>
      <c r="U43" s="10"/>
      <c r="V43" s="21" t="str">
        <f>IF(COUNTA(M43:T43)=0,"",IF(M43="","E_MISSING_INPUT",IF(M43="TIMESTAMP",IF(OR(N43="",O43="",P43=""),"E_MISSING_INPUT",IF(OR(NOT(ISNUMBER(N43)),NOT(ISNUMBER(O43))),"E_INVALID_DATE",IF(OR(N43&lt;&gt;INT(N43),O43&lt;0,O43&gt;=1),"E_INVALID_DATE",IF(ISNA(MATCH(P43,nLIST_Offset,0)),"E_INVALID_UNIT","")))),IF(M43="DATE",IF(N43="","E_MISSING_INPUT",IF(NOT(ISNUMBER(N43)),"E_INVALID_DATE",IF(N43&lt;&gt;INT(N43),"E_INVALID_DATE",""))),IF(M43="MONTH",IF(OR(Q43="",R43=""),"E_MISSING_INPUT",IF(OR(NOT(ISNUMBER(Q43)),NOT(ISNUMBER(R43))),"E_INVALID_DATE",IF(OR(Q43&lt;1900,Q43&gt;9999,Q43&lt;&gt;INT(Q43),R43&lt;1,R43&gt;12,R43&lt;&gt;INT(R43)),"E_INVALID_DATE",""))),IF(M43="YEAR",IF(Q43="","E_MISSING_INPUT",IF(NOT(ISNUMBER(Q43)),"E_INVALID_DATE",IF(OR(Q43&lt;1900,Q43&gt;9999,Q43&lt;&gt;INT(Q43)),"E_INVALID_DATE",""))),IF(M43="RANGE",IF(OR(S43="",T43=""),"E_MISSING_INPUT",IF(OR(NOT(ISNUMBER(S43)),NOT(ISNUMBER(T43))),"E_INVALID_DATE",IF(OR(S43&lt;&gt;INT(S43),T43&lt;&gt;INT(T43)),"E_INVALID_DATE",IF(S43&gt;T43,"E_REVERSED_BOUNDS","")))),"E_INVALID_UNIT")))))))</f>
        <v/>
      </c>
      <c r="W43" s="22">
        <f t="shared" si="0"/>
        <v>0</v>
      </c>
      <c r="X43" s="22">
        <f t="shared" si="1"/>
        <v>0</v>
      </c>
      <c r="Y43" s="28" t="str">
        <f t="shared" si="2"/>
        <v/>
      </c>
      <c r="Z43" s="28" t="str">
        <f t="shared" si="3"/>
        <v/>
      </c>
      <c r="AA43" s="22" t="str">
        <f t="shared" si="4"/>
        <v/>
      </c>
      <c r="AB43" s="22" t="str">
        <f t="shared" si="5"/>
        <v/>
      </c>
      <c r="AC43" s="21" t="str">
        <f t="shared" si="6"/>
        <v/>
      </c>
      <c r="AD43" s="22">
        <f>IF(AC43="",0,COUNTIF(nMS_Key,AC43))</f>
        <v>0</v>
      </c>
      <c r="AE43" s="21" t="str">
        <f t="shared" si="7"/>
        <v/>
      </c>
      <c r="AF43" s="21" t="str">
        <f>IF(AE43="","",AE43&amp;": "&amp;SUBSTITUTE(IFERROR(INDEX(nMSG_Text,MATCH(AE43,nMSG_Code,0)),""),"[input]",IF(C43="","a Milestone_ID",IF(D43="","a milestone Type","the date fields required by the selected precision"))))</f>
        <v/>
      </c>
    </row>
    <row r="44" spans="1:32" x14ac:dyDescent="0.2">
      <c r="A44" s="10"/>
      <c r="B44" s="12"/>
      <c r="C44" s="10"/>
      <c r="D44" s="17"/>
      <c r="E44" s="10"/>
      <c r="F44" s="10"/>
      <c r="G44" s="17"/>
      <c r="H44" s="10"/>
      <c r="I44" s="10"/>
      <c r="J44" s="17"/>
      <c r="K44" s="10"/>
      <c r="L44" s="10"/>
      <c r="M44" s="17"/>
      <c r="N44" s="15"/>
      <c r="O44" s="26"/>
      <c r="P44" s="10"/>
      <c r="Q44" s="12"/>
      <c r="R44" s="12"/>
      <c r="S44" s="15"/>
      <c r="T44" s="15"/>
      <c r="U44" s="10"/>
      <c r="V44" s="21" t="str">
        <f>IF(COUNTA(M44:T44)=0,"",IF(M44="","E_MISSING_INPUT",IF(M44="TIMESTAMP",IF(OR(N44="",O44="",P44=""),"E_MISSING_INPUT",IF(OR(NOT(ISNUMBER(N44)),NOT(ISNUMBER(O44))),"E_INVALID_DATE",IF(OR(N44&lt;&gt;INT(N44),O44&lt;0,O44&gt;=1),"E_INVALID_DATE",IF(ISNA(MATCH(P44,nLIST_Offset,0)),"E_INVALID_UNIT","")))),IF(M44="DATE",IF(N44="","E_MISSING_INPUT",IF(NOT(ISNUMBER(N44)),"E_INVALID_DATE",IF(N44&lt;&gt;INT(N44),"E_INVALID_DATE",""))),IF(M44="MONTH",IF(OR(Q44="",R44=""),"E_MISSING_INPUT",IF(OR(NOT(ISNUMBER(Q44)),NOT(ISNUMBER(R44))),"E_INVALID_DATE",IF(OR(Q44&lt;1900,Q44&gt;9999,Q44&lt;&gt;INT(Q44),R44&lt;1,R44&gt;12,R44&lt;&gt;INT(R44)),"E_INVALID_DATE",""))),IF(M44="YEAR",IF(Q44="","E_MISSING_INPUT",IF(NOT(ISNUMBER(Q44)),"E_INVALID_DATE",IF(OR(Q44&lt;1900,Q44&gt;9999,Q44&lt;&gt;INT(Q44)),"E_INVALID_DATE",""))),IF(M44="RANGE",IF(OR(S44="",T44=""),"E_MISSING_INPUT",IF(OR(NOT(ISNUMBER(S44)),NOT(ISNUMBER(T44))),"E_INVALID_DATE",IF(OR(S44&lt;&gt;INT(S44),T44&lt;&gt;INT(T44)),"E_INVALID_DATE",IF(S44&gt;T44,"E_REVERSED_BOUNDS","")))),"E_INVALID_UNIT")))))))</f>
        <v/>
      </c>
      <c r="W44" s="22">
        <f t="shared" si="0"/>
        <v>0</v>
      </c>
      <c r="X44" s="22">
        <f t="shared" si="1"/>
        <v>0</v>
      </c>
      <c r="Y44" s="28" t="str">
        <f t="shared" si="2"/>
        <v/>
      </c>
      <c r="Z44" s="28" t="str">
        <f t="shared" si="3"/>
        <v/>
      </c>
      <c r="AA44" s="22" t="str">
        <f t="shared" si="4"/>
        <v/>
      </c>
      <c r="AB44" s="22" t="str">
        <f t="shared" si="5"/>
        <v/>
      </c>
      <c r="AC44" s="21" t="str">
        <f t="shared" si="6"/>
        <v/>
      </c>
      <c r="AD44" s="22">
        <f>IF(AC44="",0,COUNTIF(nMS_Key,AC44))</f>
        <v>0</v>
      </c>
      <c r="AE44" s="21" t="str">
        <f t="shared" si="7"/>
        <v/>
      </c>
      <c r="AF44" s="21" t="str">
        <f>IF(AE44="","",AE44&amp;": "&amp;SUBSTITUTE(IFERROR(INDEX(nMSG_Text,MATCH(AE44,nMSG_Code,0)),""),"[input]",IF(C44="","a Milestone_ID",IF(D44="","a milestone Type","the date fields required by the selected precision"))))</f>
        <v/>
      </c>
    </row>
    <row r="45" spans="1:32" x14ac:dyDescent="0.2">
      <c r="A45" s="24" t="s">
        <v>288</v>
      </c>
      <c r="B45" s="23"/>
      <c r="C45" s="23"/>
      <c r="D45" s="23"/>
      <c r="E45" s="23"/>
      <c r="F45" s="23"/>
      <c r="G45" s="23"/>
      <c r="H45" s="23"/>
      <c r="I45" s="23"/>
      <c r="J45" s="23"/>
      <c r="K45" s="23"/>
      <c r="L45" s="23"/>
      <c r="M45" s="23"/>
      <c r="N45" s="23"/>
      <c r="O45" s="23"/>
      <c r="P45" s="23"/>
      <c r="Q45" s="23"/>
      <c r="R45" s="23"/>
      <c r="S45" s="23"/>
      <c r="T45" s="23"/>
      <c r="U45" s="23"/>
      <c r="V45" s="23"/>
      <c r="W45" s="23"/>
      <c r="X45" s="23"/>
      <c r="Y45" s="23"/>
      <c r="Z45" s="23"/>
      <c r="AA45" s="23"/>
      <c r="AB45" s="23"/>
      <c r="AC45" s="23"/>
      <c r="AD45" s="23"/>
      <c r="AE45" s="23"/>
      <c r="AF45" s="23"/>
    </row>
    <row r="46" spans="1:32" x14ac:dyDescent="0.2">
      <c r="A46" s="9" t="s">
        <v>291</v>
      </c>
      <c r="B46" s="11">
        <v>2</v>
      </c>
      <c r="C46" s="9" t="s">
        <v>723</v>
      </c>
      <c r="D46" s="16" t="s">
        <v>118</v>
      </c>
      <c r="E46" s="9"/>
      <c r="F46" s="9" t="s">
        <v>724</v>
      </c>
      <c r="G46" s="16"/>
      <c r="H46" s="9"/>
      <c r="I46" s="9"/>
      <c r="J46" s="16"/>
      <c r="K46" s="9"/>
      <c r="L46" s="9" t="s">
        <v>725</v>
      </c>
      <c r="M46" s="16" t="s">
        <v>3</v>
      </c>
      <c r="N46" s="14">
        <v>46032</v>
      </c>
      <c r="O46" s="25">
        <v>0.36805555555555503</v>
      </c>
      <c r="P46" s="9" t="s">
        <v>18</v>
      </c>
      <c r="Q46" s="11"/>
      <c r="R46" s="11"/>
      <c r="S46" s="14"/>
      <c r="T46" s="14"/>
      <c r="U46" s="9" t="s">
        <v>431</v>
      </c>
      <c r="V46" s="21" t="str">
        <f>IF(COUNTA(M46:T46)=0,"",IF(M46="","E_MISSING_INPUT",IF(M46="TIMESTAMP",IF(OR(N46="",O46="",P46=""),"E_MISSING_INPUT",IF(OR(NOT(ISNUMBER(N46)),NOT(ISNUMBER(O46))),"E_INVALID_DATE",IF(OR(N46&lt;&gt;INT(N46),O46&lt;0,O46&gt;=1),"E_INVALID_DATE",IF(ISNA(MATCH(P46,nLIST_Offset,0)),"E_INVALID_UNIT","")))),IF(M46="DATE",IF(N46="","E_MISSING_INPUT",IF(NOT(ISNUMBER(N46)),"E_INVALID_DATE",IF(N46&lt;&gt;INT(N46),"E_INVALID_DATE",""))),IF(M46="MONTH",IF(OR(Q46="",R46=""),"E_MISSING_INPUT",IF(OR(NOT(ISNUMBER(Q46)),NOT(ISNUMBER(R46))),"E_INVALID_DATE",IF(OR(Q46&lt;1900,Q46&gt;9999,Q46&lt;&gt;INT(Q46),R46&lt;1,R46&gt;12,R46&lt;&gt;INT(R46)),"E_INVALID_DATE",""))),IF(M46="YEAR",IF(Q46="","E_MISSING_INPUT",IF(NOT(ISNUMBER(Q46)),"E_INVALID_DATE",IF(OR(Q46&lt;1900,Q46&gt;9999,Q46&lt;&gt;INT(Q46)),"E_INVALID_DATE",""))),IF(M46="RANGE",IF(OR(S46="",T46=""),"E_MISSING_INPUT",IF(OR(NOT(ISNUMBER(S46)),NOT(ISNUMBER(T46))),"E_INVALID_DATE",IF(OR(S46&lt;&gt;INT(S46),T46&lt;&gt;INT(T46)),"E_INVALID_DATE",IF(S46&gt;T46,"E_REVERSED_BOUNDS","")))),"E_INVALID_UNIT")))))))</f>
        <v/>
      </c>
      <c r="W46" s="22">
        <f t="shared" ref="W46:W66" si="8">IF(AND(V46="",M46="TIMESTAMP"),1,0)</f>
        <v>1</v>
      </c>
      <c r="X46" s="22">
        <f t="shared" ref="X46:X66" si="9">IF(AND(W46=1,P46&lt;&gt;"unknown"),1,0)</f>
        <v>1</v>
      </c>
      <c r="Y46" s="28">
        <f t="shared" ref="Y46:Y66" si="10">IF(OR(V46&lt;&gt;"",M46=""),"",IF(OR(M46="TIMESTAMP",M46="DATE"),N46,IF(M46="MONTH",DATE(Q46,R46,1),IF(M46="YEAR",DATE(Q46,1,1),S46))))</f>
        <v>46032</v>
      </c>
      <c r="Z46" s="28">
        <f t="shared" ref="Z46:Z66" si="11">IF(OR(V46&lt;&gt;"",M46=""),"",IF(OR(M46="TIMESTAMP",M46="DATE"),N46,IF(M46="MONTH",EOMONTH(DATE(Q46,R46,1),0),IF(M46="YEAR",DATE(Q46,12,31),T46))))</f>
        <v>46032</v>
      </c>
      <c r="AA46" s="22">
        <f t="shared" ref="AA46:AA66" si="12">IF(W46=1,N46*1440+ROUND(O46*1440,0),"")</f>
        <v>66286610</v>
      </c>
      <c r="AB46" s="22">
        <f t="shared" ref="AB46:AB66" si="13">IF(X46=1,AA46-(IF(LEFT(P46,1)="-",-1,1)*(VALUE(MID(P46,2,2))*60+VALUE(MID(P46,5,2)))),"")</f>
        <v>66286910</v>
      </c>
      <c r="AC46" s="21" t="str">
        <f t="shared" ref="AC46:AC66" si="14">IF(C46="","",A46&amp;"|"&amp;B46&amp;"|"&amp;C46)</f>
        <v>EX-C01|2|M-BASE</v>
      </c>
      <c r="AD46" s="22">
        <f>IF(AC46="",0,COUNTIF(nMS_Key,AC46))</f>
        <v>1</v>
      </c>
      <c r="AE46" s="21" t="str">
        <f t="shared" ref="AE46:AE66" si="15">IF(C46="",IF(COUNTA(F46,M46,N46)&gt;0,"E_MISSING_INPUT",""),IF(AD46&gt;1,"E_DUPLICATE_ID",IF(D46="","E_MISSING_INPUT",V46)))</f>
        <v/>
      </c>
      <c r="AF46" s="21" t="str">
        <f>IF(AE46="","",AE46&amp;": "&amp;SUBSTITUTE(IFERROR(INDEX(nMSG_Text,MATCH(AE46,nMSG_Code,0)),""),"[input]",IF(C46="","a Milestone_ID",IF(D46="","a milestone Type","the date fields required by the selected precision"))))</f>
        <v/>
      </c>
    </row>
    <row r="47" spans="1:32" x14ac:dyDescent="0.2">
      <c r="A47" s="9" t="s">
        <v>291</v>
      </c>
      <c r="B47" s="11">
        <v>2</v>
      </c>
      <c r="C47" s="9" t="s">
        <v>726</v>
      </c>
      <c r="D47" s="16" t="s">
        <v>122</v>
      </c>
      <c r="E47" s="9"/>
      <c r="F47" s="9" t="s">
        <v>727</v>
      </c>
      <c r="G47" s="16"/>
      <c r="H47" s="9"/>
      <c r="I47" s="9"/>
      <c r="J47" s="16"/>
      <c r="K47" s="9"/>
      <c r="L47" s="9" t="s">
        <v>728</v>
      </c>
      <c r="M47" s="16" t="s">
        <v>3</v>
      </c>
      <c r="N47" s="14">
        <v>46032</v>
      </c>
      <c r="O47" s="25">
        <v>0.38750000000000001</v>
      </c>
      <c r="P47" s="9" t="s">
        <v>18</v>
      </c>
      <c r="Q47" s="11"/>
      <c r="R47" s="11"/>
      <c r="S47" s="14"/>
      <c r="T47" s="14"/>
      <c r="U47" s="9" t="s">
        <v>596</v>
      </c>
      <c r="V47" s="21" t="str">
        <f>IF(COUNTA(M47:T47)=0,"",IF(M47="","E_MISSING_INPUT",IF(M47="TIMESTAMP",IF(OR(N47="",O47="",P47=""),"E_MISSING_INPUT",IF(OR(NOT(ISNUMBER(N47)),NOT(ISNUMBER(O47))),"E_INVALID_DATE",IF(OR(N47&lt;&gt;INT(N47),O47&lt;0,O47&gt;=1),"E_INVALID_DATE",IF(ISNA(MATCH(P47,nLIST_Offset,0)),"E_INVALID_UNIT","")))),IF(M47="DATE",IF(N47="","E_MISSING_INPUT",IF(NOT(ISNUMBER(N47)),"E_INVALID_DATE",IF(N47&lt;&gt;INT(N47),"E_INVALID_DATE",""))),IF(M47="MONTH",IF(OR(Q47="",R47=""),"E_MISSING_INPUT",IF(OR(NOT(ISNUMBER(Q47)),NOT(ISNUMBER(R47))),"E_INVALID_DATE",IF(OR(Q47&lt;1900,Q47&gt;9999,Q47&lt;&gt;INT(Q47),R47&lt;1,R47&gt;12,R47&lt;&gt;INT(R47)),"E_INVALID_DATE",""))),IF(M47="YEAR",IF(Q47="","E_MISSING_INPUT",IF(NOT(ISNUMBER(Q47)),"E_INVALID_DATE",IF(OR(Q47&lt;1900,Q47&gt;9999,Q47&lt;&gt;INT(Q47)),"E_INVALID_DATE",""))),IF(M47="RANGE",IF(OR(S47="",T47=""),"E_MISSING_INPUT",IF(OR(NOT(ISNUMBER(S47)),NOT(ISNUMBER(T47))),"E_INVALID_DATE",IF(OR(S47&lt;&gt;INT(S47),T47&lt;&gt;INT(T47)),"E_INVALID_DATE",IF(S47&gt;T47,"E_REVERSED_BOUNDS","")))),"E_INVALID_UNIT")))))))</f>
        <v/>
      </c>
      <c r="W47" s="22">
        <f t="shared" si="8"/>
        <v>1</v>
      </c>
      <c r="X47" s="22">
        <f t="shared" si="9"/>
        <v>1</v>
      </c>
      <c r="Y47" s="28">
        <f t="shared" si="10"/>
        <v>46032</v>
      </c>
      <c r="Z47" s="28">
        <f t="shared" si="11"/>
        <v>46032</v>
      </c>
      <c r="AA47" s="22">
        <f t="shared" si="12"/>
        <v>66286638</v>
      </c>
      <c r="AB47" s="22">
        <f t="shared" si="13"/>
        <v>66286938</v>
      </c>
      <c r="AC47" s="21" t="str">
        <f t="shared" si="14"/>
        <v>EX-C01|2|M-EMERG</v>
      </c>
      <c r="AD47" s="22">
        <f>IF(AC47="",0,COUNTIF(nMS_Key,AC47))</f>
        <v>1</v>
      </c>
      <c r="AE47" s="21" t="str">
        <f t="shared" si="15"/>
        <v/>
      </c>
      <c r="AF47" s="21" t="str">
        <f>IF(AE47="","",AE47&amp;": "&amp;SUBSTITUTE(IFERROR(INDEX(nMSG_Text,MATCH(AE47,nMSG_Code,0)),""),"[input]",IF(C47="","a Milestone_ID",IF(D47="","a milestone Type","the date fields required by the selected precision"))))</f>
        <v/>
      </c>
    </row>
    <row r="48" spans="1:32" x14ac:dyDescent="0.2">
      <c r="A48" s="9" t="s">
        <v>291</v>
      </c>
      <c r="B48" s="11">
        <v>2</v>
      </c>
      <c r="C48" s="9" t="s">
        <v>729</v>
      </c>
      <c r="D48" s="16" t="s">
        <v>123</v>
      </c>
      <c r="E48" s="9"/>
      <c r="F48" s="9" t="s">
        <v>730</v>
      </c>
      <c r="G48" s="16"/>
      <c r="H48" s="9"/>
      <c r="I48" s="9"/>
      <c r="J48" s="16"/>
      <c r="K48" s="9"/>
      <c r="L48" s="9" t="s">
        <v>731</v>
      </c>
      <c r="M48" s="16" t="s">
        <v>3</v>
      </c>
      <c r="N48" s="14">
        <v>46032</v>
      </c>
      <c r="O48" s="25">
        <v>0.39930555555555503</v>
      </c>
      <c r="P48" s="9" t="s">
        <v>18</v>
      </c>
      <c r="Q48" s="11"/>
      <c r="R48" s="11"/>
      <c r="S48" s="14"/>
      <c r="T48" s="14"/>
      <c r="U48" s="9" t="s">
        <v>431</v>
      </c>
      <c r="V48" s="21" t="str">
        <f>IF(COUNTA(M48:T48)=0,"",IF(M48="","E_MISSING_INPUT",IF(M48="TIMESTAMP",IF(OR(N48="",O48="",P48=""),"E_MISSING_INPUT",IF(OR(NOT(ISNUMBER(N48)),NOT(ISNUMBER(O48))),"E_INVALID_DATE",IF(OR(N48&lt;&gt;INT(N48),O48&lt;0,O48&gt;=1),"E_INVALID_DATE",IF(ISNA(MATCH(P48,nLIST_Offset,0)),"E_INVALID_UNIT","")))),IF(M48="DATE",IF(N48="","E_MISSING_INPUT",IF(NOT(ISNUMBER(N48)),"E_INVALID_DATE",IF(N48&lt;&gt;INT(N48),"E_INVALID_DATE",""))),IF(M48="MONTH",IF(OR(Q48="",R48=""),"E_MISSING_INPUT",IF(OR(NOT(ISNUMBER(Q48)),NOT(ISNUMBER(R48))),"E_INVALID_DATE",IF(OR(Q48&lt;1900,Q48&gt;9999,Q48&lt;&gt;INT(Q48),R48&lt;1,R48&gt;12,R48&lt;&gt;INT(R48)),"E_INVALID_DATE",""))),IF(M48="YEAR",IF(Q48="","E_MISSING_INPUT",IF(NOT(ISNUMBER(Q48)),"E_INVALID_DATE",IF(OR(Q48&lt;1900,Q48&gt;9999,Q48&lt;&gt;INT(Q48)),"E_INVALID_DATE",""))),IF(M48="RANGE",IF(OR(S48="",T48=""),"E_MISSING_INPUT",IF(OR(NOT(ISNUMBER(S48)),NOT(ISNUMBER(T48))),"E_INVALID_DATE",IF(OR(S48&lt;&gt;INT(S48),T48&lt;&gt;INT(T48)),"E_INVALID_DATE",IF(S48&gt;T48,"E_REVERSED_BOUNDS","")))),"E_INVALID_UNIT")))))))</f>
        <v/>
      </c>
      <c r="W48" s="22">
        <f t="shared" si="8"/>
        <v>1</v>
      </c>
      <c r="X48" s="22">
        <f t="shared" si="9"/>
        <v>1</v>
      </c>
      <c r="Y48" s="28">
        <f t="shared" si="10"/>
        <v>46032</v>
      </c>
      <c r="Z48" s="28">
        <f t="shared" si="11"/>
        <v>46032</v>
      </c>
      <c r="AA48" s="22">
        <f t="shared" si="12"/>
        <v>66286655</v>
      </c>
      <c r="AB48" s="22">
        <f t="shared" si="13"/>
        <v>66286955</v>
      </c>
      <c r="AC48" s="21" t="str">
        <f t="shared" si="14"/>
        <v>EX-C01|2|M-IMPROVE</v>
      </c>
      <c r="AD48" s="22">
        <f>IF(AC48="",0,COUNTIF(nMS_Key,AC48))</f>
        <v>1</v>
      </c>
      <c r="AE48" s="21" t="str">
        <f t="shared" si="15"/>
        <v/>
      </c>
      <c r="AF48" s="21" t="str">
        <f>IF(AE48="","",AE48&amp;": "&amp;SUBSTITUTE(IFERROR(INDEX(nMSG_Text,MATCH(AE48,nMSG_Code,0)),""),"[input]",IF(C48="","a Milestone_ID",IF(D48="","a milestone Type","the date fields required by the selected precision"))))</f>
        <v/>
      </c>
    </row>
    <row r="49" spans="1:32" x14ac:dyDescent="0.2">
      <c r="A49" s="9" t="s">
        <v>291</v>
      </c>
      <c r="B49" s="11">
        <v>2</v>
      </c>
      <c r="C49" s="9" t="s">
        <v>732</v>
      </c>
      <c r="D49" s="16" t="s">
        <v>124</v>
      </c>
      <c r="E49" s="9"/>
      <c r="F49" s="9" t="s">
        <v>733</v>
      </c>
      <c r="G49" s="16"/>
      <c r="H49" s="9"/>
      <c r="I49" s="9"/>
      <c r="J49" s="16"/>
      <c r="K49" s="9"/>
      <c r="L49" s="9" t="s">
        <v>735</v>
      </c>
      <c r="M49" s="16" t="s">
        <v>3</v>
      </c>
      <c r="N49" s="14">
        <v>46032</v>
      </c>
      <c r="O49" s="25">
        <v>0.40972222222222199</v>
      </c>
      <c r="P49" s="9" t="s">
        <v>18</v>
      </c>
      <c r="Q49" s="11"/>
      <c r="R49" s="11"/>
      <c r="S49" s="14"/>
      <c r="T49" s="14"/>
      <c r="U49" s="9" t="s">
        <v>734</v>
      </c>
      <c r="V49" s="21" t="str">
        <f>IF(COUNTA(M49:T49)=0,"",IF(M49="","E_MISSING_INPUT",IF(M49="TIMESTAMP",IF(OR(N49="",O49="",P49=""),"E_MISSING_INPUT",IF(OR(NOT(ISNUMBER(N49)),NOT(ISNUMBER(O49))),"E_INVALID_DATE",IF(OR(N49&lt;&gt;INT(N49),O49&lt;0,O49&gt;=1),"E_INVALID_DATE",IF(ISNA(MATCH(P49,nLIST_Offset,0)),"E_INVALID_UNIT","")))),IF(M49="DATE",IF(N49="","E_MISSING_INPUT",IF(NOT(ISNUMBER(N49)),"E_INVALID_DATE",IF(N49&lt;&gt;INT(N49),"E_INVALID_DATE",""))),IF(M49="MONTH",IF(OR(Q49="",R49=""),"E_MISSING_INPUT",IF(OR(NOT(ISNUMBER(Q49)),NOT(ISNUMBER(R49))),"E_INVALID_DATE",IF(OR(Q49&lt;1900,Q49&gt;9999,Q49&lt;&gt;INT(Q49),R49&lt;1,R49&gt;12,R49&lt;&gt;INT(R49)),"E_INVALID_DATE",""))),IF(M49="YEAR",IF(Q49="","E_MISSING_INPUT",IF(NOT(ISNUMBER(Q49)),"E_INVALID_DATE",IF(OR(Q49&lt;1900,Q49&gt;9999,Q49&lt;&gt;INT(Q49)),"E_INVALID_DATE",""))),IF(M49="RANGE",IF(OR(S49="",T49=""),"E_MISSING_INPUT",IF(OR(NOT(ISNUMBER(S49)),NOT(ISNUMBER(T49))),"E_INVALID_DATE",IF(OR(S49&lt;&gt;INT(S49),T49&lt;&gt;INT(T49)),"E_INVALID_DATE",IF(S49&gt;T49,"E_REVERSED_BOUNDS","")))),"E_INVALID_UNIT")))))))</f>
        <v/>
      </c>
      <c r="W49" s="22">
        <f t="shared" si="8"/>
        <v>1</v>
      </c>
      <c r="X49" s="22">
        <f t="shared" si="9"/>
        <v>1</v>
      </c>
      <c r="Y49" s="28">
        <f t="shared" si="10"/>
        <v>46032</v>
      </c>
      <c r="Z49" s="28">
        <f t="shared" si="11"/>
        <v>46032</v>
      </c>
      <c r="AA49" s="22">
        <f t="shared" si="12"/>
        <v>66286670</v>
      </c>
      <c r="AB49" s="22">
        <f t="shared" si="13"/>
        <v>66286970</v>
      </c>
      <c r="AC49" s="21" t="str">
        <f t="shared" si="14"/>
        <v>EX-C01|2|M-DIAG</v>
      </c>
      <c r="AD49" s="22">
        <f>IF(AC49="",0,COUNTIF(nMS_Key,AC49))</f>
        <v>1</v>
      </c>
      <c r="AE49" s="21" t="str">
        <f t="shared" si="15"/>
        <v/>
      </c>
      <c r="AF49" s="21" t="str">
        <f>IF(AE49="","",AE49&amp;": "&amp;SUBSTITUTE(IFERROR(INDEX(nMSG_Text,MATCH(AE49,nMSG_Code,0)),""),"[input]",IF(C49="","a Milestone_ID",IF(D49="","a milestone Type","the date fields required by the selected precision"))))</f>
        <v/>
      </c>
    </row>
    <row r="50" spans="1:32" x14ac:dyDescent="0.2">
      <c r="A50" s="9" t="s">
        <v>291</v>
      </c>
      <c r="B50" s="11">
        <v>2</v>
      </c>
      <c r="C50" s="9" t="s">
        <v>736</v>
      </c>
      <c r="D50" s="16" t="s">
        <v>119</v>
      </c>
      <c r="E50" s="9"/>
      <c r="F50" s="9" t="s">
        <v>737</v>
      </c>
      <c r="G50" s="16"/>
      <c r="H50" s="9"/>
      <c r="I50" s="9"/>
      <c r="J50" s="16" t="s">
        <v>148</v>
      </c>
      <c r="K50" s="9"/>
      <c r="L50" s="9" t="s">
        <v>738</v>
      </c>
      <c r="M50" s="16" t="s">
        <v>3</v>
      </c>
      <c r="N50" s="14">
        <v>46032</v>
      </c>
      <c r="O50" s="25">
        <v>0.42013888888888801</v>
      </c>
      <c r="P50" s="9" t="s">
        <v>18</v>
      </c>
      <c r="Q50" s="11"/>
      <c r="R50" s="11"/>
      <c r="S50" s="14"/>
      <c r="T50" s="14"/>
      <c r="U50" s="9" t="s">
        <v>439</v>
      </c>
      <c r="V50" s="21" t="str">
        <f>IF(COUNTA(M50:T50)=0,"",IF(M50="","E_MISSING_INPUT",IF(M50="TIMESTAMP",IF(OR(N50="",O50="",P50=""),"E_MISSING_INPUT",IF(OR(NOT(ISNUMBER(N50)),NOT(ISNUMBER(O50))),"E_INVALID_DATE",IF(OR(N50&lt;&gt;INT(N50),O50&lt;0,O50&gt;=1),"E_INVALID_DATE",IF(ISNA(MATCH(P50,nLIST_Offset,0)),"E_INVALID_UNIT","")))),IF(M50="DATE",IF(N50="","E_MISSING_INPUT",IF(NOT(ISNUMBER(N50)),"E_INVALID_DATE",IF(N50&lt;&gt;INT(N50),"E_INVALID_DATE",""))),IF(M50="MONTH",IF(OR(Q50="",R50=""),"E_MISSING_INPUT",IF(OR(NOT(ISNUMBER(Q50)),NOT(ISNUMBER(R50))),"E_INVALID_DATE",IF(OR(Q50&lt;1900,Q50&gt;9999,Q50&lt;&gt;INT(Q50),R50&lt;1,R50&gt;12,R50&lt;&gt;INT(R50)),"E_INVALID_DATE",""))),IF(M50="YEAR",IF(Q50="","E_MISSING_INPUT",IF(NOT(ISNUMBER(Q50)),"E_INVALID_DATE",IF(OR(Q50&lt;1900,Q50&gt;9999,Q50&lt;&gt;INT(Q50)),"E_INVALID_DATE",""))),IF(M50="RANGE",IF(OR(S50="",T50=""),"E_MISSING_INPUT",IF(OR(NOT(ISNUMBER(S50)),NOT(ISNUMBER(T50))),"E_INVALID_DATE",IF(OR(S50&lt;&gt;INT(S50),T50&lt;&gt;INT(T50)),"E_INVALID_DATE",IF(S50&gt;T50,"E_REVERSED_BOUNDS","")))),"E_INVALID_UNIT")))))))</f>
        <v/>
      </c>
      <c r="W50" s="22">
        <f t="shared" si="8"/>
        <v>1</v>
      </c>
      <c r="X50" s="22">
        <f t="shared" si="9"/>
        <v>1</v>
      </c>
      <c r="Y50" s="28">
        <f t="shared" si="10"/>
        <v>46032</v>
      </c>
      <c r="Z50" s="28">
        <f t="shared" si="11"/>
        <v>46032</v>
      </c>
      <c r="AA50" s="22">
        <f t="shared" si="12"/>
        <v>66286685</v>
      </c>
      <c r="AB50" s="22">
        <f t="shared" si="13"/>
        <v>66286985</v>
      </c>
      <c r="AC50" s="21" t="str">
        <f t="shared" si="14"/>
        <v>EX-C01|2|M-TRYP</v>
      </c>
      <c r="AD50" s="22">
        <f>IF(AC50="",0,COUNTIF(nMS_Key,AC50))</f>
        <v>1</v>
      </c>
      <c r="AE50" s="21" t="str">
        <f t="shared" si="15"/>
        <v/>
      </c>
      <c r="AF50" s="21" t="str">
        <f>IF(AE50="","",AE50&amp;": "&amp;SUBSTITUTE(IFERROR(INDEX(nMSG_Text,MATCH(AE50,nMSG_Code,0)),""),"[input]",IF(C50="","a Milestone_ID",IF(D50="","a milestone Type","the date fields required by the selected precision"))))</f>
        <v/>
      </c>
    </row>
    <row r="51" spans="1:32" x14ac:dyDescent="0.2">
      <c r="A51" s="9" t="s">
        <v>295</v>
      </c>
      <c r="B51" s="11">
        <v>2</v>
      </c>
      <c r="C51" s="9" t="s">
        <v>739</v>
      </c>
      <c r="D51" s="16" t="s">
        <v>120</v>
      </c>
      <c r="E51" s="9"/>
      <c r="F51" s="9" t="s">
        <v>740</v>
      </c>
      <c r="G51" s="16">
        <v>1</v>
      </c>
      <c r="H51" s="9" t="s">
        <v>94</v>
      </c>
      <c r="I51" s="9"/>
      <c r="J51" s="16"/>
      <c r="K51" s="9"/>
      <c r="L51" s="9" t="s">
        <v>741</v>
      </c>
      <c r="M51" s="16" t="s">
        <v>4</v>
      </c>
      <c r="N51" s="14">
        <v>45975</v>
      </c>
      <c r="O51" s="25"/>
      <c r="P51" s="9"/>
      <c r="Q51" s="11"/>
      <c r="R51" s="11"/>
      <c r="S51" s="14"/>
      <c r="T51" s="14"/>
      <c r="U51" s="9" t="s">
        <v>742</v>
      </c>
      <c r="V51" s="21" t="str">
        <f>IF(COUNTA(M51:T51)=0,"",IF(M51="","E_MISSING_INPUT",IF(M51="TIMESTAMP",IF(OR(N51="",O51="",P51=""),"E_MISSING_INPUT",IF(OR(NOT(ISNUMBER(N51)),NOT(ISNUMBER(O51))),"E_INVALID_DATE",IF(OR(N51&lt;&gt;INT(N51),O51&lt;0,O51&gt;=1),"E_INVALID_DATE",IF(ISNA(MATCH(P51,nLIST_Offset,0)),"E_INVALID_UNIT","")))),IF(M51="DATE",IF(N51="","E_MISSING_INPUT",IF(NOT(ISNUMBER(N51)),"E_INVALID_DATE",IF(N51&lt;&gt;INT(N51),"E_INVALID_DATE",""))),IF(M51="MONTH",IF(OR(Q51="",R51=""),"E_MISSING_INPUT",IF(OR(NOT(ISNUMBER(Q51)),NOT(ISNUMBER(R51))),"E_INVALID_DATE",IF(OR(Q51&lt;1900,Q51&gt;9999,Q51&lt;&gt;INT(Q51),R51&lt;1,R51&gt;12,R51&lt;&gt;INT(R51)),"E_INVALID_DATE",""))),IF(M51="YEAR",IF(Q51="","E_MISSING_INPUT",IF(NOT(ISNUMBER(Q51)),"E_INVALID_DATE",IF(OR(Q51&lt;1900,Q51&gt;9999,Q51&lt;&gt;INT(Q51)),"E_INVALID_DATE",""))),IF(M51="RANGE",IF(OR(S51="",T51=""),"E_MISSING_INPUT",IF(OR(NOT(ISNUMBER(S51)),NOT(ISNUMBER(T51))),"E_INVALID_DATE",IF(OR(S51&lt;&gt;INT(S51),T51&lt;&gt;INT(T51)),"E_INVALID_DATE",IF(S51&gt;T51,"E_REVERSED_BOUNDS","")))),"E_INVALID_UNIT")))))))</f>
        <v/>
      </c>
      <c r="W51" s="22">
        <f t="shared" si="8"/>
        <v>0</v>
      </c>
      <c r="X51" s="22">
        <f t="shared" si="9"/>
        <v>0</v>
      </c>
      <c r="Y51" s="28">
        <f t="shared" si="10"/>
        <v>45975</v>
      </c>
      <c r="Z51" s="28">
        <f t="shared" si="11"/>
        <v>45975</v>
      </c>
      <c r="AA51" s="22" t="str">
        <f t="shared" si="12"/>
        <v/>
      </c>
      <c r="AB51" s="22" t="str">
        <f t="shared" si="13"/>
        <v/>
      </c>
      <c r="AC51" s="21" t="str">
        <f t="shared" si="14"/>
        <v>EX-C04|2|M-CR1</v>
      </c>
      <c r="AD51" s="22">
        <f>IF(AC51="",0,COUNTIF(nMS_Key,AC51))</f>
        <v>1</v>
      </c>
      <c r="AE51" s="21" t="str">
        <f t="shared" si="15"/>
        <v/>
      </c>
      <c r="AF51" s="21" t="str">
        <f>IF(AE51="","",AE51&amp;": "&amp;SUBSTITUTE(IFERROR(INDEX(nMSG_Text,MATCH(AE51,nMSG_Code,0)),""),"[input]",IF(C51="","a Milestone_ID",IF(D51="","a milestone Type","the date fields required by the selected precision"))))</f>
        <v/>
      </c>
    </row>
    <row r="52" spans="1:32" x14ac:dyDescent="0.2">
      <c r="A52" s="9" t="s">
        <v>295</v>
      </c>
      <c r="B52" s="11">
        <v>2</v>
      </c>
      <c r="C52" s="9" t="s">
        <v>743</v>
      </c>
      <c r="D52" s="16" t="s">
        <v>120</v>
      </c>
      <c r="E52" s="9"/>
      <c r="F52" s="9" t="s">
        <v>740</v>
      </c>
      <c r="G52" s="16">
        <v>1</v>
      </c>
      <c r="H52" s="9" t="s">
        <v>94</v>
      </c>
      <c r="I52" s="9"/>
      <c r="J52" s="16"/>
      <c r="K52" s="9"/>
      <c r="L52" s="9" t="s">
        <v>744</v>
      </c>
      <c r="M52" s="16" t="s">
        <v>4</v>
      </c>
      <c r="N52" s="14">
        <v>46093</v>
      </c>
      <c r="O52" s="25"/>
      <c r="P52" s="9"/>
      <c r="Q52" s="11"/>
      <c r="R52" s="11"/>
      <c r="S52" s="14"/>
      <c r="T52" s="14"/>
      <c r="U52" s="9" t="s">
        <v>742</v>
      </c>
      <c r="V52" s="21" t="str">
        <f>IF(COUNTA(M52:T52)=0,"",IF(M52="","E_MISSING_INPUT",IF(M52="TIMESTAMP",IF(OR(N52="",O52="",P52=""),"E_MISSING_INPUT",IF(OR(NOT(ISNUMBER(N52)),NOT(ISNUMBER(O52))),"E_INVALID_DATE",IF(OR(N52&lt;&gt;INT(N52),O52&lt;0,O52&gt;=1),"E_INVALID_DATE",IF(ISNA(MATCH(P52,nLIST_Offset,0)),"E_INVALID_UNIT","")))),IF(M52="DATE",IF(N52="","E_MISSING_INPUT",IF(NOT(ISNUMBER(N52)),"E_INVALID_DATE",IF(N52&lt;&gt;INT(N52),"E_INVALID_DATE",""))),IF(M52="MONTH",IF(OR(Q52="",R52=""),"E_MISSING_INPUT",IF(OR(NOT(ISNUMBER(Q52)),NOT(ISNUMBER(R52))),"E_INVALID_DATE",IF(OR(Q52&lt;1900,Q52&gt;9999,Q52&lt;&gt;INT(Q52),R52&lt;1,R52&gt;12,R52&lt;&gt;INT(R52)),"E_INVALID_DATE",""))),IF(M52="YEAR",IF(Q52="","E_MISSING_INPUT",IF(NOT(ISNUMBER(Q52)),"E_INVALID_DATE",IF(OR(Q52&lt;1900,Q52&gt;9999,Q52&lt;&gt;INT(Q52)),"E_INVALID_DATE",""))),IF(M52="RANGE",IF(OR(S52="",T52=""),"E_MISSING_INPUT",IF(OR(NOT(ISNUMBER(S52)),NOT(ISNUMBER(T52))),"E_INVALID_DATE",IF(OR(S52&lt;&gt;INT(S52),T52&lt;&gt;INT(T52)),"E_INVALID_DATE",IF(S52&gt;T52,"E_REVERSED_BOUNDS","")))),"E_INVALID_UNIT")))))))</f>
        <v/>
      </c>
      <c r="W52" s="22">
        <f t="shared" si="8"/>
        <v>0</v>
      </c>
      <c r="X52" s="22">
        <f t="shared" si="9"/>
        <v>0</v>
      </c>
      <c r="Y52" s="28">
        <f t="shared" si="10"/>
        <v>46093</v>
      </c>
      <c r="Z52" s="28">
        <f t="shared" si="11"/>
        <v>46093</v>
      </c>
      <c r="AA52" s="22" t="str">
        <f t="shared" si="12"/>
        <v/>
      </c>
      <c r="AB52" s="22" t="str">
        <f t="shared" si="13"/>
        <v/>
      </c>
      <c r="AC52" s="21" t="str">
        <f t="shared" si="14"/>
        <v>EX-C04|2|M-CR2</v>
      </c>
      <c r="AD52" s="22">
        <f>IF(AC52="",0,COUNTIF(nMS_Key,AC52))</f>
        <v>1</v>
      </c>
      <c r="AE52" s="21" t="str">
        <f t="shared" si="15"/>
        <v/>
      </c>
      <c r="AF52" s="21" t="str">
        <f>IF(AE52="","",AE52&amp;": "&amp;SUBSTITUTE(IFERROR(INDEX(nMSG_Text,MATCH(AE52,nMSG_Code,0)),""),"[input]",IF(C52="","a Milestone_ID",IF(D52="","a milestone Type","the date fields required by the selected precision"))))</f>
        <v/>
      </c>
    </row>
    <row r="53" spans="1:32" x14ac:dyDescent="0.2">
      <c r="A53" s="9" t="s">
        <v>295</v>
      </c>
      <c r="B53" s="11">
        <v>2</v>
      </c>
      <c r="C53" s="9" t="s">
        <v>745</v>
      </c>
      <c r="D53" s="16" t="s">
        <v>120</v>
      </c>
      <c r="E53" s="9"/>
      <c r="F53" s="9" t="s">
        <v>746</v>
      </c>
      <c r="G53" s="16">
        <v>1.7</v>
      </c>
      <c r="H53" s="9" t="s">
        <v>94</v>
      </c>
      <c r="I53" s="9"/>
      <c r="J53" s="16"/>
      <c r="K53" s="9"/>
      <c r="L53" s="9" t="s">
        <v>747</v>
      </c>
      <c r="M53" s="16" t="s">
        <v>4</v>
      </c>
      <c r="N53" s="14">
        <v>46204</v>
      </c>
      <c r="O53" s="25"/>
      <c r="P53" s="9"/>
      <c r="Q53" s="11"/>
      <c r="R53" s="11"/>
      <c r="S53" s="14"/>
      <c r="T53" s="14"/>
      <c r="U53" s="9" t="s">
        <v>742</v>
      </c>
      <c r="V53" s="21" t="str">
        <f>IF(COUNTA(M53:T53)=0,"",IF(M53="","E_MISSING_INPUT",IF(M53="TIMESTAMP",IF(OR(N53="",O53="",P53=""),"E_MISSING_INPUT",IF(OR(NOT(ISNUMBER(N53)),NOT(ISNUMBER(O53))),"E_INVALID_DATE",IF(OR(N53&lt;&gt;INT(N53),O53&lt;0,O53&gt;=1),"E_INVALID_DATE",IF(ISNA(MATCH(P53,nLIST_Offset,0)),"E_INVALID_UNIT","")))),IF(M53="DATE",IF(N53="","E_MISSING_INPUT",IF(NOT(ISNUMBER(N53)),"E_INVALID_DATE",IF(N53&lt;&gt;INT(N53),"E_INVALID_DATE",""))),IF(M53="MONTH",IF(OR(Q53="",R53=""),"E_MISSING_INPUT",IF(OR(NOT(ISNUMBER(Q53)),NOT(ISNUMBER(R53))),"E_INVALID_DATE",IF(OR(Q53&lt;1900,Q53&gt;9999,Q53&lt;&gt;INT(Q53),R53&lt;1,R53&gt;12,R53&lt;&gt;INT(R53)),"E_INVALID_DATE",""))),IF(M53="YEAR",IF(Q53="","E_MISSING_INPUT",IF(NOT(ISNUMBER(Q53)),"E_INVALID_DATE",IF(OR(Q53&lt;1900,Q53&gt;9999,Q53&lt;&gt;INT(Q53)),"E_INVALID_DATE",""))),IF(M53="RANGE",IF(OR(S53="",T53=""),"E_MISSING_INPUT",IF(OR(NOT(ISNUMBER(S53)),NOT(ISNUMBER(T53))),"E_INVALID_DATE",IF(OR(S53&lt;&gt;INT(S53),T53&lt;&gt;INT(T53)),"E_INVALID_DATE",IF(S53&gt;T53,"E_REVERSED_BOUNDS","")))),"E_INVALID_UNIT")))))))</f>
        <v/>
      </c>
      <c r="W53" s="22">
        <f t="shared" si="8"/>
        <v>0</v>
      </c>
      <c r="X53" s="22">
        <f t="shared" si="9"/>
        <v>0</v>
      </c>
      <c r="Y53" s="28">
        <f t="shared" si="10"/>
        <v>46204</v>
      </c>
      <c r="Z53" s="28">
        <f t="shared" si="11"/>
        <v>46204</v>
      </c>
      <c r="AA53" s="22" t="str">
        <f t="shared" si="12"/>
        <v/>
      </c>
      <c r="AB53" s="22" t="str">
        <f t="shared" si="13"/>
        <v/>
      </c>
      <c r="AC53" s="21" t="str">
        <f t="shared" si="14"/>
        <v>EX-C04|2|M-CR3</v>
      </c>
      <c r="AD53" s="22">
        <f>IF(AC53="",0,COUNTIF(nMS_Key,AC53))</f>
        <v>1</v>
      </c>
      <c r="AE53" s="21" t="str">
        <f t="shared" si="15"/>
        <v/>
      </c>
      <c r="AF53" s="21" t="str">
        <f>IF(AE53="","",AE53&amp;": "&amp;SUBSTITUTE(IFERROR(INDEX(nMSG_Text,MATCH(AE53,nMSG_Code,0)),""),"[input]",IF(C53="","a Milestone_ID",IF(D53="","a milestone Type","the date fields required by the selected precision"))))</f>
        <v/>
      </c>
    </row>
    <row r="54" spans="1:32" x14ac:dyDescent="0.2">
      <c r="A54" s="9" t="s">
        <v>295</v>
      </c>
      <c r="B54" s="11">
        <v>2</v>
      </c>
      <c r="C54" s="9" t="s">
        <v>748</v>
      </c>
      <c r="D54" s="16" t="s">
        <v>120</v>
      </c>
      <c r="E54" s="9"/>
      <c r="F54" s="9" t="s">
        <v>749</v>
      </c>
      <c r="G54" s="16">
        <v>2.4</v>
      </c>
      <c r="H54" s="9" t="s">
        <v>94</v>
      </c>
      <c r="I54" s="9"/>
      <c r="J54" s="16"/>
      <c r="K54" s="9"/>
      <c r="L54" s="9" t="s">
        <v>750</v>
      </c>
      <c r="M54" s="16" t="s">
        <v>4</v>
      </c>
      <c r="N54" s="14">
        <v>46208</v>
      </c>
      <c r="O54" s="25"/>
      <c r="P54" s="9"/>
      <c r="Q54" s="11"/>
      <c r="R54" s="11"/>
      <c r="S54" s="14"/>
      <c r="T54" s="14"/>
      <c r="U54" s="9" t="s">
        <v>454</v>
      </c>
      <c r="V54" s="21" t="str">
        <f>IF(COUNTA(M54:T54)=0,"",IF(M54="","E_MISSING_INPUT",IF(M54="TIMESTAMP",IF(OR(N54="",O54="",P54=""),"E_MISSING_INPUT",IF(OR(NOT(ISNUMBER(N54)),NOT(ISNUMBER(O54))),"E_INVALID_DATE",IF(OR(N54&lt;&gt;INT(N54),O54&lt;0,O54&gt;=1),"E_INVALID_DATE",IF(ISNA(MATCH(P54,nLIST_Offset,0)),"E_INVALID_UNIT","")))),IF(M54="DATE",IF(N54="","E_MISSING_INPUT",IF(NOT(ISNUMBER(N54)),"E_INVALID_DATE",IF(N54&lt;&gt;INT(N54),"E_INVALID_DATE",""))),IF(M54="MONTH",IF(OR(Q54="",R54=""),"E_MISSING_INPUT",IF(OR(NOT(ISNUMBER(Q54)),NOT(ISNUMBER(R54))),"E_INVALID_DATE",IF(OR(Q54&lt;1900,Q54&gt;9999,Q54&lt;&gt;INT(Q54),R54&lt;1,R54&gt;12,R54&lt;&gt;INT(R54)),"E_INVALID_DATE",""))),IF(M54="YEAR",IF(Q54="","E_MISSING_INPUT",IF(NOT(ISNUMBER(Q54)),"E_INVALID_DATE",IF(OR(Q54&lt;1900,Q54&gt;9999,Q54&lt;&gt;INT(Q54)),"E_INVALID_DATE",""))),IF(M54="RANGE",IF(OR(S54="",T54=""),"E_MISSING_INPUT",IF(OR(NOT(ISNUMBER(S54)),NOT(ISNUMBER(T54))),"E_INVALID_DATE",IF(OR(S54&lt;&gt;INT(S54),T54&lt;&gt;INT(T54)),"E_INVALID_DATE",IF(S54&gt;T54,"E_REVERSED_BOUNDS","")))),"E_INVALID_UNIT")))))))</f>
        <v/>
      </c>
      <c r="W54" s="22">
        <f t="shared" si="8"/>
        <v>0</v>
      </c>
      <c r="X54" s="22">
        <f t="shared" si="9"/>
        <v>0</v>
      </c>
      <c r="Y54" s="28">
        <f t="shared" si="10"/>
        <v>46208</v>
      </c>
      <c r="Z54" s="28">
        <f t="shared" si="11"/>
        <v>46208</v>
      </c>
      <c r="AA54" s="22" t="str">
        <f t="shared" si="12"/>
        <v/>
      </c>
      <c r="AB54" s="22" t="str">
        <f t="shared" si="13"/>
        <v/>
      </c>
      <c r="AC54" s="21" t="str">
        <f t="shared" si="14"/>
        <v>EX-C04|2|M-CR4</v>
      </c>
      <c r="AD54" s="22">
        <f>IF(AC54="",0,COUNTIF(nMS_Key,AC54))</f>
        <v>1</v>
      </c>
      <c r="AE54" s="21" t="str">
        <f t="shared" si="15"/>
        <v/>
      </c>
      <c r="AF54" s="21" t="str">
        <f>IF(AE54="","",AE54&amp;": "&amp;SUBSTITUTE(IFERROR(INDEX(nMSG_Text,MATCH(AE54,nMSG_Code,0)),""),"[input]",IF(C54="","a Milestone_ID",IF(D54="","a milestone Type","the date fields required by the selected precision"))))</f>
        <v/>
      </c>
    </row>
    <row r="55" spans="1:32" x14ac:dyDescent="0.2">
      <c r="A55" s="9" t="s">
        <v>295</v>
      </c>
      <c r="B55" s="11">
        <v>2</v>
      </c>
      <c r="C55" s="9" t="s">
        <v>751</v>
      </c>
      <c r="D55" s="16" t="s">
        <v>121</v>
      </c>
      <c r="E55" s="9"/>
      <c r="F55" s="9" t="s">
        <v>752</v>
      </c>
      <c r="G55" s="16">
        <v>2.9</v>
      </c>
      <c r="H55" s="9" t="s">
        <v>755</v>
      </c>
      <c r="I55" s="9" t="s">
        <v>754</v>
      </c>
      <c r="J55" s="16"/>
      <c r="K55" s="9"/>
      <c r="L55" s="9" t="s">
        <v>753</v>
      </c>
      <c r="M55" s="16" t="s">
        <v>3</v>
      </c>
      <c r="N55" s="14">
        <v>46208</v>
      </c>
      <c r="O55" s="25">
        <v>0.48611111111111099</v>
      </c>
      <c r="P55" s="9" t="s">
        <v>9</v>
      </c>
      <c r="Q55" s="11"/>
      <c r="R55" s="11"/>
      <c r="S55" s="14"/>
      <c r="T55" s="14"/>
      <c r="U55" s="9" t="s">
        <v>454</v>
      </c>
      <c r="V55" s="21" t="str">
        <f>IF(COUNTA(M55:T55)=0,"",IF(M55="","E_MISSING_INPUT",IF(M55="TIMESTAMP",IF(OR(N55="",O55="",P55=""),"E_MISSING_INPUT",IF(OR(NOT(ISNUMBER(N55)),NOT(ISNUMBER(O55))),"E_INVALID_DATE",IF(OR(N55&lt;&gt;INT(N55),O55&lt;0,O55&gt;=1),"E_INVALID_DATE",IF(ISNA(MATCH(P55,nLIST_Offset,0)),"E_INVALID_UNIT","")))),IF(M55="DATE",IF(N55="","E_MISSING_INPUT",IF(NOT(ISNUMBER(N55)),"E_INVALID_DATE",IF(N55&lt;&gt;INT(N55),"E_INVALID_DATE",""))),IF(M55="MONTH",IF(OR(Q55="",R55=""),"E_MISSING_INPUT",IF(OR(NOT(ISNUMBER(Q55)),NOT(ISNUMBER(R55))),"E_INVALID_DATE",IF(OR(Q55&lt;1900,Q55&gt;9999,Q55&lt;&gt;INT(Q55),R55&lt;1,R55&gt;12,R55&lt;&gt;INT(R55)),"E_INVALID_DATE",""))),IF(M55="YEAR",IF(Q55="","E_MISSING_INPUT",IF(NOT(ISNUMBER(Q55)),"E_INVALID_DATE",IF(OR(Q55&lt;1900,Q55&gt;9999,Q55&lt;&gt;INT(Q55)),"E_INVALID_DATE",""))),IF(M55="RANGE",IF(OR(S55="",T55=""),"E_MISSING_INPUT",IF(OR(NOT(ISNUMBER(S55)),NOT(ISNUMBER(T55))),"E_INVALID_DATE",IF(OR(S55&lt;&gt;INT(S55),T55&lt;&gt;INT(T55)),"E_INVALID_DATE",IF(S55&gt;T55,"E_REVERSED_BOUNDS","")))),"E_INVALID_UNIT")))))))</f>
        <v/>
      </c>
      <c r="W55" s="22">
        <f t="shared" si="8"/>
        <v>1</v>
      </c>
      <c r="X55" s="22">
        <f t="shared" si="9"/>
        <v>0</v>
      </c>
      <c r="Y55" s="28">
        <f t="shared" si="10"/>
        <v>46208</v>
      </c>
      <c r="Z55" s="28">
        <f t="shared" si="11"/>
        <v>46208</v>
      </c>
      <c r="AA55" s="22">
        <f t="shared" si="12"/>
        <v>66540220</v>
      </c>
      <c r="AB55" s="22" t="str">
        <f t="shared" si="13"/>
        <v/>
      </c>
      <c r="AC55" s="21" t="str">
        <f t="shared" si="14"/>
        <v>EX-C04|2|M-DIGC</v>
      </c>
      <c r="AD55" s="22">
        <f>IF(AC55="",0,COUNTIF(nMS_Key,AC55))</f>
        <v>1</v>
      </c>
      <c r="AE55" s="21" t="str">
        <f t="shared" si="15"/>
        <v/>
      </c>
      <c r="AF55" s="21" t="str">
        <f>IF(AE55="","",AE55&amp;": "&amp;SUBSTITUTE(IFERROR(INDEX(nMSG_Text,MATCH(AE55,nMSG_Code,0)),""),"[input]",IF(C55="","a Milestone_ID",IF(D55="","a milestone Type","the date fields required by the selected precision"))))</f>
        <v/>
      </c>
    </row>
    <row r="56" spans="1:32" x14ac:dyDescent="0.2">
      <c r="A56" s="9" t="s">
        <v>295</v>
      </c>
      <c r="B56" s="11">
        <v>2</v>
      </c>
      <c r="C56" s="9" t="s">
        <v>756</v>
      </c>
      <c r="D56" s="16" t="s">
        <v>119</v>
      </c>
      <c r="E56" s="9"/>
      <c r="F56" s="9" t="s">
        <v>757</v>
      </c>
      <c r="G56" s="16">
        <v>4.8</v>
      </c>
      <c r="H56" s="9" t="s">
        <v>759</v>
      </c>
      <c r="I56" s="9"/>
      <c r="J56" s="16"/>
      <c r="K56" s="9"/>
      <c r="L56" s="9" t="s">
        <v>758</v>
      </c>
      <c r="M56" s="16" t="s">
        <v>4</v>
      </c>
      <c r="N56" s="14">
        <v>46208</v>
      </c>
      <c r="O56" s="25"/>
      <c r="P56" s="9"/>
      <c r="Q56" s="11"/>
      <c r="R56" s="11"/>
      <c r="S56" s="14"/>
      <c r="T56" s="14"/>
      <c r="U56" s="9" t="s">
        <v>454</v>
      </c>
      <c r="V56" s="21" t="str">
        <f>IF(COUNTA(M56:T56)=0,"",IF(M56="","E_MISSING_INPUT",IF(M56="TIMESTAMP",IF(OR(N56="",O56="",P56=""),"E_MISSING_INPUT",IF(OR(NOT(ISNUMBER(N56)),NOT(ISNUMBER(O56))),"E_INVALID_DATE",IF(OR(N56&lt;&gt;INT(N56),O56&lt;0,O56&gt;=1),"E_INVALID_DATE",IF(ISNA(MATCH(P56,nLIST_Offset,0)),"E_INVALID_UNIT","")))),IF(M56="DATE",IF(N56="","E_MISSING_INPUT",IF(NOT(ISNUMBER(N56)),"E_INVALID_DATE",IF(N56&lt;&gt;INT(N56),"E_INVALID_DATE",""))),IF(M56="MONTH",IF(OR(Q56="",R56=""),"E_MISSING_INPUT",IF(OR(NOT(ISNUMBER(Q56)),NOT(ISNUMBER(R56))),"E_INVALID_DATE",IF(OR(Q56&lt;1900,Q56&gt;9999,Q56&lt;&gt;INT(Q56),R56&lt;1,R56&gt;12,R56&lt;&gt;INT(R56)),"E_INVALID_DATE",""))),IF(M56="YEAR",IF(Q56="","E_MISSING_INPUT",IF(NOT(ISNUMBER(Q56)),"E_INVALID_DATE",IF(OR(Q56&lt;1900,Q56&gt;9999,Q56&lt;&gt;INT(Q56)),"E_INVALID_DATE",""))),IF(M56="RANGE",IF(OR(S56="",T56=""),"E_MISSING_INPUT",IF(OR(NOT(ISNUMBER(S56)),NOT(ISNUMBER(T56))),"E_INVALID_DATE",IF(OR(S56&lt;&gt;INT(S56),T56&lt;&gt;INT(T56)),"E_INVALID_DATE",IF(S56&gt;T56,"E_REVERSED_BOUNDS","")))),"E_INVALID_UNIT")))))))</f>
        <v/>
      </c>
      <c r="W56" s="22">
        <f t="shared" si="8"/>
        <v>0</v>
      </c>
      <c r="X56" s="22">
        <f t="shared" si="9"/>
        <v>0</v>
      </c>
      <c r="Y56" s="28">
        <f t="shared" si="10"/>
        <v>46208</v>
      </c>
      <c r="Z56" s="28">
        <f t="shared" si="11"/>
        <v>46208</v>
      </c>
      <c r="AA56" s="22" t="str">
        <f t="shared" si="12"/>
        <v/>
      </c>
      <c r="AB56" s="22" t="str">
        <f t="shared" si="13"/>
        <v/>
      </c>
      <c r="AC56" s="21" t="str">
        <f t="shared" si="14"/>
        <v>EX-C04|2|M-K</v>
      </c>
      <c r="AD56" s="22">
        <f>IF(AC56="",0,COUNTIF(nMS_Key,AC56))</f>
        <v>1</v>
      </c>
      <c r="AE56" s="21" t="str">
        <f t="shared" si="15"/>
        <v/>
      </c>
      <c r="AF56" s="21" t="str">
        <f>IF(AE56="","",AE56&amp;": "&amp;SUBSTITUTE(IFERROR(INDEX(nMSG_Text,MATCH(AE56,nMSG_Code,0)),""),"[input]",IF(C56="","a Milestone_ID",IF(D56="","a milestone Type","the date fields required by the selected precision"))))</f>
        <v/>
      </c>
    </row>
    <row r="57" spans="1:32" x14ac:dyDescent="0.2">
      <c r="A57" s="9" t="s">
        <v>295</v>
      </c>
      <c r="B57" s="11">
        <v>2</v>
      </c>
      <c r="C57" s="9" t="s">
        <v>760</v>
      </c>
      <c r="D57" s="16" t="s">
        <v>122</v>
      </c>
      <c r="E57" s="9"/>
      <c r="F57" s="9" t="s">
        <v>761</v>
      </c>
      <c r="G57" s="16"/>
      <c r="H57" s="9"/>
      <c r="I57" s="9"/>
      <c r="J57" s="16"/>
      <c r="K57" s="9"/>
      <c r="L57" s="9" t="s">
        <v>762</v>
      </c>
      <c r="M57" s="16" t="s">
        <v>4</v>
      </c>
      <c r="N57" s="14">
        <v>46208</v>
      </c>
      <c r="O57" s="25"/>
      <c r="P57" s="9"/>
      <c r="Q57" s="11"/>
      <c r="R57" s="11"/>
      <c r="S57" s="14"/>
      <c r="T57" s="14"/>
      <c r="U57" s="9" t="s">
        <v>454</v>
      </c>
      <c r="V57" s="21" t="str">
        <f>IF(COUNTA(M57:T57)=0,"",IF(M57="","E_MISSING_INPUT",IF(M57="TIMESTAMP",IF(OR(N57="",O57="",P57=""),"E_MISSING_INPUT",IF(OR(NOT(ISNUMBER(N57)),NOT(ISNUMBER(O57))),"E_INVALID_DATE",IF(OR(N57&lt;&gt;INT(N57),O57&lt;0,O57&gt;=1),"E_INVALID_DATE",IF(ISNA(MATCH(P57,nLIST_Offset,0)),"E_INVALID_UNIT","")))),IF(M57="DATE",IF(N57="","E_MISSING_INPUT",IF(NOT(ISNUMBER(N57)),"E_INVALID_DATE",IF(N57&lt;&gt;INT(N57),"E_INVALID_DATE",""))),IF(M57="MONTH",IF(OR(Q57="",R57=""),"E_MISSING_INPUT",IF(OR(NOT(ISNUMBER(Q57)),NOT(ISNUMBER(R57))),"E_INVALID_DATE",IF(OR(Q57&lt;1900,Q57&gt;9999,Q57&lt;&gt;INT(Q57),R57&lt;1,R57&gt;12,R57&lt;&gt;INT(R57)),"E_INVALID_DATE",""))),IF(M57="YEAR",IF(Q57="","E_MISSING_INPUT",IF(NOT(ISNUMBER(Q57)),"E_INVALID_DATE",IF(OR(Q57&lt;1900,Q57&gt;9999,Q57&lt;&gt;INT(Q57)),"E_INVALID_DATE",""))),IF(M57="RANGE",IF(OR(S57="",T57=""),"E_MISSING_INPUT",IF(OR(NOT(ISNUMBER(S57)),NOT(ISNUMBER(T57))),"E_INVALID_DATE",IF(OR(S57&lt;&gt;INT(S57),T57&lt;&gt;INT(T57)),"E_INVALID_DATE",IF(S57&gt;T57,"E_REVERSED_BOUNDS","")))),"E_INVALID_UNIT")))))))</f>
        <v/>
      </c>
      <c r="W57" s="22">
        <f t="shared" si="8"/>
        <v>0</v>
      </c>
      <c r="X57" s="22">
        <f t="shared" si="9"/>
        <v>0</v>
      </c>
      <c r="Y57" s="28">
        <f t="shared" si="10"/>
        <v>46208</v>
      </c>
      <c r="Z57" s="28">
        <f t="shared" si="11"/>
        <v>46208</v>
      </c>
      <c r="AA57" s="22" t="str">
        <f t="shared" si="12"/>
        <v/>
      </c>
      <c r="AB57" s="22" t="str">
        <f t="shared" si="13"/>
        <v/>
      </c>
      <c r="AC57" s="21" t="str">
        <f t="shared" si="14"/>
        <v>EX-C04|2|M-FLUIDS</v>
      </c>
      <c r="AD57" s="22">
        <f>IF(AC57="",0,COUNTIF(nMS_Key,AC57))</f>
        <v>1</v>
      </c>
      <c r="AE57" s="21" t="str">
        <f t="shared" si="15"/>
        <v/>
      </c>
      <c r="AF57" s="21" t="str">
        <f>IF(AE57="","",AE57&amp;": "&amp;SUBSTITUTE(IFERROR(INDEX(nMSG_Text,MATCH(AE57,nMSG_Code,0)),""),"[input]",IF(C57="","a Milestone_ID",IF(D57="","a milestone Type","the date fields required by the selected precision"))))</f>
        <v/>
      </c>
    </row>
    <row r="58" spans="1:32" x14ac:dyDescent="0.2">
      <c r="A58" s="9" t="s">
        <v>295</v>
      </c>
      <c r="B58" s="11">
        <v>2</v>
      </c>
      <c r="C58" s="9" t="s">
        <v>729</v>
      </c>
      <c r="D58" s="16" t="s">
        <v>123</v>
      </c>
      <c r="E58" s="9"/>
      <c r="F58" s="9" t="s">
        <v>763</v>
      </c>
      <c r="G58" s="16"/>
      <c r="H58" s="9"/>
      <c r="I58" s="9"/>
      <c r="J58" s="16"/>
      <c r="K58" s="9"/>
      <c r="L58" s="9" t="s">
        <v>764</v>
      </c>
      <c r="M58" s="16" t="s">
        <v>4</v>
      </c>
      <c r="N58" s="14">
        <v>46211</v>
      </c>
      <c r="O58" s="25"/>
      <c r="P58" s="9"/>
      <c r="Q58" s="11"/>
      <c r="R58" s="11"/>
      <c r="S58" s="14"/>
      <c r="T58" s="14"/>
      <c r="U58" s="9" t="s">
        <v>765</v>
      </c>
      <c r="V58" s="21" t="str">
        <f>IF(COUNTA(M58:T58)=0,"",IF(M58="","E_MISSING_INPUT",IF(M58="TIMESTAMP",IF(OR(N58="",O58="",P58=""),"E_MISSING_INPUT",IF(OR(NOT(ISNUMBER(N58)),NOT(ISNUMBER(O58))),"E_INVALID_DATE",IF(OR(N58&lt;&gt;INT(N58),O58&lt;0,O58&gt;=1),"E_INVALID_DATE",IF(ISNA(MATCH(P58,nLIST_Offset,0)),"E_INVALID_UNIT","")))),IF(M58="DATE",IF(N58="","E_MISSING_INPUT",IF(NOT(ISNUMBER(N58)),"E_INVALID_DATE",IF(N58&lt;&gt;INT(N58),"E_INVALID_DATE",""))),IF(M58="MONTH",IF(OR(Q58="",R58=""),"E_MISSING_INPUT",IF(OR(NOT(ISNUMBER(Q58)),NOT(ISNUMBER(R58))),"E_INVALID_DATE",IF(OR(Q58&lt;1900,Q58&gt;9999,Q58&lt;&gt;INT(Q58),R58&lt;1,R58&gt;12,R58&lt;&gt;INT(R58)),"E_INVALID_DATE",""))),IF(M58="YEAR",IF(Q58="","E_MISSING_INPUT",IF(NOT(ISNUMBER(Q58)),"E_INVALID_DATE",IF(OR(Q58&lt;1900,Q58&gt;9999,Q58&lt;&gt;INT(Q58)),"E_INVALID_DATE",""))),IF(M58="RANGE",IF(OR(S58="",T58=""),"E_MISSING_INPUT",IF(OR(NOT(ISNUMBER(S58)),NOT(ISNUMBER(T58))),"E_INVALID_DATE",IF(OR(S58&lt;&gt;INT(S58),T58&lt;&gt;INT(T58)),"E_INVALID_DATE",IF(S58&gt;T58,"E_REVERSED_BOUNDS","")))),"E_INVALID_UNIT")))))))</f>
        <v/>
      </c>
      <c r="W58" s="22">
        <f t="shared" si="8"/>
        <v>0</v>
      </c>
      <c r="X58" s="22">
        <f t="shared" si="9"/>
        <v>0</v>
      </c>
      <c r="Y58" s="28">
        <f t="shared" si="10"/>
        <v>46211</v>
      </c>
      <c r="Z58" s="28">
        <f t="shared" si="11"/>
        <v>46211</v>
      </c>
      <c r="AA58" s="22" t="str">
        <f t="shared" si="12"/>
        <v/>
      </c>
      <c r="AB58" s="22" t="str">
        <f t="shared" si="13"/>
        <v/>
      </c>
      <c r="AC58" s="21" t="str">
        <f t="shared" si="14"/>
        <v>EX-C04|2|M-IMPROVE</v>
      </c>
      <c r="AD58" s="22">
        <f>IF(AC58="",0,COUNTIF(nMS_Key,AC58))</f>
        <v>1</v>
      </c>
      <c r="AE58" s="21" t="str">
        <f t="shared" si="15"/>
        <v/>
      </c>
      <c r="AF58" s="21" t="str">
        <f>IF(AE58="","",AE58&amp;": "&amp;SUBSTITUTE(IFERROR(INDEX(nMSG_Text,MATCH(AE58,nMSG_Code,0)),""),"[input]",IF(C58="","a Milestone_ID",IF(D58="","a milestone Type","the date fields required by the selected precision"))))</f>
        <v/>
      </c>
    </row>
    <row r="59" spans="1:32" x14ac:dyDescent="0.2">
      <c r="A59" s="9" t="s">
        <v>299</v>
      </c>
      <c r="B59" s="11">
        <v>2</v>
      </c>
      <c r="C59" s="9" t="s">
        <v>766</v>
      </c>
      <c r="D59" s="16" t="s">
        <v>118</v>
      </c>
      <c r="E59" s="9"/>
      <c r="F59" s="9" t="s">
        <v>767</v>
      </c>
      <c r="G59" s="16"/>
      <c r="H59" s="9"/>
      <c r="I59" s="9"/>
      <c r="J59" s="16"/>
      <c r="K59" s="9"/>
      <c r="L59" s="9" t="s">
        <v>768</v>
      </c>
      <c r="M59" s="16" t="s">
        <v>4</v>
      </c>
      <c r="N59" s="14">
        <v>45607</v>
      </c>
      <c r="O59" s="25"/>
      <c r="P59" s="9"/>
      <c r="Q59" s="11"/>
      <c r="R59" s="11"/>
      <c r="S59" s="14"/>
      <c r="T59" s="14"/>
      <c r="U59" s="9" t="s">
        <v>472</v>
      </c>
      <c r="V59" s="21" t="str">
        <f>IF(COUNTA(M59:T59)=0,"",IF(M59="","E_MISSING_INPUT",IF(M59="TIMESTAMP",IF(OR(N59="",O59="",P59=""),"E_MISSING_INPUT",IF(OR(NOT(ISNUMBER(N59)),NOT(ISNUMBER(O59))),"E_INVALID_DATE",IF(OR(N59&lt;&gt;INT(N59),O59&lt;0,O59&gt;=1),"E_INVALID_DATE",IF(ISNA(MATCH(P59,nLIST_Offset,0)),"E_INVALID_UNIT","")))),IF(M59="DATE",IF(N59="","E_MISSING_INPUT",IF(NOT(ISNUMBER(N59)),"E_INVALID_DATE",IF(N59&lt;&gt;INT(N59),"E_INVALID_DATE",""))),IF(M59="MONTH",IF(OR(Q59="",R59=""),"E_MISSING_INPUT",IF(OR(NOT(ISNUMBER(Q59)),NOT(ISNUMBER(R59))),"E_INVALID_DATE",IF(OR(Q59&lt;1900,Q59&gt;9999,Q59&lt;&gt;INT(Q59),R59&lt;1,R59&gt;12,R59&lt;&gt;INT(R59)),"E_INVALID_DATE",""))),IF(M59="YEAR",IF(Q59="","E_MISSING_INPUT",IF(NOT(ISNUMBER(Q59)),"E_INVALID_DATE",IF(OR(Q59&lt;1900,Q59&gt;9999,Q59&lt;&gt;INT(Q59)),"E_INVALID_DATE",""))),IF(M59="RANGE",IF(OR(S59="",T59=""),"E_MISSING_INPUT",IF(OR(NOT(ISNUMBER(S59)),NOT(ISNUMBER(T59))),"E_INVALID_DATE",IF(OR(S59&lt;&gt;INT(S59),T59&lt;&gt;INT(T59)),"E_INVALID_DATE",IF(S59&gt;T59,"E_REVERSED_BOUNDS","")))),"E_INVALID_UNIT")))))))</f>
        <v/>
      </c>
      <c r="W59" s="22">
        <f t="shared" si="8"/>
        <v>0</v>
      </c>
      <c r="X59" s="22">
        <f t="shared" si="9"/>
        <v>0</v>
      </c>
      <c r="Y59" s="28">
        <f t="shared" si="10"/>
        <v>45607</v>
      </c>
      <c r="Z59" s="28">
        <f t="shared" si="11"/>
        <v>45607</v>
      </c>
      <c r="AA59" s="22" t="str">
        <f t="shared" si="12"/>
        <v/>
      </c>
      <c r="AB59" s="22" t="str">
        <f t="shared" si="13"/>
        <v/>
      </c>
      <c r="AC59" s="21" t="str">
        <f t="shared" si="14"/>
        <v>EX-C28|2|M-HBV0</v>
      </c>
      <c r="AD59" s="22">
        <f>IF(AC59="",0,COUNTIF(nMS_Key,AC59))</f>
        <v>1</v>
      </c>
      <c r="AE59" s="21" t="str">
        <f t="shared" si="15"/>
        <v/>
      </c>
      <c r="AF59" s="21" t="str">
        <f>IF(AE59="","",AE59&amp;": "&amp;SUBSTITUTE(IFERROR(INDEX(nMSG_Text,MATCH(AE59,nMSG_Code,0)),""),"[input]",IF(C59="","a Milestone_ID",IF(D59="","a milestone Type","the date fields required by the selected precision"))))</f>
        <v/>
      </c>
    </row>
    <row r="60" spans="1:32" x14ac:dyDescent="0.2">
      <c r="A60" s="9" t="s">
        <v>299</v>
      </c>
      <c r="B60" s="11">
        <v>2</v>
      </c>
      <c r="C60" s="9" t="s">
        <v>769</v>
      </c>
      <c r="D60" s="16" t="s">
        <v>119</v>
      </c>
      <c r="E60" s="9"/>
      <c r="F60" s="9" t="s">
        <v>770</v>
      </c>
      <c r="G60" s="16"/>
      <c r="H60" s="9"/>
      <c r="I60" s="9"/>
      <c r="J60" s="16"/>
      <c r="K60" s="9"/>
      <c r="L60" s="9" t="s">
        <v>771</v>
      </c>
      <c r="M60" s="16" t="s">
        <v>4</v>
      </c>
      <c r="N60" s="14">
        <v>45901</v>
      </c>
      <c r="O60" s="25"/>
      <c r="P60" s="9"/>
      <c r="Q60" s="11"/>
      <c r="R60" s="11"/>
      <c r="S60" s="14"/>
      <c r="T60" s="14"/>
      <c r="U60" s="9" t="s">
        <v>472</v>
      </c>
      <c r="V60" s="21" t="str">
        <f>IF(COUNTA(M60:T60)=0,"",IF(M60="","E_MISSING_INPUT",IF(M60="TIMESTAMP",IF(OR(N60="",O60="",P60=""),"E_MISSING_INPUT",IF(OR(NOT(ISNUMBER(N60)),NOT(ISNUMBER(O60))),"E_INVALID_DATE",IF(OR(N60&lt;&gt;INT(N60),O60&lt;0,O60&gt;=1),"E_INVALID_DATE",IF(ISNA(MATCH(P60,nLIST_Offset,0)),"E_INVALID_UNIT","")))),IF(M60="DATE",IF(N60="","E_MISSING_INPUT",IF(NOT(ISNUMBER(N60)),"E_INVALID_DATE",IF(N60&lt;&gt;INT(N60),"E_INVALID_DATE",""))),IF(M60="MONTH",IF(OR(Q60="",R60=""),"E_MISSING_INPUT",IF(OR(NOT(ISNUMBER(Q60)),NOT(ISNUMBER(R60))),"E_INVALID_DATE",IF(OR(Q60&lt;1900,Q60&gt;9999,Q60&lt;&gt;INT(Q60),R60&lt;1,R60&gt;12,R60&lt;&gt;INT(R60)),"E_INVALID_DATE",""))),IF(M60="YEAR",IF(Q60="","E_MISSING_INPUT",IF(NOT(ISNUMBER(Q60)),"E_INVALID_DATE",IF(OR(Q60&lt;1900,Q60&gt;9999,Q60&lt;&gt;INT(Q60)),"E_INVALID_DATE",""))),IF(M60="RANGE",IF(OR(S60="",T60=""),"E_MISSING_INPUT",IF(OR(NOT(ISNUMBER(S60)),NOT(ISNUMBER(T60))),"E_INVALID_DATE",IF(OR(S60&lt;&gt;INT(S60),T60&lt;&gt;INT(T60)),"E_INVALID_DATE",IF(S60&gt;T60,"E_REVERSED_BOUNDS","")))),"E_INVALID_UNIT")))))))</f>
        <v/>
      </c>
      <c r="W60" s="22">
        <f t="shared" si="8"/>
        <v>0</v>
      </c>
      <c r="X60" s="22">
        <f t="shared" si="9"/>
        <v>0</v>
      </c>
      <c r="Y60" s="28">
        <f t="shared" si="10"/>
        <v>45901</v>
      </c>
      <c r="Z60" s="28">
        <f t="shared" si="11"/>
        <v>45901</v>
      </c>
      <c r="AA60" s="22" t="str">
        <f t="shared" si="12"/>
        <v/>
      </c>
      <c r="AB60" s="22" t="str">
        <f t="shared" si="13"/>
        <v/>
      </c>
      <c r="AC60" s="21" t="str">
        <f t="shared" si="14"/>
        <v>EX-C28|2|M-HBV1</v>
      </c>
      <c r="AD60" s="22">
        <f>IF(AC60="",0,COUNTIF(nMS_Key,AC60))</f>
        <v>1</v>
      </c>
      <c r="AE60" s="21" t="str">
        <f t="shared" si="15"/>
        <v/>
      </c>
      <c r="AF60" s="21" t="str">
        <f>IF(AE60="","",AE60&amp;": "&amp;SUBSTITUTE(IFERROR(INDEX(nMSG_Text,MATCH(AE60,nMSG_Code,0)),""),"[input]",IF(C60="","a Milestone_ID",IF(D60="","a milestone Type","the date fields required by the selected precision"))))</f>
        <v/>
      </c>
    </row>
    <row r="61" spans="1:32" x14ac:dyDescent="0.2">
      <c r="A61" s="9" t="s">
        <v>299</v>
      </c>
      <c r="B61" s="11">
        <v>2</v>
      </c>
      <c r="C61" s="9" t="s">
        <v>772</v>
      </c>
      <c r="D61" s="16" t="s">
        <v>119</v>
      </c>
      <c r="E61" s="9"/>
      <c r="F61" s="9" t="s">
        <v>770</v>
      </c>
      <c r="G61" s="16"/>
      <c r="H61" s="9"/>
      <c r="I61" s="9"/>
      <c r="J61" s="16"/>
      <c r="K61" s="9"/>
      <c r="L61" s="9" t="s">
        <v>773</v>
      </c>
      <c r="M61" s="16" t="s">
        <v>4</v>
      </c>
      <c r="N61" s="14">
        <v>45992</v>
      </c>
      <c r="O61" s="25"/>
      <c r="P61" s="9"/>
      <c r="Q61" s="11"/>
      <c r="R61" s="11"/>
      <c r="S61" s="14"/>
      <c r="T61" s="14"/>
      <c r="U61" s="9" t="s">
        <v>472</v>
      </c>
      <c r="V61" s="21" t="str">
        <f>IF(COUNTA(M61:T61)=0,"",IF(M61="","E_MISSING_INPUT",IF(M61="TIMESTAMP",IF(OR(N61="",O61="",P61=""),"E_MISSING_INPUT",IF(OR(NOT(ISNUMBER(N61)),NOT(ISNUMBER(O61))),"E_INVALID_DATE",IF(OR(N61&lt;&gt;INT(N61),O61&lt;0,O61&gt;=1),"E_INVALID_DATE",IF(ISNA(MATCH(P61,nLIST_Offset,0)),"E_INVALID_UNIT","")))),IF(M61="DATE",IF(N61="","E_MISSING_INPUT",IF(NOT(ISNUMBER(N61)),"E_INVALID_DATE",IF(N61&lt;&gt;INT(N61),"E_INVALID_DATE",""))),IF(M61="MONTH",IF(OR(Q61="",R61=""),"E_MISSING_INPUT",IF(OR(NOT(ISNUMBER(Q61)),NOT(ISNUMBER(R61))),"E_INVALID_DATE",IF(OR(Q61&lt;1900,Q61&gt;9999,Q61&lt;&gt;INT(Q61),R61&lt;1,R61&gt;12,R61&lt;&gt;INT(R61)),"E_INVALID_DATE",""))),IF(M61="YEAR",IF(Q61="","E_MISSING_INPUT",IF(NOT(ISNUMBER(Q61)),"E_INVALID_DATE",IF(OR(Q61&lt;1900,Q61&gt;9999,Q61&lt;&gt;INT(Q61)),"E_INVALID_DATE",""))),IF(M61="RANGE",IF(OR(S61="",T61=""),"E_MISSING_INPUT",IF(OR(NOT(ISNUMBER(S61)),NOT(ISNUMBER(T61))),"E_INVALID_DATE",IF(OR(S61&lt;&gt;INT(S61),T61&lt;&gt;INT(T61)),"E_INVALID_DATE",IF(S61&gt;T61,"E_REVERSED_BOUNDS","")))),"E_INVALID_UNIT")))))))</f>
        <v/>
      </c>
      <c r="W61" s="22">
        <f t="shared" si="8"/>
        <v>0</v>
      </c>
      <c r="X61" s="22">
        <f t="shared" si="9"/>
        <v>0</v>
      </c>
      <c r="Y61" s="28">
        <f t="shared" si="10"/>
        <v>45992</v>
      </c>
      <c r="Z61" s="28">
        <f t="shared" si="11"/>
        <v>45992</v>
      </c>
      <c r="AA61" s="22" t="str">
        <f t="shared" si="12"/>
        <v/>
      </c>
      <c r="AB61" s="22" t="str">
        <f t="shared" si="13"/>
        <v/>
      </c>
      <c r="AC61" s="21" t="str">
        <f t="shared" si="14"/>
        <v>EX-C28|2|M-HBV2</v>
      </c>
      <c r="AD61" s="22">
        <f>IF(AC61="",0,COUNTIF(nMS_Key,AC61))</f>
        <v>1</v>
      </c>
      <c r="AE61" s="21" t="str">
        <f t="shared" si="15"/>
        <v/>
      </c>
      <c r="AF61" s="21" t="str">
        <f>IF(AE61="","",AE61&amp;": "&amp;SUBSTITUTE(IFERROR(INDEX(nMSG_Text,MATCH(AE61,nMSG_Code,0)),""),"[input]",IF(C61="","a Milestone_ID",IF(D61="","a milestone Type","the date fields required by the selected precision"))))</f>
        <v/>
      </c>
    </row>
    <row r="62" spans="1:32" x14ac:dyDescent="0.2">
      <c r="A62" s="9" t="s">
        <v>299</v>
      </c>
      <c r="B62" s="11">
        <v>2</v>
      </c>
      <c r="C62" s="9" t="s">
        <v>774</v>
      </c>
      <c r="D62" s="16" t="s">
        <v>119</v>
      </c>
      <c r="E62" s="9"/>
      <c r="F62" s="9" t="s">
        <v>775</v>
      </c>
      <c r="G62" s="16"/>
      <c r="H62" s="9"/>
      <c r="I62" s="9"/>
      <c r="J62" s="16"/>
      <c r="K62" s="9"/>
      <c r="L62" s="9" t="s">
        <v>776</v>
      </c>
      <c r="M62" s="16" t="s">
        <v>4</v>
      </c>
      <c r="N62" s="14">
        <v>46062</v>
      </c>
      <c r="O62" s="25"/>
      <c r="P62" s="9"/>
      <c r="Q62" s="11"/>
      <c r="R62" s="11"/>
      <c r="S62" s="14"/>
      <c r="T62" s="14"/>
      <c r="U62" s="9" t="s">
        <v>472</v>
      </c>
      <c r="V62" s="21" t="str">
        <f>IF(COUNTA(M62:T62)=0,"",IF(M62="","E_MISSING_INPUT",IF(M62="TIMESTAMP",IF(OR(N62="",O62="",P62=""),"E_MISSING_INPUT",IF(OR(NOT(ISNUMBER(N62)),NOT(ISNUMBER(O62))),"E_INVALID_DATE",IF(OR(N62&lt;&gt;INT(N62),O62&lt;0,O62&gt;=1),"E_INVALID_DATE",IF(ISNA(MATCH(P62,nLIST_Offset,0)),"E_INVALID_UNIT","")))),IF(M62="DATE",IF(N62="","E_MISSING_INPUT",IF(NOT(ISNUMBER(N62)),"E_INVALID_DATE",IF(N62&lt;&gt;INT(N62),"E_INVALID_DATE",""))),IF(M62="MONTH",IF(OR(Q62="",R62=""),"E_MISSING_INPUT",IF(OR(NOT(ISNUMBER(Q62)),NOT(ISNUMBER(R62))),"E_INVALID_DATE",IF(OR(Q62&lt;1900,Q62&gt;9999,Q62&lt;&gt;INT(Q62),R62&lt;1,R62&gt;12,R62&lt;&gt;INT(R62)),"E_INVALID_DATE",""))),IF(M62="YEAR",IF(Q62="","E_MISSING_INPUT",IF(NOT(ISNUMBER(Q62)),"E_INVALID_DATE",IF(OR(Q62&lt;1900,Q62&gt;9999,Q62&lt;&gt;INT(Q62)),"E_INVALID_DATE",""))),IF(M62="RANGE",IF(OR(S62="",T62=""),"E_MISSING_INPUT",IF(OR(NOT(ISNUMBER(S62)),NOT(ISNUMBER(T62))),"E_INVALID_DATE",IF(OR(S62&lt;&gt;INT(S62),T62&lt;&gt;INT(T62)),"E_INVALID_DATE",IF(S62&gt;T62,"E_REVERSED_BOUNDS","")))),"E_INVALID_UNIT")))))))</f>
        <v/>
      </c>
      <c r="W62" s="22">
        <f t="shared" si="8"/>
        <v>0</v>
      </c>
      <c r="X62" s="22">
        <f t="shared" si="9"/>
        <v>0</v>
      </c>
      <c r="Y62" s="28">
        <f t="shared" si="10"/>
        <v>46062</v>
      </c>
      <c r="Z62" s="28">
        <f t="shared" si="11"/>
        <v>46062</v>
      </c>
      <c r="AA62" s="22" t="str">
        <f t="shared" si="12"/>
        <v/>
      </c>
      <c r="AB62" s="22" t="str">
        <f t="shared" si="13"/>
        <v/>
      </c>
      <c r="AC62" s="21" t="str">
        <f t="shared" si="14"/>
        <v>EX-C28|2|M-HBV3</v>
      </c>
      <c r="AD62" s="22">
        <f>IF(AC62="",0,COUNTIF(nMS_Key,AC62))</f>
        <v>1</v>
      </c>
      <c r="AE62" s="21" t="str">
        <f t="shared" si="15"/>
        <v/>
      </c>
      <c r="AF62" s="21" t="str">
        <f>IF(AE62="","",AE62&amp;": "&amp;SUBSTITUTE(IFERROR(INDEX(nMSG_Text,MATCH(AE62,nMSG_Code,0)),""),"[input]",IF(C62="","a Milestone_ID",IF(D62="","a milestone Type","the date fields required by the selected precision"))))</f>
        <v/>
      </c>
    </row>
    <row r="63" spans="1:32" x14ac:dyDescent="0.2">
      <c r="A63" s="9" t="s">
        <v>299</v>
      </c>
      <c r="B63" s="11">
        <v>2</v>
      </c>
      <c r="C63" s="9" t="s">
        <v>777</v>
      </c>
      <c r="D63" s="16" t="s">
        <v>119</v>
      </c>
      <c r="E63" s="9"/>
      <c r="F63" s="9" t="s">
        <v>778</v>
      </c>
      <c r="G63" s="16">
        <v>1850</v>
      </c>
      <c r="H63" s="9" t="s">
        <v>779</v>
      </c>
      <c r="I63" s="9"/>
      <c r="J63" s="16"/>
      <c r="K63" s="9"/>
      <c r="L63" s="9" t="s">
        <v>676</v>
      </c>
      <c r="M63" s="16" t="s">
        <v>4</v>
      </c>
      <c r="N63" s="14">
        <v>46154</v>
      </c>
      <c r="O63" s="25"/>
      <c r="P63" s="9"/>
      <c r="Q63" s="11"/>
      <c r="R63" s="11"/>
      <c r="S63" s="14"/>
      <c r="T63" s="14"/>
      <c r="U63" s="9" t="s">
        <v>489</v>
      </c>
      <c r="V63" s="21" t="str">
        <f>IF(COUNTA(M63:T63)=0,"",IF(M63="","E_MISSING_INPUT",IF(M63="TIMESTAMP",IF(OR(N63="",O63="",P63=""),"E_MISSING_INPUT",IF(OR(NOT(ISNUMBER(N63)),NOT(ISNUMBER(O63))),"E_INVALID_DATE",IF(OR(N63&lt;&gt;INT(N63),O63&lt;0,O63&gt;=1),"E_INVALID_DATE",IF(ISNA(MATCH(P63,nLIST_Offset,0)),"E_INVALID_UNIT","")))),IF(M63="DATE",IF(N63="","E_MISSING_INPUT",IF(NOT(ISNUMBER(N63)),"E_INVALID_DATE",IF(N63&lt;&gt;INT(N63),"E_INVALID_DATE",""))),IF(M63="MONTH",IF(OR(Q63="",R63=""),"E_MISSING_INPUT",IF(OR(NOT(ISNUMBER(Q63)),NOT(ISNUMBER(R63))),"E_INVALID_DATE",IF(OR(Q63&lt;1900,Q63&gt;9999,Q63&lt;&gt;INT(Q63),R63&lt;1,R63&gt;12,R63&lt;&gt;INT(R63)),"E_INVALID_DATE",""))),IF(M63="YEAR",IF(Q63="","E_MISSING_INPUT",IF(NOT(ISNUMBER(Q63)),"E_INVALID_DATE",IF(OR(Q63&lt;1900,Q63&gt;9999,Q63&lt;&gt;INT(Q63)),"E_INVALID_DATE",""))),IF(M63="RANGE",IF(OR(S63="",T63=""),"E_MISSING_INPUT",IF(OR(NOT(ISNUMBER(S63)),NOT(ISNUMBER(T63))),"E_INVALID_DATE",IF(OR(S63&lt;&gt;INT(S63),T63&lt;&gt;INT(T63)),"E_INVALID_DATE",IF(S63&gt;T63,"E_REVERSED_BOUNDS","")))),"E_INVALID_UNIT")))))))</f>
        <v/>
      </c>
      <c r="W63" s="22">
        <f t="shared" si="8"/>
        <v>0</v>
      </c>
      <c r="X63" s="22">
        <f t="shared" si="9"/>
        <v>0</v>
      </c>
      <c r="Y63" s="28">
        <f t="shared" si="10"/>
        <v>46154</v>
      </c>
      <c r="Z63" s="28">
        <f t="shared" si="11"/>
        <v>46154</v>
      </c>
      <c r="AA63" s="22" t="str">
        <f t="shared" si="12"/>
        <v/>
      </c>
      <c r="AB63" s="22" t="str">
        <f t="shared" si="13"/>
        <v/>
      </c>
      <c r="AC63" s="21" t="str">
        <f t="shared" si="14"/>
        <v>EX-C28|2|M-HBV4</v>
      </c>
      <c r="AD63" s="22">
        <f>IF(AC63="",0,COUNTIF(nMS_Key,AC63))</f>
        <v>1</v>
      </c>
      <c r="AE63" s="21" t="str">
        <f t="shared" si="15"/>
        <v/>
      </c>
      <c r="AF63" s="21" t="str">
        <f>IF(AE63="","",AE63&amp;": "&amp;SUBSTITUTE(IFERROR(INDEX(nMSG_Text,MATCH(AE63,nMSG_Code,0)),""),"[input]",IF(C63="","a Milestone_ID",IF(D63="","a milestone Type","the date fields required by the selected precision"))))</f>
        <v/>
      </c>
    </row>
    <row r="64" spans="1:32" x14ac:dyDescent="0.2">
      <c r="A64" s="9" t="s">
        <v>299</v>
      </c>
      <c r="B64" s="11">
        <v>2</v>
      </c>
      <c r="C64" s="9" t="s">
        <v>780</v>
      </c>
      <c r="D64" s="16" t="s">
        <v>119</v>
      </c>
      <c r="E64" s="9"/>
      <c r="F64" s="9" t="s">
        <v>781</v>
      </c>
      <c r="G64" s="16"/>
      <c r="H64" s="9"/>
      <c r="I64" s="9"/>
      <c r="J64" s="16" t="s">
        <v>147</v>
      </c>
      <c r="K64" s="9" t="s">
        <v>783</v>
      </c>
      <c r="L64" s="9" t="s">
        <v>782</v>
      </c>
      <c r="M64" s="16" t="s">
        <v>4</v>
      </c>
      <c r="N64" s="14">
        <v>46154</v>
      </c>
      <c r="O64" s="25"/>
      <c r="P64" s="9"/>
      <c r="Q64" s="11"/>
      <c r="R64" s="11"/>
      <c r="S64" s="14"/>
      <c r="T64" s="14"/>
      <c r="U64" s="9" t="s">
        <v>489</v>
      </c>
      <c r="V64" s="21" t="str">
        <f>IF(COUNTA(M64:T64)=0,"",IF(M64="","E_MISSING_INPUT",IF(M64="TIMESTAMP",IF(OR(N64="",O64="",P64=""),"E_MISSING_INPUT",IF(OR(NOT(ISNUMBER(N64)),NOT(ISNUMBER(O64))),"E_INVALID_DATE",IF(OR(N64&lt;&gt;INT(N64),O64&lt;0,O64&gt;=1),"E_INVALID_DATE",IF(ISNA(MATCH(P64,nLIST_Offset,0)),"E_INVALID_UNIT","")))),IF(M64="DATE",IF(N64="","E_MISSING_INPUT",IF(NOT(ISNUMBER(N64)),"E_INVALID_DATE",IF(N64&lt;&gt;INT(N64),"E_INVALID_DATE",""))),IF(M64="MONTH",IF(OR(Q64="",R64=""),"E_MISSING_INPUT",IF(OR(NOT(ISNUMBER(Q64)),NOT(ISNUMBER(R64))),"E_INVALID_DATE",IF(OR(Q64&lt;1900,Q64&gt;9999,Q64&lt;&gt;INT(Q64),R64&lt;1,R64&gt;12,R64&lt;&gt;INT(R64)),"E_INVALID_DATE",""))),IF(M64="YEAR",IF(Q64="","E_MISSING_INPUT",IF(NOT(ISNUMBER(Q64)),"E_INVALID_DATE",IF(OR(Q64&lt;1900,Q64&gt;9999,Q64&lt;&gt;INT(Q64)),"E_INVALID_DATE",""))),IF(M64="RANGE",IF(OR(S64="",T64=""),"E_MISSING_INPUT",IF(OR(NOT(ISNUMBER(S64)),NOT(ISNUMBER(T64))),"E_INVALID_DATE",IF(OR(S64&lt;&gt;INT(S64),T64&lt;&gt;INT(T64)),"E_INVALID_DATE",IF(S64&gt;T64,"E_REVERSED_BOUNDS","")))),"E_INVALID_UNIT")))))))</f>
        <v/>
      </c>
      <c r="W64" s="22">
        <f t="shared" si="8"/>
        <v>0</v>
      </c>
      <c r="X64" s="22">
        <f t="shared" si="9"/>
        <v>0</v>
      </c>
      <c r="Y64" s="28">
        <f t="shared" si="10"/>
        <v>46154</v>
      </c>
      <c r="Z64" s="28">
        <f t="shared" si="11"/>
        <v>46154</v>
      </c>
      <c r="AA64" s="22" t="str">
        <f t="shared" si="12"/>
        <v/>
      </c>
      <c r="AB64" s="22" t="str">
        <f t="shared" si="13"/>
        <v/>
      </c>
      <c r="AC64" s="21" t="str">
        <f t="shared" si="14"/>
        <v>EX-C28|2|M-BCELL</v>
      </c>
      <c r="AD64" s="22">
        <f>IF(AC64="",0,COUNTIF(nMS_Key,AC64))</f>
        <v>1</v>
      </c>
      <c r="AE64" s="21" t="str">
        <f t="shared" si="15"/>
        <v/>
      </c>
      <c r="AF64" s="21" t="str">
        <f>IF(AE64="","",AE64&amp;": "&amp;SUBSTITUTE(IFERROR(INDEX(nMSG_Text,MATCH(AE64,nMSG_Code,0)),""),"[input]",IF(C64="","a Milestone_ID",IF(D64="","a milestone Type","the date fields required by the selected precision"))))</f>
        <v/>
      </c>
    </row>
    <row r="65" spans="1:32" x14ac:dyDescent="0.2">
      <c r="A65" s="9" t="s">
        <v>299</v>
      </c>
      <c r="B65" s="11">
        <v>2</v>
      </c>
      <c r="C65" s="9" t="s">
        <v>784</v>
      </c>
      <c r="D65" s="16" t="s">
        <v>119</v>
      </c>
      <c r="E65" s="9"/>
      <c r="F65" s="9" t="s">
        <v>785</v>
      </c>
      <c r="G65" s="16">
        <v>142</v>
      </c>
      <c r="H65" s="9" t="s">
        <v>788</v>
      </c>
      <c r="I65" s="9" t="s">
        <v>787</v>
      </c>
      <c r="J65" s="16"/>
      <c r="K65" s="9"/>
      <c r="L65" s="9" t="s">
        <v>786</v>
      </c>
      <c r="M65" s="16" t="s">
        <v>4</v>
      </c>
      <c r="N65" s="14">
        <v>46168</v>
      </c>
      <c r="O65" s="25"/>
      <c r="P65" s="9"/>
      <c r="Q65" s="11"/>
      <c r="R65" s="11"/>
      <c r="S65" s="14"/>
      <c r="T65" s="14"/>
      <c r="U65" s="9" t="s">
        <v>489</v>
      </c>
      <c r="V65" s="21" t="str">
        <f>IF(COUNTA(M65:T65)=0,"",IF(M65="","E_MISSING_INPUT",IF(M65="TIMESTAMP",IF(OR(N65="",O65="",P65=""),"E_MISSING_INPUT",IF(OR(NOT(ISNUMBER(N65)),NOT(ISNUMBER(O65))),"E_INVALID_DATE",IF(OR(N65&lt;&gt;INT(N65),O65&lt;0,O65&gt;=1),"E_INVALID_DATE",IF(ISNA(MATCH(P65,nLIST_Offset,0)),"E_INVALID_UNIT","")))),IF(M65="DATE",IF(N65="","E_MISSING_INPUT",IF(NOT(ISNUMBER(N65)),"E_INVALID_DATE",IF(N65&lt;&gt;INT(N65),"E_INVALID_DATE",""))),IF(M65="MONTH",IF(OR(Q65="",R65=""),"E_MISSING_INPUT",IF(OR(NOT(ISNUMBER(Q65)),NOT(ISNUMBER(R65))),"E_INVALID_DATE",IF(OR(Q65&lt;1900,Q65&gt;9999,Q65&lt;&gt;INT(Q65),R65&lt;1,R65&gt;12,R65&lt;&gt;INT(R65)),"E_INVALID_DATE",""))),IF(M65="YEAR",IF(Q65="","E_MISSING_INPUT",IF(NOT(ISNUMBER(Q65)),"E_INVALID_DATE",IF(OR(Q65&lt;1900,Q65&gt;9999,Q65&lt;&gt;INT(Q65)),"E_INVALID_DATE",""))),IF(M65="RANGE",IF(OR(S65="",T65=""),"E_MISSING_INPUT",IF(OR(NOT(ISNUMBER(S65)),NOT(ISNUMBER(T65))),"E_INVALID_DATE",IF(OR(S65&lt;&gt;INT(S65),T65&lt;&gt;INT(T65)),"E_INVALID_DATE",IF(S65&gt;T65,"E_REVERSED_BOUNDS","")))),"E_INVALID_UNIT")))))))</f>
        <v/>
      </c>
      <c r="W65" s="22">
        <f t="shared" si="8"/>
        <v>0</v>
      </c>
      <c r="X65" s="22">
        <f t="shared" si="9"/>
        <v>0</v>
      </c>
      <c r="Y65" s="28">
        <f t="shared" si="10"/>
        <v>46168</v>
      </c>
      <c r="Z65" s="28">
        <f t="shared" si="11"/>
        <v>46168</v>
      </c>
      <c r="AA65" s="22" t="str">
        <f t="shared" si="12"/>
        <v/>
      </c>
      <c r="AB65" s="22" t="str">
        <f t="shared" si="13"/>
        <v/>
      </c>
      <c r="AC65" s="21" t="str">
        <f t="shared" si="14"/>
        <v>EX-C28|2|M-HEP</v>
      </c>
      <c r="AD65" s="22">
        <f>IF(AC65="",0,COUNTIF(nMS_Key,AC65))</f>
        <v>1</v>
      </c>
      <c r="AE65" s="21" t="str">
        <f t="shared" si="15"/>
        <v/>
      </c>
      <c r="AF65" s="21" t="str">
        <f>IF(AE65="","",AE65&amp;": "&amp;SUBSTITUTE(IFERROR(INDEX(nMSG_Text,MATCH(AE65,nMSG_Code,0)),""),"[input]",IF(C65="","a Milestone_ID",IF(D65="","a milestone Type","the date fields required by the selected precision"))))</f>
        <v/>
      </c>
    </row>
    <row r="66" spans="1:32" x14ac:dyDescent="0.2">
      <c r="A66" s="9" t="s">
        <v>299</v>
      </c>
      <c r="B66" s="11">
        <v>2</v>
      </c>
      <c r="C66" s="9" t="s">
        <v>789</v>
      </c>
      <c r="D66" s="16" t="s">
        <v>122</v>
      </c>
      <c r="E66" s="9"/>
      <c r="F66" s="9" t="s">
        <v>790</v>
      </c>
      <c r="G66" s="16"/>
      <c r="H66" s="9"/>
      <c r="I66" s="9"/>
      <c r="J66" s="16"/>
      <c r="K66" s="9"/>
      <c r="L66" s="9" t="s">
        <v>492</v>
      </c>
      <c r="M66" s="16" t="s">
        <v>4</v>
      </c>
      <c r="N66" s="14">
        <v>46169</v>
      </c>
      <c r="O66" s="25"/>
      <c r="P66" s="9"/>
      <c r="Q66" s="11"/>
      <c r="R66" s="11"/>
      <c r="S66" s="14"/>
      <c r="T66" s="14"/>
      <c r="U66" s="9" t="s">
        <v>489</v>
      </c>
      <c r="V66" s="21" t="str">
        <f>IF(COUNTA(M66:T66)=0,"",IF(M66="","E_MISSING_INPUT",IF(M66="TIMESTAMP",IF(OR(N66="",O66="",P66=""),"E_MISSING_INPUT",IF(OR(NOT(ISNUMBER(N66)),NOT(ISNUMBER(O66))),"E_INVALID_DATE",IF(OR(N66&lt;&gt;INT(N66),O66&lt;0,O66&gt;=1),"E_INVALID_DATE",IF(ISNA(MATCH(P66,nLIST_Offset,0)),"E_INVALID_UNIT","")))),IF(M66="DATE",IF(N66="","E_MISSING_INPUT",IF(NOT(ISNUMBER(N66)),"E_INVALID_DATE",IF(N66&lt;&gt;INT(N66),"E_INVALID_DATE",""))),IF(M66="MONTH",IF(OR(Q66="",R66=""),"E_MISSING_INPUT",IF(OR(NOT(ISNUMBER(Q66)),NOT(ISNUMBER(R66))),"E_INVALID_DATE",IF(OR(Q66&lt;1900,Q66&gt;9999,Q66&lt;&gt;INT(Q66),R66&lt;1,R66&gt;12,R66&lt;&gt;INT(R66)),"E_INVALID_DATE",""))),IF(M66="YEAR",IF(Q66="","E_MISSING_INPUT",IF(NOT(ISNUMBER(Q66)),"E_INVALID_DATE",IF(OR(Q66&lt;1900,Q66&gt;9999,Q66&lt;&gt;INT(Q66)),"E_INVALID_DATE",""))),IF(M66="RANGE",IF(OR(S66="",T66=""),"E_MISSING_INPUT",IF(OR(NOT(ISNUMBER(S66)),NOT(ISNUMBER(T66))),"E_INVALID_DATE",IF(OR(S66&lt;&gt;INT(S66),T66&lt;&gt;INT(T66)),"E_INVALID_DATE",IF(S66&gt;T66,"E_REVERSED_BOUNDS","")))),"E_INVALID_UNIT")))))))</f>
        <v/>
      </c>
      <c r="W66" s="22">
        <f t="shared" si="8"/>
        <v>0</v>
      </c>
      <c r="X66" s="22">
        <f t="shared" si="9"/>
        <v>0</v>
      </c>
      <c r="Y66" s="28">
        <f t="shared" si="10"/>
        <v>46169</v>
      </c>
      <c r="Z66" s="28">
        <f t="shared" si="11"/>
        <v>46169</v>
      </c>
      <c r="AA66" s="22" t="str">
        <f t="shared" si="12"/>
        <v/>
      </c>
      <c r="AB66" s="22" t="str">
        <f t="shared" si="13"/>
        <v/>
      </c>
      <c r="AC66" s="21" t="str">
        <f t="shared" si="14"/>
        <v>EX-C28|2|M-AV</v>
      </c>
      <c r="AD66" s="22">
        <f>IF(AC66="",0,COUNTIF(nMS_Key,AC66))</f>
        <v>1</v>
      </c>
      <c r="AE66" s="21" t="str">
        <f t="shared" si="15"/>
        <v/>
      </c>
      <c r="AF66" s="21" t="str">
        <f>IF(AE66="","",AE66&amp;": "&amp;SUBSTITUTE(IFERROR(INDEX(nMSG_Text,MATCH(AE66,nMSG_Code,0)),""),"[input]",IF(C66="","a Milestone_ID",IF(D66="","a milestone Type","the date fields required by the selected precision"))))</f>
        <v/>
      </c>
    </row>
  </sheetData>
  <sheetProtection sheet="1" objects="1" scenarios="1" formatColumns="0" formatRows="0" autoFilter="0"/>
  <autoFilter ref="A4:AF66" xr:uid="{74A4E2B4-E2C9-40B4-9CAA-DBB80EEC7DB6}"/>
  <dataValidations count="9">
    <dataValidation type="whole" operator="greaterThanOrEqual" allowBlank="1" showInputMessage="1" showErrorMessage="1" sqref="B5:B44" xr:uid="{1B4DBBE7-16CE-4126-A299-2E7C8D8C614E}">
      <formula1>1</formula1>
    </dataValidation>
    <dataValidation type="list" allowBlank="1" showInputMessage="1" showErrorMessage="1" sqref="D5:D44" xr:uid="{67061BB1-FAEF-4BB9-90B7-2AB916FEFD18}">
      <formula1>nLIST_MilestoneType</formula1>
    </dataValidation>
    <dataValidation type="list" errorStyle="information" allowBlank="1" showInputMessage="1" showErrorMessage="1" sqref="J5:J44" xr:uid="{2E57411B-D13E-47FA-8AD7-C59B5ABAC4FD}">
      <formula1>nLIST_MissingReason</formula1>
    </dataValidation>
    <dataValidation type="list" allowBlank="1" showInputMessage="1" showErrorMessage="1" prompt="TIMESTAMP: Date + Time + UTC offset (choose unknown if not recorded). DATE: Date only. MONTH: Year + Month. YEAR: Year. RANGE: earliest and latest dates as stated, with the source." sqref="M5:M44" xr:uid="{E87EBA61-C465-4F8F-8A1B-81583A016732}">
      <formula1>nLIST_Precision</formula1>
    </dataValidation>
    <dataValidation type="date" allowBlank="1" showInputMessage="1" showErrorMessage="1" sqref="N5:N44 S5:S44 T5:T44" xr:uid="{C7E10019-40A6-4127-A90C-5B6D9A979C6A}">
      <formula1>1</formula1>
      <formula2>2958465</formula2>
    </dataValidation>
    <dataValidation type="time" allowBlank="1" showInputMessage="1" showErrorMessage="1" sqref="O5:O44" xr:uid="{148F4F2F-D0FD-40B8-B33A-7A0A28A6C608}">
      <formula1>0</formula1>
      <formula2>0.9993055</formula2>
    </dataValidation>
    <dataValidation type="list" allowBlank="1" showInputMessage="1" showErrorMessage="1" sqref="P5:P44" xr:uid="{48267F8D-413A-4218-A92D-FC1CFE55D4DB}">
      <formula1>nLIST_Offset</formula1>
    </dataValidation>
    <dataValidation type="whole" allowBlank="1" showInputMessage="1" showErrorMessage="1" sqref="Q5:Q44" xr:uid="{E9FE80F9-FC37-4929-BEEC-BF0BA9584F8C}">
      <formula1>1900</formula1>
      <formula2>9999</formula2>
    </dataValidation>
    <dataValidation type="whole" allowBlank="1" showInputMessage="1" showErrorMessage="1" sqref="R5:R44" xr:uid="{189D954E-BAA1-46DE-9DB7-52337C1CEDAC}">
      <formula1>1</formula1>
      <formula2>12</formula2>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D9D085-D0B9-4BA3-8327-735035A9B046}">
  <dimension ref="A1:M52"/>
  <sheetViews>
    <sheetView zoomScale="90" zoomScaleNormal="90" workbookViewId="0">
      <pane xSplit="3" ySplit="4" topLeftCell="D5" activePane="bottomRight" state="frozenSplit"/>
      <selection pane="topRight" activeCell="D1" sqref="D1"/>
      <selection pane="bottomLeft" activeCell="A5" sqref="A5"/>
      <selection pane="bottomRight"/>
    </sheetView>
  </sheetViews>
  <sheetFormatPr defaultRowHeight="12.75" x14ac:dyDescent="0.2"/>
  <cols>
    <col min="1" max="1" width="10.7109375" style="1" customWidth="1"/>
    <col min="2" max="2" width="7.7109375" style="1" customWidth="1"/>
    <col min="3" max="3" width="8.7109375" style="1" customWidth="1"/>
    <col min="4" max="5" width="12.7109375" style="1" customWidth="1"/>
    <col min="6" max="6" width="40.7109375" style="1" customWidth="1"/>
    <col min="7" max="7" width="12.7109375" style="1" customWidth="1"/>
    <col min="8" max="8" width="14.7109375" style="1" customWidth="1"/>
    <col min="9" max="9" width="5.7109375" style="1" customWidth="1"/>
    <col min="10" max="11" width="6.7109375" style="1" customWidth="1"/>
    <col min="12" max="12" width="14.7109375" style="1" customWidth="1"/>
    <col min="13" max="13" width="40.7109375" style="1" customWidth="1"/>
    <col min="14" max="16384" width="9.140625" style="1"/>
  </cols>
  <sheetData>
    <row r="1" spans="1:13" ht="17.25" x14ac:dyDescent="0.3">
      <c r="A1" s="6" t="s">
        <v>791</v>
      </c>
    </row>
    <row r="2" spans="1:13" x14ac:dyDescent="0.2">
      <c r="A2" s="7" t="s">
        <v>272</v>
      </c>
    </row>
    <row r="3" spans="1:13" x14ac:dyDescent="0.2">
      <c r="A3" s="2" t="s">
        <v>792</v>
      </c>
      <c r="H3" s="2" t="s">
        <v>283</v>
      </c>
    </row>
    <row r="4" spans="1:13" ht="66" customHeight="1" x14ac:dyDescent="0.2">
      <c r="A4" s="8" t="s">
        <v>274</v>
      </c>
      <c r="B4" s="8" t="s">
        <v>275</v>
      </c>
      <c r="C4" s="8" t="s">
        <v>793</v>
      </c>
      <c r="D4" s="8" t="s">
        <v>535</v>
      </c>
      <c r="E4" s="8" t="s">
        <v>794</v>
      </c>
      <c r="F4" s="8" t="s">
        <v>795</v>
      </c>
      <c r="G4" s="8" t="s">
        <v>796</v>
      </c>
      <c r="H4" s="19" t="s">
        <v>797</v>
      </c>
      <c r="I4" s="19" t="s">
        <v>285</v>
      </c>
      <c r="J4" s="19" t="s">
        <v>592</v>
      </c>
      <c r="K4" s="19" t="s">
        <v>798</v>
      </c>
      <c r="L4" s="19" t="s">
        <v>423</v>
      </c>
      <c r="M4" s="19" t="s">
        <v>287</v>
      </c>
    </row>
    <row r="5" spans="1:13" x14ac:dyDescent="0.2">
      <c r="A5" s="10"/>
      <c r="B5" s="12"/>
      <c r="C5" s="10"/>
      <c r="D5" s="10"/>
      <c r="E5" s="10"/>
      <c r="F5" s="10"/>
      <c r="G5" s="10"/>
      <c r="H5" s="21" t="str">
        <f t="shared" ref="H5:H24" si="0">IF(C5="","",A5&amp;"|"&amp;B5&amp;"|"&amp;C5)</f>
        <v/>
      </c>
      <c r="I5" s="22">
        <f>IF(H5="",0,COUNTIF(nLNK_Key,H5))</f>
        <v>0</v>
      </c>
      <c r="J5" s="22">
        <f>IF(C5="",1,IF(COUNTIF(nEXP_Key,A5&amp;"|"&amp;B5&amp;"|"&amp;D5)&gt;0,1,0))</f>
        <v>1</v>
      </c>
      <c r="K5" s="22">
        <f>IF(C5="",1,IF(COUNTIF(nEVT_Key,A5&amp;"|"&amp;B5&amp;"|"&amp;E5)&gt;0,1,0))</f>
        <v>1</v>
      </c>
      <c r="L5" s="21" t="str">
        <f t="shared" ref="L5:L24" si="1">IF(C5="",IF(COUNTA(D5,E5)&gt;0,"E_MISSING_INPUT",""),IF(I5&gt;1,"E_DUPLICATE_ID",IF(OR(J5=0,K5=0,F5=""),"E_MISSING_INPUT","")))</f>
        <v/>
      </c>
      <c r="M5" s="21" t="str">
        <f>IF(L5="","",L5&amp;": "&amp;SUBSTITUTE(IFERROR(INDEX(nMSG_Text,MATCH(L5,nMSG_Code,0)),""),"[input]",IF(C5="","a Link_ID",IF(J5=0,"an Exposures row for "&amp;D5,IF(K5=0,"an Events row for "&amp;E5,"a reason for the pairing")))))</f>
        <v/>
      </c>
    </row>
    <row r="6" spans="1:13" x14ac:dyDescent="0.2">
      <c r="A6" s="10"/>
      <c r="B6" s="12"/>
      <c r="C6" s="10"/>
      <c r="D6" s="10"/>
      <c r="E6" s="10"/>
      <c r="F6" s="10"/>
      <c r="G6" s="10"/>
      <c r="H6" s="21" t="str">
        <f t="shared" si="0"/>
        <v/>
      </c>
      <c r="I6" s="22">
        <f>IF(H6="",0,COUNTIF(nLNK_Key,H6))</f>
        <v>0</v>
      </c>
      <c r="J6" s="22">
        <f>IF(C6="",1,IF(COUNTIF(nEXP_Key,A6&amp;"|"&amp;B6&amp;"|"&amp;D6)&gt;0,1,0))</f>
        <v>1</v>
      </c>
      <c r="K6" s="22">
        <f>IF(C6="",1,IF(COUNTIF(nEVT_Key,A6&amp;"|"&amp;B6&amp;"|"&amp;E6)&gt;0,1,0))</f>
        <v>1</v>
      </c>
      <c r="L6" s="21" t="str">
        <f t="shared" si="1"/>
        <v/>
      </c>
      <c r="M6" s="21" t="str">
        <f>IF(L6="","",L6&amp;": "&amp;SUBSTITUTE(IFERROR(INDEX(nMSG_Text,MATCH(L6,nMSG_Code,0)),""),"[input]",IF(C6="","a Link_ID",IF(J6=0,"an Exposures row for "&amp;D6,IF(K6=0,"an Events row for "&amp;E6,"a reason for the pairing")))))</f>
        <v/>
      </c>
    </row>
    <row r="7" spans="1:13" x14ac:dyDescent="0.2">
      <c r="A7" s="10"/>
      <c r="B7" s="12"/>
      <c r="C7" s="10"/>
      <c r="D7" s="10"/>
      <c r="E7" s="10"/>
      <c r="F7" s="10"/>
      <c r="G7" s="10"/>
      <c r="H7" s="21" t="str">
        <f t="shared" si="0"/>
        <v/>
      </c>
      <c r="I7" s="22">
        <f>IF(H7="",0,COUNTIF(nLNK_Key,H7))</f>
        <v>0</v>
      </c>
      <c r="J7" s="22">
        <f>IF(C7="",1,IF(COUNTIF(nEXP_Key,A7&amp;"|"&amp;B7&amp;"|"&amp;D7)&gt;0,1,0))</f>
        <v>1</v>
      </c>
      <c r="K7" s="22">
        <f>IF(C7="",1,IF(COUNTIF(nEVT_Key,A7&amp;"|"&amp;B7&amp;"|"&amp;E7)&gt;0,1,0))</f>
        <v>1</v>
      </c>
      <c r="L7" s="21" t="str">
        <f t="shared" si="1"/>
        <v/>
      </c>
      <c r="M7" s="21" t="str">
        <f>IF(L7="","",L7&amp;": "&amp;SUBSTITUTE(IFERROR(INDEX(nMSG_Text,MATCH(L7,nMSG_Code,0)),""),"[input]",IF(C7="","a Link_ID",IF(J7=0,"an Exposures row for "&amp;D7,IF(K7=0,"an Events row for "&amp;E7,"a reason for the pairing")))))</f>
        <v/>
      </c>
    </row>
    <row r="8" spans="1:13" x14ac:dyDescent="0.2">
      <c r="A8" s="10"/>
      <c r="B8" s="12"/>
      <c r="C8" s="10"/>
      <c r="D8" s="10"/>
      <c r="E8" s="10"/>
      <c r="F8" s="10"/>
      <c r="G8" s="10"/>
      <c r="H8" s="21" t="str">
        <f t="shared" si="0"/>
        <v/>
      </c>
      <c r="I8" s="22">
        <f>IF(H8="",0,COUNTIF(nLNK_Key,H8))</f>
        <v>0</v>
      </c>
      <c r="J8" s="22">
        <f>IF(C8="",1,IF(COUNTIF(nEXP_Key,A8&amp;"|"&amp;B8&amp;"|"&amp;D8)&gt;0,1,0))</f>
        <v>1</v>
      </c>
      <c r="K8" s="22">
        <f>IF(C8="",1,IF(COUNTIF(nEVT_Key,A8&amp;"|"&amp;B8&amp;"|"&amp;E8)&gt;0,1,0))</f>
        <v>1</v>
      </c>
      <c r="L8" s="21" t="str">
        <f t="shared" si="1"/>
        <v/>
      </c>
      <c r="M8" s="21" t="str">
        <f>IF(L8="","",L8&amp;": "&amp;SUBSTITUTE(IFERROR(INDEX(nMSG_Text,MATCH(L8,nMSG_Code,0)),""),"[input]",IF(C8="","a Link_ID",IF(J8=0,"an Exposures row for "&amp;D8,IF(K8=0,"an Events row for "&amp;E8,"a reason for the pairing")))))</f>
        <v/>
      </c>
    </row>
    <row r="9" spans="1:13" x14ac:dyDescent="0.2">
      <c r="A9" s="10"/>
      <c r="B9" s="12"/>
      <c r="C9" s="10"/>
      <c r="D9" s="10"/>
      <c r="E9" s="10"/>
      <c r="F9" s="10"/>
      <c r="G9" s="10"/>
      <c r="H9" s="21" t="str">
        <f t="shared" si="0"/>
        <v/>
      </c>
      <c r="I9" s="22">
        <f>IF(H9="",0,COUNTIF(nLNK_Key,H9))</f>
        <v>0</v>
      </c>
      <c r="J9" s="22">
        <f>IF(C9="",1,IF(COUNTIF(nEXP_Key,A9&amp;"|"&amp;B9&amp;"|"&amp;D9)&gt;0,1,0))</f>
        <v>1</v>
      </c>
      <c r="K9" s="22">
        <f>IF(C9="",1,IF(COUNTIF(nEVT_Key,A9&amp;"|"&amp;B9&amp;"|"&amp;E9)&gt;0,1,0))</f>
        <v>1</v>
      </c>
      <c r="L9" s="21" t="str">
        <f t="shared" si="1"/>
        <v/>
      </c>
      <c r="M9" s="21" t="str">
        <f>IF(L9="","",L9&amp;": "&amp;SUBSTITUTE(IFERROR(INDEX(nMSG_Text,MATCH(L9,nMSG_Code,0)),""),"[input]",IF(C9="","a Link_ID",IF(J9=0,"an Exposures row for "&amp;D9,IF(K9=0,"an Events row for "&amp;E9,"a reason for the pairing")))))</f>
        <v/>
      </c>
    </row>
    <row r="10" spans="1:13" x14ac:dyDescent="0.2">
      <c r="A10" s="10"/>
      <c r="B10" s="12"/>
      <c r="C10" s="10"/>
      <c r="D10" s="10"/>
      <c r="E10" s="10"/>
      <c r="F10" s="10"/>
      <c r="G10" s="10"/>
      <c r="H10" s="21" t="str">
        <f t="shared" si="0"/>
        <v/>
      </c>
      <c r="I10" s="22">
        <f>IF(H10="",0,COUNTIF(nLNK_Key,H10))</f>
        <v>0</v>
      </c>
      <c r="J10" s="22">
        <f>IF(C10="",1,IF(COUNTIF(nEXP_Key,A10&amp;"|"&amp;B10&amp;"|"&amp;D10)&gt;0,1,0))</f>
        <v>1</v>
      </c>
      <c r="K10" s="22">
        <f>IF(C10="",1,IF(COUNTIF(nEVT_Key,A10&amp;"|"&amp;B10&amp;"|"&amp;E10)&gt;0,1,0))</f>
        <v>1</v>
      </c>
      <c r="L10" s="21" t="str">
        <f t="shared" si="1"/>
        <v/>
      </c>
      <c r="M10" s="21" t="str">
        <f>IF(L10="","",L10&amp;": "&amp;SUBSTITUTE(IFERROR(INDEX(nMSG_Text,MATCH(L10,nMSG_Code,0)),""),"[input]",IF(C10="","a Link_ID",IF(J10=0,"an Exposures row for "&amp;D10,IF(K10=0,"an Events row for "&amp;E10,"a reason for the pairing")))))</f>
        <v/>
      </c>
    </row>
    <row r="11" spans="1:13" x14ac:dyDescent="0.2">
      <c r="A11" s="10"/>
      <c r="B11" s="12"/>
      <c r="C11" s="10"/>
      <c r="D11" s="10"/>
      <c r="E11" s="10"/>
      <c r="F11" s="10"/>
      <c r="G11" s="10"/>
      <c r="H11" s="21" t="str">
        <f t="shared" si="0"/>
        <v/>
      </c>
      <c r="I11" s="22">
        <f>IF(H11="",0,COUNTIF(nLNK_Key,H11))</f>
        <v>0</v>
      </c>
      <c r="J11" s="22">
        <f>IF(C11="",1,IF(COUNTIF(nEXP_Key,A11&amp;"|"&amp;B11&amp;"|"&amp;D11)&gt;0,1,0))</f>
        <v>1</v>
      </c>
      <c r="K11" s="22">
        <f>IF(C11="",1,IF(COUNTIF(nEVT_Key,A11&amp;"|"&amp;B11&amp;"|"&amp;E11)&gt;0,1,0))</f>
        <v>1</v>
      </c>
      <c r="L11" s="21" t="str">
        <f t="shared" si="1"/>
        <v/>
      </c>
      <c r="M11" s="21" t="str">
        <f>IF(L11="","",L11&amp;": "&amp;SUBSTITUTE(IFERROR(INDEX(nMSG_Text,MATCH(L11,nMSG_Code,0)),""),"[input]",IF(C11="","a Link_ID",IF(J11=0,"an Exposures row for "&amp;D11,IF(K11=0,"an Events row for "&amp;E11,"a reason for the pairing")))))</f>
        <v/>
      </c>
    </row>
    <row r="12" spans="1:13" x14ac:dyDescent="0.2">
      <c r="A12" s="10"/>
      <c r="B12" s="12"/>
      <c r="C12" s="10"/>
      <c r="D12" s="10"/>
      <c r="E12" s="10"/>
      <c r="F12" s="10"/>
      <c r="G12" s="10"/>
      <c r="H12" s="21" t="str">
        <f t="shared" si="0"/>
        <v/>
      </c>
      <c r="I12" s="22">
        <f>IF(H12="",0,COUNTIF(nLNK_Key,H12))</f>
        <v>0</v>
      </c>
      <c r="J12" s="22">
        <f>IF(C12="",1,IF(COUNTIF(nEXP_Key,A12&amp;"|"&amp;B12&amp;"|"&amp;D12)&gt;0,1,0))</f>
        <v>1</v>
      </c>
      <c r="K12" s="22">
        <f>IF(C12="",1,IF(COUNTIF(nEVT_Key,A12&amp;"|"&amp;B12&amp;"|"&amp;E12)&gt;0,1,0))</f>
        <v>1</v>
      </c>
      <c r="L12" s="21" t="str">
        <f t="shared" si="1"/>
        <v/>
      </c>
      <c r="M12" s="21" t="str">
        <f>IF(L12="","",L12&amp;": "&amp;SUBSTITUTE(IFERROR(INDEX(nMSG_Text,MATCH(L12,nMSG_Code,0)),""),"[input]",IF(C12="","a Link_ID",IF(J12=0,"an Exposures row for "&amp;D12,IF(K12=0,"an Events row for "&amp;E12,"a reason for the pairing")))))</f>
        <v/>
      </c>
    </row>
    <row r="13" spans="1:13" x14ac:dyDescent="0.2">
      <c r="A13" s="10"/>
      <c r="B13" s="12"/>
      <c r="C13" s="10"/>
      <c r="D13" s="10"/>
      <c r="E13" s="10"/>
      <c r="F13" s="10"/>
      <c r="G13" s="10"/>
      <c r="H13" s="21" t="str">
        <f t="shared" si="0"/>
        <v/>
      </c>
      <c r="I13" s="22">
        <f>IF(H13="",0,COUNTIF(nLNK_Key,H13))</f>
        <v>0</v>
      </c>
      <c r="J13" s="22">
        <f>IF(C13="",1,IF(COUNTIF(nEXP_Key,A13&amp;"|"&amp;B13&amp;"|"&amp;D13)&gt;0,1,0))</f>
        <v>1</v>
      </c>
      <c r="K13" s="22">
        <f>IF(C13="",1,IF(COUNTIF(nEVT_Key,A13&amp;"|"&amp;B13&amp;"|"&amp;E13)&gt;0,1,0))</f>
        <v>1</v>
      </c>
      <c r="L13" s="21" t="str">
        <f t="shared" si="1"/>
        <v/>
      </c>
      <c r="M13" s="21" t="str">
        <f>IF(L13="","",L13&amp;": "&amp;SUBSTITUTE(IFERROR(INDEX(nMSG_Text,MATCH(L13,nMSG_Code,0)),""),"[input]",IF(C13="","a Link_ID",IF(J13=0,"an Exposures row for "&amp;D13,IF(K13=0,"an Events row for "&amp;E13,"a reason for the pairing")))))</f>
        <v/>
      </c>
    </row>
    <row r="14" spans="1:13" x14ac:dyDescent="0.2">
      <c r="A14" s="10"/>
      <c r="B14" s="12"/>
      <c r="C14" s="10"/>
      <c r="D14" s="10"/>
      <c r="E14" s="10"/>
      <c r="F14" s="10"/>
      <c r="G14" s="10"/>
      <c r="H14" s="21" t="str">
        <f t="shared" si="0"/>
        <v/>
      </c>
      <c r="I14" s="22">
        <f>IF(H14="",0,COUNTIF(nLNK_Key,H14))</f>
        <v>0</v>
      </c>
      <c r="J14" s="22">
        <f>IF(C14="",1,IF(COUNTIF(nEXP_Key,A14&amp;"|"&amp;B14&amp;"|"&amp;D14)&gt;0,1,0))</f>
        <v>1</v>
      </c>
      <c r="K14" s="22">
        <f>IF(C14="",1,IF(COUNTIF(nEVT_Key,A14&amp;"|"&amp;B14&amp;"|"&amp;E14)&gt;0,1,0))</f>
        <v>1</v>
      </c>
      <c r="L14" s="21" t="str">
        <f t="shared" si="1"/>
        <v/>
      </c>
      <c r="M14" s="21" t="str">
        <f>IF(L14="","",L14&amp;": "&amp;SUBSTITUTE(IFERROR(INDEX(nMSG_Text,MATCH(L14,nMSG_Code,0)),""),"[input]",IF(C14="","a Link_ID",IF(J14=0,"an Exposures row for "&amp;D14,IF(K14=0,"an Events row for "&amp;E14,"a reason for the pairing")))))</f>
        <v/>
      </c>
    </row>
    <row r="15" spans="1:13" x14ac:dyDescent="0.2">
      <c r="A15" s="10"/>
      <c r="B15" s="12"/>
      <c r="C15" s="10"/>
      <c r="D15" s="10"/>
      <c r="E15" s="10"/>
      <c r="F15" s="10"/>
      <c r="G15" s="10"/>
      <c r="H15" s="21" t="str">
        <f t="shared" si="0"/>
        <v/>
      </c>
      <c r="I15" s="22">
        <f>IF(H15="",0,COUNTIF(nLNK_Key,H15))</f>
        <v>0</v>
      </c>
      <c r="J15" s="22">
        <f>IF(C15="",1,IF(COUNTIF(nEXP_Key,A15&amp;"|"&amp;B15&amp;"|"&amp;D15)&gt;0,1,0))</f>
        <v>1</v>
      </c>
      <c r="K15" s="22">
        <f>IF(C15="",1,IF(COUNTIF(nEVT_Key,A15&amp;"|"&amp;B15&amp;"|"&amp;E15)&gt;0,1,0))</f>
        <v>1</v>
      </c>
      <c r="L15" s="21" t="str">
        <f t="shared" si="1"/>
        <v/>
      </c>
      <c r="M15" s="21" t="str">
        <f>IF(L15="","",L15&amp;": "&amp;SUBSTITUTE(IFERROR(INDEX(nMSG_Text,MATCH(L15,nMSG_Code,0)),""),"[input]",IF(C15="","a Link_ID",IF(J15=0,"an Exposures row for "&amp;D15,IF(K15=0,"an Events row for "&amp;E15,"a reason for the pairing")))))</f>
        <v/>
      </c>
    </row>
    <row r="16" spans="1:13" x14ac:dyDescent="0.2">
      <c r="A16" s="10"/>
      <c r="B16" s="12"/>
      <c r="C16" s="10"/>
      <c r="D16" s="10"/>
      <c r="E16" s="10"/>
      <c r="F16" s="10"/>
      <c r="G16" s="10"/>
      <c r="H16" s="21" t="str">
        <f t="shared" si="0"/>
        <v/>
      </c>
      <c r="I16" s="22">
        <f>IF(H16="",0,COUNTIF(nLNK_Key,H16))</f>
        <v>0</v>
      </c>
      <c r="J16" s="22">
        <f>IF(C16="",1,IF(COUNTIF(nEXP_Key,A16&amp;"|"&amp;B16&amp;"|"&amp;D16)&gt;0,1,0))</f>
        <v>1</v>
      </c>
      <c r="K16" s="22">
        <f>IF(C16="",1,IF(COUNTIF(nEVT_Key,A16&amp;"|"&amp;B16&amp;"|"&amp;E16)&gt;0,1,0))</f>
        <v>1</v>
      </c>
      <c r="L16" s="21" t="str">
        <f t="shared" si="1"/>
        <v/>
      </c>
      <c r="M16" s="21" t="str">
        <f>IF(L16="","",L16&amp;": "&amp;SUBSTITUTE(IFERROR(INDEX(nMSG_Text,MATCH(L16,nMSG_Code,0)),""),"[input]",IF(C16="","a Link_ID",IF(J16=0,"an Exposures row for "&amp;D16,IF(K16=0,"an Events row for "&amp;E16,"a reason for the pairing")))))</f>
        <v/>
      </c>
    </row>
    <row r="17" spans="1:13" x14ac:dyDescent="0.2">
      <c r="A17" s="10"/>
      <c r="B17" s="12"/>
      <c r="C17" s="10"/>
      <c r="D17" s="10"/>
      <c r="E17" s="10"/>
      <c r="F17" s="10"/>
      <c r="G17" s="10"/>
      <c r="H17" s="21" t="str">
        <f t="shared" si="0"/>
        <v/>
      </c>
      <c r="I17" s="22">
        <f>IF(H17="",0,COUNTIF(nLNK_Key,H17))</f>
        <v>0</v>
      </c>
      <c r="J17" s="22">
        <f>IF(C17="",1,IF(COUNTIF(nEXP_Key,A17&amp;"|"&amp;B17&amp;"|"&amp;D17)&gt;0,1,0))</f>
        <v>1</v>
      </c>
      <c r="K17" s="22">
        <f>IF(C17="",1,IF(COUNTIF(nEVT_Key,A17&amp;"|"&amp;B17&amp;"|"&amp;E17)&gt;0,1,0))</f>
        <v>1</v>
      </c>
      <c r="L17" s="21" t="str">
        <f t="shared" si="1"/>
        <v/>
      </c>
      <c r="M17" s="21" t="str">
        <f>IF(L17="","",L17&amp;": "&amp;SUBSTITUTE(IFERROR(INDEX(nMSG_Text,MATCH(L17,nMSG_Code,0)),""),"[input]",IF(C17="","a Link_ID",IF(J17=0,"an Exposures row for "&amp;D17,IF(K17=0,"an Events row for "&amp;E17,"a reason for the pairing")))))</f>
        <v/>
      </c>
    </row>
    <row r="18" spans="1:13" x14ac:dyDescent="0.2">
      <c r="A18" s="10"/>
      <c r="B18" s="12"/>
      <c r="C18" s="10"/>
      <c r="D18" s="10"/>
      <c r="E18" s="10"/>
      <c r="F18" s="10"/>
      <c r="G18" s="10"/>
      <c r="H18" s="21" t="str">
        <f t="shared" si="0"/>
        <v/>
      </c>
      <c r="I18" s="22">
        <f>IF(H18="",0,COUNTIF(nLNK_Key,H18))</f>
        <v>0</v>
      </c>
      <c r="J18" s="22">
        <f>IF(C18="",1,IF(COUNTIF(nEXP_Key,A18&amp;"|"&amp;B18&amp;"|"&amp;D18)&gt;0,1,0))</f>
        <v>1</v>
      </c>
      <c r="K18" s="22">
        <f>IF(C18="",1,IF(COUNTIF(nEVT_Key,A18&amp;"|"&amp;B18&amp;"|"&amp;E18)&gt;0,1,0))</f>
        <v>1</v>
      </c>
      <c r="L18" s="21" t="str">
        <f t="shared" si="1"/>
        <v/>
      </c>
      <c r="M18" s="21" t="str">
        <f>IF(L18="","",L18&amp;": "&amp;SUBSTITUTE(IFERROR(INDEX(nMSG_Text,MATCH(L18,nMSG_Code,0)),""),"[input]",IF(C18="","a Link_ID",IF(J18=0,"an Exposures row for "&amp;D18,IF(K18=0,"an Events row for "&amp;E18,"a reason for the pairing")))))</f>
        <v/>
      </c>
    </row>
    <row r="19" spans="1:13" x14ac:dyDescent="0.2">
      <c r="A19" s="10"/>
      <c r="B19" s="12"/>
      <c r="C19" s="10"/>
      <c r="D19" s="10"/>
      <c r="E19" s="10"/>
      <c r="F19" s="10"/>
      <c r="G19" s="10"/>
      <c r="H19" s="21" t="str">
        <f t="shared" si="0"/>
        <v/>
      </c>
      <c r="I19" s="22">
        <f>IF(H19="",0,COUNTIF(nLNK_Key,H19))</f>
        <v>0</v>
      </c>
      <c r="J19" s="22">
        <f>IF(C19="",1,IF(COUNTIF(nEXP_Key,A19&amp;"|"&amp;B19&amp;"|"&amp;D19)&gt;0,1,0))</f>
        <v>1</v>
      </c>
      <c r="K19" s="22">
        <f>IF(C19="",1,IF(COUNTIF(nEVT_Key,A19&amp;"|"&amp;B19&amp;"|"&amp;E19)&gt;0,1,0))</f>
        <v>1</v>
      </c>
      <c r="L19" s="21" t="str">
        <f t="shared" si="1"/>
        <v/>
      </c>
      <c r="M19" s="21" t="str">
        <f>IF(L19="","",L19&amp;": "&amp;SUBSTITUTE(IFERROR(INDEX(nMSG_Text,MATCH(L19,nMSG_Code,0)),""),"[input]",IF(C19="","a Link_ID",IF(J19=0,"an Exposures row for "&amp;D19,IF(K19=0,"an Events row for "&amp;E19,"a reason for the pairing")))))</f>
        <v/>
      </c>
    </row>
    <row r="20" spans="1:13" x14ac:dyDescent="0.2">
      <c r="A20" s="10"/>
      <c r="B20" s="12"/>
      <c r="C20" s="10"/>
      <c r="D20" s="10"/>
      <c r="E20" s="10"/>
      <c r="F20" s="10"/>
      <c r="G20" s="10"/>
      <c r="H20" s="21" t="str">
        <f t="shared" si="0"/>
        <v/>
      </c>
      <c r="I20" s="22">
        <f>IF(H20="",0,COUNTIF(nLNK_Key,H20))</f>
        <v>0</v>
      </c>
      <c r="J20" s="22">
        <f>IF(C20="",1,IF(COUNTIF(nEXP_Key,A20&amp;"|"&amp;B20&amp;"|"&amp;D20)&gt;0,1,0))</f>
        <v>1</v>
      </c>
      <c r="K20" s="22">
        <f>IF(C20="",1,IF(COUNTIF(nEVT_Key,A20&amp;"|"&amp;B20&amp;"|"&amp;E20)&gt;0,1,0))</f>
        <v>1</v>
      </c>
      <c r="L20" s="21" t="str">
        <f t="shared" si="1"/>
        <v/>
      </c>
      <c r="M20" s="21" t="str">
        <f>IF(L20="","",L20&amp;": "&amp;SUBSTITUTE(IFERROR(INDEX(nMSG_Text,MATCH(L20,nMSG_Code,0)),""),"[input]",IF(C20="","a Link_ID",IF(J20=0,"an Exposures row for "&amp;D20,IF(K20=0,"an Events row for "&amp;E20,"a reason for the pairing")))))</f>
        <v/>
      </c>
    </row>
    <row r="21" spans="1:13" x14ac:dyDescent="0.2">
      <c r="A21" s="10"/>
      <c r="B21" s="12"/>
      <c r="C21" s="10"/>
      <c r="D21" s="10"/>
      <c r="E21" s="10"/>
      <c r="F21" s="10"/>
      <c r="G21" s="10"/>
      <c r="H21" s="21" t="str">
        <f t="shared" si="0"/>
        <v/>
      </c>
      <c r="I21" s="22">
        <f>IF(H21="",0,COUNTIF(nLNK_Key,H21))</f>
        <v>0</v>
      </c>
      <c r="J21" s="22">
        <f>IF(C21="",1,IF(COUNTIF(nEXP_Key,A21&amp;"|"&amp;B21&amp;"|"&amp;D21)&gt;0,1,0))</f>
        <v>1</v>
      </c>
      <c r="K21" s="22">
        <f>IF(C21="",1,IF(COUNTIF(nEVT_Key,A21&amp;"|"&amp;B21&amp;"|"&amp;E21)&gt;0,1,0))</f>
        <v>1</v>
      </c>
      <c r="L21" s="21" t="str">
        <f t="shared" si="1"/>
        <v/>
      </c>
      <c r="M21" s="21" t="str">
        <f>IF(L21="","",L21&amp;": "&amp;SUBSTITUTE(IFERROR(INDEX(nMSG_Text,MATCH(L21,nMSG_Code,0)),""),"[input]",IF(C21="","a Link_ID",IF(J21=0,"an Exposures row for "&amp;D21,IF(K21=0,"an Events row for "&amp;E21,"a reason for the pairing")))))</f>
        <v/>
      </c>
    </row>
    <row r="22" spans="1:13" x14ac:dyDescent="0.2">
      <c r="A22" s="10"/>
      <c r="B22" s="12"/>
      <c r="C22" s="10"/>
      <c r="D22" s="10"/>
      <c r="E22" s="10"/>
      <c r="F22" s="10"/>
      <c r="G22" s="10"/>
      <c r="H22" s="21" t="str">
        <f t="shared" si="0"/>
        <v/>
      </c>
      <c r="I22" s="22">
        <f>IF(H22="",0,COUNTIF(nLNK_Key,H22))</f>
        <v>0</v>
      </c>
      <c r="J22" s="22">
        <f>IF(C22="",1,IF(COUNTIF(nEXP_Key,A22&amp;"|"&amp;B22&amp;"|"&amp;D22)&gt;0,1,0))</f>
        <v>1</v>
      </c>
      <c r="K22" s="22">
        <f>IF(C22="",1,IF(COUNTIF(nEVT_Key,A22&amp;"|"&amp;B22&amp;"|"&amp;E22)&gt;0,1,0))</f>
        <v>1</v>
      </c>
      <c r="L22" s="21" t="str">
        <f t="shared" si="1"/>
        <v/>
      </c>
      <c r="M22" s="21" t="str">
        <f>IF(L22="","",L22&amp;": "&amp;SUBSTITUTE(IFERROR(INDEX(nMSG_Text,MATCH(L22,nMSG_Code,0)),""),"[input]",IF(C22="","a Link_ID",IF(J22=0,"an Exposures row for "&amp;D22,IF(K22=0,"an Events row for "&amp;E22,"a reason for the pairing")))))</f>
        <v/>
      </c>
    </row>
    <row r="23" spans="1:13" x14ac:dyDescent="0.2">
      <c r="A23" s="10"/>
      <c r="B23" s="12"/>
      <c r="C23" s="10"/>
      <c r="D23" s="10"/>
      <c r="E23" s="10"/>
      <c r="F23" s="10"/>
      <c r="G23" s="10"/>
      <c r="H23" s="21" t="str">
        <f t="shared" si="0"/>
        <v/>
      </c>
      <c r="I23" s="22">
        <f>IF(H23="",0,COUNTIF(nLNK_Key,H23))</f>
        <v>0</v>
      </c>
      <c r="J23" s="22">
        <f>IF(C23="",1,IF(COUNTIF(nEXP_Key,A23&amp;"|"&amp;B23&amp;"|"&amp;D23)&gt;0,1,0))</f>
        <v>1</v>
      </c>
      <c r="K23" s="22">
        <f>IF(C23="",1,IF(COUNTIF(nEVT_Key,A23&amp;"|"&amp;B23&amp;"|"&amp;E23)&gt;0,1,0))</f>
        <v>1</v>
      </c>
      <c r="L23" s="21" t="str">
        <f t="shared" si="1"/>
        <v/>
      </c>
      <c r="M23" s="21" t="str">
        <f>IF(L23="","",L23&amp;": "&amp;SUBSTITUTE(IFERROR(INDEX(nMSG_Text,MATCH(L23,nMSG_Code,0)),""),"[input]",IF(C23="","a Link_ID",IF(J23=0,"an Exposures row for "&amp;D23,IF(K23=0,"an Events row for "&amp;E23,"a reason for the pairing")))))</f>
        <v/>
      </c>
    </row>
    <row r="24" spans="1:13" x14ac:dyDescent="0.2">
      <c r="A24" s="10"/>
      <c r="B24" s="12"/>
      <c r="C24" s="10"/>
      <c r="D24" s="10"/>
      <c r="E24" s="10"/>
      <c r="F24" s="10"/>
      <c r="G24" s="10"/>
      <c r="H24" s="21" t="str">
        <f t="shared" si="0"/>
        <v/>
      </c>
      <c r="I24" s="22">
        <f>IF(H24="",0,COUNTIF(nLNK_Key,H24))</f>
        <v>0</v>
      </c>
      <c r="J24" s="22">
        <f>IF(C24="",1,IF(COUNTIF(nEXP_Key,A24&amp;"|"&amp;B24&amp;"|"&amp;D24)&gt;0,1,0))</f>
        <v>1</v>
      </c>
      <c r="K24" s="22">
        <f>IF(C24="",1,IF(COUNTIF(nEVT_Key,A24&amp;"|"&amp;B24&amp;"|"&amp;E24)&gt;0,1,0))</f>
        <v>1</v>
      </c>
      <c r="L24" s="21" t="str">
        <f t="shared" si="1"/>
        <v/>
      </c>
      <c r="M24" s="21" t="str">
        <f>IF(L24="","",L24&amp;": "&amp;SUBSTITUTE(IFERROR(INDEX(nMSG_Text,MATCH(L24,nMSG_Code,0)),""),"[input]",IF(C24="","a Link_ID",IF(J24=0,"an Exposures row for "&amp;D24,IF(K24=0,"an Events row for "&amp;E24,"a reason for the pairing")))))</f>
        <v/>
      </c>
    </row>
    <row r="25" spans="1:13" x14ac:dyDescent="0.2">
      <c r="A25" s="24" t="s">
        <v>288</v>
      </c>
      <c r="B25" s="23"/>
      <c r="C25" s="23"/>
      <c r="D25" s="23"/>
      <c r="E25" s="23"/>
      <c r="F25" s="23"/>
      <c r="G25" s="23"/>
      <c r="H25" s="23"/>
      <c r="I25" s="23"/>
      <c r="J25" s="23"/>
      <c r="K25" s="23"/>
      <c r="L25" s="23"/>
      <c r="M25" s="23"/>
    </row>
    <row r="26" spans="1:13" x14ac:dyDescent="0.2">
      <c r="A26" s="9" t="s">
        <v>291</v>
      </c>
      <c r="B26" s="11">
        <v>2</v>
      </c>
      <c r="C26" s="9" t="s">
        <v>801</v>
      </c>
      <c r="D26" s="9" t="s">
        <v>425</v>
      </c>
      <c r="E26" s="9" t="s">
        <v>663</v>
      </c>
      <c r="F26" s="9" t="s">
        <v>799</v>
      </c>
      <c r="G26" s="9" t="s">
        <v>800</v>
      </c>
      <c r="H26" s="21" t="str">
        <f t="shared" ref="H26:H34" si="2">IF(C26="","",A26&amp;"|"&amp;B26&amp;"|"&amp;C26)</f>
        <v>EX-C01|2|L1</v>
      </c>
      <c r="I26" s="22">
        <f>IF(H26="",0,COUNTIF(nLNK_Key,H26))</f>
        <v>1</v>
      </c>
      <c r="J26" s="22">
        <f>IF(C26="",1,IF(COUNTIF(nEXP_Key,A26&amp;"|"&amp;B26&amp;"|"&amp;D26)&gt;0,1,0))</f>
        <v>1</v>
      </c>
      <c r="K26" s="22">
        <f>IF(C26="",1,IF(COUNTIF(nEVT_Key,A26&amp;"|"&amp;B26&amp;"|"&amp;E26)&gt;0,1,0))</f>
        <v>1</v>
      </c>
      <c r="L26" s="21" t="str">
        <f t="shared" ref="L26:L34" si="3">IF(C26="",IF(COUNTA(D26,E26)&gt;0,"E_MISSING_INPUT",""),IF(I26&gt;1,"E_DUPLICATE_ID",IF(OR(J26=0,K26=0,F26=""),"E_MISSING_INPUT","")))</f>
        <v/>
      </c>
      <c r="M26" s="21" t="str">
        <f>IF(L26="","",L26&amp;": "&amp;SUBSTITUTE(IFERROR(INDEX(nMSG_Text,MATCH(L26,nMSG_Code,0)),""),"[input]",IF(C26="","a Link_ID",IF(J26=0,"an Exposures row for "&amp;D26,IF(K26=0,"an Events row for "&amp;E26,"a reason for the pairing")))))</f>
        <v/>
      </c>
    </row>
    <row r="27" spans="1:13" x14ac:dyDescent="0.2">
      <c r="A27" s="9" t="s">
        <v>291</v>
      </c>
      <c r="B27" s="11">
        <v>2</v>
      </c>
      <c r="C27" s="9" t="s">
        <v>803</v>
      </c>
      <c r="D27" s="9" t="s">
        <v>434</v>
      </c>
      <c r="E27" s="9" t="s">
        <v>663</v>
      </c>
      <c r="F27" s="9" t="s">
        <v>802</v>
      </c>
      <c r="G27" s="9" t="s">
        <v>800</v>
      </c>
      <c r="H27" s="21" t="str">
        <f t="shared" si="2"/>
        <v>EX-C01|2|L2</v>
      </c>
      <c r="I27" s="22">
        <f>IF(H27="",0,COUNTIF(nLNK_Key,H27))</f>
        <v>1</v>
      </c>
      <c r="J27" s="22">
        <f>IF(C27="",1,IF(COUNTIF(nEXP_Key,A27&amp;"|"&amp;B27&amp;"|"&amp;D27)&gt;0,1,0))</f>
        <v>1</v>
      </c>
      <c r="K27" s="22">
        <f>IF(C27="",1,IF(COUNTIF(nEVT_Key,A27&amp;"|"&amp;B27&amp;"|"&amp;E27)&gt;0,1,0))</f>
        <v>1</v>
      </c>
      <c r="L27" s="21" t="str">
        <f t="shared" si="3"/>
        <v/>
      </c>
      <c r="M27" s="21" t="str">
        <f>IF(L27="","",L27&amp;": "&amp;SUBSTITUTE(IFERROR(INDEX(nMSG_Text,MATCH(L27,nMSG_Code,0)),""),"[input]",IF(C27="","a Link_ID",IF(J27=0,"an Exposures row for "&amp;D27,IF(K27=0,"an Events row for "&amp;E27,"a reason for the pairing")))))</f>
        <v/>
      </c>
    </row>
    <row r="28" spans="1:13" x14ac:dyDescent="0.2">
      <c r="A28" s="9" t="s">
        <v>291</v>
      </c>
      <c r="B28" s="11">
        <v>2</v>
      </c>
      <c r="C28" s="9" t="s">
        <v>805</v>
      </c>
      <c r="D28" s="9" t="s">
        <v>442</v>
      </c>
      <c r="E28" s="9" t="s">
        <v>663</v>
      </c>
      <c r="F28" s="9" t="s">
        <v>804</v>
      </c>
      <c r="G28" s="9" t="s">
        <v>800</v>
      </c>
      <c r="H28" s="21" t="str">
        <f t="shared" si="2"/>
        <v>EX-C01|2|L3</v>
      </c>
      <c r="I28" s="22">
        <f>IF(H28="",0,COUNTIF(nLNK_Key,H28))</f>
        <v>1</v>
      </c>
      <c r="J28" s="22">
        <f>IF(C28="",1,IF(COUNTIF(nEXP_Key,A28&amp;"|"&amp;B28&amp;"|"&amp;D28)&gt;0,1,0))</f>
        <v>1</v>
      </c>
      <c r="K28" s="22">
        <f>IF(C28="",1,IF(COUNTIF(nEVT_Key,A28&amp;"|"&amp;B28&amp;"|"&amp;E28)&gt;0,1,0))</f>
        <v>1</v>
      </c>
      <c r="L28" s="21" t="str">
        <f t="shared" si="3"/>
        <v/>
      </c>
      <c r="M28" s="21" t="str">
        <f>IF(L28="","",L28&amp;": "&amp;SUBSTITUTE(IFERROR(INDEX(nMSG_Text,MATCH(L28,nMSG_Code,0)),""),"[input]",IF(C28="","a Link_ID",IF(J28=0,"an Exposures row for "&amp;D28,IF(K28=0,"an Events row for "&amp;E28,"a reason for the pairing")))))</f>
        <v/>
      </c>
    </row>
    <row r="29" spans="1:13" x14ac:dyDescent="0.2">
      <c r="A29" s="9" t="s">
        <v>295</v>
      </c>
      <c r="B29" s="11">
        <v>2</v>
      </c>
      <c r="C29" s="9" t="s">
        <v>801</v>
      </c>
      <c r="D29" s="9" t="s">
        <v>446</v>
      </c>
      <c r="E29" s="9" t="s">
        <v>663</v>
      </c>
      <c r="F29" s="9" t="s">
        <v>806</v>
      </c>
      <c r="G29" s="9" t="s">
        <v>800</v>
      </c>
      <c r="H29" s="21" t="str">
        <f t="shared" si="2"/>
        <v>EX-C04|2|L1</v>
      </c>
      <c r="I29" s="22">
        <f>IF(H29="",0,COUNTIF(nLNK_Key,H29))</f>
        <v>1</v>
      </c>
      <c r="J29" s="22">
        <f>IF(C29="",1,IF(COUNTIF(nEXP_Key,A29&amp;"|"&amp;B29&amp;"|"&amp;D29)&gt;0,1,0))</f>
        <v>1</v>
      </c>
      <c r="K29" s="22">
        <f>IF(C29="",1,IF(COUNTIF(nEVT_Key,A29&amp;"|"&amp;B29&amp;"|"&amp;E29)&gt;0,1,0))</f>
        <v>1</v>
      </c>
      <c r="L29" s="21" t="str">
        <f t="shared" si="3"/>
        <v/>
      </c>
      <c r="M29" s="21" t="str">
        <f>IF(L29="","",L29&amp;": "&amp;SUBSTITUTE(IFERROR(INDEX(nMSG_Text,MATCH(L29,nMSG_Code,0)),""),"[input]",IF(C29="","a Link_ID",IF(J29=0,"an Exposures row for "&amp;D29,IF(K29=0,"an Events row for "&amp;E29,"a reason for the pairing")))))</f>
        <v/>
      </c>
    </row>
    <row r="30" spans="1:13" x14ac:dyDescent="0.2">
      <c r="A30" s="9" t="s">
        <v>295</v>
      </c>
      <c r="B30" s="11">
        <v>2</v>
      </c>
      <c r="C30" s="9" t="s">
        <v>803</v>
      </c>
      <c r="D30" s="9" t="s">
        <v>455</v>
      </c>
      <c r="E30" s="9" t="s">
        <v>663</v>
      </c>
      <c r="F30" s="9" t="s">
        <v>807</v>
      </c>
      <c r="G30" s="9" t="s">
        <v>800</v>
      </c>
      <c r="H30" s="21" t="str">
        <f t="shared" si="2"/>
        <v>EX-C04|2|L2</v>
      </c>
      <c r="I30" s="22">
        <f>IF(H30="",0,COUNTIF(nLNK_Key,H30))</f>
        <v>1</v>
      </c>
      <c r="J30" s="22">
        <f>IF(C30="",1,IF(COUNTIF(nEXP_Key,A30&amp;"|"&amp;B30&amp;"|"&amp;D30)&gt;0,1,0))</f>
        <v>1</v>
      </c>
      <c r="K30" s="22">
        <f>IF(C30="",1,IF(COUNTIF(nEVT_Key,A30&amp;"|"&amp;B30&amp;"|"&amp;E30)&gt;0,1,0))</f>
        <v>1</v>
      </c>
      <c r="L30" s="21" t="str">
        <f t="shared" si="3"/>
        <v/>
      </c>
      <c r="M30" s="21" t="str">
        <f>IF(L30="","",L30&amp;": "&amp;SUBSTITUTE(IFERROR(INDEX(nMSG_Text,MATCH(L30,nMSG_Code,0)),""),"[input]",IF(C30="","a Link_ID",IF(J30=0,"an Exposures row for "&amp;D30,IF(K30=0,"an Events row for "&amp;E30,"a reason for the pairing")))))</f>
        <v/>
      </c>
    </row>
    <row r="31" spans="1:13" x14ac:dyDescent="0.2">
      <c r="A31" s="9" t="s">
        <v>299</v>
      </c>
      <c r="B31" s="11">
        <v>2</v>
      </c>
      <c r="C31" s="9" t="s">
        <v>801</v>
      </c>
      <c r="D31" s="9" t="s">
        <v>467</v>
      </c>
      <c r="E31" s="9" t="s">
        <v>671</v>
      </c>
      <c r="F31" s="9" t="s">
        <v>806</v>
      </c>
      <c r="G31" s="9" t="s">
        <v>800</v>
      </c>
      <c r="H31" s="21" t="str">
        <f t="shared" si="2"/>
        <v>EX-C28|2|L1</v>
      </c>
      <c r="I31" s="22">
        <f>IF(H31="",0,COUNTIF(nLNK_Key,H31))</f>
        <v>1</v>
      </c>
      <c r="J31" s="22">
        <f>IF(C31="",1,IF(COUNTIF(nEXP_Key,A31&amp;"|"&amp;B31&amp;"|"&amp;D31)&gt;0,1,0))</f>
        <v>1</v>
      </c>
      <c r="K31" s="22">
        <f>IF(C31="",1,IF(COUNTIF(nEVT_Key,A31&amp;"|"&amp;B31&amp;"|"&amp;E31)&gt;0,1,0))</f>
        <v>1</v>
      </c>
      <c r="L31" s="21" t="str">
        <f t="shared" si="3"/>
        <v/>
      </c>
      <c r="M31" s="21" t="str">
        <f>IF(L31="","",L31&amp;": "&amp;SUBSTITUTE(IFERROR(INDEX(nMSG_Text,MATCH(L31,nMSG_Code,0)),""),"[input]",IF(C31="","a Link_ID",IF(J31=0,"an Exposures row for "&amp;D31,IF(K31=0,"an Events row for "&amp;E31,"a reason for the pairing")))))</f>
        <v/>
      </c>
    </row>
    <row r="32" spans="1:13" x14ac:dyDescent="0.2">
      <c r="A32" s="9" t="s">
        <v>299</v>
      </c>
      <c r="B32" s="11">
        <v>2</v>
      </c>
      <c r="C32" s="9" t="s">
        <v>803</v>
      </c>
      <c r="D32" s="9" t="s">
        <v>480</v>
      </c>
      <c r="E32" s="9" t="s">
        <v>671</v>
      </c>
      <c r="F32" s="9" t="s">
        <v>808</v>
      </c>
      <c r="G32" s="9" t="s">
        <v>800</v>
      </c>
      <c r="H32" s="21" t="str">
        <f t="shared" si="2"/>
        <v>EX-C28|2|L2</v>
      </c>
      <c r="I32" s="22">
        <f>IF(H32="",0,COUNTIF(nLNK_Key,H32))</f>
        <v>1</v>
      </c>
      <c r="J32" s="22">
        <f>IF(C32="",1,IF(COUNTIF(nEXP_Key,A32&amp;"|"&amp;B32&amp;"|"&amp;D32)&gt;0,1,0))</f>
        <v>1</v>
      </c>
      <c r="K32" s="22">
        <f>IF(C32="",1,IF(COUNTIF(nEVT_Key,A32&amp;"|"&amp;B32&amp;"|"&amp;E32)&gt;0,1,0))</f>
        <v>1</v>
      </c>
      <c r="L32" s="21" t="str">
        <f t="shared" si="3"/>
        <v/>
      </c>
      <c r="M32" s="21" t="str">
        <f>IF(L32="","",L32&amp;": "&amp;SUBSTITUTE(IFERROR(INDEX(nMSG_Text,MATCH(L32,nMSG_Code,0)),""),"[input]",IF(C32="","a Link_ID",IF(J32=0,"an Exposures row for "&amp;D32,IF(K32=0,"an Events row for "&amp;E32,"a reason for the pairing")))))</f>
        <v/>
      </c>
    </row>
    <row r="33" spans="1:13" x14ac:dyDescent="0.2">
      <c r="A33" s="9" t="s">
        <v>299</v>
      </c>
      <c r="B33" s="11">
        <v>2</v>
      </c>
      <c r="C33" s="9" t="s">
        <v>805</v>
      </c>
      <c r="D33" s="9" t="s">
        <v>484</v>
      </c>
      <c r="E33" s="9" t="s">
        <v>671</v>
      </c>
      <c r="F33" s="9" t="s">
        <v>809</v>
      </c>
      <c r="G33" s="9" t="s">
        <v>800</v>
      </c>
      <c r="H33" s="21" t="str">
        <f t="shared" si="2"/>
        <v>EX-C28|2|L3</v>
      </c>
      <c r="I33" s="22">
        <f>IF(H33="",0,COUNTIF(nLNK_Key,H33))</f>
        <v>1</v>
      </c>
      <c r="J33" s="22">
        <f>IF(C33="",1,IF(COUNTIF(nEXP_Key,A33&amp;"|"&amp;B33&amp;"|"&amp;D33)&gt;0,1,0))</f>
        <v>1</v>
      </c>
      <c r="K33" s="22">
        <f>IF(C33="",1,IF(COUNTIF(nEVT_Key,A33&amp;"|"&amp;B33&amp;"|"&amp;E33)&gt;0,1,0))</f>
        <v>1</v>
      </c>
      <c r="L33" s="21" t="str">
        <f t="shared" si="3"/>
        <v/>
      </c>
      <c r="M33" s="21" t="str">
        <f>IF(L33="","",L33&amp;": "&amp;SUBSTITUTE(IFERROR(INDEX(nMSG_Text,MATCH(L33,nMSG_Code,0)),""),"[input]",IF(C33="","a Link_ID",IF(J33=0,"an Exposures row for "&amp;D33,IF(K33=0,"an Events row for "&amp;E33,"a reason for the pairing")))))</f>
        <v/>
      </c>
    </row>
    <row r="34" spans="1:13" x14ac:dyDescent="0.2">
      <c r="A34" s="9" t="s">
        <v>299</v>
      </c>
      <c r="B34" s="11">
        <v>2</v>
      </c>
      <c r="C34" s="9" t="s">
        <v>811</v>
      </c>
      <c r="D34" s="9" t="s">
        <v>475</v>
      </c>
      <c r="E34" s="9" t="s">
        <v>671</v>
      </c>
      <c r="F34" s="9" t="s">
        <v>810</v>
      </c>
      <c r="G34" s="9" t="s">
        <v>800</v>
      </c>
      <c r="H34" s="21" t="str">
        <f t="shared" si="2"/>
        <v>EX-C28|2|L4</v>
      </c>
      <c r="I34" s="22">
        <f>IF(H34="",0,COUNTIF(nLNK_Key,H34))</f>
        <v>1</v>
      </c>
      <c r="J34" s="22">
        <f>IF(C34="",1,IF(COUNTIF(nEXP_Key,A34&amp;"|"&amp;B34&amp;"|"&amp;D34)&gt;0,1,0))</f>
        <v>1</v>
      </c>
      <c r="K34" s="22">
        <f>IF(C34="",1,IF(COUNTIF(nEVT_Key,A34&amp;"|"&amp;B34&amp;"|"&amp;E34)&gt;0,1,0))</f>
        <v>1</v>
      </c>
      <c r="L34" s="21" t="str">
        <f t="shared" si="3"/>
        <v/>
      </c>
      <c r="M34" s="21" t="str">
        <f>IF(L34="","",L34&amp;": "&amp;SUBSTITUTE(IFERROR(INDEX(nMSG_Text,MATCH(L34,nMSG_Code,0)),""),"[input]",IF(C34="","a Link_ID",IF(J34=0,"an Exposures row for "&amp;D34,IF(K34=0,"an Events row for "&amp;E34,"a reason for the pairing")))))</f>
        <v/>
      </c>
    </row>
    <row r="35" spans="1:13" x14ac:dyDescent="0.2">
      <c r="A35" s="24" t="s">
        <v>289</v>
      </c>
      <c r="B35" s="23"/>
      <c r="C35" s="23"/>
      <c r="D35" s="23"/>
      <c r="E35" s="23"/>
      <c r="F35" s="23"/>
      <c r="G35" s="23"/>
      <c r="H35" s="23"/>
      <c r="I35" s="23"/>
      <c r="J35" s="23"/>
      <c r="K35" s="23"/>
      <c r="L35" s="23"/>
      <c r="M35" s="23"/>
    </row>
    <row r="36" spans="1:13" x14ac:dyDescent="0.2">
      <c r="A36" s="9" t="s">
        <v>302</v>
      </c>
      <c r="B36" s="11">
        <v>1</v>
      </c>
      <c r="C36" s="9" t="s">
        <v>801</v>
      </c>
      <c r="D36" s="9" t="s">
        <v>494</v>
      </c>
      <c r="E36" s="9" t="s">
        <v>677</v>
      </c>
      <c r="F36" s="9" t="s">
        <v>812</v>
      </c>
      <c r="G36" s="9" t="s">
        <v>800</v>
      </c>
      <c r="H36" s="21" t="str">
        <f t="shared" ref="H36:H52" si="4">IF(C36="","",A36&amp;"|"&amp;B36&amp;"|"&amp;C36)</f>
        <v>VEC-V01|1|L1</v>
      </c>
      <c r="I36" s="22">
        <f>IF(H36="",0,COUNTIF(nLNK_Key,H36))</f>
        <v>1</v>
      </c>
      <c r="J36" s="22">
        <f>IF(C36="",1,IF(COUNTIF(nEXP_Key,A36&amp;"|"&amp;B36&amp;"|"&amp;D36)&gt;0,1,0))</f>
        <v>1</v>
      </c>
      <c r="K36" s="22">
        <f>IF(C36="",1,IF(COUNTIF(nEVT_Key,A36&amp;"|"&amp;B36&amp;"|"&amp;E36)&gt;0,1,0))</f>
        <v>1</v>
      </c>
      <c r="L36" s="21" t="str">
        <f t="shared" ref="L36:L52" si="5">IF(C36="",IF(COUNTA(D36,E36)&gt;0,"E_MISSING_INPUT",""),IF(I36&gt;1,"E_DUPLICATE_ID",IF(OR(J36=0,K36=0,F36=""),"E_MISSING_INPUT","")))</f>
        <v/>
      </c>
      <c r="M36" s="21" t="str">
        <f>IF(L36="","",L36&amp;": "&amp;SUBSTITUTE(IFERROR(INDEX(nMSG_Text,MATCH(L36,nMSG_Code,0)),""),"[input]",IF(C36="","a Link_ID",IF(J36=0,"an Exposures row for "&amp;D36,IF(K36=0,"an Events row for "&amp;E36,"a reason for the pairing")))))</f>
        <v/>
      </c>
    </row>
    <row r="37" spans="1:13" x14ac:dyDescent="0.2">
      <c r="A37" s="9" t="s">
        <v>305</v>
      </c>
      <c r="B37" s="11">
        <v>1</v>
      </c>
      <c r="C37" s="9" t="s">
        <v>801</v>
      </c>
      <c r="D37" s="9" t="s">
        <v>494</v>
      </c>
      <c r="E37" s="9" t="s">
        <v>677</v>
      </c>
      <c r="F37" s="9" t="s">
        <v>813</v>
      </c>
      <c r="G37" s="9" t="s">
        <v>800</v>
      </c>
      <c r="H37" s="21" t="str">
        <f t="shared" si="4"/>
        <v>VEC-V02|1|L1</v>
      </c>
      <c r="I37" s="22">
        <f>IF(H37="",0,COUNTIF(nLNK_Key,H37))</f>
        <v>1</v>
      </c>
      <c r="J37" s="22">
        <f>IF(C37="",1,IF(COUNTIF(nEXP_Key,A37&amp;"|"&amp;B37&amp;"|"&amp;D37)&gt;0,1,0))</f>
        <v>1</v>
      </c>
      <c r="K37" s="22">
        <f>IF(C37="",1,IF(COUNTIF(nEVT_Key,A37&amp;"|"&amp;B37&amp;"|"&amp;E37)&gt;0,1,0))</f>
        <v>1</v>
      </c>
      <c r="L37" s="21" t="str">
        <f t="shared" si="5"/>
        <v/>
      </c>
      <c r="M37" s="21" t="str">
        <f>IF(L37="","",L37&amp;": "&amp;SUBSTITUTE(IFERROR(INDEX(nMSG_Text,MATCH(L37,nMSG_Code,0)),""),"[input]",IF(C37="","a Link_ID",IF(J37=0,"an Exposures row for "&amp;D37,IF(K37=0,"an Events row for "&amp;E37,"a reason for the pairing")))))</f>
        <v/>
      </c>
    </row>
    <row r="38" spans="1:13" x14ac:dyDescent="0.2">
      <c r="A38" s="9" t="s">
        <v>307</v>
      </c>
      <c r="B38" s="11">
        <v>1</v>
      </c>
      <c r="C38" s="9" t="s">
        <v>801</v>
      </c>
      <c r="D38" s="9" t="s">
        <v>494</v>
      </c>
      <c r="E38" s="9" t="s">
        <v>677</v>
      </c>
      <c r="F38" s="9" t="s">
        <v>814</v>
      </c>
      <c r="G38" s="9" t="s">
        <v>800</v>
      </c>
      <c r="H38" s="21" t="str">
        <f t="shared" si="4"/>
        <v>VEC-V03|1|L1</v>
      </c>
      <c r="I38" s="22">
        <f>IF(H38="",0,COUNTIF(nLNK_Key,H38))</f>
        <v>1</v>
      </c>
      <c r="J38" s="22">
        <f>IF(C38="",1,IF(COUNTIF(nEXP_Key,A38&amp;"|"&amp;B38&amp;"|"&amp;D38)&gt;0,1,0))</f>
        <v>1</v>
      </c>
      <c r="K38" s="22">
        <f>IF(C38="",1,IF(COUNTIF(nEVT_Key,A38&amp;"|"&amp;B38&amp;"|"&amp;E38)&gt;0,1,0))</f>
        <v>1</v>
      </c>
      <c r="L38" s="21" t="str">
        <f t="shared" si="5"/>
        <v/>
      </c>
      <c r="M38" s="21" t="str">
        <f>IF(L38="","",L38&amp;": "&amp;SUBSTITUTE(IFERROR(INDEX(nMSG_Text,MATCH(L38,nMSG_Code,0)),""),"[input]",IF(C38="","a Link_ID",IF(J38=0,"an Exposures row for "&amp;D38,IF(K38=0,"an Events row for "&amp;E38,"a reason for the pairing")))))</f>
        <v/>
      </c>
    </row>
    <row r="39" spans="1:13" x14ac:dyDescent="0.2">
      <c r="A39" s="9" t="s">
        <v>309</v>
      </c>
      <c r="B39" s="11">
        <v>1</v>
      </c>
      <c r="C39" s="9" t="s">
        <v>801</v>
      </c>
      <c r="D39" s="9" t="s">
        <v>494</v>
      </c>
      <c r="E39" s="9" t="s">
        <v>677</v>
      </c>
      <c r="F39" s="9" t="s">
        <v>815</v>
      </c>
      <c r="G39" s="9" t="s">
        <v>800</v>
      </c>
      <c r="H39" s="21" t="str">
        <f t="shared" si="4"/>
        <v>VEC-V04|1|L1</v>
      </c>
      <c r="I39" s="22">
        <f>IF(H39="",0,COUNTIF(nLNK_Key,H39))</f>
        <v>1</v>
      </c>
      <c r="J39" s="22">
        <f>IF(C39="",1,IF(COUNTIF(nEXP_Key,A39&amp;"|"&amp;B39&amp;"|"&amp;D39)&gt;0,1,0))</f>
        <v>1</v>
      </c>
      <c r="K39" s="22">
        <f>IF(C39="",1,IF(COUNTIF(nEVT_Key,A39&amp;"|"&amp;B39&amp;"|"&amp;E39)&gt;0,1,0))</f>
        <v>1</v>
      </c>
      <c r="L39" s="21" t="str">
        <f t="shared" si="5"/>
        <v/>
      </c>
      <c r="M39" s="21" t="str">
        <f>IF(L39="","",L39&amp;": "&amp;SUBSTITUTE(IFERROR(INDEX(nMSG_Text,MATCH(L39,nMSG_Code,0)),""),"[input]",IF(C39="","a Link_ID",IF(J39=0,"an Exposures row for "&amp;D39,IF(K39=0,"an Events row for "&amp;E39,"a reason for the pairing")))))</f>
        <v/>
      </c>
    </row>
    <row r="40" spans="1:13" x14ac:dyDescent="0.2">
      <c r="A40" s="9" t="s">
        <v>311</v>
      </c>
      <c r="B40" s="11">
        <v>1</v>
      </c>
      <c r="C40" s="9" t="s">
        <v>801</v>
      </c>
      <c r="D40" s="9" t="s">
        <v>494</v>
      </c>
      <c r="E40" s="9" t="s">
        <v>677</v>
      </c>
      <c r="F40" s="9" t="s">
        <v>816</v>
      </c>
      <c r="G40" s="9" t="s">
        <v>800</v>
      </c>
      <c r="H40" s="21" t="str">
        <f t="shared" si="4"/>
        <v>VEC-V05|1|L1</v>
      </c>
      <c r="I40" s="22">
        <f>IF(H40="",0,COUNTIF(nLNK_Key,H40))</f>
        <v>1</v>
      </c>
      <c r="J40" s="22">
        <f>IF(C40="",1,IF(COUNTIF(nEXP_Key,A40&amp;"|"&amp;B40&amp;"|"&amp;D40)&gt;0,1,0))</f>
        <v>1</v>
      </c>
      <c r="K40" s="22">
        <f>IF(C40="",1,IF(COUNTIF(nEVT_Key,A40&amp;"|"&amp;B40&amp;"|"&amp;E40)&gt;0,1,0))</f>
        <v>1</v>
      </c>
      <c r="L40" s="21" t="str">
        <f t="shared" si="5"/>
        <v/>
      </c>
      <c r="M40" s="21" t="str">
        <f>IF(L40="","",L40&amp;": "&amp;SUBSTITUTE(IFERROR(INDEX(nMSG_Text,MATCH(L40,nMSG_Code,0)),""),"[input]",IF(C40="","a Link_ID",IF(J40=0,"an Exposures row for "&amp;D40,IF(K40=0,"an Events row for "&amp;E40,"a reason for the pairing")))))</f>
        <v/>
      </c>
    </row>
    <row r="41" spans="1:13" x14ac:dyDescent="0.2">
      <c r="A41" s="9" t="s">
        <v>313</v>
      </c>
      <c r="B41" s="11">
        <v>1</v>
      </c>
      <c r="C41" s="9" t="s">
        <v>801</v>
      </c>
      <c r="D41" s="9" t="s">
        <v>494</v>
      </c>
      <c r="E41" s="9" t="s">
        <v>677</v>
      </c>
      <c r="F41" s="9" t="s">
        <v>817</v>
      </c>
      <c r="G41" s="9" t="s">
        <v>800</v>
      </c>
      <c r="H41" s="21" t="str">
        <f t="shared" si="4"/>
        <v>VEC-V06|1|L1</v>
      </c>
      <c r="I41" s="22">
        <f>IF(H41="",0,COUNTIF(nLNK_Key,H41))</f>
        <v>1</v>
      </c>
      <c r="J41" s="22">
        <f>IF(C41="",1,IF(COUNTIF(nEXP_Key,A41&amp;"|"&amp;B41&amp;"|"&amp;D41)&gt;0,1,0))</f>
        <v>1</v>
      </c>
      <c r="K41" s="22">
        <f>IF(C41="",1,IF(COUNTIF(nEVT_Key,A41&amp;"|"&amp;B41&amp;"|"&amp;E41)&gt;0,1,0))</f>
        <v>1</v>
      </c>
      <c r="L41" s="21" t="str">
        <f t="shared" si="5"/>
        <v/>
      </c>
      <c r="M41" s="21" t="str">
        <f>IF(L41="","",L41&amp;": "&amp;SUBSTITUTE(IFERROR(INDEX(nMSG_Text,MATCH(L41,nMSG_Code,0)),""),"[input]",IF(C41="","a Link_ID",IF(J41=0,"an Exposures row for "&amp;D41,IF(K41=0,"an Events row for "&amp;E41,"a reason for the pairing")))))</f>
        <v/>
      </c>
    </row>
    <row r="42" spans="1:13" x14ac:dyDescent="0.2">
      <c r="A42" s="9" t="s">
        <v>315</v>
      </c>
      <c r="B42" s="11">
        <v>1</v>
      </c>
      <c r="C42" s="9" t="s">
        <v>801</v>
      </c>
      <c r="D42" s="9" t="s">
        <v>494</v>
      </c>
      <c r="E42" s="9" t="s">
        <v>677</v>
      </c>
      <c r="F42" s="9" t="s">
        <v>818</v>
      </c>
      <c r="G42" s="9" t="s">
        <v>800</v>
      </c>
      <c r="H42" s="21" t="str">
        <f t="shared" si="4"/>
        <v>VEC-V07|1|L1</v>
      </c>
      <c r="I42" s="22">
        <f>IF(H42="",0,COUNTIF(nLNK_Key,H42))</f>
        <v>1</v>
      </c>
      <c r="J42" s="22">
        <f>IF(C42="",1,IF(COUNTIF(nEXP_Key,A42&amp;"|"&amp;B42&amp;"|"&amp;D42)&gt;0,1,0))</f>
        <v>1</v>
      </c>
      <c r="K42" s="22">
        <f>IF(C42="",1,IF(COUNTIF(nEVT_Key,A42&amp;"|"&amp;B42&amp;"|"&amp;E42)&gt;0,1,0))</f>
        <v>1</v>
      </c>
      <c r="L42" s="21" t="str">
        <f t="shared" si="5"/>
        <v/>
      </c>
      <c r="M42" s="21" t="str">
        <f>IF(L42="","",L42&amp;": "&amp;SUBSTITUTE(IFERROR(INDEX(nMSG_Text,MATCH(L42,nMSG_Code,0)),""),"[input]",IF(C42="","a Link_ID",IF(J42=0,"an Exposures row for "&amp;D42,IF(K42=0,"an Events row for "&amp;E42,"a reason for the pairing")))))</f>
        <v/>
      </c>
    </row>
    <row r="43" spans="1:13" x14ac:dyDescent="0.2">
      <c r="A43" s="9" t="s">
        <v>317</v>
      </c>
      <c r="B43" s="11">
        <v>1</v>
      </c>
      <c r="C43" s="9" t="s">
        <v>801</v>
      </c>
      <c r="D43" s="9" t="s">
        <v>494</v>
      </c>
      <c r="E43" s="9" t="s">
        <v>677</v>
      </c>
      <c r="F43" s="9" t="s">
        <v>819</v>
      </c>
      <c r="G43" s="9" t="s">
        <v>800</v>
      </c>
      <c r="H43" s="21" t="str">
        <f t="shared" si="4"/>
        <v>VEC-V08|1|L1</v>
      </c>
      <c r="I43" s="22">
        <f>IF(H43="",0,COUNTIF(nLNK_Key,H43))</f>
        <v>1</v>
      </c>
      <c r="J43" s="22">
        <f>IF(C43="",1,IF(COUNTIF(nEXP_Key,A43&amp;"|"&amp;B43&amp;"|"&amp;D43)&gt;0,1,0))</f>
        <v>1</v>
      </c>
      <c r="K43" s="22">
        <f>IF(C43="",1,IF(COUNTIF(nEVT_Key,A43&amp;"|"&amp;B43&amp;"|"&amp;E43)&gt;0,1,0))</f>
        <v>1</v>
      </c>
      <c r="L43" s="21" t="str">
        <f t="shared" si="5"/>
        <v/>
      </c>
      <c r="M43" s="21" t="str">
        <f>IF(L43="","",L43&amp;": "&amp;SUBSTITUTE(IFERROR(INDEX(nMSG_Text,MATCH(L43,nMSG_Code,0)),""),"[input]",IF(C43="","a Link_ID",IF(J43=0,"an Exposures row for "&amp;D43,IF(K43=0,"an Events row for "&amp;E43,"a reason for the pairing")))))</f>
        <v/>
      </c>
    </row>
    <row r="44" spans="1:13" x14ac:dyDescent="0.2">
      <c r="A44" s="9" t="s">
        <v>319</v>
      </c>
      <c r="B44" s="11">
        <v>1</v>
      </c>
      <c r="C44" s="9" t="s">
        <v>801</v>
      </c>
      <c r="D44" s="9" t="s">
        <v>494</v>
      </c>
      <c r="E44" s="9" t="s">
        <v>677</v>
      </c>
      <c r="F44" s="9" t="s">
        <v>820</v>
      </c>
      <c r="G44" s="9" t="s">
        <v>800</v>
      </c>
      <c r="H44" s="21" t="str">
        <f t="shared" si="4"/>
        <v>VEC-V09|1|L1</v>
      </c>
      <c r="I44" s="22">
        <f>IF(H44="",0,COUNTIF(nLNK_Key,H44))</f>
        <v>1</v>
      </c>
      <c r="J44" s="22">
        <f>IF(C44="",1,IF(COUNTIF(nEXP_Key,A44&amp;"|"&amp;B44&amp;"|"&amp;D44)&gt;0,1,0))</f>
        <v>1</v>
      </c>
      <c r="K44" s="22">
        <f>IF(C44="",1,IF(COUNTIF(nEVT_Key,A44&amp;"|"&amp;B44&amp;"|"&amp;E44)&gt;0,1,0))</f>
        <v>1</v>
      </c>
      <c r="L44" s="21" t="str">
        <f t="shared" si="5"/>
        <v/>
      </c>
      <c r="M44" s="21" t="str">
        <f>IF(L44="","",L44&amp;": "&amp;SUBSTITUTE(IFERROR(INDEX(nMSG_Text,MATCH(L44,nMSG_Code,0)),""),"[input]",IF(C44="","a Link_ID",IF(J44=0,"an Exposures row for "&amp;D44,IF(K44=0,"an Events row for "&amp;E44,"a reason for the pairing")))))</f>
        <v/>
      </c>
    </row>
    <row r="45" spans="1:13" x14ac:dyDescent="0.2">
      <c r="A45" s="9" t="s">
        <v>321</v>
      </c>
      <c r="B45" s="11">
        <v>1</v>
      </c>
      <c r="C45" s="9" t="s">
        <v>801</v>
      </c>
      <c r="D45" s="9" t="s">
        <v>494</v>
      </c>
      <c r="E45" s="9" t="s">
        <v>677</v>
      </c>
      <c r="F45" s="9" t="s">
        <v>821</v>
      </c>
      <c r="G45" s="9" t="s">
        <v>800</v>
      </c>
      <c r="H45" s="21" t="str">
        <f t="shared" si="4"/>
        <v>VEC-V10|1|L1</v>
      </c>
      <c r="I45" s="22">
        <f>IF(H45="",0,COUNTIF(nLNK_Key,H45))</f>
        <v>1</v>
      </c>
      <c r="J45" s="22">
        <f>IF(C45="",1,IF(COUNTIF(nEXP_Key,A45&amp;"|"&amp;B45&amp;"|"&amp;D45)&gt;0,1,0))</f>
        <v>1</v>
      </c>
      <c r="K45" s="22">
        <f>IF(C45="",1,IF(COUNTIF(nEVT_Key,A45&amp;"|"&amp;B45&amp;"|"&amp;E45)&gt;0,1,0))</f>
        <v>1</v>
      </c>
      <c r="L45" s="21" t="str">
        <f t="shared" si="5"/>
        <v/>
      </c>
      <c r="M45" s="21" t="str">
        <f>IF(L45="","",L45&amp;": "&amp;SUBSTITUTE(IFERROR(INDEX(nMSG_Text,MATCH(L45,nMSG_Code,0)),""),"[input]",IF(C45="","a Link_ID",IF(J45=0,"an Exposures row for "&amp;D45,IF(K45=0,"an Events row for "&amp;E45,"a reason for the pairing")))))</f>
        <v/>
      </c>
    </row>
    <row r="46" spans="1:13" x14ac:dyDescent="0.2">
      <c r="A46" s="9" t="s">
        <v>323</v>
      </c>
      <c r="B46" s="11">
        <v>1</v>
      </c>
      <c r="C46" s="9" t="s">
        <v>801</v>
      </c>
      <c r="D46" s="9" t="s">
        <v>494</v>
      </c>
      <c r="E46" s="9" t="s">
        <v>677</v>
      </c>
      <c r="F46" s="9" t="s">
        <v>822</v>
      </c>
      <c r="G46" s="9" t="s">
        <v>800</v>
      </c>
      <c r="H46" s="21" t="str">
        <f t="shared" si="4"/>
        <v>VEC-V11|1|L1</v>
      </c>
      <c r="I46" s="22">
        <f>IF(H46="",0,COUNTIF(nLNK_Key,H46))</f>
        <v>1</v>
      </c>
      <c r="J46" s="22">
        <f>IF(C46="",1,IF(COUNTIF(nEXP_Key,A46&amp;"|"&amp;B46&amp;"|"&amp;D46)&gt;0,1,0))</f>
        <v>1</v>
      </c>
      <c r="K46" s="22">
        <f>IF(C46="",1,IF(COUNTIF(nEVT_Key,A46&amp;"|"&amp;B46&amp;"|"&amp;E46)&gt;0,1,0))</f>
        <v>1</v>
      </c>
      <c r="L46" s="21" t="str">
        <f t="shared" si="5"/>
        <v/>
      </c>
      <c r="M46" s="21" t="str">
        <f>IF(L46="","",L46&amp;": "&amp;SUBSTITUTE(IFERROR(INDEX(nMSG_Text,MATCH(L46,nMSG_Code,0)),""),"[input]",IF(C46="","a Link_ID",IF(J46=0,"an Exposures row for "&amp;D46,IF(K46=0,"an Events row for "&amp;E46,"a reason for the pairing")))))</f>
        <v/>
      </c>
    </row>
    <row r="47" spans="1:13" x14ac:dyDescent="0.2">
      <c r="A47" s="9" t="s">
        <v>331</v>
      </c>
      <c r="B47" s="11">
        <v>1</v>
      </c>
      <c r="C47" s="9" t="s">
        <v>801</v>
      </c>
      <c r="D47" s="9" t="s">
        <v>494</v>
      </c>
      <c r="E47" s="9" t="s">
        <v>677</v>
      </c>
      <c r="F47" s="9" t="s">
        <v>823</v>
      </c>
      <c r="G47" s="9" t="s">
        <v>800</v>
      </c>
      <c r="H47" s="21" t="str">
        <f t="shared" si="4"/>
        <v>VEC-V15|1|L1</v>
      </c>
      <c r="I47" s="22">
        <f>IF(H47="",0,COUNTIF(nLNK_Key,H47))</f>
        <v>1</v>
      </c>
      <c r="J47" s="22">
        <f>IF(C47="",1,IF(COUNTIF(nEXP_Key,A47&amp;"|"&amp;B47&amp;"|"&amp;D47)&gt;0,1,0))</f>
        <v>1</v>
      </c>
      <c r="K47" s="22">
        <f>IF(C47="",1,IF(COUNTIF(nEVT_Key,A47&amp;"|"&amp;B47&amp;"|"&amp;E47)&gt;0,1,0))</f>
        <v>1</v>
      </c>
      <c r="L47" s="21" t="str">
        <f t="shared" si="5"/>
        <v/>
      </c>
      <c r="M47" s="21" t="str">
        <f>IF(L47="","",L47&amp;": "&amp;SUBSTITUTE(IFERROR(INDEX(nMSG_Text,MATCH(L47,nMSG_Code,0)),""),"[input]",IF(C47="","a Link_ID",IF(J47=0,"an Exposures row for "&amp;D47,IF(K47=0,"an Events row for "&amp;E47,"a reason for the pairing")))))</f>
        <v/>
      </c>
    </row>
    <row r="48" spans="1:13" x14ac:dyDescent="0.2">
      <c r="A48" s="9" t="s">
        <v>325</v>
      </c>
      <c r="B48" s="11">
        <v>1</v>
      </c>
      <c r="C48" s="9" t="s">
        <v>801</v>
      </c>
      <c r="D48" s="9" t="s">
        <v>494</v>
      </c>
      <c r="E48" s="9" t="s">
        <v>677</v>
      </c>
      <c r="F48" s="9" t="s">
        <v>824</v>
      </c>
      <c r="G48" s="9" t="s">
        <v>800</v>
      </c>
      <c r="H48" s="21" t="str">
        <f t="shared" si="4"/>
        <v>VEC-V12|1|L1</v>
      </c>
      <c r="I48" s="22">
        <f>IF(H48="",0,COUNTIF(nLNK_Key,H48))</f>
        <v>1</v>
      </c>
      <c r="J48" s="22">
        <f>IF(C48="",1,IF(COUNTIF(nEXP_Key,A48&amp;"|"&amp;B48&amp;"|"&amp;D48)&gt;0,1,0))</f>
        <v>1</v>
      </c>
      <c r="K48" s="22">
        <f>IF(C48="",1,IF(COUNTIF(nEVT_Key,A48&amp;"|"&amp;B48&amp;"|"&amp;E48)&gt;0,1,0))</f>
        <v>1</v>
      </c>
      <c r="L48" s="21" t="str">
        <f t="shared" si="5"/>
        <v/>
      </c>
      <c r="M48" s="21" t="str">
        <f>IF(L48="","",L48&amp;": "&amp;SUBSTITUTE(IFERROR(INDEX(nMSG_Text,MATCH(L48,nMSG_Code,0)),""),"[input]",IF(C48="","a Link_ID",IF(J48=0,"an Exposures row for "&amp;D48,IF(K48=0,"an Events row for "&amp;E48,"a reason for the pairing")))))</f>
        <v/>
      </c>
    </row>
    <row r="49" spans="1:13" x14ac:dyDescent="0.2">
      <c r="A49" s="9" t="s">
        <v>325</v>
      </c>
      <c r="B49" s="11">
        <v>2</v>
      </c>
      <c r="C49" s="9" t="s">
        <v>801</v>
      </c>
      <c r="D49" s="9" t="s">
        <v>494</v>
      </c>
      <c r="E49" s="9" t="s">
        <v>677</v>
      </c>
      <c r="F49" s="9" t="s">
        <v>825</v>
      </c>
      <c r="G49" s="9" t="s">
        <v>800</v>
      </c>
      <c r="H49" s="21" t="str">
        <f t="shared" si="4"/>
        <v>VEC-V12|2|L1</v>
      </c>
      <c r="I49" s="22">
        <f>IF(H49="",0,COUNTIF(nLNK_Key,H49))</f>
        <v>1</v>
      </c>
      <c r="J49" s="22">
        <f>IF(C49="",1,IF(COUNTIF(nEXP_Key,A49&amp;"|"&amp;B49&amp;"|"&amp;D49)&gt;0,1,0))</f>
        <v>1</v>
      </c>
      <c r="K49" s="22">
        <f>IF(C49="",1,IF(COUNTIF(nEVT_Key,A49&amp;"|"&amp;B49&amp;"|"&amp;E49)&gt;0,1,0))</f>
        <v>1</v>
      </c>
      <c r="L49" s="21" t="str">
        <f t="shared" si="5"/>
        <v/>
      </c>
      <c r="M49" s="21" t="str">
        <f>IF(L49="","",L49&amp;": "&amp;SUBSTITUTE(IFERROR(INDEX(nMSG_Text,MATCH(L49,nMSG_Code,0)),""),"[input]",IF(C49="","a Link_ID",IF(J49=0,"an Exposures row for "&amp;D49,IF(K49=0,"an Events row for "&amp;E49,"a reason for the pairing")))))</f>
        <v/>
      </c>
    </row>
    <row r="50" spans="1:13" x14ac:dyDescent="0.2">
      <c r="A50" s="9" t="s">
        <v>329</v>
      </c>
      <c r="B50" s="11">
        <v>1</v>
      </c>
      <c r="C50" s="9" t="s">
        <v>801</v>
      </c>
      <c r="D50" s="9" t="s">
        <v>524</v>
      </c>
      <c r="E50" s="9" t="s">
        <v>691</v>
      </c>
      <c r="F50" s="9" t="s">
        <v>826</v>
      </c>
      <c r="G50" s="9" t="s">
        <v>800</v>
      </c>
      <c r="H50" s="21" t="str">
        <f t="shared" si="4"/>
        <v>VEC-V13|1|L1</v>
      </c>
      <c r="I50" s="22">
        <f>IF(H50="",0,COUNTIF(nLNK_Key,H50))</f>
        <v>1</v>
      </c>
      <c r="J50" s="22">
        <f>IF(C50="",1,IF(COUNTIF(nEXP_Key,A50&amp;"|"&amp;B50&amp;"|"&amp;D50)&gt;0,1,0))</f>
        <v>1</v>
      </c>
      <c r="K50" s="22">
        <f>IF(C50="",1,IF(COUNTIF(nEVT_Key,A50&amp;"|"&amp;B50&amp;"|"&amp;E50)&gt;0,1,0))</f>
        <v>1</v>
      </c>
      <c r="L50" s="21" t="str">
        <f t="shared" si="5"/>
        <v/>
      </c>
      <c r="M50" s="21" t="str">
        <f>IF(L50="","",L50&amp;": "&amp;SUBSTITUTE(IFERROR(INDEX(nMSG_Text,MATCH(L50,nMSG_Code,0)),""),"[input]",IF(C50="","a Link_ID",IF(J50=0,"an Exposures row for "&amp;D50,IF(K50=0,"an Events row for "&amp;E50,"a reason for the pairing")))))</f>
        <v/>
      </c>
    </row>
    <row r="51" spans="1:13" x14ac:dyDescent="0.2">
      <c r="A51" s="9" t="s">
        <v>329</v>
      </c>
      <c r="B51" s="11">
        <v>1</v>
      </c>
      <c r="C51" s="9" t="s">
        <v>803</v>
      </c>
      <c r="D51" s="9" t="s">
        <v>494</v>
      </c>
      <c r="E51" s="9" t="s">
        <v>691</v>
      </c>
      <c r="F51" s="9" t="s">
        <v>827</v>
      </c>
      <c r="G51" s="9" t="s">
        <v>800</v>
      </c>
      <c r="H51" s="21" t="str">
        <f t="shared" si="4"/>
        <v>VEC-V13|1|L2</v>
      </c>
      <c r="I51" s="22">
        <f>IF(H51="",0,COUNTIF(nLNK_Key,H51))</f>
        <v>1</v>
      </c>
      <c r="J51" s="22">
        <f>IF(C51="",1,IF(COUNTIF(nEXP_Key,A51&amp;"|"&amp;B51&amp;"|"&amp;D51)&gt;0,1,0))</f>
        <v>1</v>
      </c>
      <c r="K51" s="22">
        <f>IF(C51="",1,IF(COUNTIF(nEVT_Key,A51&amp;"|"&amp;B51&amp;"|"&amp;E51)&gt;0,1,0))</f>
        <v>1</v>
      </c>
      <c r="L51" s="21" t="str">
        <f t="shared" si="5"/>
        <v/>
      </c>
      <c r="M51" s="21" t="str">
        <f>IF(L51="","",L51&amp;": "&amp;SUBSTITUTE(IFERROR(INDEX(nMSG_Text,MATCH(L51,nMSG_Code,0)),""),"[input]",IF(C51="","a Link_ID",IF(J51=0,"an Exposures row for "&amp;D51,IF(K51=0,"an Events row for "&amp;E51,"a reason for the pairing")))))</f>
        <v/>
      </c>
    </row>
    <row r="52" spans="1:13" x14ac:dyDescent="0.2">
      <c r="A52" s="9" t="s">
        <v>329</v>
      </c>
      <c r="B52" s="11">
        <v>1</v>
      </c>
      <c r="C52" s="9" t="s">
        <v>805</v>
      </c>
      <c r="D52" s="9" t="s">
        <v>526</v>
      </c>
      <c r="E52" s="9" t="s">
        <v>677</v>
      </c>
      <c r="F52" s="9" t="s">
        <v>828</v>
      </c>
      <c r="G52" s="9" t="s">
        <v>800</v>
      </c>
      <c r="H52" s="21" t="str">
        <f t="shared" si="4"/>
        <v>VEC-V13|1|L3</v>
      </c>
      <c r="I52" s="22">
        <f>IF(H52="",0,COUNTIF(nLNK_Key,H52))</f>
        <v>1</v>
      </c>
      <c r="J52" s="22">
        <f>IF(C52="",1,IF(COUNTIF(nEXP_Key,A52&amp;"|"&amp;B52&amp;"|"&amp;D52)&gt;0,1,0))</f>
        <v>1</v>
      </c>
      <c r="K52" s="22">
        <f>IF(C52="",1,IF(COUNTIF(nEVT_Key,A52&amp;"|"&amp;B52&amp;"|"&amp;E52)&gt;0,1,0))</f>
        <v>1</v>
      </c>
      <c r="L52" s="21" t="str">
        <f t="shared" si="5"/>
        <v/>
      </c>
      <c r="M52" s="21" t="str">
        <f>IF(L52="","",L52&amp;": "&amp;SUBSTITUTE(IFERROR(INDEX(nMSG_Text,MATCH(L52,nMSG_Code,0)),""),"[input]",IF(C52="","a Link_ID",IF(J52=0,"an Exposures row for "&amp;D52,IF(K52=0,"an Events row for "&amp;E52,"a reason for the pairing")))))</f>
        <v/>
      </c>
    </row>
  </sheetData>
  <sheetProtection sheet="1" objects="1" scenarios="1" formatColumns="0" formatRows="0" autoFilter="0"/>
  <autoFilter ref="A4:M52" xr:uid="{CAD9D085-D0B9-4BA3-8327-735035A9B046}"/>
  <dataValidations count="1">
    <dataValidation type="whole" operator="greaterThanOrEqual" allowBlank="1" showInputMessage="1" showErrorMessage="1" sqref="B5:B24" xr:uid="{76967BBB-56A9-42A6-8F9F-15A3AA0B09BC}">
      <formula1>1</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8AE339-0FDC-4FDF-AC9A-06D50BA2C2AE}">
  <dimension ref="A1:CQ96"/>
  <sheetViews>
    <sheetView zoomScale="90" zoomScaleNormal="90" workbookViewId="0">
      <pane xSplit="3" ySplit="4" topLeftCell="D5" activePane="bottomRight" state="frozenSplit"/>
      <selection pane="topRight" activeCell="D1" sqref="D1"/>
      <selection pane="bottomLeft" activeCell="A5" sqref="A5"/>
      <selection pane="bottomRight"/>
    </sheetView>
  </sheetViews>
  <sheetFormatPr defaultRowHeight="12.75" x14ac:dyDescent="0.2"/>
  <cols>
    <col min="1" max="2" width="10.7109375" style="1" customWidth="1"/>
    <col min="3" max="3" width="7.7109375" style="1" customWidth="1"/>
    <col min="4" max="4" width="8.7109375" style="1" customWidth="1"/>
    <col min="5" max="5" width="16.7109375" style="1" customWidth="1"/>
    <col min="6" max="6" width="22.7109375" style="1" customWidth="1"/>
    <col min="7" max="8" width="16.7109375" style="1" customWidth="1"/>
    <col min="9" max="9" width="9.7109375" style="1" customWidth="1"/>
    <col min="10" max="10" width="11.7109375" style="1" customWidth="1"/>
    <col min="11" max="11" width="22.7109375" style="1" customWidth="1"/>
    <col min="12" max="13" width="8.7109375" style="1" customWidth="1"/>
    <col min="14" max="14" width="10.7109375" style="1" customWidth="1"/>
    <col min="15" max="15" width="18.7109375" style="1" customWidth="1"/>
    <col min="16" max="17" width="13.7109375" style="1" customWidth="1"/>
    <col min="18" max="18" width="16.7109375" style="1" customWidth="1"/>
    <col min="19" max="19" width="22.7109375" style="1" customWidth="1"/>
    <col min="20" max="20" width="34.7109375" style="1" customWidth="1"/>
    <col min="21" max="21" width="10.7109375" style="1" customWidth="1"/>
    <col min="22" max="23" width="9.7109375" style="1" customWidth="1"/>
    <col min="24" max="24" width="12.7109375" style="1" customWidth="1"/>
    <col min="25" max="25" width="9.7109375" style="1" customWidth="1"/>
    <col min="26" max="26" width="16.7109375" style="1" customWidth="1"/>
    <col min="27" max="27" width="8.7109375" style="1" customWidth="1"/>
    <col min="28" max="28" width="22.7109375" style="1" customWidth="1"/>
    <col min="29" max="29" width="40.7109375" style="1" customWidth="1"/>
    <col min="30" max="31" width="9.7109375" style="1" customWidth="1"/>
    <col min="32" max="32" width="30.7109375" style="1" customWidth="1"/>
    <col min="33" max="33" width="13.7109375" style="1" customWidth="1"/>
    <col min="34" max="34" width="20.7109375" style="1" customWidth="1"/>
    <col min="35" max="35" width="28.7109375" style="1" customWidth="1"/>
    <col min="36" max="36" width="20.7109375" style="1" customWidth="1"/>
    <col min="37" max="37" width="28.7109375" style="1" customWidth="1"/>
    <col min="38" max="39" width="10.7109375" style="1" customWidth="1"/>
    <col min="40" max="40" width="40.7109375" style="1" customWidth="1"/>
    <col min="41" max="41" width="24.7109375" style="1" customWidth="1"/>
    <col min="42" max="42" width="11.7109375" style="1" customWidth="1"/>
    <col min="43" max="43" width="6.7109375" style="1" customWidth="1"/>
    <col min="44" max="44" width="10.7109375" style="1" customWidth="1"/>
    <col min="45" max="45" width="14.7109375" style="1" customWidth="1"/>
    <col min="46" max="47" width="5.7109375" style="1" customWidth="1"/>
    <col min="48" max="48" width="6.7109375" style="1" customWidth="1"/>
    <col min="49" max="58" width="8.7109375" style="1" customWidth="1"/>
    <col min="59" max="59" width="10.7109375" style="1" customWidth="1"/>
    <col min="60" max="60" width="5.7109375" style="1" customWidth="1"/>
    <col min="61" max="61" width="10.7109375" style="1" customWidth="1"/>
    <col min="62" max="62" width="6.7109375" style="1" customWidth="1"/>
    <col min="63" max="72" width="8.7109375" style="1" customWidth="1"/>
    <col min="73" max="73" width="6.7109375" style="1" customWidth="1"/>
    <col min="74" max="74" width="12.7109375" style="1" customWidth="1"/>
    <col min="75" max="75" width="14.7109375" style="1" customWidth="1"/>
    <col min="76" max="76" width="12.7109375" style="1" customWidth="1"/>
    <col min="77" max="77" width="14.7109375" style="1" customWidth="1"/>
    <col min="78" max="78" width="5.7109375" style="1" customWidth="1"/>
    <col min="79" max="79" width="8.7109375" style="1" customWidth="1"/>
    <col min="80" max="82" width="7.7109375" style="1" customWidth="1"/>
    <col min="83" max="83" width="5.7109375" style="1" customWidth="1"/>
    <col min="84" max="86" width="10.7109375" style="1" customWidth="1"/>
    <col min="87" max="93" width="4.7109375" style="1" customWidth="1"/>
    <col min="94" max="94" width="6.7109375" style="1" customWidth="1"/>
    <col min="95" max="95" width="14.7109375" style="1" customWidth="1"/>
    <col min="96" max="16384" width="9.140625" style="1"/>
  </cols>
  <sheetData>
    <row r="1" spans="1:95" ht="17.25" x14ac:dyDescent="0.3">
      <c r="A1" s="6" t="s">
        <v>853</v>
      </c>
    </row>
    <row r="2" spans="1:95" x14ac:dyDescent="0.2">
      <c r="A2" s="7" t="s">
        <v>854</v>
      </c>
    </row>
    <row r="3" spans="1:95" x14ac:dyDescent="0.2">
      <c r="A3" s="2" t="s">
        <v>855</v>
      </c>
      <c r="T3" s="2" t="s">
        <v>873</v>
      </c>
      <c r="AQ3" s="2" t="s">
        <v>896</v>
      </c>
    </row>
    <row r="4" spans="1:95" ht="66" customHeight="1" x14ac:dyDescent="0.2">
      <c r="A4" s="8" t="s">
        <v>856</v>
      </c>
      <c r="B4" s="8" t="s">
        <v>274</v>
      </c>
      <c r="C4" s="8" t="s">
        <v>275</v>
      </c>
      <c r="D4" s="8" t="s">
        <v>857</v>
      </c>
      <c r="E4" s="8" t="s">
        <v>858</v>
      </c>
      <c r="F4" s="8" t="s">
        <v>859</v>
      </c>
      <c r="G4" s="8" t="s">
        <v>860</v>
      </c>
      <c r="H4" s="8" t="s">
        <v>861</v>
      </c>
      <c r="I4" s="8" t="s">
        <v>862</v>
      </c>
      <c r="J4" s="8" t="s">
        <v>863</v>
      </c>
      <c r="K4" s="8" t="s">
        <v>864</v>
      </c>
      <c r="L4" s="8" t="s">
        <v>865</v>
      </c>
      <c r="M4" s="8" t="s">
        <v>866</v>
      </c>
      <c r="N4" s="8" t="s">
        <v>867</v>
      </c>
      <c r="O4" s="8" t="s">
        <v>868</v>
      </c>
      <c r="P4" s="8" t="s">
        <v>869</v>
      </c>
      <c r="Q4" s="8" t="s">
        <v>870</v>
      </c>
      <c r="R4" s="8" t="s">
        <v>871</v>
      </c>
      <c r="S4" s="8" t="s">
        <v>872</v>
      </c>
      <c r="T4" s="19" t="s">
        <v>874</v>
      </c>
      <c r="U4" s="19" t="s">
        <v>875</v>
      </c>
      <c r="V4" s="19" t="s">
        <v>876</v>
      </c>
      <c r="W4" s="19" t="s">
        <v>877</v>
      </c>
      <c r="X4" s="19" t="s">
        <v>702</v>
      </c>
      <c r="Y4" s="19" t="s">
        <v>878</v>
      </c>
      <c r="Z4" s="19" t="s">
        <v>879</v>
      </c>
      <c r="AA4" s="19" t="s">
        <v>880</v>
      </c>
      <c r="AB4" s="19" t="s">
        <v>881</v>
      </c>
      <c r="AC4" s="19" t="s">
        <v>882</v>
      </c>
      <c r="AD4" s="19" t="s">
        <v>883</v>
      </c>
      <c r="AE4" s="19" t="s">
        <v>884</v>
      </c>
      <c r="AF4" s="19" t="s">
        <v>885</v>
      </c>
      <c r="AG4" s="19" t="s">
        <v>886</v>
      </c>
      <c r="AH4" s="19" t="s">
        <v>887</v>
      </c>
      <c r="AI4" s="19" t="s">
        <v>888</v>
      </c>
      <c r="AJ4" s="19" t="s">
        <v>889</v>
      </c>
      <c r="AK4" s="19" t="s">
        <v>890</v>
      </c>
      <c r="AL4" s="19" t="s">
        <v>891</v>
      </c>
      <c r="AM4" s="19" t="s">
        <v>892</v>
      </c>
      <c r="AN4" s="19" t="s">
        <v>893</v>
      </c>
      <c r="AO4" s="19" t="s">
        <v>894</v>
      </c>
      <c r="AP4" s="19" t="s">
        <v>895</v>
      </c>
      <c r="AQ4" s="19" t="s">
        <v>897</v>
      </c>
      <c r="AR4" s="19" t="s">
        <v>898</v>
      </c>
      <c r="AS4" s="19" t="s">
        <v>899</v>
      </c>
      <c r="AT4" s="19" t="s">
        <v>900</v>
      </c>
      <c r="AU4" s="19" t="s">
        <v>901</v>
      </c>
      <c r="AV4" s="19" t="s">
        <v>902</v>
      </c>
      <c r="AW4" s="19" t="s">
        <v>903</v>
      </c>
      <c r="AX4" s="19" t="s">
        <v>904</v>
      </c>
      <c r="AY4" s="19" t="s">
        <v>905</v>
      </c>
      <c r="AZ4" s="19" t="s">
        <v>906</v>
      </c>
      <c r="BA4" s="19" t="s">
        <v>907</v>
      </c>
      <c r="BB4" s="19" t="s">
        <v>908</v>
      </c>
      <c r="BC4" s="19" t="s">
        <v>909</v>
      </c>
      <c r="BD4" s="19" t="s">
        <v>910</v>
      </c>
      <c r="BE4" s="19" t="s">
        <v>911</v>
      </c>
      <c r="BF4" s="19" t="s">
        <v>912</v>
      </c>
      <c r="BG4" s="19" t="s">
        <v>913</v>
      </c>
      <c r="BH4" s="19" t="s">
        <v>914</v>
      </c>
      <c r="BI4" s="19" t="s">
        <v>915</v>
      </c>
      <c r="BJ4" s="19" t="s">
        <v>916</v>
      </c>
      <c r="BK4" s="19" t="s">
        <v>917</v>
      </c>
      <c r="BL4" s="19" t="s">
        <v>918</v>
      </c>
      <c r="BM4" s="19" t="s">
        <v>919</v>
      </c>
      <c r="BN4" s="19" t="s">
        <v>920</v>
      </c>
      <c r="BO4" s="19" t="s">
        <v>921</v>
      </c>
      <c r="BP4" s="19" t="s">
        <v>922</v>
      </c>
      <c r="BQ4" s="19" t="s">
        <v>923</v>
      </c>
      <c r="BR4" s="19" t="s">
        <v>924</v>
      </c>
      <c r="BS4" s="19" t="s">
        <v>925</v>
      </c>
      <c r="BT4" s="19" t="s">
        <v>926</v>
      </c>
      <c r="BU4" s="19" t="s">
        <v>927</v>
      </c>
      <c r="BV4" s="19" t="s">
        <v>928</v>
      </c>
      <c r="BW4" s="19" t="s">
        <v>929</v>
      </c>
      <c r="BX4" s="19" t="s">
        <v>930</v>
      </c>
      <c r="BY4" s="19" t="s">
        <v>931</v>
      </c>
      <c r="BZ4" s="19" t="s">
        <v>932</v>
      </c>
      <c r="CA4" s="19" t="s">
        <v>933</v>
      </c>
      <c r="CB4" s="19" t="s">
        <v>934</v>
      </c>
      <c r="CC4" s="19" t="s">
        <v>935</v>
      </c>
      <c r="CD4" s="19" t="s">
        <v>936</v>
      </c>
      <c r="CE4" s="19" t="s">
        <v>937</v>
      </c>
      <c r="CF4" s="19" t="s">
        <v>938</v>
      </c>
      <c r="CG4" s="19" t="s">
        <v>939</v>
      </c>
      <c r="CH4" s="19" t="s">
        <v>940</v>
      </c>
      <c r="CI4" s="19" t="s">
        <v>941</v>
      </c>
      <c r="CJ4" s="19" t="s">
        <v>942</v>
      </c>
      <c r="CK4" s="19" t="s">
        <v>943</v>
      </c>
      <c r="CL4" s="19" t="s">
        <v>944</v>
      </c>
      <c r="CM4" s="19" t="s">
        <v>945</v>
      </c>
      <c r="CN4" s="19" t="s">
        <v>946</v>
      </c>
      <c r="CO4" s="19" t="s">
        <v>947</v>
      </c>
      <c r="CP4" s="19" t="s">
        <v>948</v>
      </c>
      <c r="CQ4" s="19" t="s">
        <v>949</v>
      </c>
    </row>
    <row r="5" spans="1:95" x14ac:dyDescent="0.2">
      <c r="A5" s="10"/>
      <c r="B5" s="10"/>
      <c r="C5" s="12"/>
      <c r="D5" s="10"/>
      <c r="E5" s="17"/>
      <c r="F5" s="10"/>
      <c r="G5" s="10"/>
      <c r="H5" s="10"/>
      <c r="I5" s="17"/>
      <c r="J5" s="17"/>
      <c r="K5" s="10"/>
      <c r="L5" s="17"/>
      <c r="M5" s="17"/>
      <c r="N5" s="17"/>
      <c r="O5" s="10"/>
      <c r="P5" s="15"/>
      <c r="Q5" s="15"/>
      <c r="R5" s="10"/>
      <c r="S5" s="10"/>
      <c r="T5" s="21" t="str">
        <f t="shared" ref="T5:T44" si="0">IF(AQ5=1,"",IF(BX5&lt;&gt;"",BX5&amp;": no result is shown",IF(I5="C1",FIXED(CA5,0,FALSE)&amp;" "&amp;X5&amp;IF(ABS(CA5)&gt;=60," ("&amp;FIXED(CA5/60,1,FALSE)&amp;" hours)",""),IF(I5="C2",FIXED(CB5,0,FALSE)&amp;" calendar days"&amp;IF(AND(CB5=0,CA5&lt;&gt;"")," (order within the day from C1: "&amp;Z5&amp;")","")&amp;IF(AA5&lt;&gt;"","; treatment Day "&amp;AA5,""),FIXED(CC5,0,FALSE)&amp;" to "&amp;FIXED(CD5,0,FALSE)&amp;" calendar days"&amp;IF(AD5&lt;&gt;"","; with constraint "&amp;FIXED(AD5,0,FALSE)&amp;" to "&amp;FIXED(AE5,0,FALSE),"")))))</f>
        <v/>
      </c>
      <c r="U5" s="21" t="str">
        <f t="shared" ref="U5:U44" si="1">IF(BX5&lt;&gt;"","",IF(I5="C1",CA5,IF(I5="C2",CB5,"")))</f>
        <v/>
      </c>
      <c r="V5" s="21" t="str">
        <f t="shared" ref="V5:V44" si="2">IF(CC5="","",CC5)</f>
        <v/>
      </c>
      <c r="W5" s="21" t="str">
        <f t="shared" ref="W5:W44" si="3">IF(CD5="","",CD5)</f>
        <v/>
      </c>
      <c r="X5" s="21" t="str">
        <f t="shared" ref="X5:X44" si="4">IF(OR(AQ5=1,BX5&lt;&gt;""),"",IF(I5="C1",IF(BZ5=1,"minutes (local clock)","minutes"),"calendar days"))</f>
        <v/>
      </c>
      <c r="Y5" s="21" t="str">
        <f t="shared" ref="Y5:Y44" si="5">IF(AQ5=1,"",IF(CN5=1,"C7 ("&amp;I5&amp;")",IF(AND(I5="C2",J5="inclusive"),"C2+C3",I5)))</f>
        <v/>
      </c>
      <c r="Z5" s="21" t="str">
        <f t="shared" ref="Z5:Z44" si="6">IF(OR(AQ5=1,BX5&lt;&gt;""),"",IF(I5="C1",IF(CA5&gt;0,"AFTER",IF(CA5&lt;0,"BEFORE","SIMULTANEOUS")),IF(I5="C2",IF(CB5&gt;0,"AFTER",IF(CB5&lt;0,"BEFORE",IF(CA5&lt;&gt;"",IF(CA5&gt;0,"AFTER",IF(CA5&lt;0,"BEFORE","SIMULTANEOUS")),"SAME_DATE_ORDER_UNKNOWN"))),IF(CC5&gt;0,"AFTER",IF(CD5&lt;0,"BEFORE",IF(AND(CC5=0,CD5=0),"SAME_DATE_ORDER_UNKNOWN","SEQUENCE_UNCERTAIN"))))))</f>
        <v/>
      </c>
      <c r="AA5" s="21" t="str">
        <f t="shared" ref="AA5:AA44" si="7">IF(AND(BX5="",I5="C2",J5="inclusive"),IF(CB5&gt;=0,CB5+1,""),"")</f>
        <v/>
      </c>
      <c r="AB5" s="21" t="str">
        <f t="shared" ref="AB5:AB44" si="8">IF(AQ5=1,"",IF(BX5&lt;&gt;"",BX5&amp;IF(CQ5="I_APPROXIMATE_NOT_COMPARED","; I_APPROXIMATE_NOT_COMPARED",""),MID(IF(CI5=1,"; W_TZ_UNKNOWN","")&amp;IF(CJ5=1,"; W_SAME_DATE_ORDER_UNKNOWN","")&amp;IF(CK5=1,"; W_SEQUENCE_UNCERTAIN","")&amp;IF(CL5=1,"; W_ADMIN_SAME_DATE_AS_ONSET","")&amp;IF(CO5=1,"; W_INTERVENTION_BEFORE_RECOVERY","")&amp;IF(OR(CQ5="",CQ5="OVERLAP"),"","; "&amp;CQ5)&amp;IF(CM5=1,"; I_TREATMENT_DAY_UNDEFINED","")&amp;IF(CH5&lt;&gt;"","; "&amp;CH5&amp;" (constraint)",""),3,999)))</f>
        <v/>
      </c>
      <c r="AC5" s="21" t="str">
        <f>IF(AQ5=1,"",MID(IF(BX5&lt;&gt;""," | "&amp;BX5&amp;": "&amp;SUBSTITUTE(IFERROR(INDEX(nMSG_Text,MATCH(BX5,nMSG_Code,0)),""),"[input]",BY5),"")&amp;IF(CI5=1," | W_TZ_UNKNOWN: "&amp;SUBSTITUTE(IFERROR(INDEX(nMSG_Text,MATCH("W_TZ_UNKNOWN",nMSG_Code,0)),""),"[input]",""),"")&amp;IF(CJ5=1," | W_SAME_DATE_ORDER_UNKNOWN: "&amp;SUBSTITUTE(IFERROR(INDEX(nMSG_Text,MATCH("W_SAME_DATE_ORDER_UNKNOWN",nMSG_Code,0)),""),"[input]",""),"")&amp;IF(CK5=1," | W_SEQUENCE_UNCERTAIN: "&amp;SUBSTITUTE(IFERROR(INDEX(nMSG_Text,MATCH("W_SEQUENCE_UNCERTAIN",nMSG_Code,0)),""),"[input]",""),"")&amp;IF(CL5=1," | W_ADMIN_SAME_DATE_AS_ONSET: "&amp;SUBSTITUTE(IFERROR(INDEX(nMSG_Text,MATCH("W_ADMIN_SAME_DATE_AS_ONSET",nMSG_Code,0)),""),"[input]",""),"")&amp;IF(CO5=1," | W_INTERVENTION_BEFORE_RECOVERY: "&amp;SUBSTITUTE(IFERROR(INDEX(nMSG_Text,MATCH("W_INTERVENTION_BEFORE_RECOVERY",nMSG_Code,0)),""),"[input]",""),"")&amp;IF(OR(CQ5="",CQ5="OVERLAP"),""," | "&amp;CQ5&amp;" (reported timing): "&amp;SUBSTITUTE(IFERROR(INDEX(nMSG_Text,MATCH(CQ5,nMSG_Code,0)),""),"[input]","numeric reported bounds and a reported unit"))&amp;IF(CM5=1," | I_TREATMENT_DAY_UNDEFINED: "&amp;SUBSTITUTE(IFERROR(INDEX(nMSG_Text,MATCH("I_TREATMENT_DAY_UNDEFINED",nMSG_Code,0)),""),"[input]",""),"")&amp;IF(CH5&lt;&gt;""," | "&amp;CH5&amp;" (constraint): "&amp;SUBSTITUTE(IFERROR(INDEX(nMSG_Text,MATCH(CH5,nMSG_Code,0)),""),"[input]","a source for the constraint"),""),4,9999))</f>
        <v/>
      </c>
      <c r="AD5" s="21" t="str">
        <f t="shared" ref="AD5:AD44" si="9">IF(OR(CF5="",CH5&lt;&gt;""),"",BE5-CG5)</f>
        <v/>
      </c>
      <c r="AE5" s="21" t="str">
        <f t="shared" ref="AE5:AE44" si="10">IF(OR(CF5="",CH5&lt;&gt;""),"",BF5-CF5)</f>
        <v/>
      </c>
      <c r="AF5" s="21" t="str">
        <f t="shared" ref="AF5:AF44" si="11">IF(CQ5="","",IF(CQ5="OVERLAP","Overlaps the computed interval. ",IF(CQ5="W_REPORTED_TIMING_CONFLICT","Conflicts with the computed interval; both kept. ",IF(CQ5="I_APPROXIMATE_NOT_COMPARED","Not compared. ",CQ5&amp;": not compared. ")))&amp;"Reported: "&amp;CHAR(34)&amp;K5&amp;CHAR(34)&amp;IF(AND(ISNUMBER(L5),ISNUMBER(M5))," ["&amp;L5&amp;" to "&amp;M5&amp;" "&amp;N5&amp;"]",""))</f>
        <v/>
      </c>
      <c r="AG5" s="21" t="str">
        <f t="shared" ref="AG5:AG44" si="12">IF(E5="LAST_DOSE_BEFORE_ONSET",BI5,G5&amp;"")</f>
        <v/>
      </c>
      <c r="AH5" s="21" t="str">
        <f>IF(BJ5=0,"",INDEX(nTP_ISO,BJ5))</f>
        <v/>
      </c>
      <c r="AI5" s="21" t="str">
        <f>IF(BJ5=0,"",INDEX(nTP_Display,BJ5))</f>
        <v/>
      </c>
      <c r="AJ5" s="21" t="str">
        <f>IF(AV5=0,"",INDEX(nTP_ISO,AV5))</f>
        <v/>
      </c>
      <c r="AK5" s="21" t="str">
        <f>IF(AV5=0,"",INDEX(nTP_Display,AV5))</f>
        <v/>
      </c>
      <c r="AL5" s="21" t="str">
        <f>IF(AU5=0,"",INDEX(nLNK_Exposure_Episode_ID,AU5)&amp;"")</f>
        <v/>
      </c>
      <c r="AM5" s="21" t="str">
        <f>IF(AU5=0,"",INDEX(nLNK_Event_Episode_ID,AU5)&amp;"")</f>
        <v/>
      </c>
      <c r="AN5" s="21" t="str">
        <f t="shared" ref="AN5:AN44" si="13">IF(OR(AQ5=1,BX5&lt;&gt;""),"",IF(I5="C1",IF(BZ5=1,"Local clock times subtracted; the UTC offset of at least one time is unknown.","Both times converted to UTC with the recorded offsets."),IF(I5="C2","Calendar-date difference of the recorded local dates; not elapsed days."&amp;IF(J5="inclusive"," Treatment day uses the inclusive convention selected by the user; never written to E2B fields automatically.",""),"Bounded interval: minimum = end-point lower bound minus anchor upper bound; maximum = end-point upper bound minus anchor lower bound. No single date is imputed."))&amp;IF(E5="LAST_DOSE_BEFORE_ONSET"," Anchor selected by C5: latest administration at or before the end point ("&amp;AG5&amp;").",""))</f>
        <v/>
      </c>
      <c r="AO5" s="21" t="str">
        <f t="shared" ref="AO5:AO44" si="14">IF(AND(AQ5=0,CN5=1,BX5="",BU5=0),"No intervention is recorded between cessation and recovery. The absence of a record is not evidence that none was given; CALC-SPEC 1.0 has no code for interventions unknown.","")</f>
        <v/>
      </c>
      <c r="AP5" s="21" t="str">
        <f t="shared" ref="AP5:AP44" si="15">IF(AQ5=1,"","CALC-SPEC 1.0")</f>
        <v/>
      </c>
      <c r="AQ5" s="22">
        <f t="shared" ref="AQ5:AQ44" si="16">IF(AND(A5="",D5="",E5="",H5=""),1,0)</f>
        <v>1</v>
      </c>
      <c r="AR5" s="21" t="str">
        <f t="shared" ref="AR5:AR44" si="17">B5&amp;"|"&amp;C5</f>
        <v>|</v>
      </c>
      <c r="AS5" s="21" t="str">
        <f t="shared" ref="AS5:AS44" si="18">IF(A5="","",AR5&amp;"|"&amp;A5)</f>
        <v/>
      </c>
      <c r="AT5" s="22">
        <f>IF(AS5="",0,COUNTIF(nINT_Key,AS5))</f>
        <v>0</v>
      </c>
      <c r="AU5" s="22">
        <f>IF(D5="",0,IFERROR(MATCH(AR5&amp;"|"&amp;D5,nLNK_Key,0),0))</f>
        <v>0</v>
      </c>
      <c r="AV5" s="22">
        <f>IF(OR(AQ5=1,H5=""),0,IFERROR(MATCH(AR5&amp;"|"&amp;H5,nTP_Key,0),0))</f>
        <v>0</v>
      </c>
      <c r="AW5" s="21">
        <f>IF(AV5=0,0,INDEX(nTP_Dup,AV5))</f>
        <v>0</v>
      </c>
      <c r="AX5" s="21" t="str">
        <f>IF(AV5=0,"",INDEX(nTP_Record_Type,AV5))</f>
        <v/>
      </c>
      <c r="AY5" s="21" t="str">
        <f>IF(AV5=0,"",INDEX(nTP_Precision,AV5))</f>
        <v/>
      </c>
      <c r="AZ5" s="21" t="str">
        <f>IF(AV5=0,"",INDEX(nTP_Err,AV5))</f>
        <v/>
      </c>
      <c r="BA5" s="21">
        <f>IF(AV5=0,0,INDEX(nTP_HT,AV5))</f>
        <v>0</v>
      </c>
      <c r="BB5" s="21">
        <f>IF(AV5=0,0,INDEX(nTP_OK,AV5))</f>
        <v>0</v>
      </c>
      <c r="BC5" s="21" t="str">
        <f>IF(AV5=0,"",INDEX(nTP_Loc,AV5))</f>
        <v/>
      </c>
      <c r="BD5" s="21" t="str">
        <f>IF(AV5=0,"",INDEX(nTP_UTC,AV5))</f>
        <v/>
      </c>
      <c r="BE5" s="21" t="str">
        <f>IF(AV5=0,"",INDEX(nTP_Lo,AV5))</f>
        <v/>
      </c>
      <c r="BF5" s="21" t="str">
        <f>IF(AV5=0,"",INDEX(nTP_Hi,AV5))</f>
        <v/>
      </c>
      <c r="BG5" s="22">
        <f>IF(OR(AQ5=1,E5&lt;&gt;"LAST_DOSE_BEFORE_ONSET",AU5=0,AV5=0),0,IF(AZ5&lt;&gt;"",0,SUMPRODUCT(MAX((nADM_SelKey=AR5&amp;"|"&amp;AL5)*nADM_Valid*(nADM_A_HT*BA5*nADM_A_OK*BB5*(nADM_UTC_n&lt;=N(BD5))+nADM_A_HT*BA5*(1-nADM_A_OK*BB5)*(nADM_Loc_n&lt;=N(BC5))+(1-nADM_A_HT*BA5)*(nADM_Lo_n&lt;=N(BE5)))*nADM_Sort_n))))</f>
        <v>0</v>
      </c>
      <c r="BH5" s="22">
        <f>IF(BG5=0,0,MATCH(1,INDEX((nADM_SelKey=AR5&amp;"|"&amp;AL5)*nADM_Valid*(nADM_A_HT*BA5*nADM_A_OK*BB5*(nADM_UTC_n&lt;=N(BD5))+nADM_A_HT*BA5*(1-nADM_A_OK*BB5)*(nADM_Loc_n&lt;=N(BC5))+(1-nADM_A_HT*BA5)*(nADM_Lo_n&lt;=N(BE5)))*(nADM_Sort_n=BG5),0),0))</f>
        <v>0</v>
      </c>
      <c r="BI5" s="21" t="str">
        <f>IF(BH5=0,"",INDEX(nADM_Admin_ID,BH5)&amp;"")</f>
        <v/>
      </c>
      <c r="BJ5" s="22">
        <f>IF(OR(AQ5=1,AG5=""),0,IFERROR(MATCH(AR5&amp;"|"&amp;AG5,nTP_Key,0),0))</f>
        <v>0</v>
      </c>
      <c r="BK5" s="21">
        <f>IF(BJ5=0,0,INDEX(nTP_Dup,BJ5))</f>
        <v>0</v>
      </c>
      <c r="BL5" s="21" t="str">
        <f>IF(BJ5=0,"",INDEX(nTP_Record_Type,BJ5))</f>
        <v/>
      </c>
      <c r="BM5" s="21" t="str">
        <f>IF(BJ5=0,"",INDEX(nTP_Precision,BJ5))</f>
        <v/>
      </c>
      <c r="BN5" s="21" t="str">
        <f>IF(BJ5=0,"",INDEX(nTP_Err,BJ5))</f>
        <v/>
      </c>
      <c r="BO5" s="21">
        <f>IF(BJ5=0,0,INDEX(nTP_HT,BJ5))</f>
        <v>0</v>
      </c>
      <c r="BP5" s="21">
        <f>IF(BJ5=0,0,INDEX(nTP_OK,BJ5))</f>
        <v>0</v>
      </c>
      <c r="BQ5" s="21" t="str">
        <f>IF(BJ5=0,"",INDEX(nTP_Loc,BJ5))</f>
        <v/>
      </c>
      <c r="BR5" s="21" t="str">
        <f>IF(BJ5=0,"",INDEX(nTP_UTC,BJ5))</f>
        <v/>
      </c>
      <c r="BS5" s="21" t="str">
        <f>IF(BJ5=0,"",INDEX(nTP_Lo,BJ5))</f>
        <v/>
      </c>
      <c r="BT5" s="21" t="str">
        <f>IF(BJ5=0,"",INDEX(nTP_Hi,BJ5))</f>
        <v/>
      </c>
      <c r="BU5" s="22">
        <f>IF(OR(BJ5=0,AV5=0),0,SUMPRODUCT((nTP_Case_Key=AR5)*(nTP_Record_Type="MILESTONE:INTERVENTION")*(nTP_Err="")*(nTP_HT*BO5*BA5*(nTP_Loc_n&gt;=N(BQ5))*(nTP_Loc_n&lt;=N(BC5))+(1-nTP_HT*BO5*BA5)*(nTP_Lo_n&gt;=N(BS5))*(nTP_Hi_n&lt;=N(BF5))*(nTP_Lo_n&gt;0))))</f>
        <v>0</v>
      </c>
      <c r="BV5" s="21" t="str">
        <f t="shared" ref="BV5:BV44" si="19">IF(AQ5=1,"",IF(A5="","E_MISSING_INPUT",IF(AT5&gt;1,"E_DUPLICATE_ID",IF(AU5=0,"E_MISSING_LINK",IF(OR(E5="",AND(E5="OTHER",F5="")),"E_MISSING_INPUT",IF(AV5=0,"E_MISSING_INPUT",IF(BJ5=0,"E_MISSING_INPUT",IF(OR(BK5&gt;1,AW5&gt;1),"E_DUPLICATE_ID",""))))))))</f>
        <v/>
      </c>
      <c r="BW5" s="21" t="str">
        <f t="shared" ref="BW5:BW44" si="20">IF(BV5&lt;&gt;"E_MISSING_INPUT","",IF(A5="","an Interval_ID",IF(E5="","an Anchor_Type",IF(AND(E5="OTHER",F5=""),"a description of the OTHER anchor",IF(AV5=0,"the end-point record "&amp;IF(H5="","(End_Record_ID is blank)",H5),IF(E5="LAST_DOSE_BEFORE_ONSET","an administration of exposure episode "&amp;AL5&amp;" dated at or before the end point (C5)","the anchor record "&amp;IF(G5="","(Anchor_Record_ID is blank)",G5)))))))</f>
        <v/>
      </c>
      <c r="BX5" s="21" t="str">
        <f t="shared" ref="BX5:BX44" si="21">IF(AQ5=1,"",IF(BV5&lt;&gt;"",BV5,IF(BN5&lt;&gt;"",BN5,IF(AZ5&lt;&gt;"",AZ5,IF(AND(I5&lt;&gt;"C1",I5&lt;&gt;"C2",I5&lt;&gt;"C4"),"E_MISSING_INPUT",IF(OR(BS5="",BE5=""),"E_MISSING_INPUT",IF(AND(I5="C1",BO5*BA5=0),"E_MISSING_INPUT",IF(AND(I5="C2",OR(AND(BM5&lt;&gt;"TIMESTAMP",BM5&lt;&gt;"DATE"),AND(AY5&lt;&gt;"TIMESTAMP",AY5&lt;&gt;"DATE"))),"E_MISSING_INPUT",""))))))))</f>
        <v/>
      </c>
      <c r="BY5" s="21" t="str">
        <f t="shared" ref="BY5:BY44" si="22">IF(BX5&lt;&gt;"E_MISSING_INPUT","",IF(BV5="E_MISSING_INPUT",BW5,IF(BN5="E_MISSING_INPUT","the date fields required by the precision of anchor record "&amp;AG5,IF(AZ5="E_MISSING_INPUT","the date fields required by the precision of end-point record "&amp;H5,IF(AND(I5&lt;&gt;"C1",I5&lt;&gt;"C2",I5&lt;&gt;"C4"),"a calculation mode (C1, C2 or C4)",IF(OR(BS5="",BE5=""),"dated anchor and end-point records",IF(I5="C1","a time of day and UTC offset (or unknown) on both records; C1 needs two timestamps, so use C2 or C4 for dates","an exact date on both records; use C4 for partial dates and ranges")))))))</f>
        <v/>
      </c>
      <c r="BZ5" s="22">
        <f t="shared" ref="BZ5:BZ44" si="23">IF(BP5*BB5=1,0,1)</f>
        <v>1</v>
      </c>
      <c r="CA5" s="21" t="str">
        <f t="shared" ref="CA5:CA44" si="24">IF(AND(BX5="",BO5*BA5=1),IF(BZ5=0,BD5-BR5,BC5-BQ5),"")</f>
        <v/>
      </c>
      <c r="CB5" s="21" t="str">
        <f t="shared" ref="CB5:CB44" si="25">IF(AND(BX5="",I5="C2"),BE5-BS5,"")</f>
        <v/>
      </c>
      <c r="CC5" s="21" t="str">
        <f t="shared" ref="CC5:CC44" si="26">IF(AND(BX5="",I5="C4"),BE5-BT5,"")</f>
        <v/>
      </c>
      <c r="CD5" s="21" t="str">
        <f t="shared" ref="CD5:CD44" si="27">IF(AND(BX5="",I5="C4"),BF5-BS5,"")</f>
        <v/>
      </c>
      <c r="CE5" s="22">
        <f t="shared" ref="CE5:CE44" si="28">IF(AND(I5="C4",OR(ISNUMBER(P5),ISNUMBER(Q5))),1,0)</f>
        <v>0</v>
      </c>
      <c r="CF5" s="28" t="str">
        <f t="shared" ref="CF5:CF44" si="29">IF(OR(BX5&lt;&gt;"",CE5=0),"",IF(ISNUMBER(P5),MAX(BS5,P5),BS5))</f>
        <v/>
      </c>
      <c r="CG5" s="28" t="str">
        <f t="shared" ref="CG5:CG44" si="30">IF(OR(BX5&lt;&gt;"",CE5=0),"",IF(ISNUMBER(Q5),MIN(BT5,Q5),BT5))</f>
        <v/>
      </c>
      <c r="CH5" s="21" t="str">
        <f t="shared" ref="CH5:CH44" si="31">IF(CF5="","",IF(CF5&gt;CG5,"E_REVERSED_BOUNDS",IF(R5="","E_MISSING_INPUT","")))</f>
        <v/>
      </c>
      <c r="CI5" s="22">
        <f t="shared" ref="CI5:CI44" si="32">IF(AND(BX5="",BZ5=1,CA5&lt;&gt;"",OR(I5="C1",AND(I5="C2",CB5=0))),1,0)</f>
        <v>0</v>
      </c>
      <c r="CJ5" s="22">
        <f t="shared" ref="CJ5:CJ44" si="33">IF(AND(BX5="",OR(AND(I5="C2",CB5=0,CA5=""),AND(I5="C4",CC5=0,CD5=0))),1,0)</f>
        <v>0</v>
      </c>
      <c r="CK5" s="22">
        <f t="shared" ref="CK5:CK44" si="34">IF(Z5="SEQUENCE_UNCERTAIN",1,0)</f>
        <v>0</v>
      </c>
      <c r="CL5" s="22">
        <f t="shared" ref="CL5:CL44" si="35">IF(AND(BX5="",E5="LAST_DOSE_BEFORE_ONSET",BO5*BA5=0,BS5=BE5),1,0)</f>
        <v>0</v>
      </c>
      <c r="CM5" s="22">
        <f t="shared" ref="CM5:CM44" si="36">IF(AND(BX5="",I5="C2",J5="inclusive",CB5&lt;0),1,0)</f>
        <v>0</v>
      </c>
      <c r="CN5" s="22">
        <f t="shared" ref="CN5:CN44" si="37">IF(AND(E5="CESSATION",AX5="MILESTONE:RECOVERY"),1,0)</f>
        <v>0</v>
      </c>
      <c r="CO5" s="22">
        <f t="shared" ref="CO5:CO44" si="38">IF(AND(BX5="",CN5=1,BU5&gt;0),1,0)</f>
        <v>0</v>
      </c>
      <c r="CP5" s="22">
        <f t="shared" ref="CP5:CP44" si="39">IF(I5="C1",IF(N5="minutes",1,IF(N5="hours",60,IF(N5="days",1440,0))),IF(OR(I5="C2",I5="C4"),IF(N5="calendar days",1,0),0))</f>
        <v>0</v>
      </c>
      <c r="CQ5" s="21" t="str">
        <f t="shared" ref="CQ5:CQ44" si="40">IF(COUNTA(K5:N5)=0,"",IF(OR(L5="",M5=""),"I_APPROXIMATE_NOT_COMPARED",IF(OR(NOT(ISNUMBER(L5)),NOT(ISNUMBER(M5))),"E_MISSING_INPUT",IF(L5&gt;M5,"E_REVERSED_BOUNDS",IF(OR(N5="weeks",N5="months",N5="years"),"I_APPROXIMATE_NOT_COMPARED",IF(N5="","E_MISSING_INPUT",IF(BX5&lt;&gt;"","",IF(CP5=0,"I_APPROXIMATE_NOT_COMPARED",IF(AND(L5*CP5&lt;=IF(I5="C4",CD5,U5),M5*CP5&gt;=IF(I5="C4",CC5,U5)),"OVERLAP","W_REPORTED_TIMING_CONFLICT")))))))))</f>
        <v/>
      </c>
    </row>
    <row r="6" spans="1:95" x14ac:dyDescent="0.2">
      <c r="A6" s="10"/>
      <c r="B6" s="10"/>
      <c r="C6" s="12"/>
      <c r="D6" s="10"/>
      <c r="E6" s="17"/>
      <c r="F6" s="10"/>
      <c r="G6" s="10"/>
      <c r="H6" s="10"/>
      <c r="I6" s="17"/>
      <c r="J6" s="17"/>
      <c r="K6" s="10"/>
      <c r="L6" s="17"/>
      <c r="M6" s="17"/>
      <c r="N6" s="17"/>
      <c r="O6" s="10"/>
      <c r="P6" s="15"/>
      <c r="Q6" s="15"/>
      <c r="R6" s="10"/>
      <c r="S6" s="10"/>
      <c r="T6" s="21" t="str">
        <f t="shared" si="0"/>
        <v/>
      </c>
      <c r="U6" s="21" t="str">
        <f t="shared" si="1"/>
        <v/>
      </c>
      <c r="V6" s="21" t="str">
        <f t="shared" si="2"/>
        <v/>
      </c>
      <c r="W6" s="21" t="str">
        <f t="shared" si="3"/>
        <v/>
      </c>
      <c r="X6" s="21" t="str">
        <f t="shared" si="4"/>
        <v/>
      </c>
      <c r="Y6" s="21" t="str">
        <f t="shared" si="5"/>
        <v/>
      </c>
      <c r="Z6" s="21" t="str">
        <f t="shared" si="6"/>
        <v/>
      </c>
      <c r="AA6" s="21" t="str">
        <f t="shared" si="7"/>
        <v/>
      </c>
      <c r="AB6" s="21" t="str">
        <f t="shared" si="8"/>
        <v/>
      </c>
      <c r="AC6" s="21" t="str">
        <f>IF(AQ6=1,"",MID(IF(BX6&lt;&gt;""," | "&amp;BX6&amp;": "&amp;SUBSTITUTE(IFERROR(INDEX(nMSG_Text,MATCH(BX6,nMSG_Code,0)),""),"[input]",BY6),"")&amp;IF(CI6=1," | W_TZ_UNKNOWN: "&amp;SUBSTITUTE(IFERROR(INDEX(nMSG_Text,MATCH("W_TZ_UNKNOWN",nMSG_Code,0)),""),"[input]",""),"")&amp;IF(CJ6=1," | W_SAME_DATE_ORDER_UNKNOWN: "&amp;SUBSTITUTE(IFERROR(INDEX(nMSG_Text,MATCH("W_SAME_DATE_ORDER_UNKNOWN",nMSG_Code,0)),""),"[input]",""),"")&amp;IF(CK6=1," | W_SEQUENCE_UNCERTAIN: "&amp;SUBSTITUTE(IFERROR(INDEX(nMSG_Text,MATCH("W_SEQUENCE_UNCERTAIN",nMSG_Code,0)),""),"[input]",""),"")&amp;IF(CL6=1," | W_ADMIN_SAME_DATE_AS_ONSET: "&amp;SUBSTITUTE(IFERROR(INDEX(nMSG_Text,MATCH("W_ADMIN_SAME_DATE_AS_ONSET",nMSG_Code,0)),""),"[input]",""),"")&amp;IF(CO6=1," | W_INTERVENTION_BEFORE_RECOVERY: "&amp;SUBSTITUTE(IFERROR(INDEX(nMSG_Text,MATCH("W_INTERVENTION_BEFORE_RECOVERY",nMSG_Code,0)),""),"[input]",""),"")&amp;IF(OR(CQ6="",CQ6="OVERLAP"),""," | "&amp;CQ6&amp;" (reported timing): "&amp;SUBSTITUTE(IFERROR(INDEX(nMSG_Text,MATCH(CQ6,nMSG_Code,0)),""),"[input]","numeric reported bounds and a reported unit"))&amp;IF(CM6=1," | I_TREATMENT_DAY_UNDEFINED: "&amp;SUBSTITUTE(IFERROR(INDEX(nMSG_Text,MATCH("I_TREATMENT_DAY_UNDEFINED",nMSG_Code,0)),""),"[input]",""),"")&amp;IF(CH6&lt;&gt;""," | "&amp;CH6&amp;" (constraint): "&amp;SUBSTITUTE(IFERROR(INDEX(nMSG_Text,MATCH(CH6,nMSG_Code,0)),""),"[input]","a source for the constraint"),""),4,9999))</f>
        <v/>
      </c>
      <c r="AD6" s="21" t="str">
        <f t="shared" si="9"/>
        <v/>
      </c>
      <c r="AE6" s="21" t="str">
        <f t="shared" si="10"/>
        <v/>
      </c>
      <c r="AF6" s="21" t="str">
        <f t="shared" si="11"/>
        <v/>
      </c>
      <c r="AG6" s="21" t="str">
        <f t="shared" si="12"/>
        <v/>
      </c>
      <c r="AH6" s="21" t="str">
        <f>IF(BJ6=0,"",INDEX(nTP_ISO,BJ6))</f>
        <v/>
      </c>
      <c r="AI6" s="21" t="str">
        <f>IF(BJ6=0,"",INDEX(nTP_Display,BJ6))</f>
        <v/>
      </c>
      <c r="AJ6" s="21" t="str">
        <f>IF(AV6=0,"",INDEX(nTP_ISO,AV6))</f>
        <v/>
      </c>
      <c r="AK6" s="21" t="str">
        <f>IF(AV6=0,"",INDEX(nTP_Display,AV6))</f>
        <v/>
      </c>
      <c r="AL6" s="21" t="str">
        <f>IF(AU6=0,"",INDEX(nLNK_Exposure_Episode_ID,AU6)&amp;"")</f>
        <v/>
      </c>
      <c r="AM6" s="21" t="str">
        <f>IF(AU6=0,"",INDEX(nLNK_Event_Episode_ID,AU6)&amp;"")</f>
        <v/>
      </c>
      <c r="AN6" s="21" t="str">
        <f t="shared" si="13"/>
        <v/>
      </c>
      <c r="AO6" s="21" t="str">
        <f t="shared" si="14"/>
        <v/>
      </c>
      <c r="AP6" s="21" t="str">
        <f t="shared" si="15"/>
        <v/>
      </c>
      <c r="AQ6" s="22">
        <f t="shared" si="16"/>
        <v>1</v>
      </c>
      <c r="AR6" s="21" t="str">
        <f t="shared" si="17"/>
        <v>|</v>
      </c>
      <c r="AS6" s="21" t="str">
        <f t="shared" si="18"/>
        <v/>
      </c>
      <c r="AT6" s="22">
        <f>IF(AS6="",0,COUNTIF(nINT_Key,AS6))</f>
        <v>0</v>
      </c>
      <c r="AU6" s="22">
        <f>IF(D6="",0,IFERROR(MATCH(AR6&amp;"|"&amp;D6,nLNK_Key,0),0))</f>
        <v>0</v>
      </c>
      <c r="AV6" s="22">
        <f>IF(OR(AQ6=1,H6=""),0,IFERROR(MATCH(AR6&amp;"|"&amp;H6,nTP_Key,0),0))</f>
        <v>0</v>
      </c>
      <c r="AW6" s="21">
        <f>IF(AV6=0,0,INDEX(nTP_Dup,AV6))</f>
        <v>0</v>
      </c>
      <c r="AX6" s="21" t="str">
        <f>IF(AV6=0,"",INDEX(nTP_Record_Type,AV6))</f>
        <v/>
      </c>
      <c r="AY6" s="21" t="str">
        <f>IF(AV6=0,"",INDEX(nTP_Precision,AV6))</f>
        <v/>
      </c>
      <c r="AZ6" s="21" t="str">
        <f>IF(AV6=0,"",INDEX(nTP_Err,AV6))</f>
        <v/>
      </c>
      <c r="BA6" s="21">
        <f>IF(AV6=0,0,INDEX(nTP_HT,AV6))</f>
        <v>0</v>
      </c>
      <c r="BB6" s="21">
        <f>IF(AV6=0,0,INDEX(nTP_OK,AV6))</f>
        <v>0</v>
      </c>
      <c r="BC6" s="21" t="str">
        <f>IF(AV6=0,"",INDEX(nTP_Loc,AV6))</f>
        <v/>
      </c>
      <c r="BD6" s="21" t="str">
        <f>IF(AV6=0,"",INDEX(nTP_UTC,AV6))</f>
        <v/>
      </c>
      <c r="BE6" s="21" t="str">
        <f>IF(AV6=0,"",INDEX(nTP_Lo,AV6))</f>
        <v/>
      </c>
      <c r="BF6" s="21" t="str">
        <f>IF(AV6=0,"",INDEX(nTP_Hi,AV6))</f>
        <v/>
      </c>
      <c r="BG6" s="22">
        <f>IF(OR(AQ6=1,E6&lt;&gt;"LAST_DOSE_BEFORE_ONSET",AU6=0,AV6=0),0,IF(AZ6&lt;&gt;"",0,SUMPRODUCT(MAX((nADM_SelKey=AR6&amp;"|"&amp;AL6)*nADM_Valid*(nADM_A_HT*BA6*nADM_A_OK*BB6*(nADM_UTC_n&lt;=N(BD6))+nADM_A_HT*BA6*(1-nADM_A_OK*BB6)*(nADM_Loc_n&lt;=N(BC6))+(1-nADM_A_HT*BA6)*(nADM_Lo_n&lt;=N(BE6)))*nADM_Sort_n))))</f>
        <v>0</v>
      </c>
      <c r="BH6" s="22">
        <f>IF(BG6=0,0,MATCH(1,INDEX((nADM_SelKey=AR6&amp;"|"&amp;AL6)*nADM_Valid*(nADM_A_HT*BA6*nADM_A_OK*BB6*(nADM_UTC_n&lt;=N(BD6))+nADM_A_HT*BA6*(1-nADM_A_OK*BB6)*(nADM_Loc_n&lt;=N(BC6))+(1-nADM_A_HT*BA6)*(nADM_Lo_n&lt;=N(BE6)))*(nADM_Sort_n=BG6),0),0))</f>
        <v>0</v>
      </c>
      <c r="BI6" s="21" t="str">
        <f>IF(BH6=0,"",INDEX(nADM_Admin_ID,BH6)&amp;"")</f>
        <v/>
      </c>
      <c r="BJ6" s="22">
        <f>IF(OR(AQ6=1,AG6=""),0,IFERROR(MATCH(AR6&amp;"|"&amp;AG6,nTP_Key,0),0))</f>
        <v>0</v>
      </c>
      <c r="BK6" s="21">
        <f>IF(BJ6=0,0,INDEX(nTP_Dup,BJ6))</f>
        <v>0</v>
      </c>
      <c r="BL6" s="21" t="str">
        <f>IF(BJ6=0,"",INDEX(nTP_Record_Type,BJ6))</f>
        <v/>
      </c>
      <c r="BM6" s="21" t="str">
        <f>IF(BJ6=0,"",INDEX(nTP_Precision,BJ6))</f>
        <v/>
      </c>
      <c r="BN6" s="21" t="str">
        <f>IF(BJ6=0,"",INDEX(nTP_Err,BJ6))</f>
        <v/>
      </c>
      <c r="BO6" s="21">
        <f>IF(BJ6=0,0,INDEX(nTP_HT,BJ6))</f>
        <v>0</v>
      </c>
      <c r="BP6" s="21">
        <f>IF(BJ6=0,0,INDEX(nTP_OK,BJ6))</f>
        <v>0</v>
      </c>
      <c r="BQ6" s="21" t="str">
        <f>IF(BJ6=0,"",INDEX(nTP_Loc,BJ6))</f>
        <v/>
      </c>
      <c r="BR6" s="21" t="str">
        <f>IF(BJ6=0,"",INDEX(nTP_UTC,BJ6))</f>
        <v/>
      </c>
      <c r="BS6" s="21" t="str">
        <f>IF(BJ6=0,"",INDEX(nTP_Lo,BJ6))</f>
        <v/>
      </c>
      <c r="BT6" s="21" t="str">
        <f>IF(BJ6=0,"",INDEX(nTP_Hi,BJ6))</f>
        <v/>
      </c>
      <c r="BU6" s="22">
        <f>IF(OR(BJ6=0,AV6=0),0,SUMPRODUCT((nTP_Case_Key=AR6)*(nTP_Record_Type="MILESTONE:INTERVENTION")*(nTP_Err="")*(nTP_HT*BO6*BA6*(nTP_Loc_n&gt;=N(BQ6))*(nTP_Loc_n&lt;=N(BC6))+(1-nTP_HT*BO6*BA6)*(nTP_Lo_n&gt;=N(BS6))*(nTP_Hi_n&lt;=N(BF6))*(nTP_Lo_n&gt;0))))</f>
        <v>0</v>
      </c>
      <c r="BV6" s="21" t="str">
        <f t="shared" si="19"/>
        <v/>
      </c>
      <c r="BW6" s="21" t="str">
        <f t="shared" si="20"/>
        <v/>
      </c>
      <c r="BX6" s="21" t="str">
        <f t="shared" si="21"/>
        <v/>
      </c>
      <c r="BY6" s="21" t="str">
        <f t="shared" si="22"/>
        <v/>
      </c>
      <c r="BZ6" s="22">
        <f t="shared" si="23"/>
        <v>1</v>
      </c>
      <c r="CA6" s="21" t="str">
        <f t="shared" si="24"/>
        <v/>
      </c>
      <c r="CB6" s="21" t="str">
        <f t="shared" si="25"/>
        <v/>
      </c>
      <c r="CC6" s="21" t="str">
        <f t="shared" si="26"/>
        <v/>
      </c>
      <c r="CD6" s="21" t="str">
        <f t="shared" si="27"/>
        <v/>
      </c>
      <c r="CE6" s="22">
        <f t="shared" si="28"/>
        <v>0</v>
      </c>
      <c r="CF6" s="28" t="str">
        <f t="shared" si="29"/>
        <v/>
      </c>
      <c r="CG6" s="28" t="str">
        <f t="shared" si="30"/>
        <v/>
      </c>
      <c r="CH6" s="21" t="str">
        <f t="shared" si="31"/>
        <v/>
      </c>
      <c r="CI6" s="22">
        <f t="shared" si="32"/>
        <v>0</v>
      </c>
      <c r="CJ6" s="22">
        <f t="shared" si="33"/>
        <v>0</v>
      </c>
      <c r="CK6" s="22">
        <f t="shared" si="34"/>
        <v>0</v>
      </c>
      <c r="CL6" s="22">
        <f t="shared" si="35"/>
        <v>0</v>
      </c>
      <c r="CM6" s="22">
        <f t="shared" si="36"/>
        <v>0</v>
      </c>
      <c r="CN6" s="22">
        <f t="shared" si="37"/>
        <v>0</v>
      </c>
      <c r="CO6" s="22">
        <f t="shared" si="38"/>
        <v>0</v>
      </c>
      <c r="CP6" s="22">
        <f t="shared" si="39"/>
        <v>0</v>
      </c>
      <c r="CQ6" s="21" t="str">
        <f t="shared" si="40"/>
        <v/>
      </c>
    </row>
    <row r="7" spans="1:95" x14ac:dyDescent="0.2">
      <c r="A7" s="10"/>
      <c r="B7" s="10"/>
      <c r="C7" s="12"/>
      <c r="D7" s="10"/>
      <c r="E7" s="17"/>
      <c r="F7" s="10"/>
      <c r="G7" s="10"/>
      <c r="H7" s="10"/>
      <c r="I7" s="17"/>
      <c r="J7" s="17"/>
      <c r="K7" s="10"/>
      <c r="L7" s="17"/>
      <c r="M7" s="17"/>
      <c r="N7" s="17"/>
      <c r="O7" s="10"/>
      <c r="P7" s="15"/>
      <c r="Q7" s="15"/>
      <c r="R7" s="10"/>
      <c r="S7" s="10"/>
      <c r="T7" s="21" t="str">
        <f t="shared" si="0"/>
        <v/>
      </c>
      <c r="U7" s="21" t="str">
        <f t="shared" si="1"/>
        <v/>
      </c>
      <c r="V7" s="21" t="str">
        <f t="shared" si="2"/>
        <v/>
      </c>
      <c r="W7" s="21" t="str">
        <f t="shared" si="3"/>
        <v/>
      </c>
      <c r="X7" s="21" t="str">
        <f t="shared" si="4"/>
        <v/>
      </c>
      <c r="Y7" s="21" t="str">
        <f t="shared" si="5"/>
        <v/>
      </c>
      <c r="Z7" s="21" t="str">
        <f t="shared" si="6"/>
        <v/>
      </c>
      <c r="AA7" s="21" t="str">
        <f t="shared" si="7"/>
        <v/>
      </c>
      <c r="AB7" s="21" t="str">
        <f t="shared" si="8"/>
        <v/>
      </c>
      <c r="AC7" s="21" t="str">
        <f>IF(AQ7=1,"",MID(IF(BX7&lt;&gt;""," | "&amp;BX7&amp;": "&amp;SUBSTITUTE(IFERROR(INDEX(nMSG_Text,MATCH(BX7,nMSG_Code,0)),""),"[input]",BY7),"")&amp;IF(CI7=1," | W_TZ_UNKNOWN: "&amp;SUBSTITUTE(IFERROR(INDEX(nMSG_Text,MATCH("W_TZ_UNKNOWN",nMSG_Code,0)),""),"[input]",""),"")&amp;IF(CJ7=1," | W_SAME_DATE_ORDER_UNKNOWN: "&amp;SUBSTITUTE(IFERROR(INDEX(nMSG_Text,MATCH("W_SAME_DATE_ORDER_UNKNOWN",nMSG_Code,0)),""),"[input]",""),"")&amp;IF(CK7=1," | W_SEQUENCE_UNCERTAIN: "&amp;SUBSTITUTE(IFERROR(INDEX(nMSG_Text,MATCH("W_SEQUENCE_UNCERTAIN",nMSG_Code,0)),""),"[input]",""),"")&amp;IF(CL7=1," | W_ADMIN_SAME_DATE_AS_ONSET: "&amp;SUBSTITUTE(IFERROR(INDEX(nMSG_Text,MATCH("W_ADMIN_SAME_DATE_AS_ONSET",nMSG_Code,0)),""),"[input]",""),"")&amp;IF(CO7=1," | W_INTERVENTION_BEFORE_RECOVERY: "&amp;SUBSTITUTE(IFERROR(INDEX(nMSG_Text,MATCH("W_INTERVENTION_BEFORE_RECOVERY",nMSG_Code,0)),""),"[input]",""),"")&amp;IF(OR(CQ7="",CQ7="OVERLAP"),""," | "&amp;CQ7&amp;" (reported timing): "&amp;SUBSTITUTE(IFERROR(INDEX(nMSG_Text,MATCH(CQ7,nMSG_Code,0)),""),"[input]","numeric reported bounds and a reported unit"))&amp;IF(CM7=1," | I_TREATMENT_DAY_UNDEFINED: "&amp;SUBSTITUTE(IFERROR(INDEX(nMSG_Text,MATCH("I_TREATMENT_DAY_UNDEFINED",nMSG_Code,0)),""),"[input]",""),"")&amp;IF(CH7&lt;&gt;""," | "&amp;CH7&amp;" (constraint): "&amp;SUBSTITUTE(IFERROR(INDEX(nMSG_Text,MATCH(CH7,nMSG_Code,0)),""),"[input]","a source for the constraint"),""),4,9999))</f>
        <v/>
      </c>
      <c r="AD7" s="21" t="str">
        <f t="shared" si="9"/>
        <v/>
      </c>
      <c r="AE7" s="21" t="str">
        <f t="shared" si="10"/>
        <v/>
      </c>
      <c r="AF7" s="21" t="str">
        <f t="shared" si="11"/>
        <v/>
      </c>
      <c r="AG7" s="21" t="str">
        <f t="shared" si="12"/>
        <v/>
      </c>
      <c r="AH7" s="21" t="str">
        <f>IF(BJ7=0,"",INDEX(nTP_ISO,BJ7))</f>
        <v/>
      </c>
      <c r="AI7" s="21" t="str">
        <f>IF(BJ7=0,"",INDEX(nTP_Display,BJ7))</f>
        <v/>
      </c>
      <c r="AJ7" s="21" t="str">
        <f>IF(AV7=0,"",INDEX(nTP_ISO,AV7))</f>
        <v/>
      </c>
      <c r="AK7" s="21" t="str">
        <f>IF(AV7=0,"",INDEX(nTP_Display,AV7))</f>
        <v/>
      </c>
      <c r="AL7" s="21" t="str">
        <f>IF(AU7=0,"",INDEX(nLNK_Exposure_Episode_ID,AU7)&amp;"")</f>
        <v/>
      </c>
      <c r="AM7" s="21" t="str">
        <f>IF(AU7=0,"",INDEX(nLNK_Event_Episode_ID,AU7)&amp;"")</f>
        <v/>
      </c>
      <c r="AN7" s="21" t="str">
        <f t="shared" si="13"/>
        <v/>
      </c>
      <c r="AO7" s="21" t="str">
        <f t="shared" si="14"/>
        <v/>
      </c>
      <c r="AP7" s="21" t="str">
        <f t="shared" si="15"/>
        <v/>
      </c>
      <c r="AQ7" s="22">
        <f t="shared" si="16"/>
        <v>1</v>
      </c>
      <c r="AR7" s="21" t="str">
        <f t="shared" si="17"/>
        <v>|</v>
      </c>
      <c r="AS7" s="21" t="str">
        <f t="shared" si="18"/>
        <v/>
      </c>
      <c r="AT7" s="22">
        <f>IF(AS7="",0,COUNTIF(nINT_Key,AS7))</f>
        <v>0</v>
      </c>
      <c r="AU7" s="22">
        <f>IF(D7="",0,IFERROR(MATCH(AR7&amp;"|"&amp;D7,nLNK_Key,0),0))</f>
        <v>0</v>
      </c>
      <c r="AV7" s="22">
        <f>IF(OR(AQ7=1,H7=""),0,IFERROR(MATCH(AR7&amp;"|"&amp;H7,nTP_Key,0),0))</f>
        <v>0</v>
      </c>
      <c r="AW7" s="21">
        <f>IF(AV7=0,0,INDEX(nTP_Dup,AV7))</f>
        <v>0</v>
      </c>
      <c r="AX7" s="21" t="str">
        <f>IF(AV7=0,"",INDEX(nTP_Record_Type,AV7))</f>
        <v/>
      </c>
      <c r="AY7" s="21" t="str">
        <f>IF(AV7=0,"",INDEX(nTP_Precision,AV7))</f>
        <v/>
      </c>
      <c r="AZ7" s="21" t="str">
        <f>IF(AV7=0,"",INDEX(nTP_Err,AV7))</f>
        <v/>
      </c>
      <c r="BA7" s="21">
        <f>IF(AV7=0,0,INDEX(nTP_HT,AV7))</f>
        <v>0</v>
      </c>
      <c r="BB7" s="21">
        <f>IF(AV7=0,0,INDEX(nTP_OK,AV7))</f>
        <v>0</v>
      </c>
      <c r="BC7" s="21" t="str">
        <f>IF(AV7=0,"",INDEX(nTP_Loc,AV7))</f>
        <v/>
      </c>
      <c r="BD7" s="21" t="str">
        <f>IF(AV7=0,"",INDEX(nTP_UTC,AV7))</f>
        <v/>
      </c>
      <c r="BE7" s="21" t="str">
        <f>IF(AV7=0,"",INDEX(nTP_Lo,AV7))</f>
        <v/>
      </c>
      <c r="BF7" s="21" t="str">
        <f>IF(AV7=0,"",INDEX(nTP_Hi,AV7))</f>
        <v/>
      </c>
      <c r="BG7" s="22">
        <f>IF(OR(AQ7=1,E7&lt;&gt;"LAST_DOSE_BEFORE_ONSET",AU7=0,AV7=0),0,IF(AZ7&lt;&gt;"",0,SUMPRODUCT(MAX((nADM_SelKey=AR7&amp;"|"&amp;AL7)*nADM_Valid*(nADM_A_HT*BA7*nADM_A_OK*BB7*(nADM_UTC_n&lt;=N(BD7))+nADM_A_HT*BA7*(1-nADM_A_OK*BB7)*(nADM_Loc_n&lt;=N(BC7))+(1-nADM_A_HT*BA7)*(nADM_Lo_n&lt;=N(BE7)))*nADM_Sort_n))))</f>
        <v>0</v>
      </c>
      <c r="BH7" s="22">
        <f>IF(BG7=0,0,MATCH(1,INDEX((nADM_SelKey=AR7&amp;"|"&amp;AL7)*nADM_Valid*(nADM_A_HT*BA7*nADM_A_OK*BB7*(nADM_UTC_n&lt;=N(BD7))+nADM_A_HT*BA7*(1-nADM_A_OK*BB7)*(nADM_Loc_n&lt;=N(BC7))+(1-nADM_A_HT*BA7)*(nADM_Lo_n&lt;=N(BE7)))*(nADM_Sort_n=BG7),0),0))</f>
        <v>0</v>
      </c>
      <c r="BI7" s="21" t="str">
        <f>IF(BH7=0,"",INDEX(nADM_Admin_ID,BH7)&amp;"")</f>
        <v/>
      </c>
      <c r="BJ7" s="22">
        <f>IF(OR(AQ7=1,AG7=""),0,IFERROR(MATCH(AR7&amp;"|"&amp;AG7,nTP_Key,0),0))</f>
        <v>0</v>
      </c>
      <c r="BK7" s="21">
        <f>IF(BJ7=0,0,INDEX(nTP_Dup,BJ7))</f>
        <v>0</v>
      </c>
      <c r="BL7" s="21" t="str">
        <f>IF(BJ7=0,"",INDEX(nTP_Record_Type,BJ7))</f>
        <v/>
      </c>
      <c r="BM7" s="21" t="str">
        <f>IF(BJ7=0,"",INDEX(nTP_Precision,BJ7))</f>
        <v/>
      </c>
      <c r="BN7" s="21" t="str">
        <f>IF(BJ7=0,"",INDEX(nTP_Err,BJ7))</f>
        <v/>
      </c>
      <c r="BO7" s="21">
        <f>IF(BJ7=0,0,INDEX(nTP_HT,BJ7))</f>
        <v>0</v>
      </c>
      <c r="BP7" s="21">
        <f>IF(BJ7=0,0,INDEX(nTP_OK,BJ7))</f>
        <v>0</v>
      </c>
      <c r="BQ7" s="21" t="str">
        <f>IF(BJ7=0,"",INDEX(nTP_Loc,BJ7))</f>
        <v/>
      </c>
      <c r="BR7" s="21" t="str">
        <f>IF(BJ7=0,"",INDEX(nTP_UTC,BJ7))</f>
        <v/>
      </c>
      <c r="BS7" s="21" t="str">
        <f>IF(BJ7=0,"",INDEX(nTP_Lo,BJ7))</f>
        <v/>
      </c>
      <c r="BT7" s="21" t="str">
        <f>IF(BJ7=0,"",INDEX(nTP_Hi,BJ7))</f>
        <v/>
      </c>
      <c r="BU7" s="22">
        <f>IF(OR(BJ7=0,AV7=0),0,SUMPRODUCT((nTP_Case_Key=AR7)*(nTP_Record_Type="MILESTONE:INTERVENTION")*(nTP_Err="")*(nTP_HT*BO7*BA7*(nTP_Loc_n&gt;=N(BQ7))*(nTP_Loc_n&lt;=N(BC7))+(1-nTP_HT*BO7*BA7)*(nTP_Lo_n&gt;=N(BS7))*(nTP_Hi_n&lt;=N(BF7))*(nTP_Lo_n&gt;0))))</f>
        <v>0</v>
      </c>
      <c r="BV7" s="21" t="str">
        <f t="shared" si="19"/>
        <v/>
      </c>
      <c r="BW7" s="21" t="str">
        <f t="shared" si="20"/>
        <v/>
      </c>
      <c r="BX7" s="21" t="str">
        <f t="shared" si="21"/>
        <v/>
      </c>
      <c r="BY7" s="21" t="str">
        <f t="shared" si="22"/>
        <v/>
      </c>
      <c r="BZ7" s="22">
        <f t="shared" si="23"/>
        <v>1</v>
      </c>
      <c r="CA7" s="21" t="str">
        <f t="shared" si="24"/>
        <v/>
      </c>
      <c r="CB7" s="21" t="str">
        <f t="shared" si="25"/>
        <v/>
      </c>
      <c r="CC7" s="21" t="str">
        <f t="shared" si="26"/>
        <v/>
      </c>
      <c r="CD7" s="21" t="str">
        <f t="shared" si="27"/>
        <v/>
      </c>
      <c r="CE7" s="22">
        <f t="shared" si="28"/>
        <v>0</v>
      </c>
      <c r="CF7" s="28" t="str">
        <f t="shared" si="29"/>
        <v/>
      </c>
      <c r="CG7" s="28" t="str">
        <f t="shared" si="30"/>
        <v/>
      </c>
      <c r="CH7" s="21" t="str">
        <f t="shared" si="31"/>
        <v/>
      </c>
      <c r="CI7" s="22">
        <f t="shared" si="32"/>
        <v>0</v>
      </c>
      <c r="CJ7" s="22">
        <f t="shared" si="33"/>
        <v>0</v>
      </c>
      <c r="CK7" s="22">
        <f t="shared" si="34"/>
        <v>0</v>
      </c>
      <c r="CL7" s="22">
        <f t="shared" si="35"/>
        <v>0</v>
      </c>
      <c r="CM7" s="22">
        <f t="shared" si="36"/>
        <v>0</v>
      </c>
      <c r="CN7" s="22">
        <f t="shared" si="37"/>
        <v>0</v>
      </c>
      <c r="CO7" s="22">
        <f t="shared" si="38"/>
        <v>0</v>
      </c>
      <c r="CP7" s="22">
        <f t="shared" si="39"/>
        <v>0</v>
      </c>
      <c r="CQ7" s="21" t="str">
        <f t="shared" si="40"/>
        <v/>
      </c>
    </row>
    <row r="8" spans="1:95" x14ac:dyDescent="0.2">
      <c r="A8" s="10"/>
      <c r="B8" s="10"/>
      <c r="C8" s="12"/>
      <c r="D8" s="10"/>
      <c r="E8" s="17"/>
      <c r="F8" s="10"/>
      <c r="G8" s="10"/>
      <c r="H8" s="10"/>
      <c r="I8" s="17"/>
      <c r="J8" s="17"/>
      <c r="K8" s="10"/>
      <c r="L8" s="17"/>
      <c r="M8" s="17"/>
      <c r="N8" s="17"/>
      <c r="O8" s="10"/>
      <c r="P8" s="15"/>
      <c r="Q8" s="15"/>
      <c r="R8" s="10"/>
      <c r="S8" s="10"/>
      <c r="T8" s="21" t="str">
        <f t="shared" si="0"/>
        <v/>
      </c>
      <c r="U8" s="21" t="str">
        <f t="shared" si="1"/>
        <v/>
      </c>
      <c r="V8" s="21" t="str">
        <f t="shared" si="2"/>
        <v/>
      </c>
      <c r="W8" s="21" t="str">
        <f t="shared" si="3"/>
        <v/>
      </c>
      <c r="X8" s="21" t="str">
        <f t="shared" si="4"/>
        <v/>
      </c>
      <c r="Y8" s="21" t="str">
        <f t="shared" si="5"/>
        <v/>
      </c>
      <c r="Z8" s="21" t="str">
        <f t="shared" si="6"/>
        <v/>
      </c>
      <c r="AA8" s="21" t="str">
        <f t="shared" si="7"/>
        <v/>
      </c>
      <c r="AB8" s="21" t="str">
        <f t="shared" si="8"/>
        <v/>
      </c>
      <c r="AC8" s="21" t="str">
        <f>IF(AQ8=1,"",MID(IF(BX8&lt;&gt;""," | "&amp;BX8&amp;": "&amp;SUBSTITUTE(IFERROR(INDEX(nMSG_Text,MATCH(BX8,nMSG_Code,0)),""),"[input]",BY8),"")&amp;IF(CI8=1," | W_TZ_UNKNOWN: "&amp;SUBSTITUTE(IFERROR(INDEX(nMSG_Text,MATCH("W_TZ_UNKNOWN",nMSG_Code,0)),""),"[input]",""),"")&amp;IF(CJ8=1," | W_SAME_DATE_ORDER_UNKNOWN: "&amp;SUBSTITUTE(IFERROR(INDEX(nMSG_Text,MATCH("W_SAME_DATE_ORDER_UNKNOWN",nMSG_Code,0)),""),"[input]",""),"")&amp;IF(CK8=1," | W_SEQUENCE_UNCERTAIN: "&amp;SUBSTITUTE(IFERROR(INDEX(nMSG_Text,MATCH("W_SEQUENCE_UNCERTAIN",nMSG_Code,0)),""),"[input]",""),"")&amp;IF(CL8=1," | W_ADMIN_SAME_DATE_AS_ONSET: "&amp;SUBSTITUTE(IFERROR(INDEX(nMSG_Text,MATCH("W_ADMIN_SAME_DATE_AS_ONSET",nMSG_Code,0)),""),"[input]",""),"")&amp;IF(CO8=1," | W_INTERVENTION_BEFORE_RECOVERY: "&amp;SUBSTITUTE(IFERROR(INDEX(nMSG_Text,MATCH("W_INTERVENTION_BEFORE_RECOVERY",nMSG_Code,0)),""),"[input]",""),"")&amp;IF(OR(CQ8="",CQ8="OVERLAP"),""," | "&amp;CQ8&amp;" (reported timing): "&amp;SUBSTITUTE(IFERROR(INDEX(nMSG_Text,MATCH(CQ8,nMSG_Code,0)),""),"[input]","numeric reported bounds and a reported unit"))&amp;IF(CM8=1," | I_TREATMENT_DAY_UNDEFINED: "&amp;SUBSTITUTE(IFERROR(INDEX(nMSG_Text,MATCH("I_TREATMENT_DAY_UNDEFINED",nMSG_Code,0)),""),"[input]",""),"")&amp;IF(CH8&lt;&gt;""," | "&amp;CH8&amp;" (constraint): "&amp;SUBSTITUTE(IFERROR(INDEX(nMSG_Text,MATCH(CH8,nMSG_Code,0)),""),"[input]","a source for the constraint"),""),4,9999))</f>
        <v/>
      </c>
      <c r="AD8" s="21" t="str">
        <f t="shared" si="9"/>
        <v/>
      </c>
      <c r="AE8" s="21" t="str">
        <f t="shared" si="10"/>
        <v/>
      </c>
      <c r="AF8" s="21" t="str">
        <f t="shared" si="11"/>
        <v/>
      </c>
      <c r="AG8" s="21" t="str">
        <f t="shared" si="12"/>
        <v/>
      </c>
      <c r="AH8" s="21" t="str">
        <f>IF(BJ8=0,"",INDEX(nTP_ISO,BJ8))</f>
        <v/>
      </c>
      <c r="AI8" s="21" t="str">
        <f>IF(BJ8=0,"",INDEX(nTP_Display,BJ8))</f>
        <v/>
      </c>
      <c r="AJ8" s="21" t="str">
        <f>IF(AV8=0,"",INDEX(nTP_ISO,AV8))</f>
        <v/>
      </c>
      <c r="AK8" s="21" t="str">
        <f>IF(AV8=0,"",INDEX(nTP_Display,AV8))</f>
        <v/>
      </c>
      <c r="AL8" s="21" t="str">
        <f>IF(AU8=0,"",INDEX(nLNK_Exposure_Episode_ID,AU8)&amp;"")</f>
        <v/>
      </c>
      <c r="AM8" s="21" t="str">
        <f>IF(AU8=0,"",INDEX(nLNK_Event_Episode_ID,AU8)&amp;"")</f>
        <v/>
      </c>
      <c r="AN8" s="21" t="str">
        <f t="shared" si="13"/>
        <v/>
      </c>
      <c r="AO8" s="21" t="str">
        <f t="shared" si="14"/>
        <v/>
      </c>
      <c r="AP8" s="21" t="str">
        <f t="shared" si="15"/>
        <v/>
      </c>
      <c r="AQ8" s="22">
        <f t="shared" si="16"/>
        <v>1</v>
      </c>
      <c r="AR8" s="21" t="str">
        <f t="shared" si="17"/>
        <v>|</v>
      </c>
      <c r="AS8" s="21" t="str">
        <f t="shared" si="18"/>
        <v/>
      </c>
      <c r="AT8" s="22">
        <f>IF(AS8="",0,COUNTIF(nINT_Key,AS8))</f>
        <v>0</v>
      </c>
      <c r="AU8" s="22">
        <f>IF(D8="",0,IFERROR(MATCH(AR8&amp;"|"&amp;D8,nLNK_Key,0),0))</f>
        <v>0</v>
      </c>
      <c r="AV8" s="22">
        <f>IF(OR(AQ8=1,H8=""),0,IFERROR(MATCH(AR8&amp;"|"&amp;H8,nTP_Key,0),0))</f>
        <v>0</v>
      </c>
      <c r="AW8" s="21">
        <f>IF(AV8=0,0,INDEX(nTP_Dup,AV8))</f>
        <v>0</v>
      </c>
      <c r="AX8" s="21" t="str">
        <f>IF(AV8=0,"",INDEX(nTP_Record_Type,AV8))</f>
        <v/>
      </c>
      <c r="AY8" s="21" t="str">
        <f>IF(AV8=0,"",INDEX(nTP_Precision,AV8))</f>
        <v/>
      </c>
      <c r="AZ8" s="21" t="str">
        <f>IF(AV8=0,"",INDEX(nTP_Err,AV8))</f>
        <v/>
      </c>
      <c r="BA8" s="21">
        <f>IF(AV8=0,0,INDEX(nTP_HT,AV8))</f>
        <v>0</v>
      </c>
      <c r="BB8" s="21">
        <f>IF(AV8=0,0,INDEX(nTP_OK,AV8))</f>
        <v>0</v>
      </c>
      <c r="BC8" s="21" t="str">
        <f>IF(AV8=0,"",INDEX(nTP_Loc,AV8))</f>
        <v/>
      </c>
      <c r="BD8" s="21" t="str">
        <f>IF(AV8=0,"",INDEX(nTP_UTC,AV8))</f>
        <v/>
      </c>
      <c r="BE8" s="21" t="str">
        <f>IF(AV8=0,"",INDEX(nTP_Lo,AV8))</f>
        <v/>
      </c>
      <c r="BF8" s="21" t="str">
        <f>IF(AV8=0,"",INDEX(nTP_Hi,AV8))</f>
        <v/>
      </c>
      <c r="BG8" s="22">
        <f>IF(OR(AQ8=1,E8&lt;&gt;"LAST_DOSE_BEFORE_ONSET",AU8=0,AV8=0),0,IF(AZ8&lt;&gt;"",0,SUMPRODUCT(MAX((nADM_SelKey=AR8&amp;"|"&amp;AL8)*nADM_Valid*(nADM_A_HT*BA8*nADM_A_OK*BB8*(nADM_UTC_n&lt;=N(BD8))+nADM_A_HT*BA8*(1-nADM_A_OK*BB8)*(nADM_Loc_n&lt;=N(BC8))+(1-nADM_A_HT*BA8)*(nADM_Lo_n&lt;=N(BE8)))*nADM_Sort_n))))</f>
        <v>0</v>
      </c>
      <c r="BH8" s="22">
        <f>IF(BG8=0,0,MATCH(1,INDEX((nADM_SelKey=AR8&amp;"|"&amp;AL8)*nADM_Valid*(nADM_A_HT*BA8*nADM_A_OK*BB8*(nADM_UTC_n&lt;=N(BD8))+nADM_A_HT*BA8*(1-nADM_A_OK*BB8)*(nADM_Loc_n&lt;=N(BC8))+(1-nADM_A_HT*BA8)*(nADM_Lo_n&lt;=N(BE8)))*(nADM_Sort_n=BG8),0),0))</f>
        <v>0</v>
      </c>
      <c r="BI8" s="21" t="str">
        <f>IF(BH8=0,"",INDEX(nADM_Admin_ID,BH8)&amp;"")</f>
        <v/>
      </c>
      <c r="BJ8" s="22">
        <f>IF(OR(AQ8=1,AG8=""),0,IFERROR(MATCH(AR8&amp;"|"&amp;AG8,nTP_Key,0),0))</f>
        <v>0</v>
      </c>
      <c r="BK8" s="21">
        <f>IF(BJ8=0,0,INDEX(nTP_Dup,BJ8))</f>
        <v>0</v>
      </c>
      <c r="BL8" s="21" t="str">
        <f>IF(BJ8=0,"",INDEX(nTP_Record_Type,BJ8))</f>
        <v/>
      </c>
      <c r="BM8" s="21" t="str">
        <f>IF(BJ8=0,"",INDEX(nTP_Precision,BJ8))</f>
        <v/>
      </c>
      <c r="BN8" s="21" t="str">
        <f>IF(BJ8=0,"",INDEX(nTP_Err,BJ8))</f>
        <v/>
      </c>
      <c r="BO8" s="21">
        <f>IF(BJ8=0,0,INDEX(nTP_HT,BJ8))</f>
        <v>0</v>
      </c>
      <c r="BP8" s="21">
        <f>IF(BJ8=0,0,INDEX(nTP_OK,BJ8))</f>
        <v>0</v>
      </c>
      <c r="BQ8" s="21" t="str">
        <f>IF(BJ8=0,"",INDEX(nTP_Loc,BJ8))</f>
        <v/>
      </c>
      <c r="BR8" s="21" t="str">
        <f>IF(BJ8=0,"",INDEX(nTP_UTC,BJ8))</f>
        <v/>
      </c>
      <c r="BS8" s="21" t="str">
        <f>IF(BJ8=0,"",INDEX(nTP_Lo,BJ8))</f>
        <v/>
      </c>
      <c r="BT8" s="21" t="str">
        <f>IF(BJ8=0,"",INDEX(nTP_Hi,BJ8))</f>
        <v/>
      </c>
      <c r="BU8" s="22">
        <f>IF(OR(BJ8=0,AV8=0),0,SUMPRODUCT((nTP_Case_Key=AR8)*(nTP_Record_Type="MILESTONE:INTERVENTION")*(nTP_Err="")*(nTP_HT*BO8*BA8*(nTP_Loc_n&gt;=N(BQ8))*(nTP_Loc_n&lt;=N(BC8))+(1-nTP_HT*BO8*BA8)*(nTP_Lo_n&gt;=N(BS8))*(nTP_Hi_n&lt;=N(BF8))*(nTP_Lo_n&gt;0))))</f>
        <v>0</v>
      </c>
      <c r="BV8" s="21" t="str">
        <f t="shared" si="19"/>
        <v/>
      </c>
      <c r="BW8" s="21" t="str">
        <f t="shared" si="20"/>
        <v/>
      </c>
      <c r="BX8" s="21" t="str">
        <f t="shared" si="21"/>
        <v/>
      </c>
      <c r="BY8" s="21" t="str">
        <f t="shared" si="22"/>
        <v/>
      </c>
      <c r="BZ8" s="22">
        <f t="shared" si="23"/>
        <v>1</v>
      </c>
      <c r="CA8" s="21" t="str">
        <f t="shared" si="24"/>
        <v/>
      </c>
      <c r="CB8" s="21" t="str">
        <f t="shared" si="25"/>
        <v/>
      </c>
      <c r="CC8" s="21" t="str">
        <f t="shared" si="26"/>
        <v/>
      </c>
      <c r="CD8" s="21" t="str">
        <f t="shared" si="27"/>
        <v/>
      </c>
      <c r="CE8" s="22">
        <f t="shared" si="28"/>
        <v>0</v>
      </c>
      <c r="CF8" s="28" t="str">
        <f t="shared" si="29"/>
        <v/>
      </c>
      <c r="CG8" s="28" t="str">
        <f t="shared" si="30"/>
        <v/>
      </c>
      <c r="CH8" s="21" t="str">
        <f t="shared" si="31"/>
        <v/>
      </c>
      <c r="CI8" s="22">
        <f t="shared" si="32"/>
        <v>0</v>
      </c>
      <c r="CJ8" s="22">
        <f t="shared" si="33"/>
        <v>0</v>
      </c>
      <c r="CK8" s="22">
        <f t="shared" si="34"/>
        <v>0</v>
      </c>
      <c r="CL8" s="22">
        <f t="shared" si="35"/>
        <v>0</v>
      </c>
      <c r="CM8" s="22">
        <f t="shared" si="36"/>
        <v>0</v>
      </c>
      <c r="CN8" s="22">
        <f t="shared" si="37"/>
        <v>0</v>
      </c>
      <c r="CO8" s="22">
        <f t="shared" si="38"/>
        <v>0</v>
      </c>
      <c r="CP8" s="22">
        <f t="shared" si="39"/>
        <v>0</v>
      </c>
      <c r="CQ8" s="21" t="str">
        <f t="shared" si="40"/>
        <v/>
      </c>
    </row>
    <row r="9" spans="1:95" x14ac:dyDescent="0.2">
      <c r="A9" s="10"/>
      <c r="B9" s="10"/>
      <c r="C9" s="12"/>
      <c r="D9" s="10"/>
      <c r="E9" s="17"/>
      <c r="F9" s="10"/>
      <c r="G9" s="10"/>
      <c r="H9" s="10"/>
      <c r="I9" s="17"/>
      <c r="J9" s="17"/>
      <c r="K9" s="10"/>
      <c r="L9" s="17"/>
      <c r="M9" s="17"/>
      <c r="N9" s="17"/>
      <c r="O9" s="10"/>
      <c r="P9" s="15"/>
      <c r="Q9" s="15"/>
      <c r="R9" s="10"/>
      <c r="S9" s="10"/>
      <c r="T9" s="21" t="str">
        <f t="shared" si="0"/>
        <v/>
      </c>
      <c r="U9" s="21" t="str">
        <f t="shared" si="1"/>
        <v/>
      </c>
      <c r="V9" s="21" t="str">
        <f t="shared" si="2"/>
        <v/>
      </c>
      <c r="W9" s="21" t="str">
        <f t="shared" si="3"/>
        <v/>
      </c>
      <c r="X9" s="21" t="str">
        <f t="shared" si="4"/>
        <v/>
      </c>
      <c r="Y9" s="21" t="str">
        <f t="shared" si="5"/>
        <v/>
      </c>
      <c r="Z9" s="21" t="str">
        <f t="shared" si="6"/>
        <v/>
      </c>
      <c r="AA9" s="21" t="str">
        <f t="shared" si="7"/>
        <v/>
      </c>
      <c r="AB9" s="21" t="str">
        <f t="shared" si="8"/>
        <v/>
      </c>
      <c r="AC9" s="21" t="str">
        <f>IF(AQ9=1,"",MID(IF(BX9&lt;&gt;""," | "&amp;BX9&amp;": "&amp;SUBSTITUTE(IFERROR(INDEX(nMSG_Text,MATCH(BX9,nMSG_Code,0)),""),"[input]",BY9),"")&amp;IF(CI9=1," | W_TZ_UNKNOWN: "&amp;SUBSTITUTE(IFERROR(INDEX(nMSG_Text,MATCH("W_TZ_UNKNOWN",nMSG_Code,0)),""),"[input]",""),"")&amp;IF(CJ9=1," | W_SAME_DATE_ORDER_UNKNOWN: "&amp;SUBSTITUTE(IFERROR(INDEX(nMSG_Text,MATCH("W_SAME_DATE_ORDER_UNKNOWN",nMSG_Code,0)),""),"[input]",""),"")&amp;IF(CK9=1," | W_SEQUENCE_UNCERTAIN: "&amp;SUBSTITUTE(IFERROR(INDEX(nMSG_Text,MATCH("W_SEQUENCE_UNCERTAIN",nMSG_Code,0)),""),"[input]",""),"")&amp;IF(CL9=1," | W_ADMIN_SAME_DATE_AS_ONSET: "&amp;SUBSTITUTE(IFERROR(INDEX(nMSG_Text,MATCH("W_ADMIN_SAME_DATE_AS_ONSET",nMSG_Code,0)),""),"[input]",""),"")&amp;IF(CO9=1," | W_INTERVENTION_BEFORE_RECOVERY: "&amp;SUBSTITUTE(IFERROR(INDEX(nMSG_Text,MATCH("W_INTERVENTION_BEFORE_RECOVERY",nMSG_Code,0)),""),"[input]",""),"")&amp;IF(OR(CQ9="",CQ9="OVERLAP"),""," | "&amp;CQ9&amp;" (reported timing): "&amp;SUBSTITUTE(IFERROR(INDEX(nMSG_Text,MATCH(CQ9,nMSG_Code,0)),""),"[input]","numeric reported bounds and a reported unit"))&amp;IF(CM9=1," | I_TREATMENT_DAY_UNDEFINED: "&amp;SUBSTITUTE(IFERROR(INDEX(nMSG_Text,MATCH("I_TREATMENT_DAY_UNDEFINED",nMSG_Code,0)),""),"[input]",""),"")&amp;IF(CH9&lt;&gt;""," | "&amp;CH9&amp;" (constraint): "&amp;SUBSTITUTE(IFERROR(INDEX(nMSG_Text,MATCH(CH9,nMSG_Code,0)),""),"[input]","a source for the constraint"),""),4,9999))</f>
        <v/>
      </c>
      <c r="AD9" s="21" t="str">
        <f t="shared" si="9"/>
        <v/>
      </c>
      <c r="AE9" s="21" t="str">
        <f t="shared" si="10"/>
        <v/>
      </c>
      <c r="AF9" s="21" t="str">
        <f t="shared" si="11"/>
        <v/>
      </c>
      <c r="AG9" s="21" t="str">
        <f t="shared" si="12"/>
        <v/>
      </c>
      <c r="AH9" s="21" t="str">
        <f>IF(BJ9=0,"",INDEX(nTP_ISO,BJ9))</f>
        <v/>
      </c>
      <c r="AI9" s="21" t="str">
        <f>IF(BJ9=0,"",INDEX(nTP_Display,BJ9))</f>
        <v/>
      </c>
      <c r="AJ9" s="21" t="str">
        <f>IF(AV9=0,"",INDEX(nTP_ISO,AV9))</f>
        <v/>
      </c>
      <c r="AK9" s="21" t="str">
        <f>IF(AV9=0,"",INDEX(nTP_Display,AV9))</f>
        <v/>
      </c>
      <c r="AL9" s="21" t="str">
        <f>IF(AU9=0,"",INDEX(nLNK_Exposure_Episode_ID,AU9)&amp;"")</f>
        <v/>
      </c>
      <c r="AM9" s="21" t="str">
        <f>IF(AU9=0,"",INDEX(nLNK_Event_Episode_ID,AU9)&amp;"")</f>
        <v/>
      </c>
      <c r="AN9" s="21" t="str">
        <f t="shared" si="13"/>
        <v/>
      </c>
      <c r="AO9" s="21" t="str">
        <f t="shared" si="14"/>
        <v/>
      </c>
      <c r="AP9" s="21" t="str">
        <f t="shared" si="15"/>
        <v/>
      </c>
      <c r="AQ9" s="22">
        <f t="shared" si="16"/>
        <v>1</v>
      </c>
      <c r="AR9" s="21" t="str">
        <f t="shared" si="17"/>
        <v>|</v>
      </c>
      <c r="AS9" s="21" t="str">
        <f t="shared" si="18"/>
        <v/>
      </c>
      <c r="AT9" s="22">
        <f>IF(AS9="",0,COUNTIF(nINT_Key,AS9))</f>
        <v>0</v>
      </c>
      <c r="AU9" s="22">
        <f>IF(D9="",0,IFERROR(MATCH(AR9&amp;"|"&amp;D9,nLNK_Key,0),0))</f>
        <v>0</v>
      </c>
      <c r="AV9" s="22">
        <f>IF(OR(AQ9=1,H9=""),0,IFERROR(MATCH(AR9&amp;"|"&amp;H9,nTP_Key,0),0))</f>
        <v>0</v>
      </c>
      <c r="AW9" s="21">
        <f>IF(AV9=0,0,INDEX(nTP_Dup,AV9))</f>
        <v>0</v>
      </c>
      <c r="AX9" s="21" t="str">
        <f>IF(AV9=0,"",INDEX(nTP_Record_Type,AV9))</f>
        <v/>
      </c>
      <c r="AY9" s="21" t="str">
        <f>IF(AV9=0,"",INDEX(nTP_Precision,AV9))</f>
        <v/>
      </c>
      <c r="AZ9" s="21" t="str">
        <f>IF(AV9=0,"",INDEX(nTP_Err,AV9))</f>
        <v/>
      </c>
      <c r="BA9" s="21">
        <f>IF(AV9=0,0,INDEX(nTP_HT,AV9))</f>
        <v>0</v>
      </c>
      <c r="BB9" s="21">
        <f>IF(AV9=0,0,INDEX(nTP_OK,AV9))</f>
        <v>0</v>
      </c>
      <c r="BC9" s="21" t="str">
        <f>IF(AV9=0,"",INDEX(nTP_Loc,AV9))</f>
        <v/>
      </c>
      <c r="BD9" s="21" t="str">
        <f>IF(AV9=0,"",INDEX(nTP_UTC,AV9))</f>
        <v/>
      </c>
      <c r="BE9" s="21" t="str">
        <f>IF(AV9=0,"",INDEX(nTP_Lo,AV9))</f>
        <v/>
      </c>
      <c r="BF9" s="21" t="str">
        <f>IF(AV9=0,"",INDEX(nTP_Hi,AV9))</f>
        <v/>
      </c>
      <c r="BG9" s="22">
        <f>IF(OR(AQ9=1,E9&lt;&gt;"LAST_DOSE_BEFORE_ONSET",AU9=0,AV9=0),0,IF(AZ9&lt;&gt;"",0,SUMPRODUCT(MAX((nADM_SelKey=AR9&amp;"|"&amp;AL9)*nADM_Valid*(nADM_A_HT*BA9*nADM_A_OK*BB9*(nADM_UTC_n&lt;=N(BD9))+nADM_A_HT*BA9*(1-nADM_A_OK*BB9)*(nADM_Loc_n&lt;=N(BC9))+(1-nADM_A_HT*BA9)*(nADM_Lo_n&lt;=N(BE9)))*nADM_Sort_n))))</f>
        <v>0</v>
      </c>
      <c r="BH9" s="22">
        <f>IF(BG9=0,0,MATCH(1,INDEX((nADM_SelKey=AR9&amp;"|"&amp;AL9)*nADM_Valid*(nADM_A_HT*BA9*nADM_A_OK*BB9*(nADM_UTC_n&lt;=N(BD9))+nADM_A_HT*BA9*(1-nADM_A_OK*BB9)*(nADM_Loc_n&lt;=N(BC9))+(1-nADM_A_HT*BA9)*(nADM_Lo_n&lt;=N(BE9)))*(nADM_Sort_n=BG9),0),0))</f>
        <v>0</v>
      </c>
      <c r="BI9" s="21" t="str">
        <f>IF(BH9=0,"",INDEX(nADM_Admin_ID,BH9)&amp;"")</f>
        <v/>
      </c>
      <c r="BJ9" s="22">
        <f>IF(OR(AQ9=1,AG9=""),0,IFERROR(MATCH(AR9&amp;"|"&amp;AG9,nTP_Key,0),0))</f>
        <v>0</v>
      </c>
      <c r="BK9" s="21">
        <f>IF(BJ9=0,0,INDEX(nTP_Dup,BJ9))</f>
        <v>0</v>
      </c>
      <c r="BL9" s="21" t="str">
        <f>IF(BJ9=0,"",INDEX(nTP_Record_Type,BJ9))</f>
        <v/>
      </c>
      <c r="BM9" s="21" t="str">
        <f>IF(BJ9=0,"",INDEX(nTP_Precision,BJ9))</f>
        <v/>
      </c>
      <c r="BN9" s="21" t="str">
        <f>IF(BJ9=0,"",INDEX(nTP_Err,BJ9))</f>
        <v/>
      </c>
      <c r="BO9" s="21">
        <f>IF(BJ9=0,0,INDEX(nTP_HT,BJ9))</f>
        <v>0</v>
      </c>
      <c r="BP9" s="21">
        <f>IF(BJ9=0,0,INDEX(nTP_OK,BJ9))</f>
        <v>0</v>
      </c>
      <c r="BQ9" s="21" t="str">
        <f>IF(BJ9=0,"",INDEX(nTP_Loc,BJ9))</f>
        <v/>
      </c>
      <c r="BR9" s="21" t="str">
        <f>IF(BJ9=0,"",INDEX(nTP_UTC,BJ9))</f>
        <v/>
      </c>
      <c r="BS9" s="21" t="str">
        <f>IF(BJ9=0,"",INDEX(nTP_Lo,BJ9))</f>
        <v/>
      </c>
      <c r="BT9" s="21" t="str">
        <f>IF(BJ9=0,"",INDEX(nTP_Hi,BJ9))</f>
        <v/>
      </c>
      <c r="BU9" s="22">
        <f>IF(OR(BJ9=0,AV9=0),0,SUMPRODUCT((nTP_Case_Key=AR9)*(nTP_Record_Type="MILESTONE:INTERVENTION")*(nTP_Err="")*(nTP_HT*BO9*BA9*(nTP_Loc_n&gt;=N(BQ9))*(nTP_Loc_n&lt;=N(BC9))+(1-nTP_HT*BO9*BA9)*(nTP_Lo_n&gt;=N(BS9))*(nTP_Hi_n&lt;=N(BF9))*(nTP_Lo_n&gt;0))))</f>
        <v>0</v>
      </c>
      <c r="BV9" s="21" t="str">
        <f t="shared" si="19"/>
        <v/>
      </c>
      <c r="BW9" s="21" t="str">
        <f t="shared" si="20"/>
        <v/>
      </c>
      <c r="BX9" s="21" t="str">
        <f t="shared" si="21"/>
        <v/>
      </c>
      <c r="BY9" s="21" t="str">
        <f t="shared" si="22"/>
        <v/>
      </c>
      <c r="BZ9" s="22">
        <f t="shared" si="23"/>
        <v>1</v>
      </c>
      <c r="CA9" s="21" t="str">
        <f t="shared" si="24"/>
        <v/>
      </c>
      <c r="CB9" s="21" t="str">
        <f t="shared" si="25"/>
        <v/>
      </c>
      <c r="CC9" s="21" t="str">
        <f t="shared" si="26"/>
        <v/>
      </c>
      <c r="CD9" s="21" t="str">
        <f t="shared" si="27"/>
        <v/>
      </c>
      <c r="CE9" s="22">
        <f t="shared" si="28"/>
        <v>0</v>
      </c>
      <c r="CF9" s="28" t="str">
        <f t="shared" si="29"/>
        <v/>
      </c>
      <c r="CG9" s="28" t="str">
        <f t="shared" si="30"/>
        <v/>
      </c>
      <c r="CH9" s="21" t="str">
        <f t="shared" si="31"/>
        <v/>
      </c>
      <c r="CI9" s="22">
        <f t="shared" si="32"/>
        <v>0</v>
      </c>
      <c r="CJ9" s="22">
        <f t="shared" si="33"/>
        <v>0</v>
      </c>
      <c r="CK9" s="22">
        <f t="shared" si="34"/>
        <v>0</v>
      </c>
      <c r="CL9" s="22">
        <f t="shared" si="35"/>
        <v>0</v>
      </c>
      <c r="CM9" s="22">
        <f t="shared" si="36"/>
        <v>0</v>
      </c>
      <c r="CN9" s="22">
        <f t="shared" si="37"/>
        <v>0</v>
      </c>
      <c r="CO9" s="22">
        <f t="shared" si="38"/>
        <v>0</v>
      </c>
      <c r="CP9" s="22">
        <f t="shared" si="39"/>
        <v>0</v>
      </c>
      <c r="CQ9" s="21" t="str">
        <f t="shared" si="40"/>
        <v/>
      </c>
    </row>
    <row r="10" spans="1:95" x14ac:dyDescent="0.2">
      <c r="A10" s="10"/>
      <c r="B10" s="10"/>
      <c r="C10" s="12"/>
      <c r="D10" s="10"/>
      <c r="E10" s="17"/>
      <c r="F10" s="10"/>
      <c r="G10" s="10"/>
      <c r="H10" s="10"/>
      <c r="I10" s="17"/>
      <c r="J10" s="17"/>
      <c r="K10" s="10"/>
      <c r="L10" s="17"/>
      <c r="M10" s="17"/>
      <c r="N10" s="17"/>
      <c r="O10" s="10"/>
      <c r="P10" s="15"/>
      <c r="Q10" s="15"/>
      <c r="R10" s="10"/>
      <c r="S10" s="10"/>
      <c r="T10" s="21" t="str">
        <f t="shared" si="0"/>
        <v/>
      </c>
      <c r="U10" s="21" t="str">
        <f t="shared" si="1"/>
        <v/>
      </c>
      <c r="V10" s="21" t="str">
        <f t="shared" si="2"/>
        <v/>
      </c>
      <c r="W10" s="21" t="str">
        <f t="shared" si="3"/>
        <v/>
      </c>
      <c r="X10" s="21" t="str">
        <f t="shared" si="4"/>
        <v/>
      </c>
      <c r="Y10" s="21" t="str">
        <f t="shared" si="5"/>
        <v/>
      </c>
      <c r="Z10" s="21" t="str">
        <f t="shared" si="6"/>
        <v/>
      </c>
      <c r="AA10" s="21" t="str">
        <f t="shared" si="7"/>
        <v/>
      </c>
      <c r="AB10" s="21" t="str">
        <f t="shared" si="8"/>
        <v/>
      </c>
      <c r="AC10" s="21" t="str">
        <f>IF(AQ10=1,"",MID(IF(BX10&lt;&gt;""," | "&amp;BX10&amp;": "&amp;SUBSTITUTE(IFERROR(INDEX(nMSG_Text,MATCH(BX10,nMSG_Code,0)),""),"[input]",BY10),"")&amp;IF(CI10=1," | W_TZ_UNKNOWN: "&amp;SUBSTITUTE(IFERROR(INDEX(nMSG_Text,MATCH("W_TZ_UNKNOWN",nMSG_Code,0)),""),"[input]",""),"")&amp;IF(CJ10=1," | W_SAME_DATE_ORDER_UNKNOWN: "&amp;SUBSTITUTE(IFERROR(INDEX(nMSG_Text,MATCH("W_SAME_DATE_ORDER_UNKNOWN",nMSG_Code,0)),""),"[input]",""),"")&amp;IF(CK10=1," | W_SEQUENCE_UNCERTAIN: "&amp;SUBSTITUTE(IFERROR(INDEX(nMSG_Text,MATCH("W_SEQUENCE_UNCERTAIN",nMSG_Code,0)),""),"[input]",""),"")&amp;IF(CL10=1," | W_ADMIN_SAME_DATE_AS_ONSET: "&amp;SUBSTITUTE(IFERROR(INDEX(nMSG_Text,MATCH("W_ADMIN_SAME_DATE_AS_ONSET",nMSG_Code,0)),""),"[input]",""),"")&amp;IF(CO10=1," | W_INTERVENTION_BEFORE_RECOVERY: "&amp;SUBSTITUTE(IFERROR(INDEX(nMSG_Text,MATCH("W_INTERVENTION_BEFORE_RECOVERY",nMSG_Code,0)),""),"[input]",""),"")&amp;IF(OR(CQ10="",CQ10="OVERLAP"),""," | "&amp;CQ10&amp;" (reported timing): "&amp;SUBSTITUTE(IFERROR(INDEX(nMSG_Text,MATCH(CQ10,nMSG_Code,0)),""),"[input]","numeric reported bounds and a reported unit"))&amp;IF(CM10=1," | I_TREATMENT_DAY_UNDEFINED: "&amp;SUBSTITUTE(IFERROR(INDEX(nMSG_Text,MATCH("I_TREATMENT_DAY_UNDEFINED",nMSG_Code,0)),""),"[input]",""),"")&amp;IF(CH10&lt;&gt;""," | "&amp;CH10&amp;" (constraint): "&amp;SUBSTITUTE(IFERROR(INDEX(nMSG_Text,MATCH(CH10,nMSG_Code,0)),""),"[input]","a source for the constraint"),""),4,9999))</f>
        <v/>
      </c>
      <c r="AD10" s="21" t="str">
        <f t="shared" si="9"/>
        <v/>
      </c>
      <c r="AE10" s="21" t="str">
        <f t="shared" si="10"/>
        <v/>
      </c>
      <c r="AF10" s="21" t="str">
        <f t="shared" si="11"/>
        <v/>
      </c>
      <c r="AG10" s="21" t="str">
        <f t="shared" si="12"/>
        <v/>
      </c>
      <c r="AH10" s="21" t="str">
        <f>IF(BJ10=0,"",INDEX(nTP_ISO,BJ10))</f>
        <v/>
      </c>
      <c r="AI10" s="21" t="str">
        <f>IF(BJ10=0,"",INDEX(nTP_Display,BJ10))</f>
        <v/>
      </c>
      <c r="AJ10" s="21" t="str">
        <f>IF(AV10=0,"",INDEX(nTP_ISO,AV10))</f>
        <v/>
      </c>
      <c r="AK10" s="21" t="str">
        <f>IF(AV10=0,"",INDEX(nTP_Display,AV10))</f>
        <v/>
      </c>
      <c r="AL10" s="21" t="str">
        <f>IF(AU10=0,"",INDEX(nLNK_Exposure_Episode_ID,AU10)&amp;"")</f>
        <v/>
      </c>
      <c r="AM10" s="21" t="str">
        <f>IF(AU10=0,"",INDEX(nLNK_Event_Episode_ID,AU10)&amp;"")</f>
        <v/>
      </c>
      <c r="AN10" s="21" t="str">
        <f t="shared" si="13"/>
        <v/>
      </c>
      <c r="AO10" s="21" t="str">
        <f t="shared" si="14"/>
        <v/>
      </c>
      <c r="AP10" s="21" t="str">
        <f t="shared" si="15"/>
        <v/>
      </c>
      <c r="AQ10" s="22">
        <f t="shared" si="16"/>
        <v>1</v>
      </c>
      <c r="AR10" s="21" t="str">
        <f t="shared" si="17"/>
        <v>|</v>
      </c>
      <c r="AS10" s="21" t="str">
        <f t="shared" si="18"/>
        <v/>
      </c>
      <c r="AT10" s="22">
        <f>IF(AS10="",0,COUNTIF(nINT_Key,AS10))</f>
        <v>0</v>
      </c>
      <c r="AU10" s="22">
        <f>IF(D10="",0,IFERROR(MATCH(AR10&amp;"|"&amp;D10,nLNK_Key,0),0))</f>
        <v>0</v>
      </c>
      <c r="AV10" s="22">
        <f>IF(OR(AQ10=1,H10=""),0,IFERROR(MATCH(AR10&amp;"|"&amp;H10,nTP_Key,0),0))</f>
        <v>0</v>
      </c>
      <c r="AW10" s="21">
        <f>IF(AV10=0,0,INDEX(nTP_Dup,AV10))</f>
        <v>0</v>
      </c>
      <c r="AX10" s="21" t="str">
        <f>IF(AV10=0,"",INDEX(nTP_Record_Type,AV10))</f>
        <v/>
      </c>
      <c r="AY10" s="21" t="str">
        <f>IF(AV10=0,"",INDEX(nTP_Precision,AV10))</f>
        <v/>
      </c>
      <c r="AZ10" s="21" t="str">
        <f>IF(AV10=0,"",INDEX(nTP_Err,AV10))</f>
        <v/>
      </c>
      <c r="BA10" s="21">
        <f>IF(AV10=0,0,INDEX(nTP_HT,AV10))</f>
        <v>0</v>
      </c>
      <c r="BB10" s="21">
        <f>IF(AV10=0,0,INDEX(nTP_OK,AV10))</f>
        <v>0</v>
      </c>
      <c r="BC10" s="21" t="str">
        <f>IF(AV10=0,"",INDEX(nTP_Loc,AV10))</f>
        <v/>
      </c>
      <c r="BD10" s="21" t="str">
        <f>IF(AV10=0,"",INDEX(nTP_UTC,AV10))</f>
        <v/>
      </c>
      <c r="BE10" s="21" t="str">
        <f>IF(AV10=0,"",INDEX(nTP_Lo,AV10))</f>
        <v/>
      </c>
      <c r="BF10" s="21" t="str">
        <f>IF(AV10=0,"",INDEX(nTP_Hi,AV10))</f>
        <v/>
      </c>
      <c r="BG10" s="22">
        <f>IF(OR(AQ10=1,E10&lt;&gt;"LAST_DOSE_BEFORE_ONSET",AU10=0,AV10=0),0,IF(AZ10&lt;&gt;"",0,SUMPRODUCT(MAX((nADM_SelKey=AR10&amp;"|"&amp;AL10)*nADM_Valid*(nADM_A_HT*BA10*nADM_A_OK*BB10*(nADM_UTC_n&lt;=N(BD10))+nADM_A_HT*BA10*(1-nADM_A_OK*BB10)*(nADM_Loc_n&lt;=N(BC10))+(1-nADM_A_HT*BA10)*(nADM_Lo_n&lt;=N(BE10)))*nADM_Sort_n))))</f>
        <v>0</v>
      </c>
      <c r="BH10" s="22">
        <f>IF(BG10=0,0,MATCH(1,INDEX((nADM_SelKey=AR10&amp;"|"&amp;AL10)*nADM_Valid*(nADM_A_HT*BA10*nADM_A_OK*BB10*(nADM_UTC_n&lt;=N(BD10))+nADM_A_HT*BA10*(1-nADM_A_OK*BB10)*(nADM_Loc_n&lt;=N(BC10))+(1-nADM_A_HT*BA10)*(nADM_Lo_n&lt;=N(BE10)))*(nADM_Sort_n=BG10),0),0))</f>
        <v>0</v>
      </c>
      <c r="BI10" s="21" t="str">
        <f>IF(BH10=0,"",INDEX(nADM_Admin_ID,BH10)&amp;"")</f>
        <v/>
      </c>
      <c r="BJ10" s="22">
        <f>IF(OR(AQ10=1,AG10=""),0,IFERROR(MATCH(AR10&amp;"|"&amp;AG10,nTP_Key,0),0))</f>
        <v>0</v>
      </c>
      <c r="BK10" s="21">
        <f>IF(BJ10=0,0,INDEX(nTP_Dup,BJ10))</f>
        <v>0</v>
      </c>
      <c r="BL10" s="21" t="str">
        <f>IF(BJ10=0,"",INDEX(nTP_Record_Type,BJ10))</f>
        <v/>
      </c>
      <c r="BM10" s="21" t="str">
        <f>IF(BJ10=0,"",INDEX(nTP_Precision,BJ10))</f>
        <v/>
      </c>
      <c r="BN10" s="21" t="str">
        <f>IF(BJ10=0,"",INDEX(nTP_Err,BJ10))</f>
        <v/>
      </c>
      <c r="BO10" s="21">
        <f>IF(BJ10=0,0,INDEX(nTP_HT,BJ10))</f>
        <v>0</v>
      </c>
      <c r="BP10" s="21">
        <f>IF(BJ10=0,0,INDEX(nTP_OK,BJ10))</f>
        <v>0</v>
      </c>
      <c r="BQ10" s="21" t="str">
        <f>IF(BJ10=0,"",INDEX(nTP_Loc,BJ10))</f>
        <v/>
      </c>
      <c r="BR10" s="21" t="str">
        <f>IF(BJ10=0,"",INDEX(nTP_UTC,BJ10))</f>
        <v/>
      </c>
      <c r="BS10" s="21" t="str">
        <f>IF(BJ10=0,"",INDEX(nTP_Lo,BJ10))</f>
        <v/>
      </c>
      <c r="BT10" s="21" t="str">
        <f>IF(BJ10=0,"",INDEX(nTP_Hi,BJ10))</f>
        <v/>
      </c>
      <c r="BU10" s="22">
        <f>IF(OR(BJ10=0,AV10=0),0,SUMPRODUCT((nTP_Case_Key=AR10)*(nTP_Record_Type="MILESTONE:INTERVENTION")*(nTP_Err="")*(nTP_HT*BO10*BA10*(nTP_Loc_n&gt;=N(BQ10))*(nTP_Loc_n&lt;=N(BC10))+(1-nTP_HT*BO10*BA10)*(nTP_Lo_n&gt;=N(BS10))*(nTP_Hi_n&lt;=N(BF10))*(nTP_Lo_n&gt;0))))</f>
        <v>0</v>
      </c>
      <c r="BV10" s="21" t="str">
        <f t="shared" si="19"/>
        <v/>
      </c>
      <c r="BW10" s="21" t="str">
        <f t="shared" si="20"/>
        <v/>
      </c>
      <c r="BX10" s="21" t="str">
        <f t="shared" si="21"/>
        <v/>
      </c>
      <c r="BY10" s="21" t="str">
        <f t="shared" si="22"/>
        <v/>
      </c>
      <c r="BZ10" s="22">
        <f t="shared" si="23"/>
        <v>1</v>
      </c>
      <c r="CA10" s="21" t="str">
        <f t="shared" si="24"/>
        <v/>
      </c>
      <c r="CB10" s="21" t="str">
        <f t="shared" si="25"/>
        <v/>
      </c>
      <c r="CC10" s="21" t="str">
        <f t="shared" si="26"/>
        <v/>
      </c>
      <c r="CD10" s="21" t="str">
        <f t="shared" si="27"/>
        <v/>
      </c>
      <c r="CE10" s="22">
        <f t="shared" si="28"/>
        <v>0</v>
      </c>
      <c r="CF10" s="28" t="str">
        <f t="shared" si="29"/>
        <v/>
      </c>
      <c r="CG10" s="28" t="str">
        <f t="shared" si="30"/>
        <v/>
      </c>
      <c r="CH10" s="21" t="str">
        <f t="shared" si="31"/>
        <v/>
      </c>
      <c r="CI10" s="22">
        <f t="shared" si="32"/>
        <v>0</v>
      </c>
      <c r="CJ10" s="22">
        <f t="shared" si="33"/>
        <v>0</v>
      </c>
      <c r="CK10" s="22">
        <f t="shared" si="34"/>
        <v>0</v>
      </c>
      <c r="CL10" s="22">
        <f t="shared" si="35"/>
        <v>0</v>
      </c>
      <c r="CM10" s="22">
        <f t="shared" si="36"/>
        <v>0</v>
      </c>
      <c r="CN10" s="22">
        <f t="shared" si="37"/>
        <v>0</v>
      </c>
      <c r="CO10" s="22">
        <f t="shared" si="38"/>
        <v>0</v>
      </c>
      <c r="CP10" s="22">
        <f t="shared" si="39"/>
        <v>0</v>
      </c>
      <c r="CQ10" s="21" t="str">
        <f t="shared" si="40"/>
        <v/>
      </c>
    </row>
    <row r="11" spans="1:95" x14ac:dyDescent="0.2">
      <c r="A11" s="10"/>
      <c r="B11" s="10"/>
      <c r="C11" s="12"/>
      <c r="D11" s="10"/>
      <c r="E11" s="17"/>
      <c r="F11" s="10"/>
      <c r="G11" s="10"/>
      <c r="H11" s="10"/>
      <c r="I11" s="17"/>
      <c r="J11" s="17"/>
      <c r="K11" s="10"/>
      <c r="L11" s="17"/>
      <c r="M11" s="17"/>
      <c r="N11" s="17"/>
      <c r="O11" s="10"/>
      <c r="P11" s="15"/>
      <c r="Q11" s="15"/>
      <c r="R11" s="10"/>
      <c r="S11" s="10"/>
      <c r="T11" s="21" t="str">
        <f t="shared" si="0"/>
        <v/>
      </c>
      <c r="U11" s="21" t="str">
        <f t="shared" si="1"/>
        <v/>
      </c>
      <c r="V11" s="21" t="str">
        <f t="shared" si="2"/>
        <v/>
      </c>
      <c r="W11" s="21" t="str">
        <f t="shared" si="3"/>
        <v/>
      </c>
      <c r="X11" s="21" t="str">
        <f t="shared" si="4"/>
        <v/>
      </c>
      <c r="Y11" s="21" t="str">
        <f t="shared" si="5"/>
        <v/>
      </c>
      <c r="Z11" s="21" t="str">
        <f t="shared" si="6"/>
        <v/>
      </c>
      <c r="AA11" s="21" t="str">
        <f t="shared" si="7"/>
        <v/>
      </c>
      <c r="AB11" s="21" t="str">
        <f t="shared" si="8"/>
        <v/>
      </c>
      <c r="AC11" s="21" t="str">
        <f>IF(AQ11=1,"",MID(IF(BX11&lt;&gt;""," | "&amp;BX11&amp;": "&amp;SUBSTITUTE(IFERROR(INDEX(nMSG_Text,MATCH(BX11,nMSG_Code,0)),""),"[input]",BY11),"")&amp;IF(CI11=1," | W_TZ_UNKNOWN: "&amp;SUBSTITUTE(IFERROR(INDEX(nMSG_Text,MATCH("W_TZ_UNKNOWN",nMSG_Code,0)),""),"[input]",""),"")&amp;IF(CJ11=1," | W_SAME_DATE_ORDER_UNKNOWN: "&amp;SUBSTITUTE(IFERROR(INDEX(nMSG_Text,MATCH("W_SAME_DATE_ORDER_UNKNOWN",nMSG_Code,0)),""),"[input]",""),"")&amp;IF(CK11=1," | W_SEQUENCE_UNCERTAIN: "&amp;SUBSTITUTE(IFERROR(INDEX(nMSG_Text,MATCH("W_SEQUENCE_UNCERTAIN",nMSG_Code,0)),""),"[input]",""),"")&amp;IF(CL11=1," | W_ADMIN_SAME_DATE_AS_ONSET: "&amp;SUBSTITUTE(IFERROR(INDEX(nMSG_Text,MATCH("W_ADMIN_SAME_DATE_AS_ONSET",nMSG_Code,0)),""),"[input]",""),"")&amp;IF(CO11=1," | W_INTERVENTION_BEFORE_RECOVERY: "&amp;SUBSTITUTE(IFERROR(INDEX(nMSG_Text,MATCH("W_INTERVENTION_BEFORE_RECOVERY",nMSG_Code,0)),""),"[input]",""),"")&amp;IF(OR(CQ11="",CQ11="OVERLAP"),""," | "&amp;CQ11&amp;" (reported timing): "&amp;SUBSTITUTE(IFERROR(INDEX(nMSG_Text,MATCH(CQ11,nMSG_Code,0)),""),"[input]","numeric reported bounds and a reported unit"))&amp;IF(CM11=1," | I_TREATMENT_DAY_UNDEFINED: "&amp;SUBSTITUTE(IFERROR(INDEX(nMSG_Text,MATCH("I_TREATMENT_DAY_UNDEFINED",nMSG_Code,0)),""),"[input]",""),"")&amp;IF(CH11&lt;&gt;""," | "&amp;CH11&amp;" (constraint): "&amp;SUBSTITUTE(IFERROR(INDEX(nMSG_Text,MATCH(CH11,nMSG_Code,0)),""),"[input]","a source for the constraint"),""),4,9999))</f>
        <v/>
      </c>
      <c r="AD11" s="21" t="str">
        <f t="shared" si="9"/>
        <v/>
      </c>
      <c r="AE11" s="21" t="str">
        <f t="shared" si="10"/>
        <v/>
      </c>
      <c r="AF11" s="21" t="str">
        <f t="shared" si="11"/>
        <v/>
      </c>
      <c r="AG11" s="21" t="str">
        <f t="shared" si="12"/>
        <v/>
      </c>
      <c r="AH11" s="21" t="str">
        <f>IF(BJ11=0,"",INDEX(nTP_ISO,BJ11))</f>
        <v/>
      </c>
      <c r="AI11" s="21" t="str">
        <f>IF(BJ11=0,"",INDEX(nTP_Display,BJ11))</f>
        <v/>
      </c>
      <c r="AJ11" s="21" t="str">
        <f>IF(AV11=0,"",INDEX(nTP_ISO,AV11))</f>
        <v/>
      </c>
      <c r="AK11" s="21" t="str">
        <f>IF(AV11=0,"",INDEX(nTP_Display,AV11))</f>
        <v/>
      </c>
      <c r="AL11" s="21" t="str">
        <f>IF(AU11=0,"",INDEX(nLNK_Exposure_Episode_ID,AU11)&amp;"")</f>
        <v/>
      </c>
      <c r="AM11" s="21" t="str">
        <f>IF(AU11=0,"",INDEX(nLNK_Event_Episode_ID,AU11)&amp;"")</f>
        <v/>
      </c>
      <c r="AN11" s="21" t="str">
        <f t="shared" si="13"/>
        <v/>
      </c>
      <c r="AO11" s="21" t="str">
        <f t="shared" si="14"/>
        <v/>
      </c>
      <c r="AP11" s="21" t="str">
        <f t="shared" si="15"/>
        <v/>
      </c>
      <c r="AQ11" s="22">
        <f t="shared" si="16"/>
        <v>1</v>
      </c>
      <c r="AR11" s="21" t="str">
        <f t="shared" si="17"/>
        <v>|</v>
      </c>
      <c r="AS11" s="21" t="str">
        <f t="shared" si="18"/>
        <v/>
      </c>
      <c r="AT11" s="22">
        <f>IF(AS11="",0,COUNTIF(nINT_Key,AS11))</f>
        <v>0</v>
      </c>
      <c r="AU11" s="22">
        <f>IF(D11="",0,IFERROR(MATCH(AR11&amp;"|"&amp;D11,nLNK_Key,0),0))</f>
        <v>0</v>
      </c>
      <c r="AV11" s="22">
        <f>IF(OR(AQ11=1,H11=""),0,IFERROR(MATCH(AR11&amp;"|"&amp;H11,nTP_Key,0),0))</f>
        <v>0</v>
      </c>
      <c r="AW11" s="21">
        <f>IF(AV11=0,0,INDEX(nTP_Dup,AV11))</f>
        <v>0</v>
      </c>
      <c r="AX11" s="21" t="str">
        <f>IF(AV11=0,"",INDEX(nTP_Record_Type,AV11))</f>
        <v/>
      </c>
      <c r="AY11" s="21" t="str">
        <f>IF(AV11=0,"",INDEX(nTP_Precision,AV11))</f>
        <v/>
      </c>
      <c r="AZ11" s="21" t="str">
        <f>IF(AV11=0,"",INDEX(nTP_Err,AV11))</f>
        <v/>
      </c>
      <c r="BA11" s="21">
        <f>IF(AV11=0,0,INDEX(nTP_HT,AV11))</f>
        <v>0</v>
      </c>
      <c r="BB11" s="21">
        <f>IF(AV11=0,0,INDEX(nTP_OK,AV11))</f>
        <v>0</v>
      </c>
      <c r="BC11" s="21" t="str">
        <f>IF(AV11=0,"",INDEX(nTP_Loc,AV11))</f>
        <v/>
      </c>
      <c r="BD11" s="21" t="str">
        <f>IF(AV11=0,"",INDEX(nTP_UTC,AV11))</f>
        <v/>
      </c>
      <c r="BE11" s="21" t="str">
        <f>IF(AV11=0,"",INDEX(nTP_Lo,AV11))</f>
        <v/>
      </c>
      <c r="BF11" s="21" t="str">
        <f>IF(AV11=0,"",INDEX(nTP_Hi,AV11))</f>
        <v/>
      </c>
      <c r="BG11" s="22">
        <f>IF(OR(AQ11=1,E11&lt;&gt;"LAST_DOSE_BEFORE_ONSET",AU11=0,AV11=0),0,IF(AZ11&lt;&gt;"",0,SUMPRODUCT(MAX((nADM_SelKey=AR11&amp;"|"&amp;AL11)*nADM_Valid*(nADM_A_HT*BA11*nADM_A_OK*BB11*(nADM_UTC_n&lt;=N(BD11))+nADM_A_HT*BA11*(1-nADM_A_OK*BB11)*(nADM_Loc_n&lt;=N(BC11))+(1-nADM_A_HT*BA11)*(nADM_Lo_n&lt;=N(BE11)))*nADM_Sort_n))))</f>
        <v>0</v>
      </c>
      <c r="BH11" s="22">
        <f>IF(BG11=0,0,MATCH(1,INDEX((nADM_SelKey=AR11&amp;"|"&amp;AL11)*nADM_Valid*(nADM_A_HT*BA11*nADM_A_OK*BB11*(nADM_UTC_n&lt;=N(BD11))+nADM_A_HT*BA11*(1-nADM_A_OK*BB11)*(nADM_Loc_n&lt;=N(BC11))+(1-nADM_A_HT*BA11)*(nADM_Lo_n&lt;=N(BE11)))*(nADM_Sort_n=BG11),0),0))</f>
        <v>0</v>
      </c>
      <c r="BI11" s="21" t="str">
        <f>IF(BH11=0,"",INDEX(nADM_Admin_ID,BH11)&amp;"")</f>
        <v/>
      </c>
      <c r="BJ11" s="22">
        <f>IF(OR(AQ11=1,AG11=""),0,IFERROR(MATCH(AR11&amp;"|"&amp;AG11,nTP_Key,0),0))</f>
        <v>0</v>
      </c>
      <c r="BK11" s="21">
        <f>IF(BJ11=0,0,INDEX(nTP_Dup,BJ11))</f>
        <v>0</v>
      </c>
      <c r="BL11" s="21" t="str">
        <f>IF(BJ11=0,"",INDEX(nTP_Record_Type,BJ11))</f>
        <v/>
      </c>
      <c r="BM11" s="21" t="str">
        <f>IF(BJ11=0,"",INDEX(nTP_Precision,BJ11))</f>
        <v/>
      </c>
      <c r="BN11" s="21" t="str">
        <f>IF(BJ11=0,"",INDEX(nTP_Err,BJ11))</f>
        <v/>
      </c>
      <c r="BO11" s="21">
        <f>IF(BJ11=0,0,INDEX(nTP_HT,BJ11))</f>
        <v>0</v>
      </c>
      <c r="BP11" s="21">
        <f>IF(BJ11=0,0,INDEX(nTP_OK,BJ11))</f>
        <v>0</v>
      </c>
      <c r="BQ11" s="21" t="str">
        <f>IF(BJ11=0,"",INDEX(nTP_Loc,BJ11))</f>
        <v/>
      </c>
      <c r="BR11" s="21" t="str">
        <f>IF(BJ11=0,"",INDEX(nTP_UTC,BJ11))</f>
        <v/>
      </c>
      <c r="BS11" s="21" t="str">
        <f>IF(BJ11=0,"",INDEX(nTP_Lo,BJ11))</f>
        <v/>
      </c>
      <c r="BT11" s="21" t="str">
        <f>IF(BJ11=0,"",INDEX(nTP_Hi,BJ11))</f>
        <v/>
      </c>
      <c r="BU11" s="22">
        <f>IF(OR(BJ11=0,AV11=0),0,SUMPRODUCT((nTP_Case_Key=AR11)*(nTP_Record_Type="MILESTONE:INTERVENTION")*(nTP_Err="")*(nTP_HT*BO11*BA11*(nTP_Loc_n&gt;=N(BQ11))*(nTP_Loc_n&lt;=N(BC11))+(1-nTP_HT*BO11*BA11)*(nTP_Lo_n&gt;=N(BS11))*(nTP_Hi_n&lt;=N(BF11))*(nTP_Lo_n&gt;0))))</f>
        <v>0</v>
      </c>
      <c r="BV11" s="21" t="str">
        <f t="shared" si="19"/>
        <v/>
      </c>
      <c r="BW11" s="21" t="str">
        <f t="shared" si="20"/>
        <v/>
      </c>
      <c r="BX11" s="21" t="str">
        <f t="shared" si="21"/>
        <v/>
      </c>
      <c r="BY11" s="21" t="str">
        <f t="shared" si="22"/>
        <v/>
      </c>
      <c r="BZ11" s="22">
        <f t="shared" si="23"/>
        <v>1</v>
      </c>
      <c r="CA11" s="21" t="str">
        <f t="shared" si="24"/>
        <v/>
      </c>
      <c r="CB11" s="21" t="str">
        <f t="shared" si="25"/>
        <v/>
      </c>
      <c r="CC11" s="21" t="str">
        <f t="shared" si="26"/>
        <v/>
      </c>
      <c r="CD11" s="21" t="str">
        <f t="shared" si="27"/>
        <v/>
      </c>
      <c r="CE11" s="22">
        <f t="shared" si="28"/>
        <v>0</v>
      </c>
      <c r="CF11" s="28" t="str">
        <f t="shared" si="29"/>
        <v/>
      </c>
      <c r="CG11" s="28" t="str">
        <f t="shared" si="30"/>
        <v/>
      </c>
      <c r="CH11" s="21" t="str">
        <f t="shared" si="31"/>
        <v/>
      </c>
      <c r="CI11" s="22">
        <f t="shared" si="32"/>
        <v>0</v>
      </c>
      <c r="CJ11" s="22">
        <f t="shared" si="33"/>
        <v>0</v>
      </c>
      <c r="CK11" s="22">
        <f t="shared" si="34"/>
        <v>0</v>
      </c>
      <c r="CL11" s="22">
        <f t="shared" si="35"/>
        <v>0</v>
      </c>
      <c r="CM11" s="22">
        <f t="shared" si="36"/>
        <v>0</v>
      </c>
      <c r="CN11" s="22">
        <f t="shared" si="37"/>
        <v>0</v>
      </c>
      <c r="CO11" s="22">
        <f t="shared" si="38"/>
        <v>0</v>
      </c>
      <c r="CP11" s="22">
        <f t="shared" si="39"/>
        <v>0</v>
      </c>
      <c r="CQ11" s="21" t="str">
        <f t="shared" si="40"/>
        <v/>
      </c>
    </row>
    <row r="12" spans="1:95" x14ac:dyDescent="0.2">
      <c r="A12" s="10"/>
      <c r="B12" s="10"/>
      <c r="C12" s="12"/>
      <c r="D12" s="10"/>
      <c r="E12" s="17"/>
      <c r="F12" s="10"/>
      <c r="G12" s="10"/>
      <c r="H12" s="10"/>
      <c r="I12" s="17"/>
      <c r="J12" s="17"/>
      <c r="K12" s="10"/>
      <c r="L12" s="17"/>
      <c r="M12" s="17"/>
      <c r="N12" s="17"/>
      <c r="O12" s="10"/>
      <c r="P12" s="15"/>
      <c r="Q12" s="15"/>
      <c r="R12" s="10"/>
      <c r="S12" s="10"/>
      <c r="T12" s="21" t="str">
        <f t="shared" si="0"/>
        <v/>
      </c>
      <c r="U12" s="21" t="str">
        <f t="shared" si="1"/>
        <v/>
      </c>
      <c r="V12" s="21" t="str">
        <f t="shared" si="2"/>
        <v/>
      </c>
      <c r="W12" s="21" t="str">
        <f t="shared" si="3"/>
        <v/>
      </c>
      <c r="X12" s="21" t="str">
        <f t="shared" si="4"/>
        <v/>
      </c>
      <c r="Y12" s="21" t="str">
        <f t="shared" si="5"/>
        <v/>
      </c>
      <c r="Z12" s="21" t="str">
        <f t="shared" si="6"/>
        <v/>
      </c>
      <c r="AA12" s="21" t="str">
        <f t="shared" si="7"/>
        <v/>
      </c>
      <c r="AB12" s="21" t="str">
        <f t="shared" si="8"/>
        <v/>
      </c>
      <c r="AC12" s="21" t="str">
        <f>IF(AQ12=1,"",MID(IF(BX12&lt;&gt;""," | "&amp;BX12&amp;": "&amp;SUBSTITUTE(IFERROR(INDEX(nMSG_Text,MATCH(BX12,nMSG_Code,0)),""),"[input]",BY12),"")&amp;IF(CI12=1," | W_TZ_UNKNOWN: "&amp;SUBSTITUTE(IFERROR(INDEX(nMSG_Text,MATCH("W_TZ_UNKNOWN",nMSG_Code,0)),""),"[input]",""),"")&amp;IF(CJ12=1," | W_SAME_DATE_ORDER_UNKNOWN: "&amp;SUBSTITUTE(IFERROR(INDEX(nMSG_Text,MATCH("W_SAME_DATE_ORDER_UNKNOWN",nMSG_Code,0)),""),"[input]",""),"")&amp;IF(CK12=1," | W_SEQUENCE_UNCERTAIN: "&amp;SUBSTITUTE(IFERROR(INDEX(nMSG_Text,MATCH("W_SEQUENCE_UNCERTAIN",nMSG_Code,0)),""),"[input]",""),"")&amp;IF(CL12=1," | W_ADMIN_SAME_DATE_AS_ONSET: "&amp;SUBSTITUTE(IFERROR(INDEX(nMSG_Text,MATCH("W_ADMIN_SAME_DATE_AS_ONSET",nMSG_Code,0)),""),"[input]",""),"")&amp;IF(CO12=1," | W_INTERVENTION_BEFORE_RECOVERY: "&amp;SUBSTITUTE(IFERROR(INDEX(nMSG_Text,MATCH("W_INTERVENTION_BEFORE_RECOVERY",nMSG_Code,0)),""),"[input]",""),"")&amp;IF(OR(CQ12="",CQ12="OVERLAP"),""," | "&amp;CQ12&amp;" (reported timing): "&amp;SUBSTITUTE(IFERROR(INDEX(nMSG_Text,MATCH(CQ12,nMSG_Code,0)),""),"[input]","numeric reported bounds and a reported unit"))&amp;IF(CM12=1," | I_TREATMENT_DAY_UNDEFINED: "&amp;SUBSTITUTE(IFERROR(INDEX(nMSG_Text,MATCH("I_TREATMENT_DAY_UNDEFINED",nMSG_Code,0)),""),"[input]",""),"")&amp;IF(CH12&lt;&gt;""," | "&amp;CH12&amp;" (constraint): "&amp;SUBSTITUTE(IFERROR(INDEX(nMSG_Text,MATCH(CH12,nMSG_Code,0)),""),"[input]","a source for the constraint"),""),4,9999))</f>
        <v/>
      </c>
      <c r="AD12" s="21" t="str">
        <f t="shared" si="9"/>
        <v/>
      </c>
      <c r="AE12" s="21" t="str">
        <f t="shared" si="10"/>
        <v/>
      </c>
      <c r="AF12" s="21" t="str">
        <f t="shared" si="11"/>
        <v/>
      </c>
      <c r="AG12" s="21" t="str">
        <f t="shared" si="12"/>
        <v/>
      </c>
      <c r="AH12" s="21" t="str">
        <f>IF(BJ12=0,"",INDEX(nTP_ISO,BJ12))</f>
        <v/>
      </c>
      <c r="AI12" s="21" t="str">
        <f>IF(BJ12=0,"",INDEX(nTP_Display,BJ12))</f>
        <v/>
      </c>
      <c r="AJ12" s="21" t="str">
        <f>IF(AV12=0,"",INDEX(nTP_ISO,AV12))</f>
        <v/>
      </c>
      <c r="AK12" s="21" t="str">
        <f>IF(AV12=0,"",INDEX(nTP_Display,AV12))</f>
        <v/>
      </c>
      <c r="AL12" s="21" t="str">
        <f>IF(AU12=0,"",INDEX(nLNK_Exposure_Episode_ID,AU12)&amp;"")</f>
        <v/>
      </c>
      <c r="AM12" s="21" t="str">
        <f>IF(AU12=0,"",INDEX(nLNK_Event_Episode_ID,AU12)&amp;"")</f>
        <v/>
      </c>
      <c r="AN12" s="21" t="str">
        <f t="shared" si="13"/>
        <v/>
      </c>
      <c r="AO12" s="21" t="str">
        <f t="shared" si="14"/>
        <v/>
      </c>
      <c r="AP12" s="21" t="str">
        <f t="shared" si="15"/>
        <v/>
      </c>
      <c r="AQ12" s="22">
        <f t="shared" si="16"/>
        <v>1</v>
      </c>
      <c r="AR12" s="21" t="str">
        <f t="shared" si="17"/>
        <v>|</v>
      </c>
      <c r="AS12" s="21" t="str">
        <f t="shared" si="18"/>
        <v/>
      </c>
      <c r="AT12" s="22">
        <f>IF(AS12="",0,COUNTIF(nINT_Key,AS12))</f>
        <v>0</v>
      </c>
      <c r="AU12" s="22">
        <f>IF(D12="",0,IFERROR(MATCH(AR12&amp;"|"&amp;D12,nLNK_Key,0),0))</f>
        <v>0</v>
      </c>
      <c r="AV12" s="22">
        <f>IF(OR(AQ12=1,H12=""),0,IFERROR(MATCH(AR12&amp;"|"&amp;H12,nTP_Key,0),0))</f>
        <v>0</v>
      </c>
      <c r="AW12" s="21">
        <f>IF(AV12=0,0,INDEX(nTP_Dup,AV12))</f>
        <v>0</v>
      </c>
      <c r="AX12" s="21" t="str">
        <f>IF(AV12=0,"",INDEX(nTP_Record_Type,AV12))</f>
        <v/>
      </c>
      <c r="AY12" s="21" t="str">
        <f>IF(AV12=0,"",INDEX(nTP_Precision,AV12))</f>
        <v/>
      </c>
      <c r="AZ12" s="21" t="str">
        <f>IF(AV12=0,"",INDEX(nTP_Err,AV12))</f>
        <v/>
      </c>
      <c r="BA12" s="21">
        <f>IF(AV12=0,0,INDEX(nTP_HT,AV12))</f>
        <v>0</v>
      </c>
      <c r="BB12" s="21">
        <f>IF(AV12=0,0,INDEX(nTP_OK,AV12))</f>
        <v>0</v>
      </c>
      <c r="BC12" s="21" t="str">
        <f>IF(AV12=0,"",INDEX(nTP_Loc,AV12))</f>
        <v/>
      </c>
      <c r="BD12" s="21" t="str">
        <f>IF(AV12=0,"",INDEX(nTP_UTC,AV12))</f>
        <v/>
      </c>
      <c r="BE12" s="21" t="str">
        <f>IF(AV12=0,"",INDEX(nTP_Lo,AV12))</f>
        <v/>
      </c>
      <c r="BF12" s="21" t="str">
        <f>IF(AV12=0,"",INDEX(nTP_Hi,AV12))</f>
        <v/>
      </c>
      <c r="BG12" s="22">
        <f>IF(OR(AQ12=1,E12&lt;&gt;"LAST_DOSE_BEFORE_ONSET",AU12=0,AV12=0),0,IF(AZ12&lt;&gt;"",0,SUMPRODUCT(MAX((nADM_SelKey=AR12&amp;"|"&amp;AL12)*nADM_Valid*(nADM_A_HT*BA12*nADM_A_OK*BB12*(nADM_UTC_n&lt;=N(BD12))+nADM_A_HT*BA12*(1-nADM_A_OK*BB12)*(nADM_Loc_n&lt;=N(BC12))+(1-nADM_A_HT*BA12)*(nADM_Lo_n&lt;=N(BE12)))*nADM_Sort_n))))</f>
        <v>0</v>
      </c>
      <c r="BH12" s="22">
        <f>IF(BG12=0,0,MATCH(1,INDEX((nADM_SelKey=AR12&amp;"|"&amp;AL12)*nADM_Valid*(nADM_A_HT*BA12*nADM_A_OK*BB12*(nADM_UTC_n&lt;=N(BD12))+nADM_A_HT*BA12*(1-nADM_A_OK*BB12)*(nADM_Loc_n&lt;=N(BC12))+(1-nADM_A_HT*BA12)*(nADM_Lo_n&lt;=N(BE12)))*(nADM_Sort_n=BG12),0),0))</f>
        <v>0</v>
      </c>
      <c r="BI12" s="21" t="str">
        <f>IF(BH12=0,"",INDEX(nADM_Admin_ID,BH12)&amp;"")</f>
        <v/>
      </c>
      <c r="BJ12" s="22">
        <f>IF(OR(AQ12=1,AG12=""),0,IFERROR(MATCH(AR12&amp;"|"&amp;AG12,nTP_Key,0),0))</f>
        <v>0</v>
      </c>
      <c r="BK12" s="21">
        <f>IF(BJ12=0,0,INDEX(nTP_Dup,BJ12))</f>
        <v>0</v>
      </c>
      <c r="BL12" s="21" t="str">
        <f>IF(BJ12=0,"",INDEX(nTP_Record_Type,BJ12))</f>
        <v/>
      </c>
      <c r="BM12" s="21" t="str">
        <f>IF(BJ12=0,"",INDEX(nTP_Precision,BJ12))</f>
        <v/>
      </c>
      <c r="BN12" s="21" t="str">
        <f>IF(BJ12=0,"",INDEX(nTP_Err,BJ12))</f>
        <v/>
      </c>
      <c r="BO12" s="21">
        <f>IF(BJ12=0,0,INDEX(nTP_HT,BJ12))</f>
        <v>0</v>
      </c>
      <c r="BP12" s="21">
        <f>IF(BJ12=0,0,INDEX(nTP_OK,BJ12))</f>
        <v>0</v>
      </c>
      <c r="BQ12" s="21" t="str">
        <f>IF(BJ12=0,"",INDEX(nTP_Loc,BJ12))</f>
        <v/>
      </c>
      <c r="BR12" s="21" t="str">
        <f>IF(BJ12=0,"",INDEX(nTP_UTC,BJ12))</f>
        <v/>
      </c>
      <c r="BS12" s="21" t="str">
        <f>IF(BJ12=0,"",INDEX(nTP_Lo,BJ12))</f>
        <v/>
      </c>
      <c r="BT12" s="21" t="str">
        <f>IF(BJ12=0,"",INDEX(nTP_Hi,BJ12))</f>
        <v/>
      </c>
      <c r="BU12" s="22">
        <f>IF(OR(BJ12=0,AV12=0),0,SUMPRODUCT((nTP_Case_Key=AR12)*(nTP_Record_Type="MILESTONE:INTERVENTION")*(nTP_Err="")*(nTP_HT*BO12*BA12*(nTP_Loc_n&gt;=N(BQ12))*(nTP_Loc_n&lt;=N(BC12))+(1-nTP_HT*BO12*BA12)*(nTP_Lo_n&gt;=N(BS12))*(nTP_Hi_n&lt;=N(BF12))*(nTP_Lo_n&gt;0))))</f>
        <v>0</v>
      </c>
      <c r="BV12" s="21" t="str">
        <f t="shared" si="19"/>
        <v/>
      </c>
      <c r="BW12" s="21" t="str">
        <f t="shared" si="20"/>
        <v/>
      </c>
      <c r="BX12" s="21" t="str">
        <f t="shared" si="21"/>
        <v/>
      </c>
      <c r="BY12" s="21" t="str">
        <f t="shared" si="22"/>
        <v/>
      </c>
      <c r="BZ12" s="22">
        <f t="shared" si="23"/>
        <v>1</v>
      </c>
      <c r="CA12" s="21" t="str">
        <f t="shared" si="24"/>
        <v/>
      </c>
      <c r="CB12" s="21" t="str">
        <f t="shared" si="25"/>
        <v/>
      </c>
      <c r="CC12" s="21" t="str">
        <f t="shared" si="26"/>
        <v/>
      </c>
      <c r="CD12" s="21" t="str">
        <f t="shared" si="27"/>
        <v/>
      </c>
      <c r="CE12" s="22">
        <f t="shared" si="28"/>
        <v>0</v>
      </c>
      <c r="CF12" s="28" t="str">
        <f t="shared" si="29"/>
        <v/>
      </c>
      <c r="CG12" s="28" t="str">
        <f t="shared" si="30"/>
        <v/>
      </c>
      <c r="CH12" s="21" t="str">
        <f t="shared" si="31"/>
        <v/>
      </c>
      <c r="CI12" s="22">
        <f t="shared" si="32"/>
        <v>0</v>
      </c>
      <c r="CJ12" s="22">
        <f t="shared" si="33"/>
        <v>0</v>
      </c>
      <c r="CK12" s="22">
        <f t="shared" si="34"/>
        <v>0</v>
      </c>
      <c r="CL12" s="22">
        <f t="shared" si="35"/>
        <v>0</v>
      </c>
      <c r="CM12" s="22">
        <f t="shared" si="36"/>
        <v>0</v>
      </c>
      <c r="CN12" s="22">
        <f t="shared" si="37"/>
        <v>0</v>
      </c>
      <c r="CO12" s="22">
        <f t="shared" si="38"/>
        <v>0</v>
      </c>
      <c r="CP12" s="22">
        <f t="shared" si="39"/>
        <v>0</v>
      </c>
      <c r="CQ12" s="21" t="str">
        <f t="shared" si="40"/>
        <v/>
      </c>
    </row>
    <row r="13" spans="1:95" x14ac:dyDescent="0.2">
      <c r="A13" s="10"/>
      <c r="B13" s="10"/>
      <c r="C13" s="12"/>
      <c r="D13" s="10"/>
      <c r="E13" s="17"/>
      <c r="F13" s="10"/>
      <c r="G13" s="10"/>
      <c r="H13" s="10"/>
      <c r="I13" s="17"/>
      <c r="J13" s="17"/>
      <c r="K13" s="10"/>
      <c r="L13" s="17"/>
      <c r="M13" s="17"/>
      <c r="N13" s="17"/>
      <c r="O13" s="10"/>
      <c r="P13" s="15"/>
      <c r="Q13" s="15"/>
      <c r="R13" s="10"/>
      <c r="S13" s="10"/>
      <c r="T13" s="21" t="str">
        <f t="shared" si="0"/>
        <v/>
      </c>
      <c r="U13" s="21" t="str">
        <f t="shared" si="1"/>
        <v/>
      </c>
      <c r="V13" s="21" t="str">
        <f t="shared" si="2"/>
        <v/>
      </c>
      <c r="W13" s="21" t="str">
        <f t="shared" si="3"/>
        <v/>
      </c>
      <c r="X13" s="21" t="str">
        <f t="shared" si="4"/>
        <v/>
      </c>
      <c r="Y13" s="21" t="str">
        <f t="shared" si="5"/>
        <v/>
      </c>
      <c r="Z13" s="21" t="str">
        <f t="shared" si="6"/>
        <v/>
      </c>
      <c r="AA13" s="21" t="str">
        <f t="shared" si="7"/>
        <v/>
      </c>
      <c r="AB13" s="21" t="str">
        <f t="shared" si="8"/>
        <v/>
      </c>
      <c r="AC13" s="21" t="str">
        <f>IF(AQ13=1,"",MID(IF(BX13&lt;&gt;""," | "&amp;BX13&amp;": "&amp;SUBSTITUTE(IFERROR(INDEX(nMSG_Text,MATCH(BX13,nMSG_Code,0)),""),"[input]",BY13),"")&amp;IF(CI13=1," | W_TZ_UNKNOWN: "&amp;SUBSTITUTE(IFERROR(INDEX(nMSG_Text,MATCH("W_TZ_UNKNOWN",nMSG_Code,0)),""),"[input]",""),"")&amp;IF(CJ13=1," | W_SAME_DATE_ORDER_UNKNOWN: "&amp;SUBSTITUTE(IFERROR(INDEX(nMSG_Text,MATCH("W_SAME_DATE_ORDER_UNKNOWN",nMSG_Code,0)),""),"[input]",""),"")&amp;IF(CK13=1," | W_SEQUENCE_UNCERTAIN: "&amp;SUBSTITUTE(IFERROR(INDEX(nMSG_Text,MATCH("W_SEQUENCE_UNCERTAIN",nMSG_Code,0)),""),"[input]",""),"")&amp;IF(CL13=1," | W_ADMIN_SAME_DATE_AS_ONSET: "&amp;SUBSTITUTE(IFERROR(INDEX(nMSG_Text,MATCH("W_ADMIN_SAME_DATE_AS_ONSET",nMSG_Code,0)),""),"[input]",""),"")&amp;IF(CO13=1," | W_INTERVENTION_BEFORE_RECOVERY: "&amp;SUBSTITUTE(IFERROR(INDEX(nMSG_Text,MATCH("W_INTERVENTION_BEFORE_RECOVERY",nMSG_Code,0)),""),"[input]",""),"")&amp;IF(OR(CQ13="",CQ13="OVERLAP"),""," | "&amp;CQ13&amp;" (reported timing): "&amp;SUBSTITUTE(IFERROR(INDEX(nMSG_Text,MATCH(CQ13,nMSG_Code,0)),""),"[input]","numeric reported bounds and a reported unit"))&amp;IF(CM13=1," | I_TREATMENT_DAY_UNDEFINED: "&amp;SUBSTITUTE(IFERROR(INDEX(nMSG_Text,MATCH("I_TREATMENT_DAY_UNDEFINED",nMSG_Code,0)),""),"[input]",""),"")&amp;IF(CH13&lt;&gt;""," | "&amp;CH13&amp;" (constraint): "&amp;SUBSTITUTE(IFERROR(INDEX(nMSG_Text,MATCH(CH13,nMSG_Code,0)),""),"[input]","a source for the constraint"),""),4,9999))</f>
        <v/>
      </c>
      <c r="AD13" s="21" t="str">
        <f t="shared" si="9"/>
        <v/>
      </c>
      <c r="AE13" s="21" t="str">
        <f t="shared" si="10"/>
        <v/>
      </c>
      <c r="AF13" s="21" t="str">
        <f t="shared" si="11"/>
        <v/>
      </c>
      <c r="AG13" s="21" t="str">
        <f t="shared" si="12"/>
        <v/>
      </c>
      <c r="AH13" s="21" t="str">
        <f>IF(BJ13=0,"",INDEX(nTP_ISO,BJ13))</f>
        <v/>
      </c>
      <c r="AI13" s="21" t="str">
        <f>IF(BJ13=0,"",INDEX(nTP_Display,BJ13))</f>
        <v/>
      </c>
      <c r="AJ13" s="21" t="str">
        <f>IF(AV13=0,"",INDEX(nTP_ISO,AV13))</f>
        <v/>
      </c>
      <c r="AK13" s="21" t="str">
        <f>IF(AV13=0,"",INDEX(nTP_Display,AV13))</f>
        <v/>
      </c>
      <c r="AL13" s="21" t="str">
        <f>IF(AU13=0,"",INDEX(nLNK_Exposure_Episode_ID,AU13)&amp;"")</f>
        <v/>
      </c>
      <c r="AM13" s="21" t="str">
        <f>IF(AU13=0,"",INDEX(nLNK_Event_Episode_ID,AU13)&amp;"")</f>
        <v/>
      </c>
      <c r="AN13" s="21" t="str">
        <f t="shared" si="13"/>
        <v/>
      </c>
      <c r="AO13" s="21" t="str">
        <f t="shared" si="14"/>
        <v/>
      </c>
      <c r="AP13" s="21" t="str">
        <f t="shared" si="15"/>
        <v/>
      </c>
      <c r="AQ13" s="22">
        <f t="shared" si="16"/>
        <v>1</v>
      </c>
      <c r="AR13" s="21" t="str">
        <f t="shared" si="17"/>
        <v>|</v>
      </c>
      <c r="AS13" s="21" t="str">
        <f t="shared" si="18"/>
        <v/>
      </c>
      <c r="AT13" s="22">
        <f>IF(AS13="",0,COUNTIF(nINT_Key,AS13))</f>
        <v>0</v>
      </c>
      <c r="AU13" s="22">
        <f>IF(D13="",0,IFERROR(MATCH(AR13&amp;"|"&amp;D13,nLNK_Key,0),0))</f>
        <v>0</v>
      </c>
      <c r="AV13" s="22">
        <f>IF(OR(AQ13=1,H13=""),0,IFERROR(MATCH(AR13&amp;"|"&amp;H13,nTP_Key,0),0))</f>
        <v>0</v>
      </c>
      <c r="AW13" s="21">
        <f>IF(AV13=0,0,INDEX(nTP_Dup,AV13))</f>
        <v>0</v>
      </c>
      <c r="AX13" s="21" t="str">
        <f>IF(AV13=0,"",INDEX(nTP_Record_Type,AV13))</f>
        <v/>
      </c>
      <c r="AY13" s="21" t="str">
        <f>IF(AV13=0,"",INDEX(nTP_Precision,AV13))</f>
        <v/>
      </c>
      <c r="AZ13" s="21" t="str">
        <f>IF(AV13=0,"",INDEX(nTP_Err,AV13))</f>
        <v/>
      </c>
      <c r="BA13" s="21">
        <f>IF(AV13=0,0,INDEX(nTP_HT,AV13))</f>
        <v>0</v>
      </c>
      <c r="BB13" s="21">
        <f>IF(AV13=0,0,INDEX(nTP_OK,AV13))</f>
        <v>0</v>
      </c>
      <c r="BC13" s="21" t="str">
        <f>IF(AV13=0,"",INDEX(nTP_Loc,AV13))</f>
        <v/>
      </c>
      <c r="BD13" s="21" t="str">
        <f>IF(AV13=0,"",INDEX(nTP_UTC,AV13))</f>
        <v/>
      </c>
      <c r="BE13" s="21" t="str">
        <f>IF(AV13=0,"",INDEX(nTP_Lo,AV13))</f>
        <v/>
      </c>
      <c r="BF13" s="21" t="str">
        <f>IF(AV13=0,"",INDEX(nTP_Hi,AV13))</f>
        <v/>
      </c>
      <c r="BG13" s="22">
        <f>IF(OR(AQ13=1,E13&lt;&gt;"LAST_DOSE_BEFORE_ONSET",AU13=0,AV13=0),0,IF(AZ13&lt;&gt;"",0,SUMPRODUCT(MAX((nADM_SelKey=AR13&amp;"|"&amp;AL13)*nADM_Valid*(nADM_A_HT*BA13*nADM_A_OK*BB13*(nADM_UTC_n&lt;=N(BD13))+nADM_A_HT*BA13*(1-nADM_A_OK*BB13)*(nADM_Loc_n&lt;=N(BC13))+(1-nADM_A_HT*BA13)*(nADM_Lo_n&lt;=N(BE13)))*nADM_Sort_n))))</f>
        <v>0</v>
      </c>
      <c r="BH13" s="22">
        <f>IF(BG13=0,0,MATCH(1,INDEX((nADM_SelKey=AR13&amp;"|"&amp;AL13)*nADM_Valid*(nADM_A_HT*BA13*nADM_A_OK*BB13*(nADM_UTC_n&lt;=N(BD13))+nADM_A_HT*BA13*(1-nADM_A_OK*BB13)*(nADM_Loc_n&lt;=N(BC13))+(1-nADM_A_HT*BA13)*(nADM_Lo_n&lt;=N(BE13)))*(nADM_Sort_n=BG13),0),0))</f>
        <v>0</v>
      </c>
      <c r="BI13" s="21" t="str">
        <f>IF(BH13=0,"",INDEX(nADM_Admin_ID,BH13)&amp;"")</f>
        <v/>
      </c>
      <c r="BJ13" s="22">
        <f>IF(OR(AQ13=1,AG13=""),0,IFERROR(MATCH(AR13&amp;"|"&amp;AG13,nTP_Key,0),0))</f>
        <v>0</v>
      </c>
      <c r="BK13" s="21">
        <f>IF(BJ13=0,0,INDEX(nTP_Dup,BJ13))</f>
        <v>0</v>
      </c>
      <c r="BL13" s="21" t="str">
        <f>IF(BJ13=0,"",INDEX(nTP_Record_Type,BJ13))</f>
        <v/>
      </c>
      <c r="BM13" s="21" t="str">
        <f>IF(BJ13=0,"",INDEX(nTP_Precision,BJ13))</f>
        <v/>
      </c>
      <c r="BN13" s="21" t="str">
        <f>IF(BJ13=0,"",INDEX(nTP_Err,BJ13))</f>
        <v/>
      </c>
      <c r="BO13" s="21">
        <f>IF(BJ13=0,0,INDEX(nTP_HT,BJ13))</f>
        <v>0</v>
      </c>
      <c r="BP13" s="21">
        <f>IF(BJ13=0,0,INDEX(nTP_OK,BJ13))</f>
        <v>0</v>
      </c>
      <c r="BQ13" s="21" t="str">
        <f>IF(BJ13=0,"",INDEX(nTP_Loc,BJ13))</f>
        <v/>
      </c>
      <c r="BR13" s="21" t="str">
        <f>IF(BJ13=0,"",INDEX(nTP_UTC,BJ13))</f>
        <v/>
      </c>
      <c r="BS13" s="21" t="str">
        <f>IF(BJ13=0,"",INDEX(nTP_Lo,BJ13))</f>
        <v/>
      </c>
      <c r="BT13" s="21" t="str">
        <f>IF(BJ13=0,"",INDEX(nTP_Hi,BJ13))</f>
        <v/>
      </c>
      <c r="BU13" s="22">
        <f>IF(OR(BJ13=0,AV13=0),0,SUMPRODUCT((nTP_Case_Key=AR13)*(nTP_Record_Type="MILESTONE:INTERVENTION")*(nTP_Err="")*(nTP_HT*BO13*BA13*(nTP_Loc_n&gt;=N(BQ13))*(nTP_Loc_n&lt;=N(BC13))+(1-nTP_HT*BO13*BA13)*(nTP_Lo_n&gt;=N(BS13))*(nTP_Hi_n&lt;=N(BF13))*(nTP_Lo_n&gt;0))))</f>
        <v>0</v>
      </c>
      <c r="BV13" s="21" t="str">
        <f t="shared" si="19"/>
        <v/>
      </c>
      <c r="BW13" s="21" t="str">
        <f t="shared" si="20"/>
        <v/>
      </c>
      <c r="BX13" s="21" t="str">
        <f t="shared" si="21"/>
        <v/>
      </c>
      <c r="BY13" s="21" t="str">
        <f t="shared" si="22"/>
        <v/>
      </c>
      <c r="BZ13" s="22">
        <f t="shared" si="23"/>
        <v>1</v>
      </c>
      <c r="CA13" s="21" t="str">
        <f t="shared" si="24"/>
        <v/>
      </c>
      <c r="CB13" s="21" t="str">
        <f t="shared" si="25"/>
        <v/>
      </c>
      <c r="CC13" s="21" t="str">
        <f t="shared" si="26"/>
        <v/>
      </c>
      <c r="CD13" s="21" t="str">
        <f t="shared" si="27"/>
        <v/>
      </c>
      <c r="CE13" s="22">
        <f t="shared" si="28"/>
        <v>0</v>
      </c>
      <c r="CF13" s="28" t="str">
        <f t="shared" si="29"/>
        <v/>
      </c>
      <c r="CG13" s="28" t="str">
        <f t="shared" si="30"/>
        <v/>
      </c>
      <c r="CH13" s="21" t="str">
        <f t="shared" si="31"/>
        <v/>
      </c>
      <c r="CI13" s="22">
        <f t="shared" si="32"/>
        <v>0</v>
      </c>
      <c r="CJ13" s="22">
        <f t="shared" si="33"/>
        <v>0</v>
      </c>
      <c r="CK13" s="22">
        <f t="shared" si="34"/>
        <v>0</v>
      </c>
      <c r="CL13" s="22">
        <f t="shared" si="35"/>
        <v>0</v>
      </c>
      <c r="CM13" s="22">
        <f t="shared" si="36"/>
        <v>0</v>
      </c>
      <c r="CN13" s="22">
        <f t="shared" si="37"/>
        <v>0</v>
      </c>
      <c r="CO13" s="22">
        <f t="shared" si="38"/>
        <v>0</v>
      </c>
      <c r="CP13" s="22">
        <f t="shared" si="39"/>
        <v>0</v>
      </c>
      <c r="CQ13" s="21" t="str">
        <f t="shared" si="40"/>
        <v/>
      </c>
    </row>
    <row r="14" spans="1:95" x14ac:dyDescent="0.2">
      <c r="A14" s="10"/>
      <c r="B14" s="10"/>
      <c r="C14" s="12"/>
      <c r="D14" s="10"/>
      <c r="E14" s="17"/>
      <c r="F14" s="10"/>
      <c r="G14" s="10"/>
      <c r="H14" s="10"/>
      <c r="I14" s="17"/>
      <c r="J14" s="17"/>
      <c r="K14" s="10"/>
      <c r="L14" s="17"/>
      <c r="M14" s="17"/>
      <c r="N14" s="17"/>
      <c r="O14" s="10"/>
      <c r="P14" s="15"/>
      <c r="Q14" s="15"/>
      <c r="R14" s="10"/>
      <c r="S14" s="10"/>
      <c r="T14" s="21" t="str">
        <f t="shared" si="0"/>
        <v/>
      </c>
      <c r="U14" s="21" t="str">
        <f t="shared" si="1"/>
        <v/>
      </c>
      <c r="V14" s="21" t="str">
        <f t="shared" si="2"/>
        <v/>
      </c>
      <c r="W14" s="21" t="str">
        <f t="shared" si="3"/>
        <v/>
      </c>
      <c r="X14" s="21" t="str">
        <f t="shared" si="4"/>
        <v/>
      </c>
      <c r="Y14" s="21" t="str">
        <f t="shared" si="5"/>
        <v/>
      </c>
      <c r="Z14" s="21" t="str">
        <f t="shared" si="6"/>
        <v/>
      </c>
      <c r="AA14" s="21" t="str">
        <f t="shared" si="7"/>
        <v/>
      </c>
      <c r="AB14" s="21" t="str">
        <f t="shared" si="8"/>
        <v/>
      </c>
      <c r="AC14" s="21" t="str">
        <f>IF(AQ14=1,"",MID(IF(BX14&lt;&gt;""," | "&amp;BX14&amp;": "&amp;SUBSTITUTE(IFERROR(INDEX(nMSG_Text,MATCH(BX14,nMSG_Code,0)),""),"[input]",BY14),"")&amp;IF(CI14=1," | W_TZ_UNKNOWN: "&amp;SUBSTITUTE(IFERROR(INDEX(nMSG_Text,MATCH("W_TZ_UNKNOWN",nMSG_Code,0)),""),"[input]",""),"")&amp;IF(CJ14=1," | W_SAME_DATE_ORDER_UNKNOWN: "&amp;SUBSTITUTE(IFERROR(INDEX(nMSG_Text,MATCH("W_SAME_DATE_ORDER_UNKNOWN",nMSG_Code,0)),""),"[input]",""),"")&amp;IF(CK14=1," | W_SEQUENCE_UNCERTAIN: "&amp;SUBSTITUTE(IFERROR(INDEX(nMSG_Text,MATCH("W_SEQUENCE_UNCERTAIN",nMSG_Code,0)),""),"[input]",""),"")&amp;IF(CL14=1," | W_ADMIN_SAME_DATE_AS_ONSET: "&amp;SUBSTITUTE(IFERROR(INDEX(nMSG_Text,MATCH("W_ADMIN_SAME_DATE_AS_ONSET",nMSG_Code,0)),""),"[input]",""),"")&amp;IF(CO14=1," | W_INTERVENTION_BEFORE_RECOVERY: "&amp;SUBSTITUTE(IFERROR(INDEX(nMSG_Text,MATCH("W_INTERVENTION_BEFORE_RECOVERY",nMSG_Code,0)),""),"[input]",""),"")&amp;IF(OR(CQ14="",CQ14="OVERLAP"),""," | "&amp;CQ14&amp;" (reported timing): "&amp;SUBSTITUTE(IFERROR(INDEX(nMSG_Text,MATCH(CQ14,nMSG_Code,0)),""),"[input]","numeric reported bounds and a reported unit"))&amp;IF(CM14=1," | I_TREATMENT_DAY_UNDEFINED: "&amp;SUBSTITUTE(IFERROR(INDEX(nMSG_Text,MATCH("I_TREATMENT_DAY_UNDEFINED",nMSG_Code,0)),""),"[input]",""),"")&amp;IF(CH14&lt;&gt;""," | "&amp;CH14&amp;" (constraint): "&amp;SUBSTITUTE(IFERROR(INDEX(nMSG_Text,MATCH(CH14,nMSG_Code,0)),""),"[input]","a source for the constraint"),""),4,9999))</f>
        <v/>
      </c>
      <c r="AD14" s="21" t="str">
        <f t="shared" si="9"/>
        <v/>
      </c>
      <c r="AE14" s="21" t="str">
        <f t="shared" si="10"/>
        <v/>
      </c>
      <c r="AF14" s="21" t="str">
        <f t="shared" si="11"/>
        <v/>
      </c>
      <c r="AG14" s="21" t="str">
        <f t="shared" si="12"/>
        <v/>
      </c>
      <c r="AH14" s="21" t="str">
        <f>IF(BJ14=0,"",INDEX(nTP_ISO,BJ14))</f>
        <v/>
      </c>
      <c r="AI14" s="21" t="str">
        <f>IF(BJ14=0,"",INDEX(nTP_Display,BJ14))</f>
        <v/>
      </c>
      <c r="AJ14" s="21" t="str">
        <f>IF(AV14=0,"",INDEX(nTP_ISO,AV14))</f>
        <v/>
      </c>
      <c r="AK14" s="21" t="str">
        <f>IF(AV14=0,"",INDEX(nTP_Display,AV14))</f>
        <v/>
      </c>
      <c r="AL14" s="21" t="str">
        <f>IF(AU14=0,"",INDEX(nLNK_Exposure_Episode_ID,AU14)&amp;"")</f>
        <v/>
      </c>
      <c r="AM14" s="21" t="str">
        <f>IF(AU14=0,"",INDEX(nLNK_Event_Episode_ID,AU14)&amp;"")</f>
        <v/>
      </c>
      <c r="AN14" s="21" t="str">
        <f t="shared" si="13"/>
        <v/>
      </c>
      <c r="AO14" s="21" t="str">
        <f t="shared" si="14"/>
        <v/>
      </c>
      <c r="AP14" s="21" t="str">
        <f t="shared" si="15"/>
        <v/>
      </c>
      <c r="AQ14" s="22">
        <f t="shared" si="16"/>
        <v>1</v>
      </c>
      <c r="AR14" s="21" t="str">
        <f t="shared" si="17"/>
        <v>|</v>
      </c>
      <c r="AS14" s="21" t="str">
        <f t="shared" si="18"/>
        <v/>
      </c>
      <c r="AT14" s="22">
        <f>IF(AS14="",0,COUNTIF(nINT_Key,AS14))</f>
        <v>0</v>
      </c>
      <c r="AU14" s="22">
        <f>IF(D14="",0,IFERROR(MATCH(AR14&amp;"|"&amp;D14,nLNK_Key,0),0))</f>
        <v>0</v>
      </c>
      <c r="AV14" s="22">
        <f>IF(OR(AQ14=1,H14=""),0,IFERROR(MATCH(AR14&amp;"|"&amp;H14,nTP_Key,0),0))</f>
        <v>0</v>
      </c>
      <c r="AW14" s="21">
        <f>IF(AV14=0,0,INDEX(nTP_Dup,AV14))</f>
        <v>0</v>
      </c>
      <c r="AX14" s="21" t="str">
        <f>IF(AV14=0,"",INDEX(nTP_Record_Type,AV14))</f>
        <v/>
      </c>
      <c r="AY14" s="21" t="str">
        <f>IF(AV14=0,"",INDEX(nTP_Precision,AV14))</f>
        <v/>
      </c>
      <c r="AZ14" s="21" t="str">
        <f>IF(AV14=0,"",INDEX(nTP_Err,AV14))</f>
        <v/>
      </c>
      <c r="BA14" s="21">
        <f>IF(AV14=0,0,INDEX(nTP_HT,AV14))</f>
        <v>0</v>
      </c>
      <c r="BB14" s="21">
        <f>IF(AV14=0,0,INDEX(nTP_OK,AV14))</f>
        <v>0</v>
      </c>
      <c r="BC14" s="21" t="str">
        <f>IF(AV14=0,"",INDEX(nTP_Loc,AV14))</f>
        <v/>
      </c>
      <c r="BD14" s="21" t="str">
        <f>IF(AV14=0,"",INDEX(nTP_UTC,AV14))</f>
        <v/>
      </c>
      <c r="BE14" s="21" t="str">
        <f>IF(AV14=0,"",INDEX(nTP_Lo,AV14))</f>
        <v/>
      </c>
      <c r="BF14" s="21" t="str">
        <f>IF(AV14=0,"",INDEX(nTP_Hi,AV14))</f>
        <v/>
      </c>
      <c r="BG14" s="22">
        <f>IF(OR(AQ14=1,E14&lt;&gt;"LAST_DOSE_BEFORE_ONSET",AU14=0,AV14=0),0,IF(AZ14&lt;&gt;"",0,SUMPRODUCT(MAX((nADM_SelKey=AR14&amp;"|"&amp;AL14)*nADM_Valid*(nADM_A_HT*BA14*nADM_A_OK*BB14*(nADM_UTC_n&lt;=N(BD14))+nADM_A_HT*BA14*(1-nADM_A_OK*BB14)*(nADM_Loc_n&lt;=N(BC14))+(1-nADM_A_HT*BA14)*(nADM_Lo_n&lt;=N(BE14)))*nADM_Sort_n))))</f>
        <v>0</v>
      </c>
      <c r="BH14" s="22">
        <f>IF(BG14=0,0,MATCH(1,INDEX((nADM_SelKey=AR14&amp;"|"&amp;AL14)*nADM_Valid*(nADM_A_HT*BA14*nADM_A_OK*BB14*(nADM_UTC_n&lt;=N(BD14))+nADM_A_HT*BA14*(1-nADM_A_OK*BB14)*(nADM_Loc_n&lt;=N(BC14))+(1-nADM_A_HT*BA14)*(nADM_Lo_n&lt;=N(BE14)))*(nADM_Sort_n=BG14),0),0))</f>
        <v>0</v>
      </c>
      <c r="BI14" s="21" t="str">
        <f>IF(BH14=0,"",INDEX(nADM_Admin_ID,BH14)&amp;"")</f>
        <v/>
      </c>
      <c r="BJ14" s="22">
        <f>IF(OR(AQ14=1,AG14=""),0,IFERROR(MATCH(AR14&amp;"|"&amp;AG14,nTP_Key,0),0))</f>
        <v>0</v>
      </c>
      <c r="BK14" s="21">
        <f>IF(BJ14=0,0,INDEX(nTP_Dup,BJ14))</f>
        <v>0</v>
      </c>
      <c r="BL14" s="21" t="str">
        <f>IF(BJ14=0,"",INDEX(nTP_Record_Type,BJ14))</f>
        <v/>
      </c>
      <c r="BM14" s="21" t="str">
        <f>IF(BJ14=0,"",INDEX(nTP_Precision,BJ14))</f>
        <v/>
      </c>
      <c r="BN14" s="21" t="str">
        <f>IF(BJ14=0,"",INDEX(nTP_Err,BJ14))</f>
        <v/>
      </c>
      <c r="BO14" s="21">
        <f>IF(BJ14=0,0,INDEX(nTP_HT,BJ14))</f>
        <v>0</v>
      </c>
      <c r="BP14" s="21">
        <f>IF(BJ14=0,0,INDEX(nTP_OK,BJ14))</f>
        <v>0</v>
      </c>
      <c r="BQ14" s="21" t="str">
        <f>IF(BJ14=0,"",INDEX(nTP_Loc,BJ14))</f>
        <v/>
      </c>
      <c r="BR14" s="21" t="str">
        <f>IF(BJ14=0,"",INDEX(nTP_UTC,BJ14))</f>
        <v/>
      </c>
      <c r="BS14" s="21" t="str">
        <f>IF(BJ14=0,"",INDEX(nTP_Lo,BJ14))</f>
        <v/>
      </c>
      <c r="BT14" s="21" t="str">
        <f>IF(BJ14=0,"",INDEX(nTP_Hi,BJ14))</f>
        <v/>
      </c>
      <c r="BU14" s="22">
        <f>IF(OR(BJ14=0,AV14=0),0,SUMPRODUCT((nTP_Case_Key=AR14)*(nTP_Record_Type="MILESTONE:INTERVENTION")*(nTP_Err="")*(nTP_HT*BO14*BA14*(nTP_Loc_n&gt;=N(BQ14))*(nTP_Loc_n&lt;=N(BC14))+(1-nTP_HT*BO14*BA14)*(nTP_Lo_n&gt;=N(BS14))*(nTP_Hi_n&lt;=N(BF14))*(nTP_Lo_n&gt;0))))</f>
        <v>0</v>
      </c>
      <c r="BV14" s="21" t="str">
        <f t="shared" si="19"/>
        <v/>
      </c>
      <c r="BW14" s="21" t="str">
        <f t="shared" si="20"/>
        <v/>
      </c>
      <c r="BX14" s="21" t="str">
        <f t="shared" si="21"/>
        <v/>
      </c>
      <c r="BY14" s="21" t="str">
        <f t="shared" si="22"/>
        <v/>
      </c>
      <c r="BZ14" s="22">
        <f t="shared" si="23"/>
        <v>1</v>
      </c>
      <c r="CA14" s="21" t="str">
        <f t="shared" si="24"/>
        <v/>
      </c>
      <c r="CB14" s="21" t="str">
        <f t="shared" si="25"/>
        <v/>
      </c>
      <c r="CC14" s="21" t="str">
        <f t="shared" si="26"/>
        <v/>
      </c>
      <c r="CD14" s="21" t="str">
        <f t="shared" si="27"/>
        <v/>
      </c>
      <c r="CE14" s="22">
        <f t="shared" si="28"/>
        <v>0</v>
      </c>
      <c r="CF14" s="28" t="str">
        <f t="shared" si="29"/>
        <v/>
      </c>
      <c r="CG14" s="28" t="str">
        <f t="shared" si="30"/>
        <v/>
      </c>
      <c r="CH14" s="21" t="str">
        <f t="shared" si="31"/>
        <v/>
      </c>
      <c r="CI14" s="22">
        <f t="shared" si="32"/>
        <v>0</v>
      </c>
      <c r="CJ14" s="22">
        <f t="shared" si="33"/>
        <v>0</v>
      </c>
      <c r="CK14" s="22">
        <f t="shared" si="34"/>
        <v>0</v>
      </c>
      <c r="CL14" s="22">
        <f t="shared" si="35"/>
        <v>0</v>
      </c>
      <c r="CM14" s="22">
        <f t="shared" si="36"/>
        <v>0</v>
      </c>
      <c r="CN14" s="22">
        <f t="shared" si="37"/>
        <v>0</v>
      </c>
      <c r="CO14" s="22">
        <f t="shared" si="38"/>
        <v>0</v>
      </c>
      <c r="CP14" s="22">
        <f t="shared" si="39"/>
        <v>0</v>
      </c>
      <c r="CQ14" s="21" t="str">
        <f t="shared" si="40"/>
        <v/>
      </c>
    </row>
    <row r="15" spans="1:95" x14ac:dyDescent="0.2">
      <c r="A15" s="10"/>
      <c r="B15" s="10"/>
      <c r="C15" s="12"/>
      <c r="D15" s="10"/>
      <c r="E15" s="17"/>
      <c r="F15" s="10"/>
      <c r="G15" s="10"/>
      <c r="H15" s="10"/>
      <c r="I15" s="17"/>
      <c r="J15" s="17"/>
      <c r="K15" s="10"/>
      <c r="L15" s="17"/>
      <c r="M15" s="17"/>
      <c r="N15" s="17"/>
      <c r="O15" s="10"/>
      <c r="P15" s="15"/>
      <c r="Q15" s="15"/>
      <c r="R15" s="10"/>
      <c r="S15" s="10"/>
      <c r="T15" s="21" t="str">
        <f t="shared" si="0"/>
        <v/>
      </c>
      <c r="U15" s="21" t="str">
        <f t="shared" si="1"/>
        <v/>
      </c>
      <c r="V15" s="21" t="str">
        <f t="shared" si="2"/>
        <v/>
      </c>
      <c r="W15" s="21" t="str">
        <f t="shared" si="3"/>
        <v/>
      </c>
      <c r="X15" s="21" t="str">
        <f t="shared" si="4"/>
        <v/>
      </c>
      <c r="Y15" s="21" t="str">
        <f t="shared" si="5"/>
        <v/>
      </c>
      <c r="Z15" s="21" t="str">
        <f t="shared" si="6"/>
        <v/>
      </c>
      <c r="AA15" s="21" t="str">
        <f t="shared" si="7"/>
        <v/>
      </c>
      <c r="AB15" s="21" t="str">
        <f t="shared" si="8"/>
        <v/>
      </c>
      <c r="AC15" s="21" t="str">
        <f>IF(AQ15=1,"",MID(IF(BX15&lt;&gt;""," | "&amp;BX15&amp;": "&amp;SUBSTITUTE(IFERROR(INDEX(nMSG_Text,MATCH(BX15,nMSG_Code,0)),""),"[input]",BY15),"")&amp;IF(CI15=1," | W_TZ_UNKNOWN: "&amp;SUBSTITUTE(IFERROR(INDEX(nMSG_Text,MATCH("W_TZ_UNKNOWN",nMSG_Code,0)),""),"[input]",""),"")&amp;IF(CJ15=1," | W_SAME_DATE_ORDER_UNKNOWN: "&amp;SUBSTITUTE(IFERROR(INDEX(nMSG_Text,MATCH("W_SAME_DATE_ORDER_UNKNOWN",nMSG_Code,0)),""),"[input]",""),"")&amp;IF(CK15=1," | W_SEQUENCE_UNCERTAIN: "&amp;SUBSTITUTE(IFERROR(INDEX(nMSG_Text,MATCH("W_SEQUENCE_UNCERTAIN",nMSG_Code,0)),""),"[input]",""),"")&amp;IF(CL15=1," | W_ADMIN_SAME_DATE_AS_ONSET: "&amp;SUBSTITUTE(IFERROR(INDEX(nMSG_Text,MATCH("W_ADMIN_SAME_DATE_AS_ONSET",nMSG_Code,0)),""),"[input]",""),"")&amp;IF(CO15=1," | W_INTERVENTION_BEFORE_RECOVERY: "&amp;SUBSTITUTE(IFERROR(INDEX(nMSG_Text,MATCH("W_INTERVENTION_BEFORE_RECOVERY",nMSG_Code,0)),""),"[input]",""),"")&amp;IF(OR(CQ15="",CQ15="OVERLAP"),""," | "&amp;CQ15&amp;" (reported timing): "&amp;SUBSTITUTE(IFERROR(INDEX(nMSG_Text,MATCH(CQ15,nMSG_Code,0)),""),"[input]","numeric reported bounds and a reported unit"))&amp;IF(CM15=1," | I_TREATMENT_DAY_UNDEFINED: "&amp;SUBSTITUTE(IFERROR(INDEX(nMSG_Text,MATCH("I_TREATMENT_DAY_UNDEFINED",nMSG_Code,0)),""),"[input]",""),"")&amp;IF(CH15&lt;&gt;""," | "&amp;CH15&amp;" (constraint): "&amp;SUBSTITUTE(IFERROR(INDEX(nMSG_Text,MATCH(CH15,nMSG_Code,0)),""),"[input]","a source for the constraint"),""),4,9999))</f>
        <v/>
      </c>
      <c r="AD15" s="21" t="str">
        <f t="shared" si="9"/>
        <v/>
      </c>
      <c r="AE15" s="21" t="str">
        <f t="shared" si="10"/>
        <v/>
      </c>
      <c r="AF15" s="21" t="str">
        <f t="shared" si="11"/>
        <v/>
      </c>
      <c r="AG15" s="21" t="str">
        <f t="shared" si="12"/>
        <v/>
      </c>
      <c r="AH15" s="21" t="str">
        <f>IF(BJ15=0,"",INDEX(nTP_ISO,BJ15))</f>
        <v/>
      </c>
      <c r="AI15" s="21" t="str">
        <f>IF(BJ15=0,"",INDEX(nTP_Display,BJ15))</f>
        <v/>
      </c>
      <c r="AJ15" s="21" t="str">
        <f>IF(AV15=0,"",INDEX(nTP_ISO,AV15))</f>
        <v/>
      </c>
      <c r="AK15" s="21" t="str">
        <f>IF(AV15=0,"",INDEX(nTP_Display,AV15))</f>
        <v/>
      </c>
      <c r="AL15" s="21" t="str">
        <f>IF(AU15=0,"",INDEX(nLNK_Exposure_Episode_ID,AU15)&amp;"")</f>
        <v/>
      </c>
      <c r="AM15" s="21" t="str">
        <f>IF(AU15=0,"",INDEX(nLNK_Event_Episode_ID,AU15)&amp;"")</f>
        <v/>
      </c>
      <c r="AN15" s="21" t="str">
        <f t="shared" si="13"/>
        <v/>
      </c>
      <c r="AO15" s="21" t="str">
        <f t="shared" si="14"/>
        <v/>
      </c>
      <c r="AP15" s="21" t="str">
        <f t="shared" si="15"/>
        <v/>
      </c>
      <c r="AQ15" s="22">
        <f t="shared" si="16"/>
        <v>1</v>
      </c>
      <c r="AR15" s="21" t="str">
        <f t="shared" si="17"/>
        <v>|</v>
      </c>
      <c r="AS15" s="21" t="str">
        <f t="shared" si="18"/>
        <v/>
      </c>
      <c r="AT15" s="22">
        <f>IF(AS15="",0,COUNTIF(nINT_Key,AS15))</f>
        <v>0</v>
      </c>
      <c r="AU15" s="22">
        <f>IF(D15="",0,IFERROR(MATCH(AR15&amp;"|"&amp;D15,nLNK_Key,0),0))</f>
        <v>0</v>
      </c>
      <c r="AV15" s="22">
        <f>IF(OR(AQ15=1,H15=""),0,IFERROR(MATCH(AR15&amp;"|"&amp;H15,nTP_Key,0),0))</f>
        <v>0</v>
      </c>
      <c r="AW15" s="21">
        <f>IF(AV15=0,0,INDEX(nTP_Dup,AV15))</f>
        <v>0</v>
      </c>
      <c r="AX15" s="21" t="str">
        <f>IF(AV15=0,"",INDEX(nTP_Record_Type,AV15))</f>
        <v/>
      </c>
      <c r="AY15" s="21" t="str">
        <f>IF(AV15=0,"",INDEX(nTP_Precision,AV15))</f>
        <v/>
      </c>
      <c r="AZ15" s="21" t="str">
        <f>IF(AV15=0,"",INDEX(nTP_Err,AV15))</f>
        <v/>
      </c>
      <c r="BA15" s="21">
        <f>IF(AV15=0,0,INDEX(nTP_HT,AV15))</f>
        <v>0</v>
      </c>
      <c r="BB15" s="21">
        <f>IF(AV15=0,0,INDEX(nTP_OK,AV15))</f>
        <v>0</v>
      </c>
      <c r="BC15" s="21" t="str">
        <f>IF(AV15=0,"",INDEX(nTP_Loc,AV15))</f>
        <v/>
      </c>
      <c r="BD15" s="21" t="str">
        <f>IF(AV15=0,"",INDEX(nTP_UTC,AV15))</f>
        <v/>
      </c>
      <c r="BE15" s="21" t="str">
        <f>IF(AV15=0,"",INDEX(nTP_Lo,AV15))</f>
        <v/>
      </c>
      <c r="BF15" s="21" t="str">
        <f>IF(AV15=0,"",INDEX(nTP_Hi,AV15))</f>
        <v/>
      </c>
      <c r="BG15" s="22">
        <f>IF(OR(AQ15=1,E15&lt;&gt;"LAST_DOSE_BEFORE_ONSET",AU15=0,AV15=0),0,IF(AZ15&lt;&gt;"",0,SUMPRODUCT(MAX((nADM_SelKey=AR15&amp;"|"&amp;AL15)*nADM_Valid*(nADM_A_HT*BA15*nADM_A_OK*BB15*(nADM_UTC_n&lt;=N(BD15))+nADM_A_HT*BA15*(1-nADM_A_OK*BB15)*(nADM_Loc_n&lt;=N(BC15))+(1-nADM_A_HT*BA15)*(nADM_Lo_n&lt;=N(BE15)))*nADM_Sort_n))))</f>
        <v>0</v>
      </c>
      <c r="BH15" s="22">
        <f>IF(BG15=0,0,MATCH(1,INDEX((nADM_SelKey=AR15&amp;"|"&amp;AL15)*nADM_Valid*(nADM_A_HT*BA15*nADM_A_OK*BB15*(nADM_UTC_n&lt;=N(BD15))+nADM_A_HT*BA15*(1-nADM_A_OK*BB15)*(nADM_Loc_n&lt;=N(BC15))+(1-nADM_A_HT*BA15)*(nADM_Lo_n&lt;=N(BE15)))*(nADM_Sort_n=BG15),0),0))</f>
        <v>0</v>
      </c>
      <c r="BI15" s="21" t="str">
        <f>IF(BH15=0,"",INDEX(nADM_Admin_ID,BH15)&amp;"")</f>
        <v/>
      </c>
      <c r="BJ15" s="22">
        <f>IF(OR(AQ15=1,AG15=""),0,IFERROR(MATCH(AR15&amp;"|"&amp;AG15,nTP_Key,0),0))</f>
        <v>0</v>
      </c>
      <c r="BK15" s="21">
        <f>IF(BJ15=0,0,INDEX(nTP_Dup,BJ15))</f>
        <v>0</v>
      </c>
      <c r="BL15" s="21" t="str">
        <f>IF(BJ15=0,"",INDEX(nTP_Record_Type,BJ15))</f>
        <v/>
      </c>
      <c r="BM15" s="21" t="str">
        <f>IF(BJ15=0,"",INDEX(nTP_Precision,BJ15))</f>
        <v/>
      </c>
      <c r="BN15" s="21" t="str">
        <f>IF(BJ15=0,"",INDEX(nTP_Err,BJ15))</f>
        <v/>
      </c>
      <c r="BO15" s="21">
        <f>IF(BJ15=0,0,INDEX(nTP_HT,BJ15))</f>
        <v>0</v>
      </c>
      <c r="BP15" s="21">
        <f>IF(BJ15=0,0,INDEX(nTP_OK,BJ15))</f>
        <v>0</v>
      </c>
      <c r="BQ15" s="21" t="str">
        <f>IF(BJ15=0,"",INDEX(nTP_Loc,BJ15))</f>
        <v/>
      </c>
      <c r="BR15" s="21" t="str">
        <f>IF(BJ15=0,"",INDEX(nTP_UTC,BJ15))</f>
        <v/>
      </c>
      <c r="BS15" s="21" t="str">
        <f>IF(BJ15=0,"",INDEX(nTP_Lo,BJ15))</f>
        <v/>
      </c>
      <c r="BT15" s="21" t="str">
        <f>IF(BJ15=0,"",INDEX(nTP_Hi,BJ15))</f>
        <v/>
      </c>
      <c r="BU15" s="22">
        <f>IF(OR(BJ15=0,AV15=0),0,SUMPRODUCT((nTP_Case_Key=AR15)*(nTP_Record_Type="MILESTONE:INTERVENTION")*(nTP_Err="")*(nTP_HT*BO15*BA15*(nTP_Loc_n&gt;=N(BQ15))*(nTP_Loc_n&lt;=N(BC15))+(1-nTP_HT*BO15*BA15)*(nTP_Lo_n&gt;=N(BS15))*(nTP_Hi_n&lt;=N(BF15))*(nTP_Lo_n&gt;0))))</f>
        <v>0</v>
      </c>
      <c r="BV15" s="21" t="str">
        <f t="shared" si="19"/>
        <v/>
      </c>
      <c r="BW15" s="21" t="str">
        <f t="shared" si="20"/>
        <v/>
      </c>
      <c r="BX15" s="21" t="str">
        <f t="shared" si="21"/>
        <v/>
      </c>
      <c r="BY15" s="21" t="str">
        <f t="shared" si="22"/>
        <v/>
      </c>
      <c r="BZ15" s="22">
        <f t="shared" si="23"/>
        <v>1</v>
      </c>
      <c r="CA15" s="21" t="str">
        <f t="shared" si="24"/>
        <v/>
      </c>
      <c r="CB15" s="21" t="str">
        <f t="shared" si="25"/>
        <v/>
      </c>
      <c r="CC15" s="21" t="str">
        <f t="shared" si="26"/>
        <v/>
      </c>
      <c r="CD15" s="21" t="str">
        <f t="shared" si="27"/>
        <v/>
      </c>
      <c r="CE15" s="22">
        <f t="shared" si="28"/>
        <v>0</v>
      </c>
      <c r="CF15" s="28" t="str">
        <f t="shared" si="29"/>
        <v/>
      </c>
      <c r="CG15" s="28" t="str">
        <f t="shared" si="30"/>
        <v/>
      </c>
      <c r="CH15" s="21" t="str">
        <f t="shared" si="31"/>
        <v/>
      </c>
      <c r="CI15" s="22">
        <f t="shared" si="32"/>
        <v>0</v>
      </c>
      <c r="CJ15" s="22">
        <f t="shared" si="33"/>
        <v>0</v>
      </c>
      <c r="CK15" s="22">
        <f t="shared" si="34"/>
        <v>0</v>
      </c>
      <c r="CL15" s="22">
        <f t="shared" si="35"/>
        <v>0</v>
      </c>
      <c r="CM15" s="22">
        <f t="shared" si="36"/>
        <v>0</v>
      </c>
      <c r="CN15" s="22">
        <f t="shared" si="37"/>
        <v>0</v>
      </c>
      <c r="CO15" s="22">
        <f t="shared" si="38"/>
        <v>0</v>
      </c>
      <c r="CP15" s="22">
        <f t="shared" si="39"/>
        <v>0</v>
      </c>
      <c r="CQ15" s="21" t="str">
        <f t="shared" si="40"/>
        <v/>
      </c>
    </row>
    <row r="16" spans="1:95" x14ac:dyDescent="0.2">
      <c r="A16" s="10"/>
      <c r="B16" s="10"/>
      <c r="C16" s="12"/>
      <c r="D16" s="10"/>
      <c r="E16" s="17"/>
      <c r="F16" s="10"/>
      <c r="G16" s="10"/>
      <c r="H16" s="10"/>
      <c r="I16" s="17"/>
      <c r="J16" s="17"/>
      <c r="K16" s="10"/>
      <c r="L16" s="17"/>
      <c r="M16" s="17"/>
      <c r="N16" s="17"/>
      <c r="O16" s="10"/>
      <c r="P16" s="15"/>
      <c r="Q16" s="15"/>
      <c r="R16" s="10"/>
      <c r="S16" s="10"/>
      <c r="T16" s="21" t="str">
        <f t="shared" si="0"/>
        <v/>
      </c>
      <c r="U16" s="21" t="str">
        <f t="shared" si="1"/>
        <v/>
      </c>
      <c r="V16" s="21" t="str">
        <f t="shared" si="2"/>
        <v/>
      </c>
      <c r="W16" s="21" t="str">
        <f t="shared" si="3"/>
        <v/>
      </c>
      <c r="X16" s="21" t="str">
        <f t="shared" si="4"/>
        <v/>
      </c>
      <c r="Y16" s="21" t="str">
        <f t="shared" si="5"/>
        <v/>
      </c>
      <c r="Z16" s="21" t="str">
        <f t="shared" si="6"/>
        <v/>
      </c>
      <c r="AA16" s="21" t="str">
        <f t="shared" si="7"/>
        <v/>
      </c>
      <c r="AB16" s="21" t="str">
        <f t="shared" si="8"/>
        <v/>
      </c>
      <c r="AC16" s="21" t="str">
        <f>IF(AQ16=1,"",MID(IF(BX16&lt;&gt;""," | "&amp;BX16&amp;": "&amp;SUBSTITUTE(IFERROR(INDEX(nMSG_Text,MATCH(BX16,nMSG_Code,0)),""),"[input]",BY16),"")&amp;IF(CI16=1," | W_TZ_UNKNOWN: "&amp;SUBSTITUTE(IFERROR(INDEX(nMSG_Text,MATCH("W_TZ_UNKNOWN",nMSG_Code,0)),""),"[input]",""),"")&amp;IF(CJ16=1," | W_SAME_DATE_ORDER_UNKNOWN: "&amp;SUBSTITUTE(IFERROR(INDEX(nMSG_Text,MATCH("W_SAME_DATE_ORDER_UNKNOWN",nMSG_Code,0)),""),"[input]",""),"")&amp;IF(CK16=1," | W_SEQUENCE_UNCERTAIN: "&amp;SUBSTITUTE(IFERROR(INDEX(nMSG_Text,MATCH("W_SEQUENCE_UNCERTAIN",nMSG_Code,0)),""),"[input]",""),"")&amp;IF(CL16=1," | W_ADMIN_SAME_DATE_AS_ONSET: "&amp;SUBSTITUTE(IFERROR(INDEX(nMSG_Text,MATCH("W_ADMIN_SAME_DATE_AS_ONSET",nMSG_Code,0)),""),"[input]",""),"")&amp;IF(CO16=1," | W_INTERVENTION_BEFORE_RECOVERY: "&amp;SUBSTITUTE(IFERROR(INDEX(nMSG_Text,MATCH("W_INTERVENTION_BEFORE_RECOVERY",nMSG_Code,0)),""),"[input]",""),"")&amp;IF(OR(CQ16="",CQ16="OVERLAP"),""," | "&amp;CQ16&amp;" (reported timing): "&amp;SUBSTITUTE(IFERROR(INDEX(nMSG_Text,MATCH(CQ16,nMSG_Code,0)),""),"[input]","numeric reported bounds and a reported unit"))&amp;IF(CM16=1," | I_TREATMENT_DAY_UNDEFINED: "&amp;SUBSTITUTE(IFERROR(INDEX(nMSG_Text,MATCH("I_TREATMENT_DAY_UNDEFINED",nMSG_Code,0)),""),"[input]",""),"")&amp;IF(CH16&lt;&gt;""," | "&amp;CH16&amp;" (constraint): "&amp;SUBSTITUTE(IFERROR(INDEX(nMSG_Text,MATCH(CH16,nMSG_Code,0)),""),"[input]","a source for the constraint"),""),4,9999))</f>
        <v/>
      </c>
      <c r="AD16" s="21" t="str">
        <f t="shared" si="9"/>
        <v/>
      </c>
      <c r="AE16" s="21" t="str">
        <f t="shared" si="10"/>
        <v/>
      </c>
      <c r="AF16" s="21" t="str">
        <f t="shared" si="11"/>
        <v/>
      </c>
      <c r="AG16" s="21" t="str">
        <f t="shared" si="12"/>
        <v/>
      </c>
      <c r="AH16" s="21" t="str">
        <f>IF(BJ16=0,"",INDEX(nTP_ISO,BJ16))</f>
        <v/>
      </c>
      <c r="AI16" s="21" t="str">
        <f>IF(BJ16=0,"",INDEX(nTP_Display,BJ16))</f>
        <v/>
      </c>
      <c r="AJ16" s="21" t="str">
        <f>IF(AV16=0,"",INDEX(nTP_ISO,AV16))</f>
        <v/>
      </c>
      <c r="AK16" s="21" t="str">
        <f>IF(AV16=0,"",INDEX(nTP_Display,AV16))</f>
        <v/>
      </c>
      <c r="AL16" s="21" t="str">
        <f>IF(AU16=0,"",INDEX(nLNK_Exposure_Episode_ID,AU16)&amp;"")</f>
        <v/>
      </c>
      <c r="AM16" s="21" t="str">
        <f>IF(AU16=0,"",INDEX(nLNK_Event_Episode_ID,AU16)&amp;"")</f>
        <v/>
      </c>
      <c r="AN16" s="21" t="str">
        <f t="shared" si="13"/>
        <v/>
      </c>
      <c r="AO16" s="21" t="str">
        <f t="shared" si="14"/>
        <v/>
      </c>
      <c r="AP16" s="21" t="str">
        <f t="shared" si="15"/>
        <v/>
      </c>
      <c r="AQ16" s="22">
        <f t="shared" si="16"/>
        <v>1</v>
      </c>
      <c r="AR16" s="21" t="str">
        <f t="shared" si="17"/>
        <v>|</v>
      </c>
      <c r="AS16" s="21" t="str">
        <f t="shared" si="18"/>
        <v/>
      </c>
      <c r="AT16" s="22">
        <f>IF(AS16="",0,COUNTIF(nINT_Key,AS16))</f>
        <v>0</v>
      </c>
      <c r="AU16" s="22">
        <f>IF(D16="",0,IFERROR(MATCH(AR16&amp;"|"&amp;D16,nLNK_Key,0),0))</f>
        <v>0</v>
      </c>
      <c r="AV16" s="22">
        <f>IF(OR(AQ16=1,H16=""),0,IFERROR(MATCH(AR16&amp;"|"&amp;H16,nTP_Key,0),0))</f>
        <v>0</v>
      </c>
      <c r="AW16" s="21">
        <f>IF(AV16=0,0,INDEX(nTP_Dup,AV16))</f>
        <v>0</v>
      </c>
      <c r="AX16" s="21" t="str">
        <f>IF(AV16=0,"",INDEX(nTP_Record_Type,AV16))</f>
        <v/>
      </c>
      <c r="AY16" s="21" t="str">
        <f>IF(AV16=0,"",INDEX(nTP_Precision,AV16))</f>
        <v/>
      </c>
      <c r="AZ16" s="21" t="str">
        <f>IF(AV16=0,"",INDEX(nTP_Err,AV16))</f>
        <v/>
      </c>
      <c r="BA16" s="21">
        <f>IF(AV16=0,0,INDEX(nTP_HT,AV16))</f>
        <v>0</v>
      </c>
      <c r="BB16" s="21">
        <f>IF(AV16=0,0,INDEX(nTP_OK,AV16))</f>
        <v>0</v>
      </c>
      <c r="BC16" s="21" t="str">
        <f>IF(AV16=0,"",INDEX(nTP_Loc,AV16))</f>
        <v/>
      </c>
      <c r="BD16" s="21" t="str">
        <f>IF(AV16=0,"",INDEX(nTP_UTC,AV16))</f>
        <v/>
      </c>
      <c r="BE16" s="21" t="str">
        <f>IF(AV16=0,"",INDEX(nTP_Lo,AV16))</f>
        <v/>
      </c>
      <c r="BF16" s="21" t="str">
        <f>IF(AV16=0,"",INDEX(nTP_Hi,AV16))</f>
        <v/>
      </c>
      <c r="BG16" s="22">
        <f>IF(OR(AQ16=1,E16&lt;&gt;"LAST_DOSE_BEFORE_ONSET",AU16=0,AV16=0),0,IF(AZ16&lt;&gt;"",0,SUMPRODUCT(MAX((nADM_SelKey=AR16&amp;"|"&amp;AL16)*nADM_Valid*(nADM_A_HT*BA16*nADM_A_OK*BB16*(nADM_UTC_n&lt;=N(BD16))+nADM_A_HT*BA16*(1-nADM_A_OK*BB16)*(nADM_Loc_n&lt;=N(BC16))+(1-nADM_A_HT*BA16)*(nADM_Lo_n&lt;=N(BE16)))*nADM_Sort_n))))</f>
        <v>0</v>
      </c>
      <c r="BH16" s="22">
        <f>IF(BG16=0,0,MATCH(1,INDEX((nADM_SelKey=AR16&amp;"|"&amp;AL16)*nADM_Valid*(nADM_A_HT*BA16*nADM_A_OK*BB16*(nADM_UTC_n&lt;=N(BD16))+nADM_A_HT*BA16*(1-nADM_A_OK*BB16)*(nADM_Loc_n&lt;=N(BC16))+(1-nADM_A_HT*BA16)*(nADM_Lo_n&lt;=N(BE16)))*(nADM_Sort_n=BG16),0),0))</f>
        <v>0</v>
      </c>
      <c r="BI16" s="21" t="str">
        <f>IF(BH16=0,"",INDEX(nADM_Admin_ID,BH16)&amp;"")</f>
        <v/>
      </c>
      <c r="BJ16" s="22">
        <f>IF(OR(AQ16=1,AG16=""),0,IFERROR(MATCH(AR16&amp;"|"&amp;AG16,nTP_Key,0),0))</f>
        <v>0</v>
      </c>
      <c r="BK16" s="21">
        <f>IF(BJ16=0,0,INDEX(nTP_Dup,BJ16))</f>
        <v>0</v>
      </c>
      <c r="BL16" s="21" t="str">
        <f>IF(BJ16=0,"",INDEX(nTP_Record_Type,BJ16))</f>
        <v/>
      </c>
      <c r="BM16" s="21" t="str">
        <f>IF(BJ16=0,"",INDEX(nTP_Precision,BJ16))</f>
        <v/>
      </c>
      <c r="BN16" s="21" t="str">
        <f>IF(BJ16=0,"",INDEX(nTP_Err,BJ16))</f>
        <v/>
      </c>
      <c r="BO16" s="21">
        <f>IF(BJ16=0,0,INDEX(nTP_HT,BJ16))</f>
        <v>0</v>
      </c>
      <c r="BP16" s="21">
        <f>IF(BJ16=0,0,INDEX(nTP_OK,BJ16))</f>
        <v>0</v>
      </c>
      <c r="BQ16" s="21" t="str">
        <f>IF(BJ16=0,"",INDEX(nTP_Loc,BJ16))</f>
        <v/>
      </c>
      <c r="BR16" s="21" t="str">
        <f>IF(BJ16=0,"",INDEX(nTP_UTC,BJ16))</f>
        <v/>
      </c>
      <c r="BS16" s="21" t="str">
        <f>IF(BJ16=0,"",INDEX(nTP_Lo,BJ16))</f>
        <v/>
      </c>
      <c r="BT16" s="21" t="str">
        <f>IF(BJ16=0,"",INDEX(nTP_Hi,BJ16))</f>
        <v/>
      </c>
      <c r="BU16" s="22">
        <f>IF(OR(BJ16=0,AV16=0),0,SUMPRODUCT((nTP_Case_Key=AR16)*(nTP_Record_Type="MILESTONE:INTERVENTION")*(nTP_Err="")*(nTP_HT*BO16*BA16*(nTP_Loc_n&gt;=N(BQ16))*(nTP_Loc_n&lt;=N(BC16))+(1-nTP_HT*BO16*BA16)*(nTP_Lo_n&gt;=N(BS16))*(nTP_Hi_n&lt;=N(BF16))*(nTP_Lo_n&gt;0))))</f>
        <v>0</v>
      </c>
      <c r="BV16" s="21" t="str">
        <f t="shared" si="19"/>
        <v/>
      </c>
      <c r="BW16" s="21" t="str">
        <f t="shared" si="20"/>
        <v/>
      </c>
      <c r="BX16" s="21" t="str">
        <f t="shared" si="21"/>
        <v/>
      </c>
      <c r="BY16" s="21" t="str">
        <f t="shared" si="22"/>
        <v/>
      </c>
      <c r="BZ16" s="22">
        <f t="shared" si="23"/>
        <v>1</v>
      </c>
      <c r="CA16" s="21" t="str">
        <f t="shared" si="24"/>
        <v/>
      </c>
      <c r="CB16" s="21" t="str">
        <f t="shared" si="25"/>
        <v/>
      </c>
      <c r="CC16" s="21" t="str">
        <f t="shared" si="26"/>
        <v/>
      </c>
      <c r="CD16" s="21" t="str">
        <f t="shared" si="27"/>
        <v/>
      </c>
      <c r="CE16" s="22">
        <f t="shared" si="28"/>
        <v>0</v>
      </c>
      <c r="CF16" s="28" t="str">
        <f t="shared" si="29"/>
        <v/>
      </c>
      <c r="CG16" s="28" t="str">
        <f t="shared" si="30"/>
        <v/>
      </c>
      <c r="CH16" s="21" t="str">
        <f t="shared" si="31"/>
        <v/>
      </c>
      <c r="CI16" s="22">
        <f t="shared" si="32"/>
        <v>0</v>
      </c>
      <c r="CJ16" s="22">
        <f t="shared" si="33"/>
        <v>0</v>
      </c>
      <c r="CK16" s="22">
        <f t="shared" si="34"/>
        <v>0</v>
      </c>
      <c r="CL16" s="22">
        <f t="shared" si="35"/>
        <v>0</v>
      </c>
      <c r="CM16" s="22">
        <f t="shared" si="36"/>
        <v>0</v>
      </c>
      <c r="CN16" s="22">
        <f t="shared" si="37"/>
        <v>0</v>
      </c>
      <c r="CO16" s="22">
        <f t="shared" si="38"/>
        <v>0</v>
      </c>
      <c r="CP16" s="22">
        <f t="shared" si="39"/>
        <v>0</v>
      </c>
      <c r="CQ16" s="21" t="str">
        <f t="shared" si="40"/>
        <v/>
      </c>
    </row>
    <row r="17" spans="1:95" x14ac:dyDescent="0.2">
      <c r="A17" s="10"/>
      <c r="B17" s="10"/>
      <c r="C17" s="12"/>
      <c r="D17" s="10"/>
      <c r="E17" s="17"/>
      <c r="F17" s="10"/>
      <c r="G17" s="10"/>
      <c r="H17" s="10"/>
      <c r="I17" s="17"/>
      <c r="J17" s="17"/>
      <c r="K17" s="10"/>
      <c r="L17" s="17"/>
      <c r="M17" s="17"/>
      <c r="N17" s="17"/>
      <c r="O17" s="10"/>
      <c r="P17" s="15"/>
      <c r="Q17" s="15"/>
      <c r="R17" s="10"/>
      <c r="S17" s="10"/>
      <c r="T17" s="21" t="str">
        <f t="shared" si="0"/>
        <v/>
      </c>
      <c r="U17" s="21" t="str">
        <f t="shared" si="1"/>
        <v/>
      </c>
      <c r="V17" s="21" t="str">
        <f t="shared" si="2"/>
        <v/>
      </c>
      <c r="W17" s="21" t="str">
        <f t="shared" si="3"/>
        <v/>
      </c>
      <c r="X17" s="21" t="str">
        <f t="shared" si="4"/>
        <v/>
      </c>
      <c r="Y17" s="21" t="str">
        <f t="shared" si="5"/>
        <v/>
      </c>
      <c r="Z17" s="21" t="str">
        <f t="shared" si="6"/>
        <v/>
      </c>
      <c r="AA17" s="21" t="str">
        <f t="shared" si="7"/>
        <v/>
      </c>
      <c r="AB17" s="21" t="str">
        <f t="shared" si="8"/>
        <v/>
      </c>
      <c r="AC17" s="21" t="str">
        <f>IF(AQ17=1,"",MID(IF(BX17&lt;&gt;""," | "&amp;BX17&amp;": "&amp;SUBSTITUTE(IFERROR(INDEX(nMSG_Text,MATCH(BX17,nMSG_Code,0)),""),"[input]",BY17),"")&amp;IF(CI17=1," | W_TZ_UNKNOWN: "&amp;SUBSTITUTE(IFERROR(INDEX(nMSG_Text,MATCH("W_TZ_UNKNOWN",nMSG_Code,0)),""),"[input]",""),"")&amp;IF(CJ17=1," | W_SAME_DATE_ORDER_UNKNOWN: "&amp;SUBSTITUTE(IFERROR(INDEX(nMSG_Text,MATCH("W_SAME_DATE_ORDER_UNKNOWN",nMSG_Code,0)),""),"[input]",""),"")&amp;IF(CK17=1," | W_SEQUENCE_UNCERTAIN: "&amp;SUBSTITUTE(IFERROR(INDEX(nMSG_Text,MATCH("W_SEQUENCE_UNCERTAIN",nMSG_Code,0)),""),"[input]",""),"")&amp;IF(CL17=1," | W_ADMIN_SAME_DATE_AS_ONSET: "&amp;SUBSTITUTE(IFERROR(INDEX(nMSG_Text,MATCH("W_ADMIN_SAME_DATE_AS_ONSET",nMSG_Code,0)),""),"[input]",""),"")&amp;IF(CO17=1," | W_INTERVENTION_BEFORE_RECOVERY: "&amp;SUBSTITUTE(IFERROR(INDEX(nMSG_Text,MATCH("W_INTERVENTION_BEFORE_RECOVERY",nMSG_Code,0)),""),"[input]",""),"")&amp;IF(OR(CQ17="",CQ17="OVERLAP"),""," | "&amp;CQ17&amp;" (reported timing): "&amp;SUBSTITUTE(IFERROR(INDEX(nMSG_Text,MATCH(CQ17,nMSG_Code,0)),""),"[input]","numeric reported bounds and a reported unit"))&amp;IF(CM17=1," | I_TREATMENT_DAY_UNDEFINED: "&amp;SUBSTITUTE(IFERROR(INDEX(nMSG_Text,MATCH("I_TREATMENT_DAY_UNDEFINED",nMSG_Code,0)),""),"[input]",""),"")&amp;IF(CH17&lt;&gt;""," | "&amp;CH17&amp;" (constraint): "&amp;SUBSTITUTE(IFERROR(INDEX(nMSG_Text,MATCH(CH17,nMSG_Code,0)),""),"[input]","a source for the constraint"),""),4,9999))</f>
        <v/>
      </c>
      <c r="AD17" s="21" t="str">
        <f t="shared" si="9"/>
        <v/>
      </c>
      <c r="AE17" s="21" t="str">
        <f t="shared" si="10"/>
        <v/>
      </c>
      <c r="AF17" s="21" t="str">
        <f t="shared" si="11"/>
        <v/>
      </c>
      <c r="AG17" s="21" t="str">
        <f t="shared" si="12"/>
        <v/>
      </c>
      <c r="AH17" s="21" t="str">
        <f>IF(BJ17=0,"",INDEX(nTP_ISO,BJ17))</f>
        <v/>
      </c>
      <c r="AI17" s="21" t="str">
        <f>IF(BJ17=0,"",INDEX(nTP_Display,BJ17))</f>
        <v/>
      </c>
      <c r="AJ17" s="21" t="str">
        <f>IF(AV17=0,"",INDEX(nTP_ISO,AV17))</f>
        <v/>
      </c>
      <c r="AK17" s="21" t="str">
        <f>IF(AV17=0,"",INDEX(nTP_Display,AV17))</f>
        <v/>
      </c>
      <c r="AL17" s="21" t="str">
        <f>IF(AU17=0,"",INDEX(nLNK_Exposure_Episode_ID,AU17)&amp;"")</f>
        <v/>
      </c>
      <c r="AM17" s="21" t="str">
        <f>IF(AU17=0,"",INDEX(nLNK_Event_Episode_ID,AU17)&amp;"")</f>
        <v/>
      </c>
      <c r="AN17" s="21" t="str">
        <f t="shared" si="13"/>
        <v/>
      </c>
      <c r="AO17" s="21" t="str">
        <f t="shared" si="14"/>
        <v/>
      </c>
      <c r="AP17" s="21" t="str">
        <f t="shared" si="15"/>
        <v/>
      </c>
      <c r="AQ17" s="22">
        <f t="shared" si="16"/>
        <v>1</v>
      </c>
      <c r="AR17" s="21" t="str">
        <f t="shared" si="17"/>
        <v>|</v>
      </c>
      <c r="AS17" s="21" t="str">
        <f t="shared" si="18"/>
        <v/>
      </c>
      <c r="AT17" s="22">
        <f>IF(AS17="",0,COUNTIF(nINT_Key,AS17))</f>
        <v>0</v>
      </c>
      <c r="AU17" s="22">
        <f>IF(D17="",0,IFERROR(MATCH(AR17&amp;"|"&amp;D17,nLNK_Key,0),0))</f>
        <v>0</v>
      </c>
      <c r="AV17" s="22">
        <f>IF(OR(AQ17=1,H17=""),0,IFERROR(MATCH(AR17&amp;"|"&amp;H17,nTP_Key,0),0))</f>
        <v>0</v>
      </c>
      <c r="AW17" s="21">
        <f>IF(AV17=0,0,INDEX(nTP_Dup,AV17))</f>
        <v>0</v>
      </c>
      <c r="AX17" s="21" t="str">
        <f>IF(AV17=0,"",INDEX(nTP_Record_Type,AV17))</f>
        <v/>
      </c>
      <c r="AY17" s="21" t="str">
        <f>IF(AV17=0,"",INDEX(nTP_Precision,AV17))</f>
        <v/>
      </c>
      <c r="AZ17" s="21" t="str">
        <f>IF(AV17=0,"",INDEX(nTP_Err,AV17))</f>
        <v/>
      </c>
      <c r="BA17" s="21">
        <f>IF(AV17=0,0,INDEX(nTP_HT,AV17))</f>
        <v>0</v>
      </c>
      <c r="BB17" s="21">
        <f>IF(AV17=0,0,INDEX(nTP_OK,AV17))</f>
        <v>0</v>
      </c>
      <c r="BC17" s="21" t="str">
        <f>IF(AV17=0,"",INDEX(nTP_Loc,AV17))</f>
        <v/>
      </c>
      <c r="BD17" s="21" t="str">
        <f>IF(AV17=0,"",INDEX(nTP_UTC,AV17))</f>
        <v/>
      </c>
      <c r="BE17" s="21" t="str">
        <f>IF(AV17=0,"",INDEX(nTP_Lo,AV17))</f>
        <v/>
      </c>
      <c r="BF17" s="21" t="str">
        <f>IF(AV17=0,"",INDEX(nTP_Hi,AV17))</f>
        <v/>
      </c>
      <c r="BG17" s="22">
        <f>IF(OR(AQ17=1,E17&lt;&gt;"LAST_DOSE_BEFORE_ONSET",AU17=0,AV17=0),0,IF(AZ17&lt;&gt;"",0,SUMPRODUCT(MAX((nADM_SelKey=AR17&amp;"|"&amp;AL17)*nADM_Valid*(nADM_A_HT*BA17*nADM_A_OK*BB17*(nADM_UTC_n&lt;=N(BD17))+nADM_A_HT*BA17*(1-nADM_A_OK*BB17)*(nADM_Loc_n&lt;=N(BC17))+(1-nADM_A_HT*BA17)*(nADM_Lo_n&lt;=N(BE17)))*nADM_Sort_n))))</f>
        <v>0</v>
      </c>
      <c r="BH17" s="22">
        <f>IF(BG17=0,0,MATCH(1,INDEX((nADM_SelKey=AR17&amp;"|"&amp;AL17)*nADM_Valid*(nADM_A_HT*BA17*nADM_A_OK*BB17*(nADM_UTC_n&lt;=N(BD17))+nADM_A_HT*BA17*(1-nADM_A_OK*BB17)*(nADM_Loc_n&lt;=N(BC17))+(1-nADM_A_HT*BA17)*(nADM_Lo_n&lt;=N(BE17)))*(nADM_Sort_n=BG17),0),0))</f>
        <v>0</v>
      </c>
      <c r="BI17" s="21" t="str">
        <f>IF(BH17=0,"",INDEX(nADM_Admin_ID,BH17)&amp;"")</f>
        <v/>
      </c>
      <c r="BJ17" s="22">
        <f>IF(OR(AQ17=1,AG17=""),0,IFERROR(MATCH(AR17&amp;"|"&amp;AG17,nTP_Key,0),0))</f>
        <v>0</v>
      </c>
      <c r="BK17" s="21">
        <f>IF(BJ17=0,0,INDEX(nTP_Dup,BJ17))</f>
        <v>0</v>
      </c>
      <c r="BL17" s="21" t="str">
        <f>IF(BJ17=0,"",INDEX(nTP_Record_Type,BJ17))</f>
        <v/>
      </c>
      <c r="BM17" s="21" t="str">
        <f>IF(BJ17=0,"",INDEX(nTP_Precision,BJ17))</f>
        <v/>
      </c>
      <c r="BN17" s="21" t="str">
        <f>IF(BJ17=0,"",INDEX(nTP_Err,BJ17))</f>
        <v/>
      </c>
      <c r="BO17" s="21">
        <f>IF(BJ17=0,0,INDEX(nTP_HT,BJ17))</f>
        <v>0</v>
      </c>
      <c r="BP17" s="21">
        <f>IF(BJ17=0,0,INDEX(nTP_OK,BJ17))</f>
        <v>0</v>
      </c>
      <c r="BQ17" s="21" t="str">
        <f>IF(BJ17=0,"",INDEX(nTP_Loc,BJ17))</f>
        <v/>
      </c>
      <c r="BR17" s="21" t="str">
        <f>IF(BJ17=0,"",INDEX(nTP_UTC,BJ17))</f>
        <v/>
      </c>
      <c r="BS17" s="21" t="str">
        <f>IF(BJ17=0,"",INDEX(nTP_Lo,BJ17))</f>
        <v/>
      </c>
      <c r="BT17" s="21" t="str">
        <f>IF(BJ17=0,"",INDEX(nTP_Hi,BJ17))</f>
        <v/>
      </c>
      <c r="BU17" s="22">
        <f>IF(OR(BJ17=0,AV17=0),0,SUMPRODUCT((nTP_Case_Key=AR17)*(nTP_Record_Type="MILESTONE:INTERVENTION")*(nTP_Err="")*(nTP_HT*BO17*BA17*(nTP_Loc_n&gt;=N(BQ17))*(nTP_Loc_n&lt;=N(BC17))+(1-nTP_HT*BO17*BA17)*(nTP_Lo_n&gt;=N(BS17))*(nTP_Hi_n&lt;=N(BF17))*(nTP_Lo_n&gt;0))))</f>
        <v>0</v>
      </c>
      <c r="BV17" s="21" t="str">
        <f t="shared" si="19"/>
        <v/>
      </c>
      <c r="BW17" s="21" t="str">
        <f t="shared" si="20"/>
        <v/>
      </c>
      <c r="BX17" s="21" t="str">
        <f t="shared" si="21"/>
        <v/>
      </c>
      <c r="BY17" s="21" t="str">
        <f t="shared" si="22"/>
        <v/>
      </c>
      <c r="BZ17" s="22">
        <f t="shared" si="23"/>
        <v>1</v>
      </c>
      <c r="CA17" s="21" t="str">
        <f t="shared" si="24"/>
        <v/>
      </c>
      <c r="CB17" s="21" t="str">
        <f t="shared" si="25"/>
        <v/>
      </c>
      <c r="CC17" s="21" t="str">
        <f t="shared" si="26"/>
        <v/>
      </c>
      <c r="CD17" s="21" t="str">
        <f t="shared" si="27"/>
        <v/>
      </c>
      <c r="CE17" s="22">
        <f t="shared" si="28"/>
        <v>0</v>
      </c>
      <c r="CF17" s="28" t="str">
        <f t="shared" si="29"/>
        <v/>
      </c>
      <c r="CG17" s="28" t="str">
        <f t="shared" si="30"/>
        <v/>
      </c>
      <c r="CH17" s="21" t="str">
        <f t="shared" si="31"/>
        <v/>
      </c>
      <c r="CI17" s="22">
        <f t="shared" si="32"/>
        <v>0</v>
      </c>
      <c r="CJ17" s="22">
        <f t="shared" si="33"/>
        <v>0</v>
      </c>
      <c r="CK17" s="22">
        <f t="shared" si="34"/>
        <v>0</v>
      </c>
      <c r="CL17" s="22">
        <f t="shared" si="35"/>
        <v>0</v>
      </c>
      <c r="CM17" s="22">
        <f t="shared" si="36"/>
        <v>0</v>
      </c>
      <c r="CN17" s="22">
        <f t="shared" si="37"/>
        <v>0</v>
      </c>
      <c r="CO17" s="22">
        <f t="shared" si="38"/>
        <v>0</v>
      </c>
      <c r="CP17" s="22">
        <f t="shared" si="39"/>
        <v>0</v>
      </c>
      <c r="CQ17" s="21" t="str">
        <f t="shared" si="40"/>
        <v/>
      </c>
    </row>
    <row r="18" spans="1:95" x14ac:dyDescent="0.2">
      <c r="A18" s="10"/>
      <c r="B18" s="10"/>
      <c r="C18" s="12"/>
      <c r="D18" s="10"/>
      <c r="E18" s="17"/>
      <c r="F18" s="10"/>
      <c r="G18" s="10"/>
      <c r="H18" s="10"/>
      <c r="I18" s="17"/>
      <c r="J18" s="17"/>
      <c r="K18" s="10"/>
      <c r="L18" s="17"/>
      <c r="M18" s="17"/>
      <c r="N18" s="17"/>
      <c r="O18" s="10"/>
      <c r="P18" s="15"/>
      <c r="Q18" s="15"/>
      <c r="R18" s="10"/>
      <c r="S18" s="10"/>
      <c r="T18" s="21" t="str">
        <f t="shared" si="0"/>
        <v/>
      </c>
      <c r="U18" s="21" t="str">
        <f t="shared" si="1"/>
        <v/>
      </c>
      <c r="V18" s="21" t="str">
        <f t="shared" si="2"/>
        <v/>
      </c>
      <c r="W18" s="21" t="str">
        <f t="shared" si="3"/>
        <v/>
      </c>
      <c r="X18" s="21" t="str">
        <f t="shared" si="4"/>
        <v/>
      </c>
      <c r="Y18" s="21" t="str">
        <f t="shared" si="5"/>
        <v/>
      </c>
      <c r="Z18" s="21" t="str">
        <f t="shared" si="6"/>
        <v/>
      </c>
      <c r="AA18" s="21" t="str">
        <f t="shared" si="7"/>
        <v/>
      </c>
      <c r="AB18" s="21" t="str">
        <f t="shared" si="8"/>
        <v/>
      </c>
      <c r="AC18" s="21" t="str">
        <f>IF(AQ18=1,"",MID(IF(BX18&lt;&gt;""," | "&amp;BX18&amp;": "&amp;SUBSTITUTE(IFERROR(INDEX(nMSG_Text,MATCH(BX18,nMSG_Code,0)),""),"[input]",BY18),"")&amp;IF(CI18=1," | W_TZ_UNKNOWN: "&amp;SUBSTITUTE(IFERROR(INDEX(nMSG_Text,MATCH("W_TZ_UNKNOWN",nMSG_Code,0)),""),"[input]",""),"")&amp;IF(CJ18=1," | W_SAME_DATE_ORDER_UNKNOWN: "&amp;SUBSTITUTE(IFERROR(INDEX(nMSG_Text,MATCH("W_SAME_DATE_ORDER_UNKNOWN",nMSG_Code,0)),""),"[input]",""),"")&amp;IF(CK18=1," | W_SEQUENCE_UNCERTAIN: "&amp;SUBSTITUTE(IFERROR(INDEX(nMSG_Text,MATCH("W_SEQUENCE_UNCERTAIN",nMSG_Code,0)),""),"[input]",""),"")&amp;IF(CL18=1," | W_ADMIN_SAME_DATE_AS_ONSET: "&amp;SUBSTITUTE(IFERROR(INDEX(nMSG_Text,MATCH("W_ADMIN_SAME_DATE_AS_ONSET",nMSG_Code,0)),""),"[input]",""),"")&amp;IF(CO18=1," | W_INTERVENTION_BEFORE_RECOVERY: "&amp;SUBSTITUTE(IFERROR(INDEX(nMSG_Text,MATCH("W_INTERVENTION_BEFORE_RECOVERY",nMSG_Code,0)),""),"[input]",""),"")&amp;IF(OR(CQ18="",CQ18="OVERLAP"),""," | "&amp;CQ18&amp;" (reported timing): "&amp;SUBSTITUTE(IFERROR(INDEX(nMSG_Text,MATCH(CQ18,nMSG_Code,0)),""),"[input]","numeric reported bounds and a reported unit"))&amp;IF(CM18=1," | I_TREATMENT_DAY_UNDEFINED: "&amp;SUBSTITUTE(IFERROR(INDEX(nMSG_Text,MATCH("I_TREATMENT_DAY_UNDEFINED",nMSG_Code,0)),""),"[input]",""),"")&amp;IF(CH18&lt;&gt;""," | "&amp;CH18&amp;" (constraint): "&amp;SUBSTITUTE(IFERROR(INDEX(nMSG_Text,MATCH(CH18,nMSG_Code,0)),""),"[input]","a source for the constraint"),""),4,9999))</f>
        <v/>
      </c>
      <c r="AD18" s="21" t="str">
        <f t="shared" si="9"/>
        <v/>
      </c>
      <c r="AE18" s="21" t="str">
        <f t="shared" si="10"/>
        <v/>
      </c>
      <c r="AF18" s="21" t="str">
        <f t="shared" si="11"/>
        <v/>
      </c>
      <c r="AG18" s="21" t="str">
        <f t="shared" si="12"/>
        <v/>
      </c>
      <c r="AH18" s="21" t="str">
        <f>IF(BJ18=0,"",INDEX(nTP_ISO,BJ18))</f>
        <v/>
      </c>
      <c r="AI18" s="21" t="str">
        <f>IF(BJ18=0,"",INDEX(nTP_Display,BJ18))</f>
        <v/>
      </c>
      <c r="AJ18" s="21" t="str">
        <f>IF(AV18=0,"",INDEX(nTP_ISO,AV18))</f>
        <v/>
      </c>
      <c r="AK18" s="21" t="str">
        <f>IF(AV18=0,"",INDEX(nTP_Display,AV18))</f>
        <v/>
      </c>
      <c r="AL18" s="21" t="str">
        <f>IF(AU18=0,"",INDEX(nLNK_Exposure_Episode_ID,AU18)&amp;"")</f>
        <v/>
      </c>
      <c r="AM18" s="21" t="str">
        <f>IF(AU18=0,"",INDEX(nLNK_Event_Episode_ID,AU18)&amp;"")</f>
        <v/>
      </c>
      <c r="AN18" s="21" t="str">
        <f t="shared" si="13"/>
        <v/>
      </c>
      <c r="AO18" s="21" t="str">
        <f t="shared" si="14"/>
        <v/>
      </c>
      <c r="AP18" s="21" t="str">
        <f t="shared" si="15"/>
        <v/>
      </c>
      <c r="AQ18" s="22">
        <f t="shared" si="16"/>
        <v>1</v>
      </c>
      <c r="AR18" s="21" t="str">
        <f t="shared" si="17"/>
        <v>|</v>
      </c>
      <c r="AS18" s="21" t="str">
        <f t="shared" si="18"/>
        <v/>
      </c>
      <c r="AT18" s="22">
        <f>IF(AS18="",0,COUNTIF(nINT_Key,AS18))</f>
        <v>0</v>
      </c>
      <c r="AU18" s="22">
        <f>IF(D18="",0,IFERROR(MATCH(AR18&amp;"|"&amp;D18,nLNK_Key,0),0))</f>
        <v>0</v>
      </c>
      <c r="AV18" s="22">
        <f>IF(OR(AQ18=1,H18=""),0,IFERROR(MATCH(AR18&amp;"|"&amp;H18,nTP_Key,0),0))</f>
        <v>0</v>
      </c>
      <c r="AW18" s="21">
        <f>IF(AV18=0,0,INDEX(nTP_Dup,AV18))</f>
        <v>0</v>
      </c>
      <c r="AX18" s="21" t="str">
        <f>IF(AV18=0,"",INDEX(nTP_Record_Type,AV18))</f>
        <v/>
      </c>
      <c r="AY18" s="21" t="str">
        <f>IF(AV18=0,"",INDEX(nTP_Precision,AV18))</f>
        <v/>
      </c>
      <c r="AZ18" s="21" t="str">
        <f>IF(AV18=0,"",INDEX(nTP_Err,AV18))</f>
        <v/>
      </c>
      <c r="BA18" s="21">
        <f>IF(AV18=0,0,INDEX(nTP_HT,AV18))</f>
        <v>0</v>
      </c>
      <c r="BB18" s="21">
        <f>IF(AV18=0,0,INDEX(nTP_OK,AV18))</f>
        <v>0</v>
      </c>
      <c r="BC18" s="21" t="str">
        <f>IF(AV18=0,"",INDEX(nTP_Loc,AV18))</f>
        <v/>
      </c>
      <c r="BD18" s="21" t="str">
        <f>IF(AV18=0,"",INDEX(nTP_UTC,AV18))</f>
        <v/>
      </c>
      <c r="BE18" s="21" t="str">
        <f>IF(AV18=0,"",INDEX(nTP_Lo,AV18))</f>
        <v/>
      </c>
      <c r="BF18" s="21" t="str">
        <f>IF(AV18=0,"",INDEX(nTP_Hi,AV18))</f>
        <v/>
      </c>
      <c r="BG18" s="22">
        <f>IF(OR(AQ18=1,E18&lt;&gt;"LAST_DOSE_BEFORE_ONSET",AU18=0,AV18=0),0,IF(AZ18&lt;&gt;"",0,SUMPRODUCT(MAX((nADM_SelKey=AR18&amp;"|"&amp;AL18)*nADM_Valid*(nADM_A_HT*BA18*nADM_A_OK*BB18*(nADM_UTC_n&lt;=N(BD18))+nADM_A_HT*BA18*(1-nADM_A_OK*BB18)*(nADM_Loc_n&lt;=N(BC18))+(1-nADM_A_HT*BA18)*(nADM_Lo_n&lt;=N(BE18)))*nADM_Sort_n))))</f>
        <v>0</v>
      </c>
      <c r="BH18" s="22">
        <f>IF(BG18=0,0,MATCH(1,INDEX((nADM_SelKey=AR18&amp;"|"&amp;AL18)*nADM_Valid*(nADM_A_HT*BA18*nADM_A_OK*BB18*(nADM_UTC_n&lt;=N(BD18))+nADM_A_HT*BA18*(1-nADM_A_OK*BB18)*(nADM_Loc_n&lt;=N(BC18))+(1-nADM_A_HT*BA18)*(nADM_Lo_n&lt;=N(BE18)))*(nADM_Sort_n=BG18),0),0))</f>
        <v>0</v>
      </c>
      <c r="BI18" s="21" t="str">
        <f>IF(BH18=0,"",INDEX(nADM_Admin_ID,BH18)&amp;"")</f>
        <v/>
      </c>
      <c r="BJ18" s="22">
        <f>IF(OR(AQ18=1,AG18=""),0,IFERROR(MATCH(AR18&amp;"|"&amp;AG18,nTP_Key,0),0))</f>
        <v>0</v>
      </c>
      <c r="BK18" s="21">
        <f>IF(BJ18=0,0,INDEX(nTP_Dup,BJ18))</f>
        <v>0</v>
      </c>
      <c r="BL18" s="21" t="str">
        <f>IF(BJ18=0,"",INDEX(nTP_Record_Type,BJ18))</f>
        <v/>
      </c>
      <c r="BM18" s="21" t="str">
        <f>IF(BJ18=0,"",INDEX(nTP_Precision,BJ18))</f>
        <v/>
      </c>
      <c r="BN18" s="21" t="str">
        <f>IF(BJ18=0,"",INDEX(nTP_Err,BJ18))</f>
        <v/>
      </c>
      <c r="BO18" s="21">
        <f>IF(BJ18=0,0,INDEX(nTP_HT,BJ18))</f>
        <v>0</v>
      </c>
      <c r="BP18" s="21">
        <f>IF(BJ18=0,0,INDEX(nTP_OK,BJ18))</f>
        <v>0</v>
      </c>
      <c r="BQ18" s="21" t="str">
        <f>IF(BJ18=0,"",INDEX(nTP_Loc,BJ18))</f>
        <v/>
      </c>
      <c r="BR18" s="21" t="str">
        <f>IF(BJ18=0,"",INDEX(nTP_UTC,BJ18))</f>
        <v/>
      </c>
      <c r="BS18" s="21" t="str">
        <f>IF(BJ18=0,"",INDEX(nTP_Lo,BJ18))</f>
        <v/>
      </c>
      <c r="BT18" s="21" t="str">
        <f>IF(BJ18=0,"",INDEX(nTP_Hi,BJ18))</f>
        <v/>
      </c>
      <c r="BU18" s="22">
        <f>IF(OR(BJ18=0,AV18=0),0,SUMPRODUCT((nTP_Case_Key=AR18)*(nTP_Record_Type="MILESTONE:INTERVENTION")*(nTP_Err="")*(nTP_HT*BO18*BA18*(nTP_Loc_n&gt;=N(BQ18))*(nTP_Loc_n&lt;=N(BC18))+(1-nTP_HT*BO18*BA18)*(nTP_Lo_n&gt;=N(BS18))*(nTP_Hi_n&lt;=N(BF18))*(nTP_Lo_n&gt;0))))</f>
        <v>0</v>
      </c>
      <c r="BV18" s="21" t="str">
        <f t="shared" si="19"/>
        <v/>
      </c>
      <c r="BW18" s="21" t="str">
        <f t="shared" si="20"/>
        <v/>
      </c>
      <c r="BX18" s="21" t="str">
        <f t="shared" si="21"/>
        <v/>
      </c>
      <c r="BY18" s="21" t="str">
        <f t="shared" si="22"/>
        <v/>
      </c>
      <c r="BZ18" s="22">
        <f t="shared" si="23"/>
        <v>1</v>
      </c>
      <c r="CA18" s="21" t="str">
        <f t="shared" si="24"/>
        <v/>
      </c>
      <c r="CB18" s="21" t="str">
        <f t="shared" si="25"/>
        <v/>
      </c>
      <c r="CC18" s="21" t="str">
        <f t="shared" si="26"/>
        <v/>
      </c>
      <c r="CD18" s="21" t="str">
        <f t="shared" si="27"/>
        <v/>
      </c>
      <c r="CE18" s="22">
        <f t="shared" si="28"/>
        <v>0</v>
      </c>
      <c r="CF18" s="28" t="str">
        <f t="shared" si="29"/>
        <v/>
      </c>
      <c r="CG18" s="28" t="str">
        <f t="shared" si="30"/>
        <v/>
      </c>
      <c r="CH18" s="21" t="str">
        <f t="shared" si="31"/>
        <v/>
      </c>
      <c r="CI18" s="22">
        <f t="shared" si="32"/>
        <v>0</v>
      </c>
      <c r="CJ18" s="22">
        <f t="shared" si="33"/>
        <v>0</v>
      </c>
      <c r="CK18" s="22">
        <f t="shared" si="34"/>
        <v>0</v>
      </c>
      <c r="CL18" s="22">
        <f t="shared" si="35"/>
        <v>0</v>
      </c>
      <c r="CM18" s="22">
        <f t="shared" si="36"/>
        <v>0</v>
      </c>
      <c r="CN18" s="22">
        <f t="shared" si="37"/>
        <v>0</v>
      </c>
      <c r="CO18" s="22">
        <f t="shared" si="38"/>
        <v>0</v>
      </c>
      <c r="CP18" s="22">
        <f t="shared" si="39"/>
        <v>0</v>
      </c>
      <c r="CQ18" s="21" t="str">
        <f t="shared" si="40"/>
        <v/>
      </c>
    </row>
    <row r="19" spans="1:95" x14ac:dyDescent="0.2">
      <c r="A19" s="10"/>
      <c r="B19" s="10"/>
      <c r="C19" s="12"/>
      <c r="D19" s="10"/>
      <c r="E19" s="17"/>
      <c r="F19" s="10"/>
      <c r="G19" s="10"/>
      <c r="H19" s="10"/>
      <c r="I19" s="17"/>
      <c r="J19" s="17"/>
      <c r="K19" s="10"/>
      <c r="L19" s="17"/>
      <c r="M19" s="17"/>
      <c r="N19" s="17"/>
      <c r="O19" s="10"/>
      <c r="P19" s="15"/>
      <c r="Q19" s="15"/>
      <c r="R19" s="10"/>
      <c r="S19" s="10"/>
      <c r="T19" s="21" t="str">
        <f t="shared" si="0"/>
        <v/>
      </c>
      <c r="U19" s="21" t="str">
        <f t="shared" si="1"/>
        <v/>
      </c>
      <c r="V19" s="21" t="str">
        <f t="shared" si="2"/>
        <v/>
      </c>
      <c r="W19" s="21" t="str">
        <f t="shared" si="3"/>
        <v/>
      </c>
      <c r="X19" s="21" t="str">
        <f t="shared" si="4"/>
        <v/>
      </c>
      <c r="Y19" s="21" t="str">
        <f t="shared" si="5"/>
        <v/>
      </c>
      <c r="Z19" s="21" t="str">
        <f t="shared" si="6"/>
        <v/>
      </c>
      <c r="AA19" s="21" t="str">
        <f t="shared" si="7"/>
        <v/>
      </c>
      <c r="AB19" s="21" t="str">
        <f t="shared" si="8"/>
        <v/>
      </c>
      <c r="AC19" s="21" t="str">
        <f>IF(AQ19=1,"",MID(IF(BX19&lt;&gt;""," | "&amp;BX19&amp;": "&amp;SUBSTITUTE(IFERROR(INDEX(nMSG_Text,MATCH(BX19,nMSG_Code,0)),""),"[input]",BY19),"")&amp;IF(CI19=1," | W_TZ_UNKNOWN: "&amp;SUBSTITUTE(IFERROR(INDEX(nMSG_Text,MATCH("W_TZ_UNKNOWN",nMSG_Code,0)),""),"[input]",""),"")&amp;IF(CJ19=1," | W_SAME_DATE_ORDER_UNKNOWN: "&amp;SUBSTITUTE(IFERROR(INDEX(nMSG_Text,MATCH("W_SAME_DATE_ORDER_UNKNOWN",nMSG_Code,0)),""),"[input]",""),"")&amp;IF(CK19=1," | W_SEQUENCE_UNCERTAIN: "&amp;SUBSTITUTE(IFERROR(INDEX(nMSG_Text,MATCH("W_SEQUENCE_UNCERTAIN",nMSG_Code,0)),""),"[input]",""),"")&amp;IF(CL19=1," | W_ADMIN_SAME_DATE_AS_ONSET: "&amp;SUBSTITUTE(IFERROR(INDEX(nMSG_Text,MATCH("W_ADMIN_SAME_DATE_AS_ONSET",nMSG_Code,0)),""),"[input]",""),"")&amp;IF(CO19=1," | W_INTERVENTION_BEFORE_RECOVERY: "&amp;SUBSTITUTE(IFERROR(INDEX(nMSG_Text,MATCH("W_INTERVENTION_BEFORE_RECOVERY",nMSG_Code,0)),""),"[input]",""),"")&amp;IF(OR(CQ19="",CQ19="OVERLAP"),""," | "&amp;CQ19&amp;" (reported timing): "&amp;SUBSTITUTE(IFERROR(INDEX(nMSG_Text,MATCH(CQ19,nMSG_Code,0)),""),"[input]","numeric reported bounds and a reported unit"))&amp;IF(CM19=1," | I_TREATMENT_DAY_UNDEFINED: "&amp;SUBSTITUTE(IFERROR(INDEX(nMSG_Text,MATCH("I_TREATMENT_DAY_UNDEFINED",nMSG_Code,0)),""),"[input]",""),"")&amp;IF(CH19&lt;&gt;""," | "&amp;CH19&amp;" (constraint): "&amp;SUBSTITUTE(IFERROR(INDEX(nMSG_Text,MATCH(CH19,nMSG_Code,0)),""),"[input]","a source for the constraint"),""),4,9999))</f>
        <v/>
      </c>
      <c r="AD19" s="21" t="str">
        <f t="shared" si="9"/>
        <v/>
      </c>
      <c r="AE19" s="21" t="str">
        <f t="shared" si="10"/>
        <v/>
      </c>
      <c r="AF19" s="21" t="str">
        <f t="shared" si="11"/>
        <v/>
      </c>
      <c r="AG19" s="21" t="str">
        <f t="shared" si="12"/>
        <v/>
      </c>
      <c r="AH19" s="21" t="str">
        <f>IF(BJ19=0,"",INDEX(nTP_ISO,BJ19))</f>
        <v/>
      </c>
      <c r="AI19" s="21" t="str">
        <f>IF(BJ19=0,"",INDEX(nTP_Display,BJ19))</f>
        <v/>
      </c>
      <c r="AJ19" s="21" t="str">
        <f>IF(AV19=0,"",INDEX(nTP_ISO,AV19))</f>
        <v/>
      </c>
      <c r="AK19" s="21" t="str">
        <f>IF(AV19=0,"",INDEX(nTP_Display,AV19))</f>
        <v/>
      </c>
      <c r="AL19" s="21" t="str">
        <f>IF(AU19=0,"",INDEX(nLNK_Exposure_Episode_ID,AU19)&amp;"")</f>
        <v/>
      </c>
      <c r="AM19" s="21" t="str">
        <f>IF(AU19=0,"",INDEX(nLNK_Event_Episode_ID,AU19)&amp;"")</f>
        <v/>
      </c>
      <c r="AN19" s="21" t="str">
        <f t="shared" si="13"/>
        <v/>
      </c>
      <c r="AO19" s="21" t="str">
        <f t="shared" si="14"/>
        <v/>
      </c>
      <c r="AP19" s="21" t="str">
        <f t="shared" si="15"/>
        <v/>
      </c>
      <c r="AQ19" s="22">
        <f t="shared" si="16"/>
        <v>1</v>
      </c>
      <c r="AR19" s="21" t="str">
        <f t="shared" si="17"/>
        <v>|</v>
      </c>
      <c r="AS19" s="21" t="str">
        <f t="shared" si="18"/>
        <v/>
      </c>
      <c r="AT19" s="22">
        <f>IF(AS19="",0,COUNTIF(nINT_Key,AS19))</f>
        <v>0</v>
      </c>
      <c r="AU19" s="22">
        <f>IF(D19="",0,IFERROR(MATCH(AR19&amp;"|"&amp;D19,nLNK_Key,0),0))</f>
        <v>0</v>
      </c>
      <c r="AV19" s="22">
        <f>IF(OR(AQ19=1,H19=""),0,IFERROR(MATCH(AR19&amp;"|"&amp;H19,nTP_Key,0),0))</f>
        <v>0</v>
      </c>
      <c r="AW19" s="21">
        <f>IF(AV19=0,0,INDEX(nTP_Dup,AV19))</f>
        <v>0</v>
      </c>
      <c r="AX19" s="21" t="str">
        <f>IF(AV19=0,"",INDEX(nTP_Record_Type,AV19))</f>
        <v/>
      </c>
      <c r="AY19" s="21" t="str">
        <f>IF(AV19=0,"",INDEX(nTP_Precision,AV19))</f>
        <v/>
      </c>
      <c r="AZ19" s="21" t="str">
        <f>IF(AV19=0,"",INDEX(nTP_Err,AV19))</f>
        <v/>
      </c>
      <c r="BA19" s="21">
        <f>IF(AV19=0,0,INDEX(nTP_HT,AV19))</f>
        <v>0</v>
      </c>
      <c r="BB19" s="21">
        <f>IF(AV19=0,0,INDEX(nTP_OK,AV19))</f>
        <v>0</v>
      </c>
      <c r="BC19" s="21" t="str">
        <f>IF(AV19=0,"",INDEX(nTP_Loc,AV19))</f>
        <v/>
      </c>
      <c r="BD19" s="21" t="str">
        <f>IF(AV19=0,"",INDEX(nTP_UTC,AV19))</f>
        <v/>
      </c>
      <c r="BE19" s="21" t="str">
        <f>IF(AV19=0,"",INDEX(nTP_Lo,AV19))</f>
        <v/>
      </c>
      <c r="BF19" s="21" t="str">
        <f>IF(AV19=0,"",INDEX(nTP_Hi,AV19))</f>
        <v/>
      </c>
      <c r="BG19" s="22">
        <f>IF(OR(AQ19=1,E19&lt;&gt;"LAST_DOSE_BEFORE_ONSET",AU19=0,AV19=0),0,IF(AZ19&lt;&gt;"",0,SUMPRODUCT(MAX((nADM_SelKey=AR19&amp;"|"&amp;AL19)*nADM_Valid*(nADM_A_HT*BA19*nADM_A_OK*BB19*(nADM_UTC_n&lt;=N(BD19))+nADM_A_HT*BA19*(1-nADM_A_OK*BB19)*(nADM_Loc_n&lt;=N(BC19))+(1-nADM_A_HT*BA19)*(nADM_Lo_n&lt;=N(BE19)))*nADM_Sort_n))))</f>
        <v>0</v>
      </c>
      <c r="BH19" s="22">
        <f>IF(BG19=0,0,MATCH(1,INDEX((nADM_SelKey=AR19&amp;"|"&amp;AL19)*nADM_Valid*(nADM_A_HT*BA19*nADM_A_OK*BB19*(nADM_UTC_n&lt;=N(BD19))+nADM_A_HT*BA19*(1-nADM_A_OK*BB19)*(nADM_Loc_n&lt;=N(BC19))+(1-nADM_A_HT*BA19)*(nADM_Lo_n&lt;=N(BE19)))*(nADM_Sort_n=BG19),0),0))</f>
        <v>0</v>
      </c>
      <c r="BI19" s="21" t="str">
        <f>IF(BH19=0,"",INDEX(nADM_Admin_ID,BH19)&amp;"")</f>
        <v/>
      </c>
      <c r="BJ19" s="22">
        <f>IF(OR(AQ19=1,AG19=""),0,IFERROR(MATCH(AR19&amp;"|"&amp;AG19,nTP_Key,0),0))</f>
        <v>0</v>
      </c>
      <c r="BK19" s="21">
        <f>IF(BJ19=0,0,INDEX(nTP_Dup,BJ19))</f>
        <v>0</v>
      </c>
      <c r="BL19" s="21" t="str">
        <f>IF(BJ19=0,"",INDEX(nTP_Record_Type,BJ19))</f>
        <v/>
      </c>
      <c r="BM19" s="21" t="str">
        <f>IF(BJ19=0,"",INDEX(nTP_Precision,BJ19))</f>
        <v/>
      </c>
      <c r="BN19" s="21" t="str">
        <f>IF(BJ19=0,"",INDEX(nTP_Err,BJ19))</f>
        <v/>
      </c>
      <c r="BO19" s="21">
        <f>IF(BJ19=0,0,INDEX(nTP_HT,BJ19))</f>
        <v>0</v>
      </c>
      <c r="BP19" s="21">
        <f>IF(BJ19=0,0,INDEX(nTP_OK,BJ19))</f>
        <v>0</v>
      </c>
      <c r="BQ19" s="21" t="str">
        <f>IF(BJ19=0,"",INDEX(nTP_Loc,BJ19))</f>
        <v/>
      </c>
      <c r="BR19" s="21" t="str">
        <f>IF(BJ19=0,"",INDEX(nTP_UTC,BJ19))</f>
        <v/>
      </c>
      <c r="BS19" s="21" t="str">
        <f>IF(BJ19=0,"",INDEX(nTP_Lo,BJ19))</f>
        <v/>
      </c>
      <c r="BT19" s="21" t="str">
        <f>IF(BJ19=0,"",INDEX(nTP_Hi,BJ19))</f>
        <v/>
      </c>
      <c r="BU19" s="22">
        <f>IF(OR(BJ19=0,AV19=0),0,SUMPRODUCT((nTP_Case_Key=AR19)*(nTP_Record_Type="MILESTONE:INTERVENTION")*(nTP_Err="")*(nTP_HT*BO19*BA19*(nTP_Loc_n&gt;=N(BQ19))*(nTP_Loc_n&lt;=N(BC19))+(1-nTP_HT*BO19*BA19)*(nTP_Lo_n&gt;=N(BS19))*(nTP_Hi_n&lt;=N(BF19))*(nTP_Lo_n&gt;0))))</f>
        <v>0</v>
      </c>
      <c r="BV19" s="21" t="str">
        <f t="shared" si="19"/>
        <v/>
      </c>
      <c r="BW19" s="21" t="str">
        <f t="shared" si="20"/>
        <v/>
      </c>
      <c r="BX19" s="21" t="str">
        <f t="shared" si="21"/>
        <v/>
      </c>
      <c r="BY19" s="21" t="str">
        <f t="shared" si="22"/>
        <v/>
      </c>
      <c r="BZ19" s="22">
        <f t="shared" si="23"/>
        <v>1</v>
      </c>
      <c r="CA19" s="21" t="str">
        <f t="shared" si="24"/>
        <v/>
      </c>
      <c r="CB19" s="21" t="str">
        <f t="shared" si="25"/>
        <v/>
      </c>
      <c r="CC19" s="21" t="str">
        <f t="shared" si="26"/>
        <v/>
      </c>
      <c r="CD19" s="21" t="str">
        <f t="shared" si="27"/>
        <v/>
      </c>
      <c r="CE19" s="22">
        <f t="shared" si="28"/>
        <v>0</v>
      </c>
      <c r="CF19" s="28" t="str">
        <f t="shared" si="29"/>
        <v/>
      </c>
      <c r="CG19" s="28" t="str">
        <f t="shared" si="30"/>
        <v/>
      </c>
      <c r="CH19" s="21" t="str">
        <f t="shared" si="31"/>
        <v/>
      </c>
      <c r="CI19" s="22">
        <f t="shared" si="32"/>
        <v>0</v>
      </c>
      <c r="CJ19" s="22">
        <f t="shared" si="33"/>
        <v>0</v>
      </c>
      <c r="CK19" s="22">
        <f t="shared" si="34"/>
        <v>0</v>
      </c>
      <c r="CL19" s="22">
        <f t="shared" si="35"/>
        <v>0</v>
      </c>
      <c r="CM19" s="22">
        <f t="shared" si="36"/>
        <v>0</v>
      </c>
      <c r="CN19" s="22">
        <f t="shared" si="37"/>
        <v>0</v>
      </c>
      <c r="CO19" s="22">
        <f t="shared" si="38"/>
        <v>0</v>
      </c>
      <c r="CP19" s="22">
        <f t="shared" si="39"/>
        <v>0</v>
      </c>
      <c r="CQ19" s="21" t="str">
        <f t="shared" si="40"/>
        <v/>
      </c>
    </row>
    <row r="20" spans="1:95" x14ac:dyDescent="0.2">
      <c r="A20" s="10"/>
      <c r="B20" s="10"/>
      <c r="C20" s="12"/>
      <c r="D20" s="10"/>
      <c r="E20" s="17"/>
      <c r="F20" s="10"/>
      <c r="G20" s="10"/>
      <c r="H20" s="10"/>
      <c r="I20" s="17"/>
      <c r="J20" s="17"/>
      <c r="K20" s="10"/>
      <c r="L20" s="17"/>
      <c r="M20" s="17"/>
      <c r="N20" s="17"/>
      <c r="O20" s="10"/>
      <c r="P20" s="15"/>
      <c r="Q20" s="15"/>
      <c r="R20" s="10"/>
      <c r="S20" s="10"/>
      <c r="T20" s="21" t="str">
        <f t="shared" si="0"/>
        <v/>
      </c>
      <c r="U20" s="21" t="str">
        <f t="shared" si="1"/>
        <v/>
      </c>
      <c r="V20" s="21" t="str">
        <f t="shared" si="2"/>
        <v/>
      </c>
      <c r="W20" s="21" t="str">
        <f t="shared" si="3"/>
        <v/>
      </c>
      <c r="X20" s="21" t="str">
        <f t="shared" si="4"/>
        <v/>
      </c>
      <c r="Y20" s="21" t="str">
        <f t="shared" si="5"/>
        <v/>
      </c>
      <c r="Z20" s="21" t="str">
        <f t="shared" si="6"/>
        <v/>
      </c>
      <c r="AA20" s="21" t="str">
        <f t="shared" si="7"/>
        <v/>
      </c>
      <c r="AB20" s="21" t="str">
        <f t="shared" si="8"/>
        <v/>
      </c>
      <c r="AC20" s="21" t="str">
        <f>IF(AQ20=1,"",MID(IF(BX20&lt;&gt;""," | "&amp;BX20&amp;": "&amp;SUBSTITUTE(IFERROR(INDEX(nMSG_Text,MATCH(BX20,nMSG_Code,0)),""),"[input]",BY20),"")&amp;IF(CI20=1," | W_TZ_UNKNOWN: "&amp;SUBSTITUTE(IFERROR(INDEX(nMSG_Text,MATCH("W_TZ_UNKNOWN",nMSG_Code,0)),""),"[input]",""),"")&amp;IF(CJ20=1," | W_SAME_DATE_ORDER_UNKNOWN: "&amp;SUBSTITUTE(IFERROR(INDEX(nMSG_Text,MATCH("W_SAME_DATE_ORDER_UNKNOWN",nMSG_Code,0)),""),"[input]",""),"")&amp;IF(CK20=1," | W_SEQUENCE_UNCERTAIN: "&amp;SUBSTITUTE(IFERROR(INDEX(nMSG_Text,MATCH("W_SEQUENCE_UNCERTAIN",nMSG_Code,0)),""),"[input]",""),"")&amp;IF(CL20=1," | W_ADMIN_SAME_DATE_AS_ONSET: "&amp;SUBSTITUTE(IFERROR(INDEX(nMSG_Text,MATCH("W_ADMIN_SAME_DATE_AS_ONSET",nMSG_Code,0)),""),"[input]",""),"")&amp;IF(CO20=1," | W_INTERVENTION_BEFORE_RECOVERY: "&amp;SUBSTITUTE(IFERROR(INDEX(nMSG_Text,MATCH("W_INTERVENTION_BEFORE_RECOVERY",nMSG_Code,0)),""),"[input]",""),"")&amp;IF(OR(CQ20="",CQ20="OVERLAP"),""," | "&amp;CQ20&amp;" (reported timing): "&amp;SUBSTITUTE(IFERROR(INDEX(nMSG_Text,MATCH(CQ20,nMSG_Code,0)),""),"[input]","numeric reported bounds and a reported unit"))&amp;IF(CM20=1," | I_TREATMENT_DAY_UNDEFINED: "&amp;SUBSTITUTE(IFERROR(INDEX(nMSG_Text,MATCH("I_TREATMENT_DAY_UNDEFINED",nMSG_Code,0)),""),"[input]",""),"")&amp;IF(CH20&lt;&gt;""," | "&amp;CH20&amp;" (constraint): "&amp;SUBSTITUTE(IFERROR(INDEX(nMSG_Text,MATCH(CH20,nMSG_Code,0)),""),"[input]","a source for the constraint"),""),4,9999))</f>
        <v/>
      </c>
      <c r="AD20" s="21" t="str">
        <f t="shared" si="9"/>
        <v/>
      </c>
      <c r="AE20" s="21" t="str">
        <f t="shared" si="10"/>
        <v/>
      </c>
      <c r="AF20" s="21" t="str">
        <f t="shared" si="11"/>
        <v/>
      </c>
      <c r="AG20" s="21" t="str">
        <f t="shared" si="12"/>
        <v/>
      </c>
      <c r="AH20" s="21" t="str">
        <f>IF(BJ20=0,"",INDEX(nTP_ISO,BJ20))</f>
        <v/>
      </c>
      <c r="AI20" s="21" t="str">
        <f>IF(BJ20=0,"",INDEX(nTP_Display,BJ20))</f>
        <v/>
      </c>
      <c r="AJ20" s="21" t="str">
        <f>IF(AV20=0,"",INDEX(nTP_ISO,AV20))</f>
        <v/>
      </c>
      <c r="AK20" s="21" t="str">
        <f>IF(AV20=0,"",INDEX(nTP_Display,AV20))</f>
        <v/>
      </c>
      <c r="AL20" s="21" t="str">
        <f>IF(AU20=0,"",INDEX(nLNK_Exposure_Episode_ID,AU20)&amp;"")</f>
        <v/>
      </c>
      <c r="AM20" s="21" t="str">
        <f>IF(AU20=0,"",INDEX(nLNK_Event_Episode_ID,AU20)&amp;"")</f>
        <v/>
      </c>
      <c r="AN20" s="21" t="str">
        <f t="shared" si="13"/>
        <v/>
      </c>
      <c r="AO20" s="21" t="str">
        <f t="shared" si="14"/>
        <v/>
      </c>
      <c r="AP20" s="21" t="str">
        <f t="shared" si="15"/>
        <v/>
      </c>
      <c r="AQ20" s="22">
        <f t="shared" si="16"/>
        <v>1</v>
      </c>
      <c r="AR20" s="21" t="str">
        <f t="shared" si="17"/>
        <v>|</v>
      </c>
      <c r="AS20" s="21" t="str">
        <f t="shared" si="18"/>
        <v/>
      </c>
      <c r="AT20" s="22">
        <f>IF(AS20="",0,COUNTIF(nINT_Key,AS20))</f>
        <v>0</v>
      </c>
      <c r="AU20" s="22">
        <f>IF(D20="",0,IFERROR(MATCH(AR20&amp;"|"&amp;D20,nLNK_Key,0),0))</f>
        <v>0</v>
      </c>
      <c r="AV20" s="22">
        <f>IF(OR(AQ20=1,H20=""),0,IFERROR(MATCH(AR20&amp;"|"&amp;H20,nTP_Key,0),0))</f>
        <v>0</v>
      </c>
      <c r="AW20" s="21">
        <f>IF(AV20=0,0,INDEX(nTP_Dup,AV20))</f>
        <v>0</v>
      </c>
      <c r="AX20" s="21" t="str">
        <f>IF(AV20=0,"",INDEX(nTP_Record_Type,AV20))</f>
        <v/>
      </c>
      <c r="AY20" s="21" t="str">
        <f>IF(AV20=0,"",INDEX(nTP_Precision,AV20))</f>
        <v/>
      </c>
      <c r="AZ20" s="21" t="str">
        <f>IF(AV20=0,"",INDEX(nTP_Err,AV20))</f>
        <v/>
      </c>
      <c r="BA20" s="21">
        <f>IF(AV20=0,0,INDEX(nTP_HT,AV20))</f>
        <v>0</v>
      </c>
      <c r="BB20" s="21">
        <f>IF(AV20=0,0,INDEX(nTP_OK,AV20))</f>
        <v>0</v>
      </c>
      <c r="BC20" s="21" t="str">
        <f>IF(AV20=0,"",INDEX(nTP_Loc,AV20))</f>
        <v/>
      </c>
      <c r="BD20" s="21" t="str">
        <f>IF(AV20=0,"",INDEX(nTP_UTC,AV20))</f>
        <v/>
      </c>
      <c r="BE20" s="21" t="str">
        <f>IF(AV20=0,"",INDEX(nTP_Lo,AV20))</f>
        <v/>
      </c>
      <c r="BF20" s="21" t="str">
        <f>IF(AV20=0,"",INDEX(nTP_Hi,AV20))</f>
        <v/>
      </c>
      <c r="BG20" s="22">
        <f>IF(OR(AQ20=1,E20&lt;&gt;"LAST_DOSE_BEFORE_ONSET",AU20=0,AV20=0),0,IF(AZ20&lt;&gt;"",0,SUMPRODUCT(MAX((nADM_SelKey=AR20&amp;"|"&amp;AL20)*nADM_Valid*(nADM_A_HT*BA20*nADM_A_OK*BB20*(nADM_UTC_n&lt;=N(BD20))+nADM_A_HT*BA20*(1-nADM_A_OK*BB20)*(nADM_Loc_n&lt;=N(BC20))+(1-nADM_A_HT*BA20)*(nADM_Lo_n&lt;=N(BE20)))*nADM_Sort_n))))</f>
        <v>0</v>
      </c>
      <c r="BH20" s="22">
        <f>IF(BG20=0,0,MATCH(1,INDEX((nADM_SelKey=AR20&amp;"|"&amp;AL20)*nADM_Valid*(nADM_A_HT*BA20*nADM_A_OK*BB20*(nADM_UTC_n&lt;=N(BD20))+nADM_A_HT*BA20*(1-nADM_A_OK*BB20)*(nADM_Loc_n&lt;=N(BC20))+(1-nADM_A_HT*BA20)*(nADM_Lo_n&lt;=N(BE20)))*(nADM_Sort_n=BG20),0),0))</f>
        <v>0</v>
      </c>
      <c r="BI20" s="21" t="str">
        <f>IF(BH20=0,"",INDEX(nADM_Admin_ID,BH20)&amp;"")</f>
        <v/>
      </c>
      <c r="BJ20" s="22">
        <f>IF(OR(AQ20=1,AG20=""),0,IFERROR(MATCH(AR20&amp;"|"&amp;AG20,nTP_Key,0),0))</f>
        <v>0</v>
      </c>
      <c r="BK20" s="21">
        <f>IF(BJ20=0,0,INDEX(nTP_Dup,BJ20))</f>
        <v>0</v>
      </c>
      <c r="BL20" s="21" t="str">
        <f>IF(BJ20=0,"",INDEX(nTP_Record_Type,BJ20))</f>
        <v/>
      </c>
      <c r="BM20" s="21" t="str">
        <f>IF(BJ20=0,"",INDEX(nTP_Precision,BJ20))</f>
        <v/>
      </c>
      <c r="BN20" s="21" t="str">
        <f>IF(BJ20=0,"",INDEX(nTP_Err,BJ20))</f>
        <v/>
      </c>
      <c r="BO20" s="21">
        <f>IF(BJ20=0,0,INDEX(nTP_HT,BJ20))</f>
        <v>0</v>
      </c>
      <c r="BP20" s="21">
        <f>IF(BJ20=0,0,INDEX(nTP_OK,BJ20))</f>
        <v>0</v>
      </c>
      <c r="BQ20" s="21" t="str">
        <f>IF(BJ20=0,"",INDEX(nTP_Loc,BJ20))</f>
        <v/>
      </c>
      <c r="BR20" s="21" t="str">
        <f>IF(BJ20=0,"",INDEX(nTP_UTC,BJ20))</f>
        <v/>
      </c>
      <c r="BS20" s="21" t="str">
        <f>IF(BJ20=0,"",INDEX(nTP_Lo,BJ20))</f>
        <v/>
      </c>
      <c r="BT20" s="21" t="str">
        <f>IF(BJ20=0,"",INDEX(nTP_Hi,BJ20))</f>
        <v/>
      </c>
      <c r="BU20" s="22">
        <f>IF(OR(BJ20=0,AV20=0),0,SUMPRODUCT((nTP_Case_Key=AR20)*(nTP_Record_Type="MILESTONE:INTERVENTION")*(nTP_Err="")*(nTP_HT*BO20*BA20*(nTP_Loc_n&gt;=N(BQ20))*(nTP_Loc_n&lt;=N(BC20))+(1-nTP_HT*BO20*BA20)*(nTP_Lo_n&gt;=N(BS20))*(nTP_Hi_n&lt;=N(BF20))*(nTP_Lo_n&gt;0))))</f>
        <v>0</v>
      </c>
      <c r="BV20" s="21" t="str">
        <f t="shared" si="19"/>
        <v/>
      </c>
      <c r="BW20" s="21" t="str">
        <f t="shared" si="20"/>
        <v/>
      </c>
      <c r="BX20" s="21" t="str">
        <f t="shared" si="21"/>
        <v/>
      </c>
      <c r="BY20" s="21" t="str">
        <f t="shared" si="22"/>
        <v/>
      </c>
      <c r="BZ20" s="22">
        <f t="shared" si="23"/>
        <v>1</v>
      </c>
      <c r="CA20" s="21" t="str">
        <f t="shared" si="24"/>
        <v/>
      </c>
      <c r="CB20" s="21" t="str">
        <f t="shared" si="25"/>
        <v/>
      </c>
      <c r="CC20" s="21" t="str">
        <f t="shared" si="26"/>
        <v/>
      </c>
      <c r="CD20" s="21" t="str">
        <f t="shared" si="27"/>
        <v/>
      </c>
      <c r="CE20" s="22">
        <f t="shared" si="28"/>
        <v>0</v>
      </c>
      <c r="CF20" s="28" t="str">
        <f t="shared" si="29"/>
        <v/>
      </c>
      <c r="CG20" s="28" t="str">
        <f t="shared" si="30"/>
        <v/>
      </c>
      <c r="CH20" s="21" t="str">
        <f t="shared" si="31"/>
        <v/>
      </c>
      <c r="CI20" s="22">
        <f t="shared" si="32"/>
        <v>0</v>
      </c>
      <c r="CJ20" s="22">
        <f t="shared" si="33"/>
        <v>0</v>
      </c>
      <c r="CK20" s="22">
        <f t="shared" si="34"/>
        <v>0</v>
      </c>
      <c r="CL20" s="22">
        <f t="shared" si="35"/>
        <v>0</v>
      </c>
      <c r="CM20" s="22">
        <f t="shared" si="36"/>
        <v>0</v>
      </c>
      <c r="CN20" s="22">
        <f t="shared" si="37"/>
        <v>0</v>
      </c>
      <c r="CO20" s="22">
        <f t="shared" si="38"/>
        <v>0</v>
      </c>
      <c r="CP20" s="22">
        <f t="shared" si="39"/>
        <v>0</v>
      </c>
      <c r="CQ20" s="21" t="str">
        <f t="shared" si="40"/>
        <v/>
      </c>
    </row>
    <row r="21" spans="1:95" x14ac:dyDescent="0.2">
      <c r="A21" s="10"/>
      <c r="B21" s="10"/>
      <c r="C21" s="12"/>
      <c r="D21" s="10"/>
      <c r="E21" s="17"/>
      <c r="F21" s="10"/>
      <c r="G21" s="10"/>
      <c r="H21" s="10"/>
      <c r="I21" s="17"/>
      <c r="J21" s="17"/>
      <c r="K21" s="10"/>
      <c r="L21" s="17"/>
      <c r="M21" s="17"/>
      <c r="N21" s="17"/>
      <c r="O21" s="10"/>
      <c r="P21" s="15"/>
      <c r="Q21" s="15"/>
      <c r="R21" s="10"/>
      <c r="S21" s="10"/>
      <c r="T21" s="21" t="str">
        <f t="shared" si="0"/>
        <v/>
      </c>
      <c r="U21" s="21" t="str">
        <f t="shared" si="1"/>
        <v/>
      </c>
      <c r="V21" s="21" t="str">
        <f t="shared" si="2"/>
        <v/>
      </c>
      <c r="W21" s="21" t="str">
        <f t="shared" si="3"/>
        <v/>
      </c>
      <c r="X21" s="21" t="str">
        <f t="shared" si="4"/>
        <v/>
      </c>
      <c r="Y21" s="21" t="str">
        <f t="shared" si="5"/>
        <v/>
      </c>
      <c r="Z21" s="21" t="str">
        <f t="shared" si="6"/>
        <v/>
      </c>
      <c r="AA21" s="21" t="str">
        <f t="shared" si="7"/>
        <v/>
      </c>
      <c r="AB21" s="21" t="str">
        <f t="shared" si="8"/>
        <v/>
      </c>
      <c r="AC21" s="21" t="str">
        <f>IF(AQ21=1,"",MID(IF(BX21&lt;&gt;""," | "&amp;BX21&amp;": "&amp;SUBSTITUTE(IFERROR(INDEX(nMSG_Text,MATCH(BX21,nMSG_Code,0)),""),"[input]",BY21),"")&amp;IF(CI21=1," | W_TZ_UNKNOWN: "&amp;SUBSTITUTE(IFERROR(INDEX(nMSG_Text,MATCH("W_TZ_UNKNOWN",nMSG_Code,0)),""),"[input]",""),"")&amp;IF(CJ21=1," | W_SAME_DATE_ORDER_UNKNOWN: "&amp;SUBSTITUTE(IFERROR(INDEX(nMSG_Text,MATCH("W_SAME_DATE_ORDER_UNKNOWN",nMSG_Code,0)),""),"[input]",""),"")&amp;IF(CK21=1," | W_SEQUENCE_UNCERTAIN: "&amp;SUBSTITUTE(IFERROR(INDEX(nMSG_Text,MATCH("W_SEQUENCE_UNCERTAIN",nMSG_Code,0)),""),"[input]",""),"")&amp;IF(CL21=1," | W_ADMIN_SAME_DATE_AS_ONSET: "&amp;SUBSTITUTE(IFERROR(INDEX(nMSG_Text,MATCH("W_ADMIN_SAME_DATE_AS_ONSET",nMSG_Code,0)),""),"[input]",""),"")&amp;IF(CO21=1," | W_INTERVENTION_BEFORE_RECOVERY: "&amp;SUBSTITUTE(IFERROR(INDEX(nMSG_Text,MATCH("W_INTERVENTION_BEFORE_RECOVERY",nMSG_Code,0)),""),"[input]",""),"")&amp;IF(OR(CQ21="",CQ21="OVERLAP"),""," | "&amp;CQ21&amp;" (reported timing): "&amp;SUBSTITUTE(IFERROR(INDEX(nMSG_Text,MATCH(CQ21,nMSG_Code,0)),""),"[input]","numeric reported bounds and a reported unit"))&amp;IF(CM21=1," | I_TREATMENT_DAY_UNDEFINED: "&amp;SUBSTITUTE(IFERROR(INDEX(nMSG_Text,MATCH("I_TREATMENT_DAY_UNDEFINED",nMSG_Code,0)),""),"[input]",""),"")&amp;IF(CH21&lt;&gt;""," | "&amp;CH21&amp;" (constraint): "&amp;SUBSTITUTE(IFERROR(INDEX(nMSG_Text,MATCH(CH21,nMSG_Code,0)),""),"[input]","a source for the constraint"),""),4,9999))</f>
        <v/>
      </c>
      <c r="AD21" s="21" t="str">
        <f t="shared" si="9"/>
        <v/>
      </c>
      <c r="AE21" s="21" t="str">
        <f t="shared" si="10"/>
        <v/>
      </c>
      <c r="AF21" s="21" t="str">
        <f t="shared" si="11"/>
        <v/>
      </c>
      <c r="AG21" s="21" t="str">
        <f t="shared" si="12"/>
        <v/>
      </c>
      <c r="AH21" s="21" t="str">
        <f>IF(BJ21=0,"",INDEX(nTP_ISO,BJ21))</f>
        <v/>
      </c>
      <c r="AI21" s="21" t="str">
        <f>IF(BJ21=0,"",INDEX(nTP_Display,BJ21))</f>
        <v/>
      </c>
      <c r="AJ21" s="21" t="str">
        <f>IF(AV21=0,"",INDEX(nTP_ISO,AV21))</f>
        <v/>
      </c>
      <c r="AK21" s="21" t="str">
        <f>IF(AV21=0,"",INDEX(nTP_Display,AV21))</f>
        <v/>
      </c>
      <c r="AL21" s="21" t="str">
        <f>IF(AU21=0,"",INDEX(nLNK_Exposure_Episode_ID,AU21)&amp;"")</f>
        <v/>
      </c>
      <c r="AM21" s="21" t="str">
        <f>IF(AU21=0,"",INDEX(nLNK_Event_Episode_ID,AU21)&amp;"")</f>
        <v/>
      </c>
      <c r="AN21" s="21" t="str">
        <f t="shared" si="13"/>
        <v/>
      </c>
      <c r="AO21" s="21" t="str">
        <f t="shared" si="14"/>
        <v/>
      </c>
      <c r="AP21" s="21" t="str">
        <f t="shared" si="15"/>
        <v/>
      </c>
      <c r="AQ21" s="22">
        <f t="shared" si="16"/>
        <v>1</v>
      </c>
      <c r="AR21" s="21" t="str">
        <f t="shared" si="17"/>
        <v>|</v>
      </c>
      <c r="AS21" s="21" t="str">
        <f t="shared" si="18"/>
        <v/>
      </c>
      <c r="AT21" s="22">
        <f>IF(AS21="",0,COUNTIF(nINT_Key,AS21))</f>
        <v>0</v>
      </c>
      <c r="AU21" s="22">
        <f>IF(D21="",0,IFERROR(MATCH(AR21&amp;"|"&amp;D21,nLNK_Key,0),0))</f>
        <v>0</v>
      </c>
      <c r="AV21" s="22">
        <f>IF(OR(AQ21=1,H21=""),0,IFERROR(MATCH(AR21&amp;"|"&amp;H21,nTP_Key,0),0))</f>
        <v>0</v>
      </c>
      <c r="AW21" s="21">
        <f>IF(AV21=0,0,INDEX(nTP_Dup,AV21))</f>
        <v>0</v>
      </c>
      <c r="AX21" s="21" t="str">
        <f>IF(AV21=0,"",INDEX(nTP_Record_Type,AV21))</f>
        <v/>
      </c>
      <c r="AY21" s="21" t="str">
        <f>IF(AV21=0,"",INDEX(nTP_Precision,AV21))</f>
        <v/>
      </c>
      <c r="AZ21" s="21" t="str">
        <f>IF(AV21=0,"",INDEX(nTP_Err,AV21))</f>
        <v/>
      </c>
      <c r="BA21" s="21">
        <f>IF(AV21=0,0,INDEX(nTP_HT,AV21))</f>
        <v>0</v>
      </c>
      <c r="BB21" s="21">
        <f>IF(AV21=0,0,INDEX(nTP_OK,AV21))</f>
        <v>0</v>
      </c>
      <c r="BC21" s="21" t="str">
        <f>IF(AV21=0,"",INDEX(nTP_Loc,AV21))</f>
        <v/>
      </c>
      <c r="BD21" s="21" t="str">
        <f>IF(AV21=0,"",INDEX(nTP_UTC,AV21))</f>
        <v/>
      </c>
      <c r="BE21" s="21" t="str">
        <f>IF(AV21=0,"",INDEX(nTP_Lo,AV21))</f>
        <v/>
      </c>
      <c r="BF21" s="21" t="str">
        <f>IF(AV21=0,"",INDEX(nTP_Hi,AV21))</f>
        <v/>
      </c>
      <c r="BG21" s="22">
        <f>IF(OR(AQ21=1,E21&lt;&gt;"LAST_DOSE_BEFORE_ONSET",AU21=0,AV21=0),0,IF(AZ21&lt;&gt;"",0,SUMPRODUCT(MAX((nADM_SelKey=AR21&amp;"|"&amp;AL21)*nADM_Valid*(nADM_A_HT*BA21*nADM_A_OK*BB21*(nADM_UTC_n&lt;=N(BD21))+nADM_A_HT*BA21*(1-nADM_A_OK*BB21)*(nADM_Loc_n&lt;=N(BC21))+(1-nADM_A_HT*BA21)*(nADM_Lo_n&lt;=N(BE21)))*nADM_Sort_n))))</f>
        <v>0</v>
      </c>
      <c r="BH21" s="22">
        <f>IF(BG21=0,0,MATCH(1,INDEX((nADM_SelKey=AR21&amp;"|"&amp;AL21)*nADM_Valid*(nADM_A_HT*BA21*nADM_A_OK*BB21*(nADM_UTC_n&lt;=N(BD21))+nADM_A_HT*BA21*(1-nADM_A_OK*BB21)*(nADM_Loc_n&lt;=N(BC21))+(1-nADM_A_HT*BA21)*(nADM_Lo_n&lt;=N(BE21)))*(nADM_Sort_n=BG21),0),0))</f>
        <v>0</v>
      </c>
      <c r="BI21" s="21" t="str">
        <f>IF(BH21=0,"",INDEX(nADM_Admin_ID,BH21)&amp;"")</f>
        <v/>
      </c>
      <c r="BJ21" s="22">
        <f>IF(OR(AQ21=1,AG21=""),0,IFERROR(MATCH(AR21&amp;"|"&amp;AG21,nTP_Key,0),0))</f>
        <v>0</v>
      </c>
      <c r="BK21" s="21">
        <f>IF(BJ21=0,0,INDEX(nTP_Dup,BJ21))</f>
        <v>0</v>
      </c>
      <c r="BL21" s="21" t="str">
        <f>IF(BJ21=0,"",INDEX(nTP_Record_Type,BJ21))</f>
        <v/>
      </c>
      <c r="BM21" s="21" t="str">
        <f>IF(BJ21=0,"",INDEX(nTP_Precision,BJ21))</f>
        <v/>
      </c>
      <c r="BN21" s="21" t="str">
        <f>IF(BJ21=0,"",INDEX(nTP_Err,BJ21))</f>
        <v/>
      </c>
      <c r="BO21" s="21">
        <f>IF(BJ21=0,0,INDEX(nTP_HT,BJ21))</f>
        <v>0</v>
      </c>
      <c r="BP21" s="21">
        <f>IF(BJ21=0,0,INDEX(nTP_OK,BJ21))</f>
        <v>0</v>
      </c>
      <c r="BQ21" s="21" t="str">
        <f>IF(BJ21=0,"",INDEX(nTP_Loc,BJ21))</f>
        <v/>
      </c>
      <c r="BR21" s="21" t="str">
        <f>IF(BJ21=0,"",INDEX(nTP_UTC,BJ21))</f>
        <v/>
      </c>
      <c r="BS21" s="21" t="str">
        <f>IF(BJ21=0,"",INDEX(nTP_Lo,BJ21))</f>
        <v/>
      </c>
      <c r="BT21" s="21" t="str">
        <f>IF(BJ21=0,"",INDEX(nTP_Hi,BJ21))</f>
        <v/>
      </c>
      <c r="BU21" s="22">
        <f>IF(OR(BJ21=0,AV21=0),0,SUMPRODUCT((nTP_Case_Key=AR21)*(nTP_Record_Type="MILESTONE:INTERVENTION")*(nTP_Err="")*(nTP_HT*BO21*BA21*(nTP_Loc_n&gt;=N(BQ21))*(nTP_Loc_n&lt;=N(BC21))+(1-nTP_HT*BO21*BA21)*(nTP_Lo_n&gt;=N(BS21))*(nTP_Hi_n&lt;=N(BF21))*(nTP_Lo_n&gt;0))))</f>
        <v>0</v>
      </c>
      <c r="BV21" s="21" t="str">
        <f t="shared" si="19"/>
        <v/>
      </c>
      <c r="BW21" s="21" t="str">
        <f t="shared" si="20"/>
        <v/>
      </c>
      <c r="BX21" s="21" t="str">
        <f t="shared" si="21"/>
        <v/>
      </c>
      <c r="BY21" s="21" t="str">
        <f t="shared" si="22"/>
        <v/>
      </c>
      <c r="BZ21" s="22">
        <f t="shared" si="23"/>
        <v>1</v>
      </c>
      <c r="CA21" s="21" t="str">
        <f t="shared" si="24"/>
        <v/>
      </c>
      <c r="CB21" s="21" t="str">
        <f t="shared" si="25"/>
        <v/>
      </c>
      <c r="CC21" s="21" t="str">
        <f t="shared" si="26"/>
        <v/>
      </c>
      <c r="CD21" s="21" t="str">
        <f t="shared" si="27"/>
        <v/>
      </c>
      <c r="CE21" s="22">
        <f t="shared" si="28"/>
        <v>0</v>
      </c>
      <c r="CF21" s="28" t="str">
        <f t="shared" si="29"/>
        <v/>
      </c>
      <c r="CG21" s="28" t="str">
        <f t="shared" si="30"/>
        <v/>
      </c>
      <c r="CH21" s="21" t="str">
        <f t="shared" si="31"/>
        <v/>
      </c>
      <c r="CI21" s="22">
        <f t="shared" si="32"/>
        <v>0</v>
      </c>
      <c r="CJ21" s="22">
        <f t="shared" si="33"/>
        <v>0</v>
      </c>
      <c r="CK21" s="22">
        <f t="shared" si="34"/>
        <v>0</v>
      </c>
      <c r="CL21" s="22">
        <f t="shared" si="35"/>
        <v>0</v>
      </c>
      <c r="CM21" s="22">
        <f t="shared" si="36"/>
        <v>0</v>
      </c>
      <c r="CN21" s="22">
        <f t="shared" si="37"/>
        <v>0</v>
      </c>
      <c r="CO21" s="22">
        <f t="shared" si="38"/>
        <v>0</v>
      </c>
      <c r="CP21" s="22">
        <f t="shared" si="39"/>
        <v>0</v>
      </c>
      <c r="CQ21" s="21" t="str">
        <f t="shared" si="40"/>
        <v/>
      </c>
    </row>
    <row r="22" spans="1:95" x14ac:dyDescent="0.2">
      <c r="A22" s="10"/>
      <c r="B22" s="10"/>
      <c r="C22" s="12"/>
      <c r="D22" s="10"/>
      <c r="E22" s="17"/>
      <c r="F22" s="10"/>
      <c r="G22" s="10"/>
      <c r="H22" s="10"/>
      <c r="I22" s="17"/>
      <c r="J22" s="17"/>
      <c r="K22" s="10"/>
      <c r="L22" s="17"/>
      <c r="M22" s="17"/>
      <c r="N22" s="17"/>
      <c r="O22" s="10"/>
      <c r="P22" s="15"/>
      <c r="Q22" s="15"/>
      <c r="R22" s="10"/>
      <c r="S22" s="10"/>
      <c r="T22" s="21" t="str">
        <f t="shared" si="0"/>
        <v/>
      </c>
      <c r="U22" s="21" t="str">
        <f t="shared" si="1"/>
        <v/>
      </c>
      <c r="V22" s="21" t="str">
        <f t="shared" si="2"/>
        <v/>
      </c>
      <c r="W22" s="21" t="str">
        <f t="shared" si="3"/>
        <v/>
      </c>
      <c r="X22" s="21" t="str">
        <f t="shared" si="4"/>
        <v/>
      </c>
      <c r="Y22" s="21" t="str">
        <f t="shared" si="5"/>
        <v/>
      </c>
      <c r="Z22" s="21" t="str">
        <f t="shared" si="6"/>
        <v/>
      </c>
      <c r="AA22" s="21" t="str">
        <f t="shared" si="7"/>
        <v/>
      </c>
      <c r="AB22" s="21" t="str">
        <f t="shared" si="8"/>
        <v/>
      </c>
      <c r="AC22" s="21" t="str">
        <f>IF(AQ22=1,"",MID(IF(BX22&lt;&gt;""," | "&amp;BX22&amp;": "&amp;SUBSTITUTE(IFERROR(INDEX(nMSG_Text,MATCH(BX22,nMSG_Code,0)),""),"[input]",BY22),"")&amp;IF(CI22=1," | W_TZ_UNKNOWN: "&amp;SUBSTITUTE(IFERROR(INDEX(nMSG_Text,MATCH("W_TZ_UNKNOWN",nMSG_Code,0)),""),"[input]",""),"")&amp;IF(CJ22=1," | W_SAME_DATE_ORDER_UNKNOWN: "&amp;SUBSTITUTE(IFERROR(INDEX(nMSG_Text,MATCH("W_SAME_DATE_ORDER_UNKNOWN",nMSG_Code,0)),""),"[input]",""),"")&amp;IF(CK22=1," | W_SEQUENCE_UNCERTAIN: "&amp;SUBSTITUTE(IFERROR(INDEX(nMSG_Text,MATCH("W_SEQUENCE_UNCERTAIN",nMSG_Code,0)),""),"[input]",""),"")&amp;IF(CL22=1," | W_ADMIN_SAME_DATE_AS_ONSET: "&amp;SUBSTITUTE(IFERROR(INDEX(nMSG_Text,MATCH("W_ADMIN_SAME_DATE_AS_ONSET",nMSG_Code,0)),""),"[input]",""),"")&amp;IF(CO22=1," | W_INTERVENTION_BEFORE_RECOVERY: "&amp;SUBSTITUTE(IFERROR(INDEX(nMSG_Text,MATCH("W_INTERVENTION_BEFORE_RECOVERY",nMSG_Code,0)),""),"[input]",""),"")&amp;IF(OR(CQ22="",CQ22="OVERLAP"),""," | "&amp;CQ22&amp;" (reported timing): "&amp;SUBSTITUTE(IFERROR(INDEX(nMSG_Text,MATCH(CQ22,nMSG_Code,0)),""),"[input]","numeric reported bounds and a reported unit"))&amp;IF(CM22=1," | I_TREATMENT_DAY_UNDEFINED: "&amp;SUBSTITUTE(IFERROR(INDEX(nMSG_Text,MATCH("I_TREATMENT_DAY_UNDEFINED",nMSG_Code,0)),""),"[input]",""),"")&amp;IF(CH22&lt;&gt;""," | "&amp;CH22&amp;" (constraint): "&amp;SUBSTITUTE(IFERROR(INDEX(nMSG_Text,MATCH(CH22,nMSG_Code,0)),""),"[input]","a source for the constraint"),""),4,9999))</f>
        <v/>
      </c>
      <c r="AD22" s="21" t="str">
        <f t="shared" si="9"/>
        <v/>
      </c>
      <c r="AE22" s="21" t="str">
        <f t="shared" si="10"/>
        <v/>
      </c>
      <c r="AF22" s="21" t="str">
        <f t="shared" si="11"/>
        <v/>
      </c>
      <c r="AG22" s="21" t="str">
        <f t="shared" si="12"/>
        <v/>
      </c>
      <c r="AH22" s="21" t="str">
        <f>IF(BJ22=0,"",INDEX(nTP_ISO,BJ22))</f>
        <v/>
      </c>
      <c r="AI22" s="21" t="str">
        <f>IF(BJ22=0,"",INDEX(nTP_Display,BJ22))</f>
        <v/>
      </c>
      <c r="AJ22" s="21" t="str">
        <f>IF(AV22=0,"",INDEX(nTP_ISO,AV22))</f>
        <v/>
      </c>
      <c r="AK22" s="21" t="str">
        <f>IF(AV22=0,"",INDEX(nTP_Display,AV22))</f>
        <v/>
      </c>
      <c r="AL22" s="21" t="str">
        <f>IF(AU22=0,"",INDEX(nLNK_Exposure_Episode_ID,AU22)&amp;"")</f>
        <v/>
      </c>
      <c r="AM22" s="21" t="str">
        <f>IF(AU22=0,"",INDEX(nLNK_Event_Episode_ID,AU22)&amp;"")</f>
        <v/>
      </c>
      <c r="AN22" s="21" t="str">
        <f t="shared" si="13"/>
        <v/>
      </c>
      <c r="AO22" s="21" t="str">
        <f t="shared" si="14"/>
        <v/>
      </c>
      <c r="AP22" s="21" t="str">
        <f t="shared" si="15"/>
        <v/>
      </c>
      <c r="AQ22" s="22">
        <f t="shared" si="16"/>
        <v>1</v>
      </c>
      <c r="AR22" s="21" t="str">
        <f t="shared" si="17"/>
        <v>|</v>
      </c>
      <c r="AS22" s="21" t="str">
        <f t="shared" si="18"/>
        <v/>
      </c>
      <c r="AT22" s="22">
        <f>IF(AS22="",0,COUNTIF(nINT_Key,AS22))</f>
        <v>0</v>
      </c>
      <c r="AU22" s="22">
        <f>IF(D22="",0,IFERROR(MATCH(AR22&amp;"|"&amp;D22,nLNK_Key,0),0))</f>
        <v>0</v>
      </c>
      <c r="AV22" s="22">
        <f>IF(OR(AQ22=1,H22=""),0,IFERROR(MATCH(AR22&amp;"|"&amp;H22,nTP_Key,0),0))</f>
        <v>0</v>
      </c>
      <c r="AW22" s="21">
        <f>IF(AV22=0,0,INDEX(nTP_Dup,AV22))</f>
        <v>0</v>
      </c>
      <c r="AX22" s="21" t="str">
        <f>IF(AV22=0,"",INDEX(nTP_Record_Type,AV22))</f>
        <v/>
      </c>
      <c r="AY22" s="21" t="str">
        <f>IF(AV22=0,"",INDEX(nTP_Precision,AV22))</f>
        <v/>
      </c>
      <c r="AZ22" s="21" t="str">
        <f>IF(AV22=0,"",INDEX(nTP_Err,AV22))</f>
        <v/>
      </c>
      <c r="BA22" s="21">
        <f>IF(AV22=0,0,INDEX(nTP_HT,AV22))</f>
        <v>0</v>
      </c>
      <c r="BB22" s="21">
        <f>IF(AV22=0,0,INDEX(nTP_OK,AV22))</f>
        <v>0</v>
      </c>
      <c r="BC22" s="21" t="str">
        <f>IF(AV22=0,"",INDEX(nTP_Loc,AV22))</f>
        <v/>
      </c>
      <c r="BD22" s="21" t="str">
        <f>IF(AV22=0,"",INDEX(nTP_UTC,AV22))</f>
        <v/>
      </c>
      <c r="BE22" s="21" t="str">
        <f>IF(AV22=0,"",INDEX(nTP_Lo,AV22))</f>
        <v/>
      </c>
      <c r="BF22" s="21" t="str">
        <f>IF(AV22=0,"",INDEX(nTP_Hi,AV22))</f>
        <v/>
      </c>
      <c r="BG22" s="22">
        <f>IF(OR(AQ22=1,E22&lt;&gt;"LAST_DOSE_BEFORE_ONSET",AU22=0,AV22=0),0,IF(AZ22&lt;&gt;"",0,SUMPRODUCT(MAX((nADM_SelKey=AR22&amp;"|"&amp;AL22)*nADM_Valid*(nADM_A_HT*BA22*nADM_A_OK*BB22*(nADM_UTC_n&lt;=N(BD22))+nADM_A_HT*BA22*(1-nADM_A_OK*BB22)*(nADM_Loc_n&lt;=N(BC22))+(1-nADM_A_HT*BA22)*(nADM_Lo_n&lt;=N(BE22)))*nADM_Sort_n))))</f>
        <v>0</v>
      </c>
      <c r="BH22" s="22">
        <f>IF(BG22=0,0,MATCH(1,INDEX((nADM_SelKey=AR22&amp;"|"&amp;AL22)*nADM_Valid*(nADM_A_HT*BA22*nADM_A_OK*BB22*(nADM_UTC_n&lt;=N(BD22))+nADM_A_HT*BA22*(1-nADM_A_OK*BB22)*(nADM_Loc_n&lt;=N(BC22))+(1-nADM_A_HT*BA22)*(nADM_Lo_n&lt;=N(BE22)))*(nADM_Sort_n=BG22),0),0))</f>
        <v>0</v>
      </c>
      <c r="BI22" s="21" t="str">
        <f>IF(BH22=0,"",INDEX(nADM_Admin_ID,BH22)&amp;"")</f>
        <v/>
      </c>
      <c r="BJ22" s="22">
        <f>IF(OR(AQ22=1,AG22=""),0,IFERROR(MATCH(AR22&amp;"|"&amp;AG22,nTP_Key,0),0))</f>
        <v>0</v>
      </c>
      <c r="BK22" s="21">
        <f>IF(BJ22=0,0,INDEX(nTP_Dup,BJ22))</f>
        <v>0</v>
      </c>
      <c r="BL22" s="21" t="str">
        <f>IF(BJ22=0,"",INDEX(nTP_Record_Type,BJ22))</f>
        <v/>
      </c>
      <c r="BM22" s="21" t="str">
        <f>IF(BJ22=0,"",INDEX(nTP_Precision,BJ22))</f>
        <v/>
      </c>
      <c r="BN22" s="21" t="str">
        <f>IF(BJ22=0,"",INDEX(nTP_Err,BJ22))</f>
        <v/>
      </c>
      <c r="BO22" s="21">
        <f>IF(BJ22=0,0,INDEX(nTP_HT,BJ22))</f>
        <v>0</v>
      </c>
      <c r="BP22" s="21">
        <f>IF(BJ22=0,0,INDEX(nTP_OK,BJ22))</f>
        <v>0</v>
      </c>
      <c r="BQ22" s="21" t="str">
        <f>IF(BJ22=0,"",INDEX(nTP_Loc,BJ22))</f>
        <v/>
      </c>
      <c r="BR22" s="21" t="str">
        <f>IF(BJ22=0,"",INDEX(nTP_UTC,BJ22))</f>
        <v/>
      </c>
      <c r="BS22" s="21" t="str">
        <f>IF(BJ22=0,"",INDEX(nTP_Lo,BJ22))</f>
        <v/>
      </c>
      <c r="BT22" s="21" t="str">
        <f>IF(BJ22=0,"",INDEX(nTP_Hi,BJ22))</f>
        <v/>
      </c>
      <c r="BU22" s="22">
        <f>IF(OR(BJ22=0,AV22=0),0,SUMPRODUCT((nTP_Case_Key=AR22)*(nTP_Record_Type="MILESTONE:INTERVENTION")*(nTP_Err="")*(nTP_HT*BO22*BA22*(nTP_Loc_n&gt;=N(BQ22))*(nTP_Loc_n&lt;=N(BC22))+(1-nTP_HT*BO22*BA22)*(nTP_Lo_n&gt;=N(BS22))*(nTP_Hi_n&lt;=N(BF22))*(nTP_Lo_n&gt;0))))</f>
        <v>0</v>
      </c>
      <c r="BV22" s="21" t="str">
        <f t="shared" si="19"/>
        <v/>
      </c>
      <c r="BW22" s="21" t="str">
        <f t="shared" si="20"/>
        <v/>
      </c>
      <c r="BX22" s="21" t="str">
        <f t="shared" si="21"/>
        <v/>
      </c>
      <c r="BY22" s="21" t="str">
        <f t="shared" si="22"/>
        <v/>
      </c>
      <c r="BZ22" s="22">
        <f t="shared" si="23"/>
        <v>1</v>
      </c>
      <c r="CA22" s="21" t="str">
        <f t="shared" si="24"/>
        <v/>
      </c>
      <c r="CB22" s="21" t="str">
        <f t="shared" si="25"/>
        <v/>
      </c>
      <c r="CC22" s="21" t="str">
        <f t="shared" si="26"/>
        <v/>
      </c>
      <c r="CD22" s="21" t="str">
        <f t="shared" si="27"/>
        <v/>
      </c>
      <c r="CE22" s="22">
        <f t="shared" si="28"/>
        <v>0</v>
      </c>
      <c r="CF22" s="28" t="str">
        <f t="shared" si="29"/>
        <v/>
      </c>
      <c r="CG22" s="28" t="str">
        <f t="shared" si="30"/>
        <v/>
      </c>
      <c r="CH22" s="21" t="str">
        <f t="shared" si="31"/>
        <v/>
      </c>
      <c r="CI22" s="22">
        <f t="shared" si="32"/>
        <v>0</v>
      </c>
      <c r="CJ22" s="22">
        <f t="shared" si="33"/>
        <v>0</v>
      </c>
      <c r="CK22" s="22">
        <f t="shared" si="34"/>
        <v>0</v>
      </c>
      <c r="CL22" s="22">
        <f t="shared" si="35"/>
        <v>0</v>
      </c>
      <c r="CM22" s="22">
        <f t="shared" si="36"/>
        <v>0</v>
      </c>
      <c r="CN22" s="22">
        <f t="shared" si="37"/>
        <v>0</v>
      </c>
      <c r="CO22" s="22">
        <f t="shared" si="38"/>
        <v>0</v>
      </c>
      <c r="CP22" s="22">
        <f t="shared" si="39"/>
        <v>0</v>
      </c>
      <c r="CQ22" s="21" t="str">
        <f t="shared" si="40"/>
        <v/>
      </c>
    </row>
    <row r="23" spans="1:95" x14ac:dyDescent="0.2">
      <c r="A23" s="10"/>
      <c r="B23" s="10"/>
      <c r="C23" s="12"/>
      <c r="D23" s="10"/>
      <c r="E23" s="17"/>
      <c r="F23" s="10"/>
      <c r="G23" s="10"/>
      <c r="H23" s="10"/>
      <c r="I23" s="17"/>
      <c r="J23" s="17"/>
      <c r="K23" s="10"/>
      <c r="L23" s="17"/>
      <c r="M23" s="17"/>
      <c r="N23" s="17"/>
      <c r="O23" s="10"/>
      <c r="P23" s="15"/>
      <c r="Q23" s="15"/>
      <c r="R23" s="10"/>
      <c r="S23" s="10"/>
      <c r="T23" s="21" t="str">
        <f t="shared" si="0"/>
        <v/>
      </c>
      <c r="U23" s="21" t="str">
        <f t="shared" si="1"/>
        <v/>
      </c>
      <c r="V23" s="21" t="str">
        <f t="shared" si="2"/>
        <v/>
      </c>
      <c r="W23" s="21" t="str">
        <f t="shared" si="3"/>
        <v/>
      </c>
      <c r="X23" s="21" t="str">
        <f t="shared" si="4"/>
        <v/>
      </c>
      <c r="Y23" s="21" t="str">
        <f t="shared" si="5"/>
        <v/>
      </c>
      <c r="Z23" s="21" t="str">
        <f t="shared" si="6"/>
        <v/>
      </c>
      <c r="AA23" s="21" t="str">
        <f t="shared" si="7"/>
        <v/>
      </c>
      <c r="AB23" s="21" t="str">
        <f t="shared" si="8"/>
        <v/>
      </c>
      <c r="AC23" s="21" t="str">
        <f>IF(AQ23=1,"",MID(IF(BX23&lt;&gt;""," | "&amp;BX23&amp;": "&amp;SUBSTITUTE(IFERROR(INDEX(nMSG_Text,MATCH(BX23,nMSG_Code,0)),""),"[input]",BY23),"")&amp;IF(CI23=1," | W_TZ_UNKNOWN: "&amp;SUBSTITUTE(IFERROR(INDEX(nMSG_Text,MATCH("W_TZ_UNKNOWN",nMSG_Code,0)),""),"[input]",""),"")&amp;IF(CJ23=1," | W_SAME_DATE_ORDER_UNKNOWN: "&amp;SUBSTITUTE(IFERROR(INDEX(nMSG_Text,MATCH("W_SAME_DATE_ORDER_UNKNOWN",nMSG_Code,0)),""),"[input]",""),"")&amp;IF(CK23=1," | W_SEQUENCE_UNCERTAIN: "&amp;SUBSTITUTE(IFERROR(INDEX(nMSG_Text,MATCH("W_SEQUENCE_UNCERTAIN",nMSG_Code,0)),""),"[input]",""),"")&amp;IF(CL23=1," | W_ADMIN_SAME_DATE_AS_ONSET: "&amp;SUBSTITUTE(IFERROR(INDEX(nMSG_Text,MATCH("W_ADMIN_SAME_DATE_AS_ONSET",nMSG_Code,0)),""),"[input]",""),"")&amp;IF(CO23=1," | W_INTERVENTION_BEFORE_RECOVERY: "&amp;SUBSTITUTE(IFERROR(INDEX(nMSG_Text,MATCH("W_INTERVENTION_BEFORE_RECOVERY",nMSG_Code,0)),""),"[input]",""),"")&amp;IF(OR(CQ23="",CQ23="OVERLAP"),""," | "&amp;CQ23&amp;" (reported timing): "&amp;SUBSTITUTE(IFERROR(INDEX(nMSG_Text,MATCH(CQ23,nMSG_Code,0)),""),"[input]","numeric reported bounds and a reported unit"))&amp;IF(CM23=1," | I_TREATMENT_DAY_UNDEFINED: "&amp;SUBSTITUTE(IFERROR(INDEX(nMSG_Text,MATCH("I_TREATMENT_DAY_UNDEFINED",nMSG_Code,0)),""),"[input]",""),"")&amp;IF(CH23&lt;&gt;""," | "&amp;CH23&amp;" (constraint): "&amp;SUBSTITUTE(IFERROR(INDEX(nMSG_Text,MATCH(CH23,nMSG_Code,0)),""),"[input]","a source for the constraint"),""),4,9999))</f>
        <v/>
      </c>
      <c r="AD23" s="21" t="str">
        <f t="shared" si="9"/>
        <v/>
      </c>
      <c r="AE23" s="21" t="str">
        <f t="shared" si="10"/>
        <v/>
      </c>
      <c r="AF23" s="21" t="str">
        <f t="shared" si="11"/>
        <v/>
      </c>
      <c r="AG23" s="21" t="str">
        <f t="shared" si="12"/>
        <v/>
      </c>
      <c r="AH23" s="21" t="str">
        <f>IF(BJ23=0,"",INDEX(nTP_ISO,BJ23))</f>
        <v/>
      </c>
      <c r="AI23" s="21" t="str">
        <f>IF(BJ23=0,"",INDEX(nTP_Display,BJ23))</f>
        <v/>
      </c>
      <c r="AJ23" s="21" t="str">
        <f>IF(AV23=0,"",INDEX(nTP_ISO,AV23))</f>
        <v/>
      </c>
      <c r="AK23" s="21" t="str">
        <f>IF(AV23=0,"",INDEX(nTP_Display,AV23))</f>
        <v/>
      </c>
      <c r="AL23" s="21" t="str">
        <f>IF(AU23=0,"",INDEX(nLNK_Exposure_Episode_ID,AU23)&amp;"")</f>
        <v/>
      </c>
      <c r="AM23" s="21" t="str">
        <f>IF(AU23=0,"",INDEX(nLNK_Event_Episode_ID,AU23)&amp;"")</f>
        <v/>
      </c>
      <c r="AN23" s="21" t="str">
        <f t="shared" si="13"/>
        <v/>
      </c>
      <c r="AO23" s="21" t="str">
        <f t="shared" si="14"/>
        <v/>
      </c>
      <c r="AP23" s="21" t="str">
        <f t="shared" si="15"/>
        <v/>
      </c>
      <c r="AQ23" s="22">
        <f t="shared" si="16"/>
        <v>1</v>
      </c>
      <c r="AR23" s="21" t="str">
        <f t="shared" si="17"/>
        <v>|</v>
      </c>
      <c r="AS23" s="21" t="str">
        <f t="shared" si="18"/>
        <v/>
      </c>
      <c r="AT23" s="22">
        <f>IF(AS23="",0,COUNTIF(nINT_Key,AS23))</f>
        <v>0</v>
      </c>
      <c r="AU23" s="22">
        <f>IF(D23="",0,IFERROR(MATCH(AR23&amp;"|"&amp;D23,nLNK_Key,0),0))</f>
        <v>0</v>
      </c>
      <c r="AV23" s="22">
        <f>IF(OR(AQ23=1,H23=""),0,IFERROR(MATCH(AR23&amp;"|"&amp;H23,nTP_Key,0),0))</f>
        <v>0</v>
      </c>
      <c r="AW23" s="21">
        <f>IF(AV23=0,0,INDEX(nTP_Dup,AV23))</f>
        <v>0</v>
      </c>
      <c r="AX23" s="21" t="str">
        <f>IF(AV23=0,"",INDEX(nTP_Record_Type,AV23))</f>
        <v/>
      </c>
      <c r="AY23" s="21" t="str">
        <f>IF(AV23=0,"",INDEX(nTP_Precision,AV23))</f>
        <v/>
      </c>
      <c r="AZ23" s="21" t="str">
        <f>IF(AV23=0,"",INDEX(nTP_Err,AV23))</f>
        <v/>
      </c>
      <c r="BA23" s="21">
        <f>IF(AV23=0,0,INDEX(nTP_HT,AV23))</f>
        <v>0</v>
      </c>
      <c r="BB23" s="21">
        <f>IF(AV23=0,0,INDEX(nTP_OK,AV23))</f>
        <v>0</v>
      </c>
      <c r="BC23" s="21" t="str">
        <f>IF(AV23=0,"",INDEX(nTP_Loc,AV23))</f>
        <v/>
      </c>
      <c r="BD23" s="21" t="str">
        <f>IF(AV23=0,"",INDEX(nTP_UTC,AV23))</f>
        <v/>
      </c>
      <c r="BE23" s="21" t="str">
        <f>IF(AV23=0,"",INDEX(nTP_Lo,AV23))</f>
        <v/>
      </c>
      <c r="BF23" s="21" t="str">
        <f>IF(AV23=0,"",INDEX(nTP_Hi,AV23))</f>
        <v/>
      </c>
      <c r="BG23" s="22">
        <f>IF(OR(AQ23=1,E23&lt;&gt;"LAST_DOSE_BEFORE_ONSET",AU23=0,AV23=0),0,IF(AZ23&lt;&gt;"",0,SUMPRODUCT(MAX((nADM_SelKey=AR23&amp;"|"&amp;AL23)*nADM_Valid*(nADM_A_HT*BA23*nADM_A_OK*BB23*(nADM_UTC_n&lt;=N(BD23))+nADM_A_HT*BA23*(1-nADM_A_OK*BB23)*(nADM_Loc_n&lt;=N(BC23))+(1-nADM_A_HT*BA23)*(nADM_Lo_n&lt;=N(BE23)))*nADM_Sort_n))))</f>
        <v>0</v>
      </c>
      <c r="BH23" s="22">
        <f>IF(BG23=0,0,MATCH(1,INDEX((nADM_SelKey=AR23&amp;"|"&amp;AL23)*nADM_Valid*(nADM_A_HT*BA23*nADM_A_OK*BB23*(nADM_UTC_n&lt;=N(BD23))+nADM_A_HT*BA23*(1-nADM_A_OK*BB23)*(nADM_Loc_n&lt;=N(BC23))+(1-nADM_A_HT*BA23)*(nADM_Lo_n&lt;=N(BE23)))*(nADM_Sort_n=BG23),0),0))</f>
        <v>0</v>
      </c>
      <c r="BI23" s="21" t="str">
        <f>IF(BH23=0,"",INDEX(nADM_Admin_ID,BH23)&amp;"")</f>
        <v/>
      </c>
      <c r="BJ23" s="22">
        <f>IF(OR(AQ23=1,AG23=""),0,IFERROR(MATCH(AR23&amp;"|"&amp;AG23,nTP_Key,0),0))</f>
        <v>0</v>
      </c>
      <c r="BK23" s="21">
        <f>IF(BJ23=0,0,INDEX(nTP_Dup,BJ23))</f>
        <v>0</v>
      </c>
      <c r="BL23" s="21" t="str">
        <f>IF(BJ23=0,"",INDEX(nTP_Record_Type,BJ23))</f>
        <v/>
      </c>
      <c r="BM23" s="21" t="str">
        <f>IF(BJ23=0,"",INDEX(nTP_Precision,BJ23))</f>
        <v/>
      </c>
      <c r="BN23" s="21" t="str">
        <f>IF(BJ23=0,"",INDEX(nTP_Err,BJ23))</f>
        <v/>
      </c>
      <c r="BO23" s="21">
        <f>IF(BJ23=0,0,INDEX(nTP_HT,BJ23))</f>
        <v>0</v>
      </c>
      <c r="BP23" s="21">
        <f>IF(BJ23=0,0,INDEX(nTP_OK,BJ23))</f>
        <v>0</v>
      </c>
      <c r="BQ23" s="21" t="str">
        <f>IF(BJ23=0,"",INDEX(nTP_Loc,BJ23))</f>
        <v/>
      </c>
      <c r="BR23" s="21" t="str">
        <f>IF(BJ23=0,"",INDEX(nTP_UTC,BJ23))</f>
        <v/>
      </c>
      <c r="BS23" s="21" t="str">
        <f>IF(BJ23=0,"",INDEX(nTP_Lo,BJ23))</f>
        <v/>
      </c>
      <c r="BT23" s="21" t="str">
        <f>IF(BJ23=0,"",INDEX(nTP_Hi,BJ23))</f>
        <v/>
      </c>
      <c r="BU23" s="22">
        <f>IF(OR(BJ23=0,AV23=0),0,SUMPRODUCT((nTP_Case_Key=AR23)*(nTP_Record_Type="MILESTONE:INTERVENTION")*(nTP_Err="")*(nTP_HT*BO23*BA23*(nTP_Loc_n&gt;=N(BQ23))*(nTP_Loc_n&lt;=N(BC23))+(1-nTP_HT*BO23*BA23)*(nTP_Lo_n&gt;=N(BS23))*(nTP_Hi_n&lt;=N(BF23))*(nTP_Lo_n&gt;0))))</f>
        <v>0</v>
      </c>
      <c r="BV23" s="21" t="str">
        <f t="shared" si="19"/>
        <v/>
      </c>
      <c r="BW23" s="21" t="str">
        <f t="shared" si="20"/>
        <v/>
      </c>
      <c r="BX23" s="21" t="str">
        <f t="shared" si="21"/>
        <v/>
      </c>
      <c r="BY23" s="21" t="str">
        <f t="shared" si="22"/>
        <v/>
      </c>
      <c r="BZ23" s="22">
        <f t="shared" si="23"/>
        <v>1</v>
      </c>
      <c r="CA23" s="21" t="str">
        <f t="shared" si="24"/>
        <v/>
      </c>
      <c r="CB23" s="21" t="str">
        <f t="shared" si="25"/>
        <v/>
      </c>
      <c r="CC23" s="21" t="str">
        <f t="shared" si="26"/>
        <v/>
      </c>
      <c r="CD23" s="21" t="str">
        <f t="shared" si="27"/>
        <v/>
      </c>
      <c r="CE23" s="22">
        <f t="shared" si="28"/>
        <v>0</v>
      </c>
      <c r="CF23" s="28" t="str">
        <f t="shared" si="29"/>
        <v/>
      </c>
      <c r="CG23" s="28" t="str">
        <f t="shared" si="30"/>
        <v/>
      </c>
      <c r="CH23" s="21" t="str">
        <f t="shared" si="31"/>
        <v/>
      </c>
      <c r="CI23" s="22">
        <f t="shared" si="32"/>
        <v>0</v>
      </c>
      <c r="CJ23" s="22">
        <f t="shared" si="33"/>
        <v>0</v>
      </c>
      <c r="CK23" s="22">
        <f t="shared" si="34"/>
        <v>0</v>
      </c>
      <c r="CL23" s="22">
        <f t="shared" si="35"/>
        <v>0</v>
      </c>
      <c r="CM23" s="22">
        <f t="shared" si="36"/>
        <v>0</v>
      </c>
      <c r="CN23" s="22">
        <f t="shared" si="37"/>
        <v>0</v>
      </c>
      <c r="CO23" s="22">
        <f t="shared" si="38"/>
        <v>0</v>
      </c>
      <c r="CP23" s="22">
        <f t="shared" si="39"/>
        <v>0</v>
      </c>
      <c r="CQ23" s="21" t="str">
        <f t="shared" si="40"/>
        <v/>
      </c>
    </row>
    <row r="24" spans="1:95" x14ac:dyDescent="0.2">
      <c r="A24" s="10"/>
      <c r="B24" s="10"/>
      <c r="C24" s="12"/>
      <c r="D24" s="10"/>
      <c r="E24" s="17"/>
      <c r="F24" s="10"/>
      <c r="G24" s="10"/>
      <c r="H24" s="10"/>
      <c r="I24" s="17"/>
      <c r="J24" s="17"/>
      <c r="K24" s="10"/>
      <c r="L24" s="17"/>
      <c r="M24" s="17"/>
      <c r="N24" s="17"/>
      <c r="O24" s="10"/>
      <c r="P24" s="15"/>
      <c r="Q24" s="15"/>
      <c r="R24" s="10"/>
      <c r="S24" s="10"/>
      <c r="T24" s="21" t="str">
        <f t="shared" si="0"/>
        <v/>
      </c>
      <c r="U24" s="21" t="str">
        <f t="shared" si="1"/>
        <v/>
      </c>
      <c r="V24" s="21" t="str">
        <f t="shared" si="2"/>
        <v/>
      </c>
      <c r="W24" s="21" t="str">
        <f t="shared" si="3"/>
        <v/>
      </c>
      <c r="X24" s="21" t="str">
        <f t="shared" si="4"/>
        <v/>
      </c>
      <c r="Y24" s="21" t="str">
        <f t="shared" si="5"/>
        <v/>
      </c>
      <c r="Z24" s="21" t="str">
        <f t="shared" si="6"/>
        <v/>
      </c>
      <c r="AA24" s="21" t="str">
        <f t="shared" si="7"/>
        <v/>
      </c>
      <c r="AB24" s="21" t="str">
        <f t="shared" si="8"/>
        <v/>
      </c>
      <c r="AC24" s="21" t="str">
        <f>IF(AQ24=1,"",MID(IF(BX24&lt;&gt;""," | "&amp;BX24&amp;": "&amp;SUBSTITUTE(IFERROR(INDEX(nMSG_Text,MATCH(BX24,nMSG_Code,0)),""),"[input]",BY24),"")&amp;IF(CI24=1," | W_TZ_UNKNOWN: "&amp;SUBSTITUTE(IFERROR(INDEX(nMSG_Text,MATCH("W_TZ_UNKNOWN",nMSG_Code,0)),""),"[input]",""),"")&amp;IF(CJ24=1," | W_SAME_DATE_ORDER_UNKNOWN: "&amp;SUBSTITUTE(IFERROR(INDEX(nMSG_Text,MATCH("W_SAME_DATE_ORDER_UNKNOWN",nMSG_Code,0)),""),"[input]",""),"")&amp;IF(CK24=1," | W_SEQUENCE_UNCERTAIN: "&amp;SUBSTITUTE(IFERROR(INDEX(nMSG_Text,MATCH("W_SEQUENCE_UNCERTAIN",nMSG_Code,0)),""),"[input]",""),"")&amp;IF(CL24=1," | W_ADMIN_SAME_DATE_AS_ONSET: "&amp;SUBSTITUTE(IFERROR(INDEX(nMSG_Text,MATCH("W_ADMIN_SAME_DATE_AS_ONSET",nMSG_Code,0)),""),"[input]",""),"")&amp;IF(CO24=1," | W_INTERVENTION_BEFORE_RECOVERY: "&amp;SUBSTITUTE(IFERROR(INDEX(nMSG_Text,MATCH("W_INTERVENTION_BEFORE_RECOVERY",nMSG_Code,0)),""),"[input]",""),"")&amp;IF(OR(CQ24="",CQ24="OVERLAP"),""," | "&amp;CQ24&amp;" (reported timing): "&amp;SUBSTITUTE(IFERROR(INDEX(nMSG_Text,MATCH(CQ24,nMSG_Code,0)),""),"[input]","numeric reported bounds and a reported unit"))&amp;IF(CM24=1," | I_TREATMENT_DAY_UNDEFINED: "&amp;SUBSTITUTE(IFERROR(INDEX(nMSG_Text,MATCH("I_TREATMENT_DAY_UNDEFINED",nMSG_Code,0)),""),"[input]",""),"")&amp;IF(CH24&lt;&gt;""," | "&amp;CH24&amp;" (constraint): "&amp;SUBSTITUTE(IFERROR(INDEX(nMSG_Text,MATCH(CH24,nMSG_Code,0)),""),"[input]","a source for the constraint"),""),4,9999))</f>
        <v/>
      </c>
      <c r="AD24" s="21" t="str">
        <f t="shared" si="9"/>
        <v/>
      </c>
      <c r="AE24" s="21" t="str">
        <f t="shared" si="10"/>
        <v/>
      </c>
      <c r="AF24" s="21" t="str">
        <f t="shared" si="11"/>
        <v/>
      </c>
      <c r="AG24" s="21" t="str">
        <f t="shared" si="12"/>
        <v/>
      </c>
      <c r="AH24" s="21" t="str">
        <f>IF(BJ24=0,"",INDEX(nTP_ISO,BJ24))</f>
        <v/>
      </c>
      <c r="AI24" s="21" t="str">
        <f>IF(BJ24=0,"",INDEX(nTP_Display,BJ24))</f>
        <v/>
      </c>
      <c r="AJ24" s="21" t="str">
        <f>IF(AV24=0,"",INDEX(nTP_ISO,AV24))</f>
        <v/>
      </c>
      <c r="AK24" s="21" t="str">
        <f>IF(AV24=0,"",INDEX(nTP_Display,AV24))</f>
        <v/>
      </c>
      <c r="AL24" s="21" t="str">
        <f>IF(AU24=0,"",INDEX(nLNK_Exposure_Episode_ID,AU24)&amp;"")</f>
        <v/>
      </c>
      <c r="AM24" s="21" t="str">
        <f>IF(AU24=0,"",INDEX(nLNK_Event_Episode_ID,AU24)&amp;"")</f>
        <v/>
      </c>
      <c r="AN24" s="21" t="str">
        <f t="shared" si="13"/>
        <v/>
      </c>
      <c r="AO24" s="21" t="str">
        <f t="shared" si="14"/>
        <v/>
      </c>
      <c r="AP24" s="21" t="str">
        <f t="shared" si="15"/>
        <v/>
      </c>
      <c r="AQ24" s="22">
        <f t="shared" si="16"/>
        <v>1</v>
      </c>
      <c r="AR24" s="21" t="str">
        <f t="shared" si="17"/>
        <v>|</v>
      </c>
      <c r="AS24" s="21" t="str">
        <f t="shared" si="18"/>
        <v/>
      </c>
      <c r="AT24" s="22">
        <f>IF(AS24="",0,COUNTIF(nINT_Key,AS24))</f>
        <v>0</v>
      </c>
      <c r="AU24" s="22">
        <f>IF(D24="",0,IFERROR(MATCH(AR24&amp;"|"&amp;D24,nLNK_Key,0),0))</f>
        <v>0</v>
      </c>
      <c r="AV24" s="22">
        <f>IF(OR(AQ24=1,H24=""),0,IFERROR(MATCH(AR24&amp;"|"&amp;H24,nTP_Key,0),0))</f>
        <v>0</v>
      </c>
      <c r="AW24" s="21">
        <f>IF(AV24=0,0,INDEX(nTP_Dup,AV24))</f>
        <v>0</v>
      </c>
      <c r="AX24" s="21" t="str">
        <f>IF(AV24=0,"",INDEX(nTP_Record_Type,AV24))</f>
        <v/>
      </c>
      <c r="AY24" s="21" t="str">
        <f>IF(AV24=0,"",INDEX(nTP_Precision,AV24))</f>
        <v/>
      </c>
      <c r="AZ24" s="21" t="str">
        <f>IF(AV24=0,"",INDEX(nTP_Err,AV24))</f>
        <v/>
      </c>
      <c r="BA24" s="21">
        <f>IF(AV24=0,0,INDEX(nTP_HT,AV24))</f>
        <v>0</v>
      </c>
      <c r="BB24" s="21">
        <f>IF(AV24=0,0,INDEX(nTP_OK,AV24))</f>
        <v>0</v>
      </c>
      <c r="BC24" s="21" t="str">
        <f>IF(AV24=0,"",INDEX(nTP_Loc,AV24))</f>
        <v/>
      </c>
      <c r="BD24" s="21" t="str">
        <f>IF(AV24=0,"",INDEX(nTP_UTC,AV24))</f>
        <v/>
      </c>
      <c r="BE24" s="21" t="str">
        <f>IF(AV24=0,"",INDEX(nTP_Lo,AV24))</f>
        <v/>
      </c>
      <c r="BF24" s="21" t="str">
        <f>IF(AV24=0,"",INDEX(nTP_Hi,AV24))</f>
        <v/>
      </c>
      <c r="BG24" s="22">
        <f>IF(OR(AQ24=1,E24&lt;&gt;"LAST_DOSE_BEFORE_ONSET",AU24=0,AV24=0),0,IF(AZ24&lt;&gt;"",0,SUMPRODUCT(MAX((nADM_SelKey=AR24&amp;"|"&amp;AL24)*nADM_Valid*(nADM_A_HT*BA24*nADM_A_OK*BB24*(nADM_UTC_n&lt;=N(BD24))+nADM_A_HT*BA24*(1-nADM_A_OK*BB24)*(nADM_Loc_n&lt;=N(BC24))+(1-nADM_A_HT*BA24)*(nADM_Lo_n&lt;=N(BE24)))*nADM_Sort_n))))</f>
        <v>0</v>
      </c>
      <c r="BH24" s="22">
        <f>IF(BG24=0,0,MATCH(1,INDEX((nADM_SelKey=AR24&amp;"|"&amp;AL24)*nADM_Valid*(nADM_A_HT*BA24*nADM_A_OK*BB24*(nADM_UTC_n&lt;=N(BD24))+nADM_A_HT*BA24*(1-nADM_A_OK*BB24)*(nADM_Loc_n&lt;=N(BC24))+(1-nADM_A_HT*BA24)*(nADM_Lo_n&lt;=N(BE24)))*(nADM_Sort_n=BG24),0),0))</f>
        <v>0</v>
      </c>
      <c r="BI24" s="21" t="str">
        <f>IF(BH24=0,"",INDEX(nADM_Admin_ID,BH24)&amp;"")</f>
        <v/>
      </c>
      <c r="BJ24" s="22">
        <f>IF(OR(AQ24=1,AG24=""),0,IFERROR(MATCH(AR24&amp;"|"&amp;AG24,nTP_Key,0),0))</f>
        <v>0</v>
      </c>
      <c r="BK24" s="21">
        <f>IF(BJ24=0,0,INDEX(nTP_Dup,BJ24))</f>
        <v>0</v>
      </c>
      <c r="BL24" s="21" t="str">
        <f>IF(BJ24=0,"",INDEX(nTP_Record_Type,BJ24))</f>
        <v/>
      </c>
      <c r="BM24" s="21" t="str">
        <f>IF(BJ24=0,"",INDEX(nTP_Precision,BJ24))</f>
        <v/>
      </c>
      <c r="BN24" s="21" t="str">
        <f>IF(BJ24=0,"",INDEX(nTP_Err,BJ24))</f>
        <v/>
      </c>
      <c r="BO24" s="21">
        <f>IF(BJ24=0,0,INDEX(nTP_HT,BJ24))</f>
        <v>0</v>
      </c>
      <c r="BP24" s="21">
        <f>IF(BJ24=0,0,INDEX(nTP_OK,BJ24))</f>
        <v>0</v>
      </c>
      <c r="BQ24" s="21" t="str">
        <f>IF(BJ24=0,"",INDEX(nTP_Loc,BJ24))</f>
        <v/>
      </c>
      <c r="BR24" s="21" t="str">
        <f>IF(BJ24=0,"",INDEX(nTP_UTC,BJ24))</f>
        <v/>
      </c>
      <c r="BS24" s="21" t="str">
        <f>IF(BJ24=0,"",INDEX(nTP_Lo,BJ24))</f>
        <v/>
      </c>
      <c r="BT24" s="21" t="str">
        <f>IF(BJ24=0,"",INDEX(nTP_Hi,BJ24))</f>
        <v/>
      </c>
      <c r="BU24" s="22">
        <f>IF(OR(BJ24=0,AV24=0),0,SUMPRODUCT((nTP_Case_Key=AR24)*(nTP_Record_Type="MILESTONE:INTERVENTION")*(nTP_Err="")*(nTP_HT*BO24*BA24*(nTP_Loc_n&gt;=N(BQ24))*(nTP_Loc_n&lt;=N(BC24))+(1-nTP_HT*BO24*BA24)*(nTP_Lo_n&gt;=N(BS24))*(nTP_Hi_n&lt;=N(BF24))*(nTP_Lo_n&gt;0))))</f>
        <v>0</v>
      </c>
      <c r="BV24" s="21" t="str">
        <f t="shared" si="19"/>
        <v/>
      </c>
      <c r="BW24" s="21" t="str">
        <f t="shared" si="20"/>
        <v/>
      </c>
      <c r="BX24" s="21" t="str">
        <f t="shared" si="21"/>
        <v/>
      </c>
      <c r="BY24" s="21" t="str">
        <f t="shared" si="22"/>
        <v/>
      </c>
      <c r="BZ24" s="22">
        <f t="shared" si="23"/>
        <v>1</v>
      </c>
      <c r="CA24" s="21" t="str">
        <f t="shared" si="24"/>
        <v/>
      </c>
      <c r="CB24" s="21" t="str">
        <f t="shared" si="25"/>
        <v/>
      </c>
      <c r="CC24" s="21" t="str">
        <f t="shared" si="26"/>
        <v/>
      </c>
      <c r="CD24" s="21" t="str">
        <f t="shared" si="27"/>
        <v/>
      </c>
      <c r="CE24" s="22">
        <f t="shared" si="28"/>
        <v>0</v>
      </c>
      <c r="CF24" s="28" t="str">
        <f t="shared" si="29"/>
        <v/>
      </c>
      <c r="CG24" s="28" t="str">
        <f t="shared" si="30"/>
        <v/>
      </c>
      <c r="CH24" s="21" t="str">
        <f t="shared" si="31"/>
        <v/>
      </c>
      <c r="CI24" s="22">
        <f t="shared" si="32"/>
        <v>0</v>
      </c>
      <c r="CJ24" s="22">
        <f t="shared" si="33"/>
        <v>0</v>
      </c>
      <c r="CK24" s="22">
        <f t="shared" si="34"/>
        <v>0</v>
      </c>
      <c r="CL24" s="22">
        <f t="shared" si="35"/>
        <v>0</v>
      </c>
      <c r="CM24" s="22">
        <f t="shared" si="36"/>
        <v>0</v>
      </c>
      <c r="CN24" s="22">
        <f t="shared" si="37"/>
        <v>0</v>
      </c>
      <c r="CO24" s="22">
        <f t="shared" si="38"/>
        <v>0</v>
      </c>
      <c r="CP24" s="22">
        <f t="shared" si="39"/>
        <v>0</v>
      </c>
      <c r="CQ24" s="21" t="str">
        <f t="shared" si="40"/>
        <v/>
      </c>
    </row>
    <row r="25" spans="1:95" x14ac:dyDescent="0.2">
      <c r="A25" s="10"/>
      <c r="B25" s="10"/>
      <c r="C25" s="12"/>
      <c r="D25" s="10"/>
      <c r="E25" s="17"/>
      <c r="F25" s="10"/>
      <c r="G25" s="10"/>
      <c r="H25" s="10"/>
      <c r="I25" s="17"/>
      <c r="J25" s="17"/>
      <c r="K25" s="10"/>
      <c r="L25" s="17"/>
      <c r="M25" s="17"/>
      <c r="N25" s="17"/>
      <c r="O25" s="10"/>
      <c r="P25" s="15"/>
      <c r="Q25" s="15"/>
      <c r="R25" s="10"/>
      <c r="S25" s="10"/>
      <c r="T25" s="21" t="str">
        <f t="shared" si="0"/>
        <v/>
      </c>
      <c r="U25" s="21" t="str">
        <f t="shared" si="1"/>
        <v/>
      </c>
      <c r="V25" s="21" t="str">
        <f t="shared" si="2"/>
        <v/>
      </c>
      <c r="W25" s="21" t="str">
        <f t="shared" si="3"/>
        <v/>
      </c>
      <c r="X25" s="21" t="str">
        <f t="shared" si="4"/>
        <v/>
      </c>
      <c r="Y25" s="21" t="str">
        <f t="shared" si="5"/>
        <v/>
      </c>
      <c r="Z25" s="21" t="str">
        <f t="shared" si="6"/>
        <v/>
      </c>
      <c r="AA25" s="21" t="str">
        <f t="shared" si="7"/>
        <v/>
      </c>
      <c r="AB25" s="21" t="str">
        <f t="shared" si="8"/>
        <v/>
      </c>
      <c r="AC25" s="21" t="str">
        <f>IF(AQ25=1,"",MID(IF(BX25&lt;&gt;""," | "&amp;BX25&amp;": "&amp;SUBSTITUTE(IFERROR(INDEX(nMSG_Text,MATCH(BX25,nMSG_Code,0)),""),"[input]",BY25),"")&amp;IF(CI25=1," | W_TZ_UNKNOWN: "&amp;SUBSTITUTE(IFERROR(INDEX(nMSG_Text,MATCH("W_TZ_UNKNOWN",nMSG_Code,0)),""),"[input]",""),"")&amp;IF(CJ25=1," | W_SAME_DATE_ORDER_UNKNOWN: "&amp;SUBSTITUTE(IFERROR(INDEX(nMSG_Text,MATCH("W_SAME_DATE_ORDER_UNKNOWN",nMSG_Code,0)),""),"[input]",""),"")&amp;IF(CK25=1," | W_SEQUENCE_UNCERTAIN: "&amp;SUBSTITUTE(IFERROR(INDEX(nMSG_Text,MATCH("W_SEQUENCE_UNCERTAIN",nMSG_Code,0)),""),"[input]",""),"")&amp;IF(CL25=1," | W_ADMIN_SAME_DATE_AS_ONSET: "&amp;SUBSTITUTE(IFERROR(INDEX(nMSG_Text,MATCH("W_ADMIN_SAME_DATE_AS_ONSET",nMSG_Code,0)),""),"[input]",""),"")&amp;IF(CO25=1," | W_INTERVENTION_BEFORE_RECOVERY: "&amp;SUBSTITUTE(IFERROR(INDEX(nMSG_Text,MATCH("W_INTERVENTION_BEFORE_RECOVERY",nMSG_Code,0)),""),"[input]",""),"")&amp;IF(OR(CQ25="",CQ25="OVERLAP"),""," | "&amp;CQ25&amp;" (reported timing): "&amp;SUBSTITUTE(IFERROR(INDEX(nMSG_Text,MATCH(CQ25,nMSG_Code,0)),""),"[input]","numeric reported bounds and a reported unit"))&amp;IF(CM25=1," | I_TREATMENT_DAY_UNDEFINED: "&amp;SUBSTITUTE(IFERROR(INDEX(nMSG_Text,MATCH("I_TREATMENT_DAY_UNDEFINED",nMSG_Code,0)),""),"[input]",""),"")&amp;IF(CH25&lt;&gt;""," | "&amp;CH25&amp;" (constraint): "&amp;SUBSTITUTE(IFERROR(INDEX(nMSG_Text,MATCH(CH25,nMSG_Code,0)),""),"[input]","a source for the constraint"),""),4,9999))</f>
        <v/>
      </c>
      <c r="AD25" s="21" t="str">
        <f t="shared" si="9"/>
        <v/>
      </c>
      <c r="AE25" s="21" t="str">
        <f t="shared" si="10"/>
        <v/>
      </c>
      <c r="AF25" s="21" t="str">
        <f t="shared" si="11"/>
        <v/>
      </c>
      <c r="AG25" s="21" t="str">
        <f t="shared" si="12"/>
        <v/>
      </c>
      <c r="AH25" s="21" t="str">
        <f>IF(BJ25=0,"",INDEX(nTP_ISO,BJ25))</f>
        <v/>
      </c>
      <c r="AI25" s="21" t="str">
        <f>IF(BJ25=0,"",INDEX(nTP_Display,BJ25))</f>
        <v/>
      </c>
      <c r="AJ25" s="21" t="str">
        <f>IF(AV25=0,"",INDEX(nTP_ISO,AV25))</f>
        <v/>
      </c>
      <c r="AK25" s="21" t="str">
        <f>IF(AV25=0,"",INDEX(nTP_Display,AV25))</f>
        <v/>
      </c>
      <c r="AL25" s="21" t="str">
        <f>IF(AU25=0,"",INDEX(nLNK_Exposure_Episode_ID,AU25)&amp;"")</f>
        <v/>
      </c>
      <c r="AM25" s="21" t="str">
        <f>IF(AU25=0,"",INDEX(nLNK_Event_Episode_ID,AU25)&amp;"")</f>
        <v/>
      </c>
      <c r="AN25" s="21" t="str">
        <f t="shared" si="13"/>
        <v/>
      </c>
      <c r="AO25" s="21" t="str">
        <f t="shared" si="14"/>
        <v/>
      </c>
      <c r="AP25" s="21" t="str">
        <f t="shared" si="15"/>
        <v/>
      </c>
      <c r="AQ25" s="22">
        <f t="shared" si="16"/>
        <v>1</v>
      </c>
      <c r="AR25" s="21" t="str">
        <f t="shared" si="17"/>
        <v>|</v>
      </c>
      <c r="AS25" s="21" t="str">
        <f t="shared" si="18"/>
        <v/>
      </c>
      <c r="AT25" s="22">
        <f>IF(AS25="",0,COUNTIF(nINT_Key,AS25))</f>
        <v>0</v>
      </c>
      <c r="AU25" s="22">
        <f>IF(D25="",0,IFERROR(MATCH(AR25&amp;"|"&amp;D25,nLNK_Key,0),0))</f>
        <v>0</v>
      </c>
      <c r="AV25" s="22">
        <f>IF(OR(AQ25=1,H25=""),0,IFERROR(MATCH(AR25&amp;"|"&amp;H25,nTP_Key,0),0))</f>
        <v>0</v>
      </c>
      <c r="AW25" s="21">
        <f>IF(AV25=0,0,INDEX(nTP_Dup,AV25))</f>
        <v>0</v>
      </c>
      <c r="AX25" s="21" t="str">
        <f>IF(AV25=0,"",INDEX(nTP_Record_Type,AV25))</f>
        <v/>
      </c>
      <c r="AY25" s="21" t="str">
        <f>IF(AV25=0,"",INDEX(nTP_Precision,AV25))</f>
        <v/>
      </c>
      <c r="AZ25" s="21" t="str">
        <f>IF(AV25=0,"",INDEX(nTP_Err,AV25))</f>
        <v/>
      </c>
      <c r="BA25" s="21">
        <f>IF(AV25=0,0,INDEX(nTP_HT,AV25))</f>
        <v>0</v>
      </c>
      <c r="BB25" s="21">
        <f>IF(AV25=0,0,INDEX(nTP_OK,AV25))</f>
        <v>0</v>
      </c>
      <c r="BC25" s="21" t="str">
        <f>IF(AV25=0,"",INDEX(nTP_Loc,AV25))</f>
        <v/>
      </c>
      <c r="BD25" s="21" t="str">
        <f>IF(AV25=0,"",INDEX(nTP_UTC,AV25))</f>
        <v/>
      </c>
      <c r="BE25" s="21" t="str">
        <f>IF(AV25=0,"",INDEX(nTP_Lo,AV25))</f>
        <v/>
      </c>
      <c r="BF25" s="21" t="str">
        <f>IF(AV25=0,"",INDEX(nTP_Hi,AV25))</f>
        <v/>
      </c>
      <c r="BG25" s="22">
        <f>IF(OR(AQ25=1,E25&lt;&gt;"LAST_DOSE_BEFORE_ONSET",AU25=0,AV25=0),0,IF(AZ25&lt;&gt;"",0,SUMPRODUCT(MAX((nADM_SelKey=AR25&amp;"|"&amp;AL25)*nADM_Valid*(nADM_A_HT*BA25*nADM_A_OK*BB25*(nADM_UTC_n&lt;=N(BD25))+nADM_A_HT*BA25*(1-nADM_A_OK*BB25)*(nADM_Loc_n&lt;=N(BC25))+(1-nADM_A_HT*BA25)*(nADM_Lo_n&lt;=N(BE25)))*nADM_Sort_n))))</f>
        <v>0</v>
      </c>
      <c r="BH25" s="22">
        <f>IF(BG25=0,0,MATCH(1,INDEX((nADM_SelKey=AR25&amp;"|"&amp;AL25)*nADM_Valid*(nADM_A_HT*BA25*nADM_A_OK*BB25*(nADM_UTC_n&lt;=N(BD25))+nADM_A_HT*BA25*(1-nADM_A_OK*BB25)*(nADM_Loc_n&lt;=N(BC25))+(1-nADM_A_HT*BA25)*(nADM_Lo_n&lt;=N(BE25)))*(nADM_Sort_n=BG25),0),0))</f>
        <v>0</v>
      </c>
      <c r="BI25" s="21" t="str">
        <f>IF(BH25=0,"",INDEX(nADM_Admin_ID,BH25)&amp;"")</f>
        <v/>
      </c>
      <c r="BJ25" s="22">
        <f>IF(OR(AQ25=1,AG25=""),0,IFERROR(MATCH(AR25&amp;"|"&amp;AG25,nTP_Key,0),0))</f>
        <v>0</v>
      </c>
      <c r="BK25" s="21">
        <f>IF(BJ25=0,0,INDEX(nTP_Dup,BJ25))</f>
        <v>0</v>
      </c>
      <c r="BL25" s="21" t="str">
        <f>IF(BJ25=0,"",INDEX(nTP_Record_Type,BJ25))</f>
        <v/>
      </c>
      <c r="BM25" s="21" t="str">
        <f>IF(BJ25=0,"",INDEX(nTP_Precision,BJ25))</f>
        <v/>
      </c>
      <c r="BN25" s="21" t="str">
        <f>IF(BJ25=0,"",INDEX(nTP_Err,BJ25))</f>
        <v/>
      </c>
      <c r="BO25" s="21">
        <f>IF(BJ25=0,0,INDEX(nTP_HT,BJ25))</f>
        <v>0</v>
      </c>
      <c r="BP25" s="21">
        <f>IF(BJ25=0,0,INDEX(nTP_OK,BJ25))</f>
        <v>0</v>
      </c>
      <c r="BQ25" s="21" t="str">
        <f>IF(BJ25=0,"",INDEX(nTP_Loc,BJ25))</f>
        <v/>
      </c>
      <c r="BR25" s="21" t="str">
        <f>IF(BJ25=0,"",INDEX(nTP_UTC,BJ25))</f>
        <v/>
      </c>
      <c r="BS25" s="21" t="str">
        <f>IF(BJ25=0,"",INDEX(nTP_Lo,BJ25))</f>
        <v/>
      </c>
      <c r="BT25" s="21" t="str">
        <f>IF(BJ25=0,"",INDEX(nTP_Hi,BJ25))</f>
        <v/>
      </c>
      <c r="BU25" s="22">
        <f>IF(OR(BJ25=0,AV25=0),0,SUMPRODUCT((nTP_Case_Key=AR25)*(nTP_Record_Type="MILESTONE:INTERVENTION")*(nTP_Err="")*(nTP_HT*BO25*BA25*(nTP_Loc_n&gt;=N(BQ25))*(nTP_Loc_n&lt;=N(BC25))+(1-nTP_HT*BO25*BA25)*(nTP_Lo_n&gt;=N(BS25))*(nTP_Hi_n&lt;=N(BF25))*(nTP_Lo_n&gt;0))))</f>
        <v>0</v>
      </c>
      <c r="BV25" s="21" t="str">
        <f t="shared" si="19"/>
        <v/>
      </c>
      <c r="BW25" s="21" t="str">
        <f t="shared" si="20"/>
        <v/>
      </c>
      <c r="BX25" s="21" t="str">
        <f t="shared" si="21"/>
        <v/>
      </c>
      <c r="BY25" s="21" t="str">
        <f t="shared" si="22"/>
        <v/>
      </c>
      <c r="BZ25" s="22">
        <f t="shared" si="23"/>
        <v>1</v>
      </c>
      <c r="CA25" s="21" t="str">
        <f t="shared" si="24"/>
        <v/>
      </c>
      <c r="CB25" s="21" t="str">
        <f t="shared" si="25"/>
        <v/>
      </c>
      <c r="CC25" s="21" t="str">
        <f t="shared" si="26"/>
        <v/>
      </c>
      <c r="CD25" s="21" t="str">
        <f t="shared" si="27"/>
        <v/>
      </c>
      <c r="CE25" s="22">
        <f t="shared" si="28"/>
        <v>0</v>
      </c>
      <c r="CF25" s="28" t="str">
        <f t="shared" si="29"/>
        <v/>
      </c>
      <c r="CG25" s="28" t="str">
        <f t="shared" si="30"/>
        <v/>
      </c>
      <c r="CH25" s="21" t="str">
        <f t="shared" si="31"/>
        <v/>
      </c>
      <c r="CI25" s="22">
        <f t="shared" si="32"/>
        <v>0</v>
      </c>
      <c r="CJ25" s="22">
        <f t="shared" si="33"/>
        <v>0</v>
      </c>
      <c r="CK25" s="22">
        <f t="shared" si="34"/>
        <v>0</v>
      </c>
      <c r="CL25" s="22">
        <f t="shared" si="35"/>
        <v>0</v>
      </c>
      <c r="CM25" s="22">
        <f t="shared" si="36"/>
        <v>0</v>
      </c>
      <c r="CN25" s="22">
        <f t="shared" si="37"/>
        <v>0</v>
      </c>
      <c r="CO25" s="22">
        <f t="shared" si="38"/>
        <v>0</v>
      </c>
      <c r="CP25" s="22">
        <f t="shared" si="39"/>
        <v>0</v>
      </c>
      <c r="CQ25" s="21" t="str">
        <f t="shared" si="40"/>
        <v/>
      </c>
    </row>
    <row r="26" spans="1:95" x14ac:dyDescent="0.2">
      <c r="A26" s="10"/>
      <c r="B26" s="10"/>
      <c r="C26" s="12"/>
      <c r="D26" s="10"/>
      <c r="E26" s="17"/>
      <c r="F26" s="10"/>
      <c r="G26" s="10"/>
      <c r="H26" s="10"/>
      <c r="I26" s="17"/>
      <c r="J26" s="17"/>
      <c r="K26" s="10"/>
      <c r="L26" s="17"/>
      <c r="M26" s="17"/>
      <c r="N26" s="17"/>
      <c r="O26" s="10"/>
      <c r="P26" s="15"/>
      <c r="Q26" s="15"/>
      <c r="R26" s="10"/>
      <c r="S26" s="10"/>
      <c r="T26" s="21" t="str">
        <f t="shared" si="0"/>
        <v/>
      </c>
      <c r="U26" s="21" t="str">
        <f t="shared" si="1"/>
        <v/>
      </c>
      <c r="V26" s="21" t="str">
        <f t="shared" si="2"/>
        <v/>
      </c>
      <c r="W26" s="21" t="str">
        <f t="shared" si="3"/>
        <v/>
      </c>
      <c r="X26" s="21" t="str">
        <f t="shared" si="4"/>
        <v/>
      </c>
      <c r="Y26" s="21" t="str">
        <f t="shared" si="5"/>
        <v/>
      </c>
      <c r="Z26" s="21" t="str">
        <f t="shared" si="6"/>
        <v/>
      </c>
      <c r="AA26" s="21" t="str">
        <f t="shared" si="7"/>
        <v/>
      </c>
      <c r="AB26" s="21" t="str">
        <f t="shared" si="8"/>
        <v/>
      </c>
      <c r="AC26" s="21" t="str">
        <f>IF(AQ26=1,"",MID(IF(BX26&lt;&gt;""," | "&amp;BX26&amp;": "&amp;SUBSTITUTE(IFERROR(INDEX(nMSG_Text,MATCH(BX26,nMSG_Code,0)),""),"[input]",BY26),"")&amp;IF(CI26=1," | W_TZ_UNKNOWN: "&amp;SUBSTITUTE(IFERROR(INDEX(nMSG_Text,MATCH("W_TZ_UNKNOWN",nMSG_Code,0)),""),"[input]",""),"")&amp;IF(CJ26=1," | W_SAME_DATE_ORDER_UNKNOWN: "&amp;SUBSTITUTE(IFERROR(INDEX(nMSG_Text,MATCH("W_SAME_DATE_ORDER_UNKNOWN",nMSG_Code,0)),""),"[input]",""),"")&amp;IF(CK26=1," | W_SEQUENCE_UNCERTAIN: "&amp;SUBSTITUTE(IFERROR(INDEX(nMSG_Text,MATCH("W_SEQUENCE_UNCERTAIN",nMSG_Code,0)),""),"[input]",""),"")&amp;IF(CL26=1," | W_ADMIN_SAME_DATE_AS_ONSET: "&amp;SUBSTITUTE(IFERROR(INDEX(nMSG_Text,MATCH("W_ADMIN_SAME_DATE_AS_ONSET",nMSG_Code,0)),""),"[input]",""),"")&amp;IF(CO26=1," | W_INTERVENTION_BEFORE_RECOVERY: "&amp;SUBSTITUTE(IFERROR(INDEX(nMSG_Text,MATCH("W_INTERVENTION_BEFORE_RECOVERY",nMSG_Code,0)),""),"[input]",""),"")&amp;IF(OR(CQ26="",CQ26="OVERLAP"),""," | "&amp;CQ26&amp;" (reported timing): "&amp;SUBSTITUTE(IFERROR(INDEX(nMSG_Text,MATCH(CQ26,nMSG_Code,0)),""),"[input]","numeric reported bounds and a reported unit"))&amp;IF(CM26=1," | I_TREATMENT_DAY_UNDEFINED: "&amp;SUBSTITUTE(IFERROR(INDEX(nMSG_Text,MATCH("I_TREATMENT_DAY_UNDEFINED",nMSG_Code,0)),""),"[input]",""),"")&amp;IF(CH26&lt;&gt;""," | "&amp;CH26&amp;" (constraint): "&amp;SUBSTITUTE(IFERROR(INDEX(nMSG_Text,MATCH(CH26,nMSG_Code,0)),""),"[input]","a source for the constraint"),""),4,9999))</f>
        <v/>
      </c>
      <c r="AD26" s="21" t="str">
        <f t="shared" si="9"/>
        <v/>
      </c>
      <c r="AE26" s="21" t="str">
        <f t="shared" si="10"/>
        <v/>
      </c>
      <c r="AF26" s="21" t="str">
        <f t="shared" si="11"/>
        <v/>
      </c>
      <c r="AG26" s="21" t="str">
        <f t="shared" si="12"/>
        <v/>
      </c>
      <c r="AH26" s="21" t="str">
        <f>IF(BJ26=0,"",INDEX(nTP_ISO,BJ26))</f>
        <v/>
      </c>
      <c r="AI26" s="21" t="str">
        <f>IF(BJ26=0,"",INDEX(nTP_Display,BJ26))</f>
        <v/>
      </c>
      <c r="AJ26" s="21" t="str">
        <f>IF(AV26=0,"",INDEX(nTP_ISO,AV26))</f>
        <v/>
      </c>
      <c r="AK26" s="21" t="str">
        <f>IF(AV26=0,"",INDEX(nTP_Display,AV26))</f>
        <v/>
      </c>
      <c r="AL26" s="21" t="str">
        <f>IF(AU26=0,"",INDEX(nLNK_Exposure_Episode_ID,AU26)&amp;"")</f>
        <v/>
      </c>
      <c r="AM26" s="21" t="str">
        <f>IF(AU26=0,"",INDEX(nLNK_Event_Episode_ID,AU26)&amp;"")</f>
        <v/>
      </c>
      <c r="AN26" s="21" t="str">
        <f t="shared" si="13"/>
        <v/>
      </c>
      <c r="AO26" s="21" t="str">
        <f t="shared" si="14"/>
        <v/>
      </c>
      <c r="AP26" s="21" t="str">
        <f t="shared" si="15"/>
        <v/>
      </c>
      <c r="AQ26" s="22">
        <f t="shared" si="16"/>
        <v>1</v>
      </c>
      <c r="AR26" s="21" t="str">
        <f t="shared" si="17"/>
        <v>|</v>
      </c>
      <c r="AS26" s="21" t="str">
        <f t="shared" si="18"/>
        <v/>
      </c>
      <c r="AT26" s="22">
        <f>IF(AS26="",0,COUNTIF(nINT_Key,AS26))</f>
        <v>0</v>
      </c>
      <c r="AU26" s="22">
        <f>IF(D26="",0,IFERROR(MATCH(AR26&amp;"|"&amp;D26,nLNK_Key,0),0))</f>
        <v>0</v>
      </c>
      <c r="AV26" s="22">
        <f>IF(OR(AQ26=1,H26=""),0,IFERROR(MATCH(AR26&amp;"|"&amp;H26,nTP_Key,0),0))</f>
        <v>0</v>
      </c>
      <c r="AW26" s="21">
        <f>IF(AV26=0,0,INDEX(nTP_Dup,AV26))</f>
        <v>0</v>
      </c>
      <c r="AX26" s="21" t="str">
        <f>IF(AV26=0,"",INDEX(nTP_Record_Type,AV26))</f>
        <v/>
      </c>
      <c r="AY26" s="21" t="str">
        <f>IF(AV26=0,"",INDEX(nTP_Precision,AV26))</f>
        <v/>
      </c>
      <c r="AZ26" s="21" t="str">
        <f>IF(AV26=0,"",INDEX(nTP_Err,AV26))</f>
        <v/>
      </c>
      <c r="BA26" s="21">
        <f>IF(AV26=0,0,INDEX(nTP_HT,AV26))</f>
        <v>0</v>
      </c>
      <c r="BB26" s="21">
        <f>IF(AV26=0,0,INDEX(nTP_OK,AV26))</f>
        <v>0</v>
      </c>
      <c r="BC26" s="21" t="str">
        <f>IF(AV26=0,"",INDEX(nTP_Loc,AV26))</f>
        <v/>
      </c>
      <c r="BD26" s="21" t="str">
        <f>IF(AV26=0,"",INDEX(nTP_UTC,AV26))</f>
        <v/>
      </c>
      <c r="BE26" s="21" t="str">
        <f>IF(AV26=0,"",INDEX(nTP_Lo,AV26))</f>
        <v/>
      </c>
      <c r="BF26" s="21" t="str">
        <f>IF(AV26=0,"",INDEX(nTP_Hi,AV26))</f>
        <v/>
      </c>
      <c r="BG26" s="22">
        <f>IF(OR(AQ26=1,E26&lt;&gt;"LAST_DOSE_BEFORE_ONSET",AU26=0,AV26=0),0,IF(AZ26&lt;&gt;"",0,SUMPRODUCT(MAX((nADM_SelKey=AR26&amp;"|"&amp;AL26)*nADM_Valid*(nADM_A_HT*BA26*nADM_A_OK*BB26*(nADM_UTC_n&lt;=N(BD26))+nADM_A_HT*BA26*(1-nADM_A_OK*BB26)*(nADM_Loc_n&lt;=N(BC26))+(1-nADM_A_HT*BA26)*(nADM_Lo_n&lt;=N(BE26)))*nADM_Sort_n))))</f>
        <v>0</v>
      </c>
      <c r="BH26" s="22">
        <f>IF(BG26=0,0,MATCH(1,INDEX((nADM_SelKey=AR26&amp;"|"&amp;AL26)*nADM_Valid*(nADM_A_HT*BA26*nADM_A_OK*BB26*(nADM_UTC_n&lt;=N(BD26))+nADM_A_HT*BA26*(1-nADM_A_OK*BB26)*(nADM_Loc_n&lt;=N(BC26))+(1-nADM_A_HT*BA26)*(nADM_Lo_n&lt;=N(BE26)))*(nADM_Sort_n=BG26),0),0))</f>
        <v>0</v>
      </c>
      <c r="BI26" s="21" t="str">
        <f>IF(BH26=0,"",INDEX(nADM_Admin_ID,BH26)&amp;"")</f>
        <v/>
      </c>
      <c r="BJ26" s="22">
        <f>IF(OR(AQ26=1,AG26=""),0,IFERROR(MATCH(AR26&amp;"|"&amp;AG26,nTP_Key,0),0))</f>
        <v>0</v>
      </c>
      <c r="BK26" s="21">
        <f>IF(BJ26=0,0,INDEX(nTP_Dup,BJ26))</f>
        <v>0</v>
      </c>
      <c r="BL26" s="21" t="str">
        <f>IF(BJ26=0,"",INDEX(nTP_Record_Type,BJ26))</f>
        <v/>
      </c>
      <c r="BM26" s="21" t="str">
        <f>IF(BJ26=0,"",INDEX(nTP_Precision,BJ26))</f>
        <v/>
      </c>
      <c r="BN26" s="21" t="str">
        <f>IF(BJ26=0,"",INDEX(nTP_Err,BJ26))</f>
        <v/>
      </c>
      <c r="BO26" s="21">
        <f>IF(BJ26=0,0,INDEX(nTP_HT,BJ26))</f>
        <v>0</v>
      </c>
      <c r="BP26" s="21">
        <f>IF(BJ26=0,0,INDEX(nTP_OK,BJ26))</f>
        <v>0</v>
      </c>
      <c r="BQ26" s="21" t="str">
        <f>IF(BJ26=0,"",INDEX(nTP_Loc,BJ26))</f>
        <v/>
      </c>
      <c r="BR26" s="21" t="str">
        <f>IF(BJ26=0,"",INDEX(nTP_UTC,BJ26))</f>
        <v/>
      </c>
      <c r="BS26" s="21" t="str">
        <f>IF(BJ26=0,"",INDEX(nTP_Lo,BJ26))</f>
        <v/>
      </c>
      <c r="BT26" s="21" t="str">
        <f>IF(BJ26=0,"",INDEX(nTP_Hi,BJ26))</f>
        <v/>
      </c>
      <c r="BU26" s="22">
        <f>IF(OR(BJ26=0,AV26=0),0,SUMPRODUCT((nTP_Case_Key=AR26)*(nTP_Record_Type="MILESTONE:INTERVENTION")*(nTP_Err="")*(nTP_HT*BO26*BA26*(nTP_Loc_n&gt;=N(BQ26))*(nTP_Loc_n&lt;=N(BC26))+(1-nTP_HT*BO26*BA26)*(nTP_Lo_n&gt;=N(BS26))*(nTP_Hi_n&lt;=N(BF26))*(nTP_Lo_n&gt;0))))</f>
        <v>0</v>
      </c>
      <c r="BV26" s="21" t="str">
        <f t="shared" si="19"/>
        <v/>
      </c>
      <c r="BW26" s="21" t="str">
        <f t="shared" si="20"/>
        <v/>
      </c>
      <c r="BX26" s="21" t="str">
        <f t="shared" si="21"/>
        <v/>
      </c>
      <c r="BY26" s="21" t="str">
        <f t="shared" si="22"/>
        <v/>
      </c>
      <c r="BZ26" s="22">
        <f t="shared" si="23"/>
        <v>1</v>
      </c>
      <c r="CA26" s="21" t="str">
        <f t="shared" si="24"/>
        <v/>
      </c>
      <c r="CB26" s="21" t="str">
        <f t="shared" si="25"/>
        <v/>
      </c>
      <c r="CC26" s="21" t="str">
        <f t="shared" si="26"/>
        <v/>
      </c>
      <c r="CD26" s="21" t="str">
        <f t="shared" si="27"/>
        <v/>
      </c>
      <c r="CE26" s="22">
        <f t="shared" si="28"/>
        <v>0</v>
      </c>
      <c r="CF26" s="28" t="str">
        <f t="shared" si="29"/>
        <v/>
      </c>
      <c r="CG26" s="28" t="str">
        <f t="shared" si="30"/>
        <v/>
      </c>
      <c r="CH26" s="21" t="str">
        <f t="shared" si="31"/>
        <v/>
      </c>
      <c r="CI26" s="22">
        <f t="shared" si="32"/>
        <v>0</v>
      </c>
      <c r="CJ26" s="22">
        <f t="shared" si="33"/>
        <v>0</v>
      </c>
      <c r="CK26" s="22">
        <f t="shared" si="34"/>
        <v>0</v>
      </c>
      <c r="CL26" s="22">
        <f t="shared" si="35"/>
        <v>0</v>
      </c>
      <c r="CM26" s="22">
        <f t="shared" si="36"/>
        <v>0</v>
      </c>
      <c r="CN26" s="22">
        <f t="shared" si="37"/>
        <v>0</v>
      </c>
      <c r="CO26" s="22">
        <f t="shared" si="38"/>
        <v>0</v>
      </c>
      <c r="CP26" s="22">
        <f t="shared" si="39"/>
        <v>0</v>
      </c>
      <c r="CQ26" s="21" t="str">
        <f t="shared" si="40"/>
        <v/>
      </c>
    </row>
    <row r="27" spans="1:95" x14ac:dyDescent="0.2">
      <c r="A27" s="10"/>
      <c r="B27" s="10"/>
      <c r="C27" s="12"/>
      <c r="D27" s="10"/>
      <c r="E27" s="17"/>
      <c r="F27" s="10"/>
      <c r="G27" s="10"/>
      <c r="H27" s="10"/>
      <c r="I27" s="17"/>
      <c r="J27" s="17"/>
      <c r="K27" s="10"/>
      <c r="L27" s="17"/>
      <c r="M27" s="17"/>
      <c r="N27" s="17"/>
      <c r="O27" s="10"/>
      <c r="P27" s="15"/>
      <c r="Q27" s="15"/>
      <c r="R27" s="10"/>
      <c r="S27" s="10"/>
      <c r="T27" s="21" t="str">
        <f t="shared" si="0"/>
        <v/>
      </c>
      <c r="U27" s="21" t="str">
        <f t="shared" si="1"/>
        <v/>
      </c>
      <c r="V27" s="21" t="str">
        <f t="shared" si="2"/>
        <v/>
      </c>
      <c r="W27" s="21" t="str">
        <f t="shared" si="3"/>
        <v/>
      </c>
      <c r="X27" s="21" t="str">
        <f t="shared" si="4"/>
        <v/>
      </c>
      <c r="Y27" s="21" t="str">
        <f t="shared" si="5"/>
        <v/>
      </c>
      <c r="Z27" s="21" t="str">
        <f t="shared" si="6"/>
        <v/>
      </c>
      <c r="AA27" s="21" t="str">
        <f t="shared" si="7"/>
        <v/>
      </c>
      <c r="AB27" s="21" t="str">
        <f t="shared" si="8"/>
        <v/>
      </c>
      <c r="AC27" s="21" t="str">
        <f>IF(AQ27=1,"",MID(IF(BX27&lt;&gt;""," | "&amp;BX27&amp;": "&amp;SUBSTITUTE(IFERROR(INDEX(nMSG_Text,MATCH(BX27,nMSG_Code,0)),""),"[input]",BY27),"")&amp;IF(CI27=1," | W_TZ_UNKNOWN: "&amp;SUBSTITUTE(IFERROR(INDEX(nMSG_Text,MATCH("W_TZ_UNKNOWN",nMSG_Code,0)),""),"[input]",""),"")&amp;IF(CJ27=1," | W_SAME_DATE_ORDER_UNKNOWN: "&amp;SUBSTITUTE(IFERROR(INDEX(nMSG_Text,MATCH("W_SAME_DATE_ORDER_UNKNOWN",nMSG_Code,0)),""),"[input]",""),"")&amp;IF(CK27=1," | W_SEQUENCE_UNCERTAIN: "&amp;SUBSTITUTE(IFERROR(INDEX(nMSG_Text,MATCH("W_SEQUENCE_UNCERTAIN",nMSG_Code,0)),""),"[input]",""),"")&amp;IF(CL27=1," | W_ADMIN_SAME_DATE_AS_ONSET: "&amp;SUBSTITUTE(IFERROR(INDEX(nMSG_Text,MATCH("W_ADMIN_SAME_DATE_AS_ONSET",nMSG_Code,0)),""),"[input]",""),"")&amp;IF(CO27=1," | W_INTERVENTION_BEFORE_RECOVERY: "&amp;SUBSTITUTE(IFERROR(INDEX(nMSG_Text,MATCH("W_INTERVENTION_BEFORE_RECOVERY",nMSG_Code,0)),""),"[input]",""),"")&amp;IF(OR(CQ27="",CQ27="OVERLAP"),""," | "&amp;CQ27&amp;" (reported timing): "&amp;SUBSTITUTE(IFERROR(INDEX(nMSG_Text,MATCH(CQ27,nMSG_Code,0)),""),"[input]","numeric reported bounds and a reported unit"))&amp;IF(CM27=1," | I_TREATMENT_DAY_UNDEFINED: "&amp;SUBSTITUTE(IFERROR(INDEX(nMSG_Text,MATCH("I_TREATMENT_DAY_UNDEFINED",nMSG_Code,0)),""),"[input]",""),"")&amp;IF(CH27&lt;&gt;""," | "&amp;CH27&amp;" (constraint): "&amp;SUBSTITUTE(IFERROR(INDEX(nMSG_Text,MATCH(CH27,nMSG_Code,0)),""),"[input]","a source for the constraint"),""),4,9999))</f>
        <v/>
      </c>
      <c r="AD27" s="21" t="str">
        <f t="shared" si="9"/>
        <v/>
      </c>
      <c r="AE27" s="21" t="str">
        <f t="shared" si="10"/>
        <v/>
      </c>
      <c r="AF27" s="21" t="str">
        <f t="shared" si="11"/>
        <v/>
      </c>
      <c r="AG27" s="21" t="str">
        <f t="shared" si="12"/>
        <v/>
      </c>
      <c r="AH27" s="21" t="str">
        <f>IF(BJ27=0,"",INDEX(nTP_ISO,BJ27))</f>
        <v/>
      </c>
      <c r="AI27" s="21" t="str">
        <f>IF(BJ27=0,"",INDEX(nTP_Display,BJ27))</f>
        <v/>
      </c>
      <c r="AJ27" s="21" t="str">
        <f>IF(AV27=0,"",INDEX(nTP_ISO,AV27))</f>
        <v/>
      </c>
      <c r="AK27" s="21" t="str">
        <f>IF(AV27=0,"",INDEX(nTP_Display,AV27))</f>
        <v/>
      </c>
      <c r="AL27" s="21" t="str">
        <f>IF(AU27=0,"",INDEX(nLNK_Exposure_Episode_ID,AU27)&amp;"")</f>
        <v/>
      </c>
      <c r="AM27" s="21" t="str">
        <f>IF(AU27=0,"",INDEX(nLNK_Event_Episode_ID,AU27)&amp;"")</f>
        <v/>
      </c>
      <c r="AN27" s="21" t="str">
        <f t="shared" si="13"/>
        <v/>
      </c>
      <c r="AO27" s="21" t="str">
        <f t="shared" si="14"/>
        <v/>
      </c>
      <c r="AP27" s="21" t="str">
        <f t="shared" si="15"/>
        <v/>
      </c>
      <c r="AQ27" s="22">
        <f t="shared" si="16"/>
        <v>1</v>
      </c>
      <c r="AR27" s="21" t="str">
        <f t="shared" si="17"/>
        <v>|</v>
      </c>
      <c r="AS27" s="21" t="str">
        <f t="shared" si="18"/>
        <v/>
      </c>
      <c r="AT27" s="22">
        <f>IF(AS27="",0,COUNTIF(nINT_Key,AS27))</f>
        <v>0</v>
      </c>
      <c r="AU27" s="22">
        <f>IF(D27="",0,IFERROR(MATCH(AR27&amp;"|"&amp;D27,nLNK_Key,0),0))</f>
        <v>0</v>
      </c>
      <c r="AV27" s="22">
        <f>IF(OR(AQ27=1,H27=""),0,IFERROR(MATCH(AR27&amp;"|"&amp;H27,nTP_Key,0),0))</f>
        <v>0</v>
      </c>
      <c r="AW27" s="21">
        <f>IF(AV27=0,0,INDEX(nTP_Dup,AV27))</f>
        <v>0</v>
      </c>
      <c r="AX27" s="21" t="str">
        <f>IF(AV27=0,"",INDEX(nTP_Record_Type,AV27))</f>
        <v/>
      </c>
      <c r="AY27" s="21" t="str">
        <f>IF(AV27=0,"",INDEX(nTP_Precision,AV27))</f>
        <v/>
      </c>
      <c r="AZ27" s="21" t="str">
        <f>IF(AV27=0,"",INDEX(nTP_Err,AV27))</f>
        <v/>
      </c>
      <c r="BA27" s="21">
        <f>IF(AV27=0,0,INDEX(nTP_HT,AV27))</f>
        <v>0</v>
      </c>
      <c r="BB27" s="21">
        <f>IF(AV27=0,0,INDEX(nTP_OK,AV27))</f>
        <v>0</v>
      </c>
      <c r="BC27" s="21" t="str">
        <f>IF(AV27=0,"",INDEX(nTP_Loc,AV27))</f>
        <v/>
      </c>
      <c r="BD27" s="21" t="str">
        <f>IF(AV27=0,"",INDEX(nTP_UTC,AV27))</f>
        <v/>
      </c>
      <c r="BE27" s="21" t="str">
        <f>IF(AV27=0,"",INDEX(nTP_Lo,AV27))</f>
        <v/>
      </c>
      <c r="BF27" s="21" t="str">
        <f>IF(AV27=0,"",INDEX(nTP_Hi,AV27))</f>
        <v/>
      </c>
      <c r="BG27" s="22">
        <f>IF(OR(AQ27=1,E27&lt;&gt;"LAST_DOSE_BEFORE_ONSET",AU27=0,AV27=0),0,IF(AZ27&lt;&gt;"",0,SUMPRODUCT(MAX((nADM_SelKey=AR27&amp;"|"&amp;AL27)*nADM_Valid*(nADM_A_HT*BA27*nADM_A_OK*BB27*(nADM_UTC_n&lt;=N(BD27))+nADM_A_HT*BA27*(1-nADM_A_OK*BB27)*(nADM_Loc_n&lt;=N(BC27))+(1-nADM_A_HT*BA27)*(nADM_Lo_n&lt;=N(BE27)))*nADM_Sort_n))))</f>
        <v>0</v>
      </c>
      <c r="BH27" s="22">
        <f>IF(BG27=0,0,MATCH(1,INDEX((nADM_SelKey=AR27&amp;"|"&amp;AL27)*nADM_Valid*(nADM_A_HT*BA27*nADM_A_OK*BB27*(nADM_UTC_n&lt;=N(BD27))+nADM_A_HT*BA27*(1-nADM_A_OK*BB27)*(nADM_Loc_n&lt;=N(BC27))+(1-nADM_A_HT*BA27)*(nADM_Lo_n&lt;=N(BE27)))*(nADM_Sort_n=BG27),0),0))</f>
        <v>0</v>
      </c>
      <c r="BI27" s="21" t="str">
        <f>IF(BH27=0,"",INDEX(nADM_Admin_ID,BH27)&amp;"")</f>
        <v/>
      </c>
      <c r="BJ27" s="22">
        <f>IF(OR(AQ27=1,AG27=""),0,IFERROR(MATCH(AR27&amp;"|"&amp;AG27,nTP_Key,0),0))</f>
        <v>0</v>
      </c>
      <c r="BK27" s="21">
        <f>IF(BJ27=0,0,INDEX(nTP_Dup,BJ27))</f>
        <v>0</v>
      </c>
      <c r="BL27" s="21" t="str">
        <f>IF(BJ27=0,"",INDEX(nTP_Record_Type,BJ27))</f>
        <v/>
      </c>
      <c r="BM27" s="21" t="str">
        <f>IF(BJ27=0,"",INDEX(nTP_Precision,BJ27))</f>
        <v/>
      </c>
      <c r="BN27" s="21" t="str">
        <f>IF(BJ27=0,"",INDEX(nTP_Err,BJ27))</f>
        <v/>
      </c>
      <c r="BO27" s="21">
        <f>IF(BJ27=0,0,INDEX(nTP_HT,BJ27))</f>
        <v>0</v>
      </c>
      <c r="BP27" s="21">
        <f>IF(BJ27=0,0,INDEX(nTP_OK,BJ27))</f>
        <v>0</v>
      </c>
      <c r="BQ27" s="21" t="str">
        <f>IF(BJ27=0,"",INDEX(nTP_Loc,BJ27))</f>
        <v/>
      </c>
      <c r="BR27" s="21" t="str">
        <f>IF(BJ27=0,"",INDEX(nTP_UTC,BJ27))</f>
        <v/>
      </c>
      <c r="BS27" s="21" t="str">
        <f>IF(BJ27=0,"",INDEX(nTP_Lo,BJ27))</f>
        <v/>
      </c>
      <c r="BT27" s="21" t="str">
        <f>IF(BJ27=0,"",INDEX(nTP_Hi,BJ27))</f>
        <v/>
      </c>
      <c r="BU27" s="22">
        <f>IF(OR(BJ27=0,AV27=0),0,SUMPRODUCT((nTP_Case_Key=AR27)*(nTP_Record_Type="MILESTONE:INTERVENTION")*(nTP_Err="")*(nTP_HT*BO27*BA27*(nTP_Loc_n&gt;=N(BQ27))*(nTP_Loc_n&lt;=N(BC27))+(1-nTP_HT*BO27*BA27)*(nTP_Lo_n&gt;=N(BS27))*(nTP_Hi_n&lt;=N(BF27))*(nTP_Lo_n&gt;0))))</f>
        <v>0</v>
      </c>
      <c r="BV27" s="21" t="str">
        <f t="shared" si="19"/>
        <v/>
      </c>
      <c r="BW27" s="21" t="str">
        <f t="shared" si="20"/>
        <v/>
      </c>
      <c r="BX27" s="21" t="str">
        <f t="shared" si="21"/>
        <v/>
      </c>
      <c r="BY27" s="21" t="str">
        <f t="shared" si="22"/>
        <v/>
      </c>
      <c r="BZ27" s="22">
        <f t="shared" si="23"/>
        <v>1</v>
      </c>
      <c r="CA27" s="21" t="str">
        <f t="shared" si="24"/>
        <v/>
      </c>
      <c r="CB27" s="21" t="str">
        <f t="shared" si="25"/>
        <v/>
      </c>
      <c r="CC27" s="21" t="str">
        <f t="shared" si="26"/>
        <v/>
      </c>
      <c r="CD27" s="21" t="str">
        <f t="shared" si="27"/>
        <v/>
      </c>
      <c r="CE27" s="22">
        <f t="shared" si="28"/>
        <v>0</v>
      </c>
      <c r="CF27" s="28" t="str">
        <f t="shared" si="29"/>
        <v/>
      </c>
      <c r="CG27" s="28" t="str">
        <f t="shared" si="30"/>
        <v/>
      </c>
      <c r="CH27" s="21" t="str">
        <f t="shared" si="31"/>
        <v/>
      </c>
      <c r="CI27" s="22">
        <f t="shared" si="32"/>
        <v>0</v>
      </c>
      <c r="CJ27" s="22">
        <f t="shared" si="33"/>
        <v>0</v>
      </c>
      <c r="CK27" s="22">
        <f t="shared" si="34"/>
        <v>0</v>
      </c>
      <c r="CL27" s="22">
        <f t="shared" si="35"/>
        <v>0</v>
      </c>
      <c r="CM27" s="22">
        <f t="shared" si="36"/>
        <v>0</v>
      </c>
      <c r="CN27" s="22">
        <f t="shared" si="37"/>
        <v>0</v>
      </c>
      <c r="CO27" s="22">
        <f t="shared" si="38"/>
        <v>0</v>
      </c>
      <c r="CP27" s="22">
        <f t="shared" si="39"/>
        <v>0</v>
      </c>
      <c r="CQ27" s="21" t="str">
        <f t="shared" si="40"/>
        <v/>
      </c>
    </row>
    <row r="28" spans="1:95" x14ac:dyDescent="0.2">
      <c r="A28" s="10"/>
      <c r="B28" s="10"/>
      <c r="C28" s="12"/>
      <c r="D28" s="10"/>
      <c r="E28" s="17"/>
      <c r="F28" s="10"/>
      <c r="G28" s="10"/>
      <c r="H28" s="10"/>
      <c r="I28" s="17"/>
      <c r="J28" s="17"/>
      <c r="K28" s="10"/>
      <c r="L28" s="17"/>
      <c r="M28" s="17"/>
      <c r="N28" s="17"/>
      <c r="O28" s="10"/>
      <c r="P28" s="15"/>
      <c r="Q28" s="15"/>
      <c r="R28" s="10"/>
      <c r="S28" s="10"/>
      <c r="T28" s="21" t="str">
        <f t="shared" si="0"/>
        <v/>
      </c>
      <c r="U28" s="21" t="str">
        <f t="shared" si="1"/>
        <v/>
      </c>
      <c r="V28" s="21" t="str">
        <f t="shared" si="2"/>
        <v/>
      </c>
      <c r="W28" s="21" t="str">
        <f t="shared" si="3"/>
        <v/>
      </c>
      <c r="X28" s="21" t="str">
        <f t="shared" si="4"/>
        <v/>
      </c>
      <c r="Y28" s="21" t="str">
        <f t="shared" si="5"/>
        <v/>
      </c>
      <c r="Z28" s="21" t="str">
        <f t="shared" si="6"/>
        <v/>
      </c>
      <c r="AA28" s="21" t="str">
        <f t="shared" si="7"/>
        <v/>
      </c>
      <c r="AB28" s="21" t="str">
        <f t="shared" si="8"/>
        <v/>
      </c>
      <c r="AC28" s="21" t="str">
        <f>IF(AQ28=1,"",MID(IF(BX28&lt;&gt;""," | "&amp;BX28&amp;": "&amp;SUBSTITUTE(IFERROR(INDEX(nMSG_Text,MATCH(BX28,nMSG_Code,0)),""),"[input]",BY28),"")&amp;IF(CI28=1," | W_TZ_UNKNOWN: "&amp;SUBSTITUTE(IFERROR(INDEX(nMSG_Text,MATCH("W_TZ_UNKNOWN",nMSG_Code,0)),""),"[input]",""),"")&amp;IF(CJ28=1," | W_SAME_DATE_ORDER_UNKNOWN: "&amp;SUBSTITUTE(IFERROR(INDEX(nMSG_Text,MATCH("W_SAME_DATE_ORDER_UNKNOWN",nMSG_Code,0)),""),"[input]",""),"")&amp;IF(CK28=1," | W_SEQUENCE_UNCERTAIN: "&amp;SUBSTITUTE(IFERROR(INDEX(nMSG_Text,MATCH("W_SEQUENCE_UNCERTAIN",nMSG_Code,0)),""),"[input]",""),"")&amp;IF(CL28=1," | W_ADMIN_SAME_DATE_AS_ONSET: "&amp;SUBSTITUTE(IFERROR(INDEX(nMSG_Text,MATCH("W_ADMIN_SAME_DATE_AS_ONSET",nMSG_Code,0)),""),"[input]",""),"")&amp;IF(CO28=1," | W_INTERVENTION_BEFORE_RECOVERY: "&amp;SUBSTITUTE(IFERROR(INDEX(nMSG_Text,MATCH("W_INTERVENTION_BEFORE_RECOVERY",nMSG_Code,0)),""),"[input]",""),"")&amp;IF(OR(CQ28="",CQ28="OVERLAP"),""," | "&amp;CQ28&amp;" (reported timing): "&amp;SUBSTITUTE(IFERROR(INDEX(nMSG_Text,MATCH(CQ28,nMSG_Code,0)),""),"[input]","numeric reported bounds and a reported unit"))&amp;IF(CM28=1," | I_TREATMENT_DAY_UNDEFINED: "&amp;SUBSTITUTE(IFERROR(INDEX(nMSG_Text,MATCH("I_TREATMENT_DAY_UNDEFINED",nMSG_Code,0)),""),"[input]",""),"")&amp;IF(CH28&lt;&gt;""," | "&amp;CH28&amp;" (constraint): "&amp;SUBSTITUTE(IFERROR(INDEX(nMSG_Text,MATCH(CH28,nMSG_Code,0)),""),"[input]","a source for the constraint"),""),4,9999))</f>
        <v/>
      </c>
      <c r="AD28" s="21" t="str">
        <f t="shared" si="9"/>
        <v/>
      </c>
      <c r="AE28" s="21" t="str">
        <f t="shared" si="10"/>
        <v/>
      </c>
      <c r="AF28" s="21" t="str">
        <f t="shared" si="11"/>
        <v/>
      </c>
      <c r="AG28" s="21" t="str">
        <f t="shared" si="12"/>
        <v/>
      </c>
      <c r="AH28" s="21" t="str">
        <f>IF(BJ28=0,"",INDEX(nTP_ISO,BJ28))</f>
        <v/>
      </c>
      <c r="AI28" s="21" t="str">
        <f>IF(BJ28=0,"",INDEX(nTP_Display,BJ28))</f>
        <v/>
      </c>
      <c r="AJ28" s="21" t="str">
        <f>IF(AV28=0,"",INDEX(nTP_ISO,AV28))</f>
        <v/>
      </c>
      <c r="AK28" s="21" t="str">
        <f>IF(AV28=0,"",INDEX(nTP_Display,AV28))</f>
        <v/>
      </c>
      <c r="AL28" s="21" t="str">
        <f>IF(AU28=0,"",INDEX(nLNK_Exposure_Episode_ID,AU28)&amp;"")</f>
        <v/>
      </c>
      <c r="AM28" s="21" t="str">
        <f>IF(AU28=0,"",INDEX(nLNK_Event_Episode_ID,AU28)&amp;"")</f>
        <v/>
      </c>
      <c r="AN28" s="21" t="str">
        <f t="shared" si="13"/>
        <v/>
      </c>
      <c r="AO28" s="21" t="str">
        <f t="shared" si="14"/>
        <v/>
      </c>
      <c r="AP28" s="21" t="str">
        <f t="shared" si="15"/>
        <v/>
      </c>
      <c r="AQ28" s="22">
        <f t="shared" si="16"/>
        <v>1</v>
      </c>
      <c r="AR28" s="21" t="str">
        <f t="shared" si="17"/>
        <v>|</v>
      </c>
      <c r="AS28" s="21" t="str">
        <f t="shared" si="18"/>
        <v/>
      </c>
      <c r="AT28" s="22">
        <f>IF(AS28="",0,COUNTIF(nINT_Key,AS28))</f>
        <v>0</v>
      </c>
      <c r="AU28" s="22">
        <f>IF(D28="",0,IFERROR(MATCH(AR28&amp;"|"&amp;D28,nLNK_Key,0),0))</f>
        <v>0</v>
      </c>
      <c r="AV28" s="22">
        <f>IF(OR(AQ28=1,H28=""),0,IFERROR(MATCH(AR28&amp;"|"&amp;H28,nTP_Key,0),0))</f>
        <v>0</v>
      </c>
      <c r="AW28" s="21">
        <f>IF(AV28=0,0,INDEX(nTP_Dup,AV28))</f>
        <v>0</v>
      </c>
      <c r="AX28" s="21" t="str">
        <f>IF(AV28=0,"",INDEX(nTP_Record_Type,AV28))</f>
        <v/>
      </c>
      <c r="AY28" s="21" t="str">
        <f>IF(AV28=0,"",INDEX(nTP_Precision,AV28))</f>
        <v/>
      </c>
      <c r="AZ28" s="21" t="str">
        <f>IF(AV28=0,"",INDEX(nTP_Err,AV28))</f>
        <v/>
      </c>
      <c r="BA28" s="21">
        <f>IF(AV28=0,0,INDEX(nTP_HT,AV28))</f>
        <v>0</v>
      </c>
      <c r="BB28" s="21">
        <f>IF(AV28=0,0,INDEX(nTP_OK,AV28))</f>
        <v>0</v>
      </c>
      <c r="BC28" s="21" t="str">
        <f>IF(AV28=0,"",INDEX(nTP_Loc,AV28))</f>
        <v/>
      </c>
      <c r="BD28" s="21" t="str">
        <f>IF(AV28=0,"",INDEX(nTP_UTC,AV28))</f>
        <v/>
      </c>
      <c r="BE28" s="21" t="str">
        <f>IF(AV28=0,"",INDEX(nTP_Lo,AV28))</f>
        <v/>
      </c>
      <c r="BF28" s="21" t="str">
        <f>IF(AV28=0,"",INDEX(nTP_Hi,AV28))</f>
        <v/>
      </c>
      <c r="BG28" s="22">
        <f>IF(OR(AQ28=1,E28&lt;&gt;"LAST_DOSE_BEFORE_ONSET",AU28=0,AV28=0),0,IF(AZ28&lt;&gt;"",0,SUMPRODUCT(MAX((nADM_SelKey=AR28&amp;"|"&amp;AL28)*nADM_Valid*(nADM_A_HT*BA28*nADM_A_OK*BB28*(nADM_UTC_n&lt;=N(BD28))+nADM_A_HT*BA28*(1-nADM_A_OK*BB28)*(nADM_Loc_n&lt;=N(BC28))+(1-nADM_A_HT*BA28)*(nADM_Lo_n&lt;=N(BE28)))*nADM_Sort_n))))</f>
        <v>0</v>
      </c>
      <c r="BH28" s="22">
        <f>IF(BG28=0,0,MATCH(1,INDEX((nADM_SelKey=AR28&amp;"|"&amp;AL28)*nADM_Valid*(nADM_A_HT*BA28*nADM_A_OK*BB28*(nADM_UTC_n&lt;=N(BD28))+nADM_A_HT*BA28*(1-nADM_A_OK*BB28)*(nADM_Loc_n&lt;=N(BC28))+(1-nADM_A_HT*BA28)*(nADM_Lo_n&lt;=N(BE28)))*(nADM_Sort_n=BG28),0),0))</f>
        <v>0</v>
      </c>
      <c r="BI28" s="21" t="str">
        <f>IF(BH28=0,"",INDEX(nADM_Admin_ID,BH28)&amp;"")</f>
        <v/>
      </c>
      <c r="BJ28" s="22">
        <f>IF(OR(AQ28=1,AG28=""),0,IFERROR(MATCH(AR28&amp;"|"&amp;AG28,nTP_Key,0),0))</f>
        <v>0</v>
      </c>
      <c r="BK28" s="21">
        <f>IF(BJ28=0,0,INDEX(nTP_Dup,BJ28))</f>
        <v>0</v>
      </c>
      <c r="BL28" s="21" t="str">
        <f>IF(BJ28=0,"",INDEX(nTP_Record_Type,BJ28))</f>
        <v/>
      </c>
      <c r="BM28" s="21" t="str">
        <f>IF(BJ28=0,"",INDEX(nTP_Precision,BJ28))</f>
        <v/>
      </c>
      <c r="BN28" s="21" t="str">
        <f>IF(BJ28=0,"",INDEX(nTP_Err,BJ28))</f>
        <v/>
      </c>
      <c r="BO28" s="21">
        <f>IF(BJ28=0,0,INDEX(nTP_HT,BJ28))</f>
        <v>0</v>
      </c>
      <c r="BP28" s="21">
        <f>IF(BJ28=0,0,INDEX(nTP_OK,BJ28))</f>
        <v>0</v>
      </c>
      <c r="BQ28" s="21" t="str">
        <f>IF(BJ28=0,"",INDEX(nTP_Loc,BJ28))</f>
        <v/>
      </c>
      <c r="BR28" s="21" t="str">
        <f>IF(BJ28=0,"",INDEX(nTP_UTC,BJ28))</f>
        <v/>
      </c>
      <c r="BS28" s="21" t="str">
        <f>IF(BJ28=0,"",INDEX(nTP_Lo,BJ28))</f>
        <v/>
      </c>
      <c r="BT28" s="21" t="str">
        <f>IF(BJ28=0,"",INDEX(nTP_Hi,BJ28))</f>
        <v/>
      </c>
      <c r="BU28" s="22">
        <f>IF(OR(BJ28=0,AV28=0),0,SUMPRODUCT((nTP_Case_Key=AR28)*(nTP_Record_Type="MILESTONE:INTERVENTION")*(nTP_Err="")*(nTP_HT*BO28*BA28*(nTP_Loc_n&gt;=N(BQ28))*(nTP_Loc_n&lt;=N(BC28))+(1-nTP_HT*BO28*BA28)*(nTP_Lo_n&gt;=N(BS28))*(nTP_Hi_n&lt;=N(BF28))*(nTP_Lo_n&gt;0))))</f>
        <v>0</v>
      </c>
      <c r="BV28" s="21" t="str">
        <f t="shared" si="19"/>
        <v/>
      </c>
      <c r="BW28" s="21" t="str">
        <f t="shared" si="20"/>
        <v/>
      </c>
      <c r="BX28" s="21" t="str">
        <f t="shared" si="21"/>
        <v/>
      </c>
      <c r="BY28" s="21" t="str">
        <f t="shared" si="22"/>
        <v/>
      </c>
      <c r="BZ28" s="22">
        <f t="shared" si="23"/>
        <v>1</v>
      </c>
      <c r="CA28" s="21" t="str">
        <f t="shared" si="24"/>
        <v/>
      </c>
      <c r="CB28" s="21" t="str">
        <f t="shared" si="25"/>
        <v/>
      </c>
      <c r="CC28" s="21" t="str">
        <f t="shared" si="26"/>
        <v/>
      </c>
      <c r="CD28" s="21" t="str">
        <f t="shared" si="27"/>
        <v/>
      </c>
      <c r="CE28" s="22">
        <f t="shared" si="28"/>
        <v>0</v>
      </c>
      <c r="CF28" s="28" t="str">
        <f t="shared" si="29"/>
        <v/>
      </c>
      <c r="CG28" s="28" t="str">
        <f t="shared" si="30"/>
        <v/>
      </c>
      <c r="CH28" s="21" t="str">
        <f t="shared" si="31"/>
        <v/>
      </c>
      <c r="CI28" s="22">
        <f t="shared" si="32"/>
        <v>0</v>
      </c>
      <c r="CJ28" s="22">
        <f t="shared" si="33"/>
        <v>0</v>
      </c>
      <c r="CK28" s="22">
        <f t="shared" si="34"/>
        <v>0</v>
      </c>
      <c r="CL28" s="22">
        <f t="shared" si="35"/>
        <v>0</v>
      </c>
      <c r="CM28" s="22">
        <f t="shared" si="36"/>
        <v>0</v>
      </c>
      <c r="CN28" s="22">
        <f t="shared" si="37"/>
        <v>0</v>
      </c>
      <c r="CO28" s="22">
        <f t="shared" si="38"/>
        <v>0</v>
      </c>
      <c r="CP28" s="22">
        <f t="shared" si="39"/>
        <v>0</v>
      </c>
      <c r="CQ28" s="21" t="str">
        <f t="shared" si="40"/>
        <v/>
      </c>
    </row>
    <row r="29" spans="1:95" x14ac:dyDescent="0.2">
      <c r="A29" s="10"/>
      <c r="B29" s="10"/>
      <c r="C29" s="12"/>
      <c r="D29" s="10"/>
      <c r="E29" s="17"/>
      <c r="F29" s="10"/>
      <c r="G29" s="10"/>
      <c r="H29" s="10"/>
      <c r="I29" s="17"/>
      <c r="J29" s="17"/>
      <c r="K29" s="10"/>
      <c r="L29" s="17"/>
      <c r="M29" s="17"/>
      <c r="N29" s="17"/>
      <c r="O29" s="10"/>
      <c r="P29" s="15"/>
      <c r="Q29" s="15"/>
      <c r="R29" s="10"/>
      <c r="S29" s="10"/>
      <c r="T29" s="21" t="str">
        <f t="shared" si="0"/>
        <v/>
      </c>
      <c r="U29" s="21" t="str">
        <f t="shared" si="1"/>
        <v/>
      </c>
      <c r="V29" s="21" t="str">
        <f t="shared" si="2"/>
        <v/>
      </c>
      <c r="W29" s="21" t="str">
        <f t="shared" si="3"/>
        <v/>
      </c>
      <c r="X29" s="21" t="str">
        <f t="shared" si="4"/>
        <v/>
      </c>
      <c r="Y29" s="21" t="str">
        <f t="shared" si="5"/>
        <v/>
      </c>
      <c r="Z29" s="21" t="str">
        <f t="shared" si="6"/>
        <v/>
      </c>
      <c r="AA29" s="21" t="str">
        <f t="shared" si="7"/>
        <v/>
      </c>
      <c r="AB29" s="21" t="str">
        <f t="shared" si="8"/>
        <v/>
      </c>
      <c r="AC29" s="21" t="str">
        <f>IF(AQ29=1,"",MID(IF(BX29&lt;&gt;""," | "&amp;BX29&amp;": "&amp;SUBSTITUTE(IFERROR(INDEX(nMSG_Text,MATCH(BX29,nMSG_Code,0)),""),"[input]",BY29),"")&amp;IF(CI29=1," | W_TZ_UNKNOWN: "&amp;SUBSTITUTE(IFERROR(INDEX(nMSG_Text,MATCH("W_TZ_UNKNOWN",nMSG_Code,0)),""),"[input]",""),"")&amp;IF(CJ29=1," | W_SAME_DATE_ORDER_UNKNOWN: "&amp;SUBSTITUTE(IFERROR(INDEX(nMSG_Text,MATCH("W_SAME_DATE_ORDER_UNKNOWN",nMSG_Code,0)),""),"[input]",""),"")&amp;IF(CK29=1," | W_SEQUENCE_UNCERTAIN: "&amp;SUBSTITUTE(IFERROR(INDEX(nMSG_Text,MATCH("W_SEQUENCE_UNCERTAIN",nMSG_Code,0)),""),"[input]",""),"")&amp;IF(CL29=1," | W_ADMIN_SAME_DATE_AS_ONSET: "&amp;SUBSTITUTE(IFERROR(INDEX(nMSG_Text,MATCH("W_ADMIN_SAME_DATE_AS_ONSET",nMSG_Code,0)),""),"[input]",""),"")&amp;IF(CO29=1," | W_INTERVENTION_BEFORE_RECOVERY: "&amp;SUBSTITUTE(IFERROR(INDEX(nMSG_Text,MATCH("W_INTERVENTION_BEFORE_RECOVERY",nMSG_Code,0)),""),"[input]",""),"")&amp;IF(OR(CQ29="",CQ29="OVERLAP"),""," | "&amp;CQ29&amp;" (reported timing): "&amp;SUBSTITUTE(IFERROR(INDEX(nMSG_Text,MATCH(CQ29,nMSG_Code,0)),""),"[input]","numeric reported bounds and a reported unit"))&amp;IF(CM29=1," | I_TREATMENT_DAY_UNDEFINED: "&amp;SUBSTITUTE(IFERROR(INDEX(nMSG_Text,MATCH("I_TREATMENT_DAY_UNDEFINED",nMSG_Code,0)),""),"[input]",""),"")&amp;IF(CH29&lt;&gt;""," | "&amp;CH29&amp;" (constraint): "&amp;SUBSTITUTE(IFERROR(INDEX(nMSG_Text,MATCH(CH29,nMSG_Code,0)),""),"[input]","a source for the constraint"),""),4,9999))</f>
        <v/>
      </c>
      <c r="AD29" s="21" t="str">
        <f t="shared" si="9"/>
        <v/>
      </c>
      <c r="AE29" s="21" t="str">
        <f t="shared" si="10"/>
        <v/>
      </c>
      <c r="AF29" s="21" t="str">
        <f t="shared" si="11"/>
        <v/>
      </c>
      <c r="AG29" s="21" t="str">
        <f t="shared" si="12"/>
        <v/>
      </c>
      <c r="AH29" s="21" t="str">
        <f>IF(BJ29=0,"",INDEX(nTP_ISO,BJ29))</f>
        <v/>
      </c>
      <c r="AI29" s="21" t="str">
        <f>IF(BJ29=0,"",INDEX(nTP_Display,BJ29))</f>
        <v/>
      </c>
      <c r="AJ29" s="21" t="str">
        <f>IF(AV29=0,"",INDEX(nTP_ISO,AV29))</f>
        <v/>
      </c>
      <c r="AK29" s="21" t="str">
        <f>IF(AV29=0,"",INDEX(nTP_Display,AV29))</f>
        <v/>
      </c>
      <c r="AL29" s="21" t="str">
        <f>IF(AU29=0,"",INDEX(nLNK_Exposure_Episode_ID,AU29)&amp;"")</f>
        <v/>
      </c>
      <c r="AM29" s="21" t="str">
        <f>IF(AU29=0,"",INDEX(nLNK_Event_Episode_ID,AU29)&amp;"")</f>
        <v/>
      </c>
      <c r="AN29" s="21" t="str">
        <f t="shared" si="13"/>
        <v/>
      </c>
      <c r="AO29" s="21" t="str">
        <f t="shared" si="14"/>
        <v/>
      </c>
      <c r="AP29" s="21" t="str">
        <f t="shared" si="15"/>
        <v/>
      </c>
      <c r="AQ29" s="22">
        <f t="shared" si="16"/>
        <v>1</v>
      </c>
      <c r="AR29" s="21" t="str">
        <f t="shared" si="17"/>
        <v>|</v>
      </c>
      <c r="AS29" s="21" t="str">
        <f t="shared" si="18"/>
        <v/>
      </c>
      <c r="AT29" s="22">
        <f>IF(AS29="",0,COUNTIF(nINT_Key,AS29))</f>
        <v>0</v>
      </c>
      <c r="AU29" s="22">
        <f>IF(D29="",0,IFERROR(MATCH(AR29&amp;"|"&amp;D29,nLNK_Key,0),0))</f>
        <v>0</v>
      </c>
      <c r="AV29" s="22">
        <f>IF(OR(AQ29=1,H29=""),0,IFERROR(MATCH(AR29&amp;"|"&amp;H29,nTP_Key,0),0))</f>
        <v>0</v>
      </c>
      <c r="AW29" s="21">
        <f>IF(AV29=0,0,INDEX(nTP_Dup,AV29))</f>
        <v>0</v>
      </c>
      <c r="AX29" s="21" t="str">
        <f>IF(AV29=0,"",INDEX(nTP_Record_Type,AV29))</f>
        <v/>
      </c>
      <c r="AY29" s="21" t="str">
        <f>IF(AV29=0,"",INDEX(nTP_Precision,AV29))</f>
        <v/>
      </c>
      <c r="AZ29" s="21" t="str">
        <f>IF(AV29=0,"",INDEX(nTP_Err,AV29))</f>
        <v/>
      </c>
      <c r="BA29" s="21">
        <f>IF(AV29=0,0,INDEX(nTP_HT,AV29))</f>
        <v>0</v>
      </c>
      <c r="BB29" s="21">
        <f>IF(AV29=0,0,INDEX(nTP_OK,AV29))</f>
        <v>0</v>
      </c>
      <c r="BC29" s="21" t="str">
        <f>IF(AV29=0,"",INDEX(nTP_Loc,AV29))</f>
        <v/>
      </c>
      <c r="BD29" s="21" t="str">
        <f>IF(AV29=0,"",INDEX(nTP_UTC,AV29))</f>
        <v/>
      </c>
      <c r="BE29" s="21" t="str">
        <f>IF(AV29=0,"",INDEX(nTP_Lo,AV29))</f>
        <v/>
      </c>
      <c r="BF29" s="21" t="str">
        <f>IF(AV29=0,"",INDEX(nTP_Hi,AV29))</f>
        <v/>
      </c>
      <c r="BG29" s="22">
        <f>IF(OR(AQ29=1,E29&lt;&gt;"LAST_DOSE_BEFORE_ONSET",AU29=0,AV29=0),0,IF(AZ29&lt;&gt;"",0,SUMPRODUCT(MAX((nADM_SelKey=AR29&amp;"|"&amp;AL29)*nADM_Valid*(nADM_A_HT*BA29*nADM_A_OK*BB29*(nADM_UTC_n&lt;=N(BD29))+nADM_A_HT*BA29*(1-nADM_A_OK*BB29)*(nADM_Loc_n&lt;=N(BC29))+(1-nADM_A_HT*BA29)*(nADM_Lo_n&lt;=N(BE29)))*nADM_Sort_n))))</f>
        <v>0</v>
      </c>
      <c r="BH29" s="22">
        <f>IF(BG29=0,0,MATCH(1,INDEX((nADM_SelKey=AR29&amp;"|"&amp;AL29)*nADM_Valid*(nADM_A_HT*BA29*nADM_A_OK*BB29*(nADM_UTC_n&lt;=N(BD29))+nADM_A_HT*BA29*(1-nADM_A_OK*BB29)*(nADM_Loc_n&lt;=N(BC29))+(1-nADM_A_HT*BA29)*(nADM_Lo_n&lt;=N(BE29)))*(nADM_Sort_n=BG29),0),0))</f>
        <v>0</v>
      </c>
      <c r="BI29" s="21" t="str">
        <f>IF(BH29=0,"",INDEX(nADM_Admin_ID,BH29)&amp;"")</f>
        <v/>
      </c>
      <c r="BJ29" s="22">
        <f>IF(OR(AQ29=1,AG29=""),0,IFERROR(MATCH(AR29&amp;"|"&amp;AG29,nTP_Key,0),0))</f>
        <v>0</v>
      </c>
      <c r="BK29" s="21">
        <f>IF(BJ29=0,0,INDEX(nTP_Dup,BJ29))</f>
        <v>0</v>
      </c>
      <c r="BL29" s="21" t="str">
        <f>IF(BJ29=0,"",INDEX(nTP_Record_Type,BJ29))</f>
        <v/>
      </c>
      <c r="BM29" s="21" t="str">
        <f>IF(BJ29=0,"",INDEX(nTP_Precision,BJ29))</f>
        <v/>
      </c>
      <c r="BN29" s="21" t="str">
        <f>IF(BJ29=0,"",INDEX(nTP_Err,BJ29))</f>
        <v/>
      </c>
      <c r="BO29" s="21">
        <f>IF(BJ29=0,0,INDEX(nTP_HT,BJ29))</f>
        <v>0</v>
      </c>
      <c r="BP29" s="21">
        <f>IF(BJ29=0,0,INDEX(nTP_OK,BJ29))</f>
        <v>0</v>
      </c>
      <c r="BQ29" s="21" t="str">
        <f>IF(BJ29=0,"",INDEX(nTP_Loc,BJ29))</f>
        <v/>
      </c>
      <c r="BR29" s="21" t="str">
        <f>IF(BJ29=0,"",INDEX(nTP_UTC,BJ29))</f>
        <v/>
      </c>
      <c r="BS29" s="21" t="str">
        <f>IF(BJ29=0,"",INDEX(nTP_Lo,BJ29))</f>
        <v/>
      </c>
      <c r="BT29" s="21" t="str">
        <f>IF(BJ29=0,"",INDEX(nTP_Hi,BJ29))</f>
        <v/>
      </c>
      <c r="BU29" s="22">
        <f>IF(OR(BJ29=0,AV29=0),0,SUMPRODUCT((nTP_Case_Key=AR29)*(nTP_Record_Type="MILESTONE:INTERVENTION")*(nTP_Err="")*(nTP_HT*BO29*BA29*(nTP_Loc_n&gt;=N(BQ29))*(nTP_Loc_n&lt;=N(BC29))+(1-nTP_HT*BO29*BA29)*(nTP_Lo_n&gt;=N(BS29))*(nTP_Hi_n&lt;=N(BF29))*(nTP_Lo_n&gt;0))))</f>
        <v>0</v>
      </c>
      <c r="BV29" s="21" t="str">
        <f t="shared" si="19"/>
        <v/>
      </c>
      <c r="BW29" s="21" t="str">
        <f t="shared" si="20"/>
        <v/>
      </c>
      <c r="BX29" s="21" t="str">
        <f t="shared" si="21"/>
        <v/>
      </c>
      <c r="BY29" s="21" t="str">
        <f t="shared" si="22"/>
        <v/>
      </c>
      <c r="BZ29" s="22">
        <f t="shared" si="23"/>
        <v>1</v>
      </c>
      <c r="CA29" s="21" t="str">
        <f t="shared" si="24"/>
        <v/>
      </c>
      <c r="CB29" s="21" t="str">
        <f t="shared" si="25"/>
        <v/>
      </c>
      <c r="CC29" s="21" t="str">
        <f t="shared" si="26"/>
        <v/>
      </c>
      <c r="CD29" s="21" t="str">
        <f t="shared" si="27"/>
        <v/>
      </c>
      <c r="CE29" s="22">
        <f t="shared" si="28"/>
        <v>0</v>
      </c>
      <c r="CF29" s="28" t="str">
        <f t="shared" si="29"/>
        <v/>
      </c>
      <c r="CG29" s="28" t="str">
        <f t="shared" si="30"/>
        <v/>
      </c>
      <c r="CH29" s="21" t="str">
        <f t="shared" si="31"/>
        <v/>
      </c>
      <c r="CI29" s="22">
        <f t="shared" si="32"/>
        <v>0</v>
      </c>
      <c r="CJ29" s="22">
        <f t="shared" si="33"/>
        <v>0</v>
      </c>
      <c r="CK29" s="22">
        <f t="shared" si="34"/>
        <v>0</v>
      </c>
      <c r="CL29" s="22">
        <f t="shared" si="35"/>
        <v>0</v>
      </c>
      <c r="CM29" s="22">
        <f t="shared" si="36"/>
        <v>0</v>
      </c>
      <c r="CN29" s="22">
        <f t="shared" si="37"/>
        <v>0</v>
      </c>
      <c r="CO29" s="22">
        <f t="shared" si="38"/>
        <v>0</v>
      </c>
      <c r="CP29" s="22">
        <f t="shared" si="39"/>
        <v>0</v>
      </c>
      <c r="CQ29" s="21" t="str">
        <f t="shared" si="40"/>
        <v/>
      </c>
    </row>
    <row r="30" spans="1:95" x14ac:dyDescent="0.2">
      <c r="A30" s="10"/>
      <c r="B30" s="10"/>
      <c r="C30" s="12"/>
      <c r="D30" s="10"/>
      <c r="E30" s="17"/>
      <c r="F30" s="10"/>
      <c r="G30" s="10"/>
      <c r="H30" s="10"/>
      <c r="I30" s="17"/>
      <c r="J30" s="17"/>
      <c r="K30" s="10"/>
      <c r="L30" s="17"/>
      <c r="M30" s="17"/>
      <c r="N30" s="17"/>
      <c r="O30" s="10"/>
      <c r="P30" s="15"/>
      <c r="Q30" s="15"/>
      <c r="R30" s="10"/>
      <c r="S30" s="10"/>
      <c r="T30" s="21" t="str">
        <f t="shared" si="0"/>
        <v/>
      </c>
      <c r="U30" s="21" t="str">
        <f t="shared" si="1"/>
        <v/>
      </c>
      <c r="V30" s="21" t="str">
        <f t="shared" si="2"/>
        <v/>
      </c>
      <c r="W30" s="21" t="str">
        <f t="shared" si="3"/>
        <v/>
      </c>
      <c r="X30" s="21" t="str">
        <f t="shared" si="4"/>
        <v/>
      </c>
      <c r="Y30" s="21" t="str">
        <f t="shared" si="5"/>
        <v/>
      </c>
      <c r="Z30" s="21" t="str">
        <f t="shared" si="6"/>
        <v/>
      </c>
      <c r="AA30" s="21" t="str">
        <f t="shared" si="7"/>
        <v/>
      </c>
      <c r="AB30" s="21" t="str">
        <f t="shared" si="8"/>
        <v/>
      </c>
      <c r="AC30" s="21" t="str">
        <f>IF(AQ30=1,"",MID(IF(BX30&lt;&gt;""," | "&amp;BX30&amp;": "&amp;SUBSTITUTE(IFERROR(INDEX(nMSG_Text,MATCH(BX30,nMSG_Code,0)),""),"[input]",BY30),"")&amp;IF(CI30=1," | W_TZ_UNKNOWN: "&amp;SUBSTITUTE(IFERROR(INDEX(nMSG_Text,MATCH("W_TZ_UNKNOWN",nMSG_Code,0)),""),"[input]",""),"")&amp;IF(CJ30=1," | W_SAME_DATE_ORDER_UNKNOWN: "&amp;SUBSTITUTE(IFERROR(INDEX(nMSG_Text,MATCH("W_SAME_DATE_ORDER_UNKNOWN",nMSG_Code,0)),""),"[input]",""),"")&amp;IF(CK30=1," | W_SEQUENCE_UNCERTAIN: "&amp;SUBSTITUTE(IFERROR(INDEX(nMSG_Text,MATCH("W_SEQUENCE_UNCERTAIN",nMSG_Code,0)),""),"[input]",""),"")&amp;IF(CL30=1," | W_ADMIN_SAME_DATE_AS_ONSET: "&amp;SUBSTITUTE(IFERROR(INDEX(nMSG_Text,MATCH("W_ADMIN_SAME_DATE_AS_ONSET",nMSG_Code,0)),""),"[input]",""),"")&amp;IF(CO30=1," | W_INTERVENTION_BEFORE_RECOVERY: "&amp;SUBSTITUTE(IFERROR(INDEX(nMSG_Text,MATCH("W_INTERVENTION_BEFORE_RECOVERY",nMSG_Code,0)),""),"[input]",""),"")&amp;IF(OR(CQ30="",CQ30="OVERLAP"),""," | "&amp;CQ30&amp;" (reported timing): "&amp;SUBSTITUTE(IFERROR(INDEX(nMSG_Text,MATCH(CQ30,nMSG_Code,0)),""),"[input]","numeric reported bounds and a reported unit"))&amp;IF(CM30=1," | I_TREATMENT_DAY_UNDEFINED: "&amp;SUBSTITUTE(IFERROR(INDEX(nMSG_Text,MATCH("I_TREATMENT_DAY_UNDEFINED",nMSG_Code,0)),""),"[input]",""),"")&amp;IF(CH30&lt;&gt;""," | "&amp;CH30&amp;" (constraint): "&amp;SUBSTITUTE(IFERROR(INDEX(nMSG_Text,MATCH(CH30,nMSG_Code,0)),""),"[input]","a source for the constraint"),""),4,9999))</f>
        <v/>
      </c>
      <c r="AD30" s="21" t="str">
        <f t="shared" si="9"/>
        <v/>
      </c>
      <c r="AE30" s="21" t="str">
        <f t="shared" si="10"/>
        <v/>
      </c>
      <c r="AF30" s="21" t="str">
        <f t="shared" si="11"/>
        <v/>
      </c>
      <c r="AG30" s="21" t="str">
        <f t="shared" si="12"/>
        <v/>
      </c>
      <c r="AH30" s="21" t="str">
        <f>IF(BJ30=0,"",INDEX(nTP_ISO,BJ30))</f>
        <v/>
      </c>
      <c r="AI30" s="21" t="str">
        <f>IF(BJ30=0,"",INDEX(nTP_Display,BJ30))</f>
        <v/>
      </c>
      <c r="AJ30" s="21" t="str">
        <f>IF(AV30=0,"",INDEX(nTP_ISO,AV30))</f>
        <v/>
      </c>
      <c r="AK30" s="21" t="str">
        <f>IF(AV30=0,"",INDEX(nTP_Display,AV30))</f>
        <v/>
      </c>
      <c r="AL30" s="21" t="str">
        <f>IF(AU30=0,"",INDEX(nLNK_Exposure_Episode_ID,AU30)&amp;"")</f>
        <v/>
      </c>
      <c r="AM30" s="21" t="str">
        <f>IF(AU30=0,"",INDEX(nLNK_Event_Episode_ID,AU30)&amp;"")</f>
        <v/>
      </c>
      <c r="AN30" s="21" t="str">
        <f t="shared" si="13"/>
        <v/>
      </c>
      <c r="AO30" s="21" t="str">
        <f t="shared" si="14"/>
        <v/>
      </c>
      <c r="AP30" s="21" t="str">
        <f t="shared" si="15"/>
        <v/>
      </c>
      <c r="AQ30" s="22">
        <f t="shared" si="16"/>
        <v>1</v>
      </c>
      <c r="AR30" s="21" t="str">
        <f t="shared" si="17"/>
        <v>|</v>
      </c>
      <c r="AS30" s="21" t="str">
        <f t="shared" si="18"/>
        <v/>
      </c>
      <c r="AT30" s="22">
        <f>IF(AS30="",0,COUNTIF(nINT_Key,AS30))</f>
        <v>0</v>
      </c>
      <c r="AU30" s="22">
        <f>IF(D30="",0,IFERROR(MATCH(AR30&amp;"|"&amp;D30,nLNK_Key,0),0))</f>
        <v>0</v>
      </c>
      <c r="AV30" s="22">
        <f>IF(OR(AQ30=1,H30=""),0,IFERROR(MATCH(AR30&amp;"|"&amp;H30,nTP_Key,0),0))</f>
        <v>0</v>
      </c>
      <c r="AW30" s="21">
        <f>IF(AV30=0,0,INDEX(nTP_Dup,AV30))</f>
        <v>0</v>
      </c>
      <c r="AX30" s="21" t="str">
        <f>IF(AV30=0,"",INDEX(nTP_Record_Type,AV30))</f>
        <v/>
      </c>
      <c r="AY30" s="21" t="str">
        <f>IF(AV30=0,"",INDEX(nTP_Precision,AV30))</f>
        <v/>
      </c>
      <c r="AZ30" s="21" t="str">
        <f>IF(AV30=0,"",INDEX(nTP_Err,AV30))</f>
        <v/>
      </c>
      <c r="BA30" s="21">
        <f>IF(AV30=0,0,INDEX(nTP_HT,AV30))</f>
        <v>0</v>
      </c>
      <c r="BB30" s="21">
        <f>IF(AV30=0,0,INDEX(nTP_OK,AV30))</f>
        <v>0</v>
      </c>
      <c r="BC30" s="21" t="str">
        <f>IF(AV30=0,"",INDEX(nTP_Loc,AV30))</f>
        <v/>
      </c>
      <c r="BD30" s="21" t="str">
        <f>IF(AV30=0,"",INDEX(nTP_UTC,AV30))</f>
        <v/>
      </c>
      <c r="BE30" s="21" t="str">
        <f>IF(AV30=0,"",INDEX(nTP_Lo,AV30))</f>
        <v/>
      </c>
      <c r="BF30" s="21" t="str">
        <f>IF(AV30=0,"",INDEX(nTP_Hi,AV30))</f>
        <v/>
      </c>
      <c r="BG30" s="22">
        <f>IF(OR(AQ30=1,E30&lt;&gt;"LAST_DOSE_BEFORE_ONSET",AU30=0,AV30=0),0,IF(AZ30&lt;&gt;"",0,SUMPRODUCT(MAX((nADM_SelKey=AR30&amp;"|"&amp;AL30)*nADM_Valid*(nADM_A_HT*BA30*nADM_A_OK*BB30*(nADM_UTC_n&lt;=N(BD30))+nADM_A_HT*BA30*(1-nADM_A_OK*BB30)*(nADM_Loc_n&lt;=N(BC30))+(1-nADM_A_HT*BA30)*(nADM_Lo_n&lt;=N(BE30)))*nADM_Sort_n))))</f>
        <v>0</v>
      </c>
      <c r="BH30" s="22">
        <f>IF(BG30=0,0,MATCH(1,INDEX((nADM_SelKey=AR30&amp;"|"&amp;AL30)*nADM_Valid*(nADM_A_HT*BA30*nADM_A_OK*BB30*(nADM_UTC_n&lt;=N(BD30))+nADM_A_HT*BA30*(1-nADM_A_OK*BB30)*(nADM_Loc_n&lt;=N(BC30))+(1-nADM_A_HT*BA30)*(nADM_Lo_n&lt;=N(BE30)))*(nADM_Sort_n=BG30),0),0))</f>
        <v>0</v>
      </c>
      <c r="BI30" s="21" t="str">
        <f>IF(BH30=0,"",INDEX(nADM_Admin_ID,BH30)&amp;"")</f>
        <v/>
      </c>
      <c r="BJ30" s="22">
        <f>IF(OR(AQ30=1,AG30=""),0,IFERROR(MATCH(AR30&amp;"|"&amp;AG30,nTP_Key,0),0))</f>
        <v>0</v>
      </c>
      <c r="BK30" s="21">
        <f>IF(BJ30=0,0,INDEX(nTP_Dup,BJ30))</f>
        <v>0</v>
      </c>
      <c r="BL30" s="21" t="str">
        <f>IF(BJ30=0,"",INDEX(nTP_Record_Type,BJ30))</f>
        <v/>
      </c>
      <c r="BM30" s="21" t="str">
        <f>IF(BJ30=0,"",INDEX(nTP_Precision,BJ30))</f>
        <v/>
      </c>
      <c r="BN30" s="21" t="str">
        <f>IF(BJ30=0,"",INDEX(nTP_Err,BJ30))</f>
        <v/>
      </c>
      <c r="BO30" s="21">
        <f>IF(BJ30=0,0,INDEX(nTP_HT,BJ30))</f>
        <v>0</v>
      </c>
      <c r="BP30" s="21">
        <f>IF(BJ30=0,0,INDEX(nTP_OK,BJ30))</f>
        <v>0</v>
      </c>
      <c r="BQ30" s="21" t="str">
        <f>IF(BJ30=0,"",INDEX(nTP_Loc,BJ30))</f>
        <v/>
      </c>
      <c r="BR30" s="21" t="str">
        <f>IF(BJ30=0,"",INDEX(nTP_UTC,BJ30))</f>
        <v/>
      </c>
      <c r="BS30" s="21" t="str">
        <f>IF(BJ30=0,"",INDEX(nTP_Lo,BJ30))</f>
        <v/>
      </c>
      <c r="BT30" s="21" t="str">
        <f>IF(BJ30=0,"",INDEX(nTP_Hi,BJ30))</f>
        <v/>
      </c>
      <c r="BU30" s="22">
        <f>IF(OR(BJ30=0,AV30=0),0,SUMPRODUCT((nTP_Case_Key=AR30)*(nTP_Record_Type="MILESTONE:INTERVENTION")*(nTP_Err="")*(nTP_HT*BO30*BA30*(nTP_Loc_n&gt;=N(BQ30))*(nTP_Loc_n&lt;=N(BC30))+(1-nTP_HT*BO30*BA30)*(nTP_Lo_n&gt;=N(BS30))*(nTP_Hi_n&lt;=N(BF30))*(nTP_Lo_n&gt;0))))</f>
        <v>0</v>
      </c>
      <c r="BV30" s="21" t="str">
        <f t="shared" si="19"/>
        <v/>
      </c>
      <c r="BW30" s="21" t="str">
        <f t="shared" si="20"/>
        <v/>
      </c>
      <c r="BX30" s="21" t="str">
        <f t="shared" si="21"/>
        <v/>
      </c>
      <c r="BY30" s="21" t="str">
        <f t="shared" si="22"/>
        <v/>
      </c>
      <c r="BZ30" s="22">
        <f t="shared" si="23"/>
        <v>1</v>
      </c>
      <c r="CA30" s="21" t="str">
        <f t="shared" si="24"/>
        <v/>
      </c>
      <c r="CB30" s="21" t="str">
        <f t="shared" si="25"/>
        <v/>
      </c>
      <c r="CC30" s="21" t="str">
        <f t="shared" si="26"/>
        <v/>
      </c>
      <c r="CD30" s="21" t="str">
        <f t="shared" si="27"/>
        <v/>
      </c>
      <c r="CE30" s="22">
        <f t="shared" si="28"/>
        <v>0</v>
      </c>
      <c r="CF30" s="28" t="str">
        <f t="shared" si="29"/>
        <v/>
      </c>
      <c r="CG30" s="28" t="str">
        <f t="shared" si="30"/>
        <v/>
      </c>
      <c r="CH30" s="21" t="str">
        <f t="shared" si="31"/>
        <v/>
      </c>
      <c r="CI30" s="22">
        <f t="shared" si="32"/>
        <v>0</v>
      </c>
      <c r="CJ30" s="22">
        <f t="shared" si="33"/>
        <v>0</v>
      </c>
      <c r="CK30" s="22">
        <f t="shared" si="34"/>
        <v>0</v>
      </c>
      <c r="CL30" s="22">
        <f t="shared" si="35"/>
        <v>0</v>
      </c>
      <c r="CM30" s="22">
        <f t="shared" si="36"/>
        <v>0</v>
      </c>
      <c r="CN30" s="22">
        <f t="shared" si="37"/>
        <v>0</v>
      </c>
      <c r="CO30" s="22">
        <f t="shared" si="38"/>
        <v>0</v>
      </c>
      <c r="CP30" s="22">
        <f t="shared" si="39"/>
        <v>0</v>
      </c>
      <c r="CQ30" s="21" t="str">
        <f t="shared" si="40"/>
        <v/>
      </c>
    </row>
    <row r="31" spans="1:95" x14ac:dyDescent="0.2">
      <c r="A31" s="10"/>
      <c r="B31" s="10"/>
      <c r="C31" s="12"/>
      <c r="D31" s="10"/>
      <c r="E31" s="17"/>
      <c r="F31" s="10"/>
      <c r="G31" s="10"/>
      <c r="H31" s="10"/>
      <c r="I31" s="17"/>
      <c r="J31" s="17"/>
      <c r="K31" s="10"/>
      <c r="L31" s="17"/>
      <c r="M31" s="17"/>
      <c r="N31" s="17"/>
      <c r="O31" s="10"/>
      <c r="P31" s="15"/>
      <c r="Q31" s="15"/>
      <c r="R31" s="10"/>
      <c r="S31" s="10"/>
      <c r="T31" s="21" t="str">
        <f t="shared" si="0"/>
        <v/>
      </c>
      <c r="U31" s="21" t="str">
        <f t="shared" si="1"/>
        <v/>
      </c>
      <c r="V31" s="21" t="str">
        <f t="shared" si="2"/>
        <v/>
      </c>
      <c r="W31" s="21" t="str">
        <f t="shared" si="3"/>
        <v/>
      </c>
      <c r="X31" s="21" t="str">
        <f t="shared" si="4"/>
        <v/>
      </c>
      <c r="Y31" s="21" t="str">
        <f t="shared" si="5"/>
        <v/>
      </c>
      <c r="Z31" s="21" t="str">
        <f t="shared" si="6"/>
        <v/>
      </c>
      <c r="AA31" s="21" t="str">
        <f t="shared" si="7"/>
        <v/>
      </c>
      <c r="AB31" s="21" t="str">
        <f t="shared" si="8"/>
        <v/>
      </c>
      <c r="AC31" s="21" t="str">
        <f>IF(AQ31=1,"",MID(IF(BX31&lt;&gt;""," | "&amp;BX31&amp;": "&amp;SUBSTITUTE(IFERROR(INDEX(nMSG_Text,MATCH(BX31,nMSG_Code,0)),""),"[input]",BY31),"")&amp;IF(CI31=1," | W_TZ_UNKNOWN: "&amp;SUBSTITUTE(IFERROR(INDEX(nMSG_Text,MATCH("W_TZ_UNKNOWN",nMSG_Code,0)),""),"[input]",""),"")&amp;IF(CJ31=1," | W_SAME_DATE_ORDER_UNKNOWN: "&amp;SUBSTITUTE(IFERROR(INDEX(nMSG_Text,MATCH("W_SAME_DATE_ORDER_UNKNOWN",nMSG_Code,0)),""),"[input]",""),"")&amp;IF(CK31=1," | W_SEQUENCE_UNCERTAIN: "&amp;SUBSTITUTE(IFERROR(INDEX(nMSG_Text,MATCH("W_SEQUENCE_UNCERTAIN",nMSG_Code,0)),""),"[input]",""),"")&amp;IF(CL31=1," | W_ADMIN_SAME_DATE_AS_ONSET: "&amp;SUBSTITUTE(IFERROR(INDEX(nMSG_Text,MATCH("W_ADMIN_SAME_DATE_AS_ONSET",nMSG_Code,0)),""),"[input]",""),"")&amp;IF(CO31=1," | W_INTERVENTION_BEFORE_RECOVERY: "&amp;SUBSTITUTE(IFERROR(INDEX(nMSG_Text,MATCH("W_INTERVENTION_BEFORE_RECOVERY",nMSG_Code,0)),""),"[input]",""),"")&amp;IF(OR(CQ31="",CQ31="OVERLAP"),""," | "&amp;CQ31&amp;" (reported timing): "&amp;SUBSTITUTE(IFERROR(INDEX(nMSG_Text,MATCH(CQ31,nMSG_Code,0)),""),"[input]","numeric reported bounds and a reported unit"))&amp;IF(CM31=1," | I_TREATMENT_DAY_UNDEFINED: "&amp;SUBSTITUTE(IFERROR(INDEX(nMSG_Text,MATCH("I_TREATMENT_DAY_UNDEFINED",nMSG_Code,0)),""),"[input]",""),"")&amp;IF(CH31&lt;&gt;""," | "&amp;CH31&amp;" (constraint): "&amp;SUBSTITUTE(IFERROR(INDEX(nMSG_Text,MATCH(CH31,nMSG_Code,0)),""),"[input]","a source for the constraint"),""),4,9999))</f>
        <v/>
      </c>
      <c r="AD31" s="21" t="str">
        <f t="shared" si="9"/>
        <v/>
      </c>
      <c r="AE31" s="21" t="str">
        <f t="shared" si="10"/>
        <v/>
      </c>
      <c r="AF31" s="21" t="str">
        <f t="shared" si="11"/>
        <v/>
      </c>
      <c r="AG31" s="21" t="str">
        <f t="shared" si="12"/>
        <v/>
      </c>
      <c r="AH31" s="21" t="str">
        <f>IF(BJ31=0,"",INDEX(nTP_ISO,BJ31))</f>
        <v/>
      </c>
      <c r="AI31" s="21" t="str">
        <f>IF(BJ31=0,"",INDEX(nTP_Display,BJ31))</f>
        <v/>
      </c>
      <c r="AJ31" s="21" t="str">
        <f>IF(AV31=0,"",INDEX(nTP_ISO,AV31))</f>
        <v/>
      </c>
      <c r="AK31" s="21" t="str">
        <f>IF(AV31=0,"",INDEX(nTP_Display,AV31))</f>
        <v/>
      </c>
      <c r="AL31" s="21" t="str">
        <f>IF(AU31=0,"",INDEX(nLNK_Exposure_Episode_ID,AU31)&amp;"")</f>
        <v/>
      </c>
      <c r="AM31" s="21" t="str">
        <f>IF(AU31=0,"",INDEX(nLNK_Event_Episode_ID,AU31)&amp;"")</f>
        <v/>
      </c>
      <c r="AN31" s="21" t="str">
        <f t="shared" si="13"/>
        <v/>
      </c>
      <c r="AO31" s="21" t="str">
        <f t="shared" si="14"/>
        <v/>
      </c>
      <c r="AP31" s="21" t="str">
        <f t="shared" si="15"/>
        <v/>
      </c>
      <c r="AQ31" s="22">
        <f t="shared" si="16"/>
        <v>1</v>
      </c>
      <c r="AR31" s="21" t="str">
        <f t="shared" si="17"/>
        <v>|</v>
      </c>
      <c r="AS31" s="21" t="str">
        <f t="shared" si="18"/>
        <v/>
      </c>
      <c r="AT31" s="22">
        <f>IF(AS31="",0,COUNTIF(nINT_Key,AS31))</f>
        <v>0</v>
      </c>
      <c r="AU31" s="22">
        <f>IF(D31="",0,IFERROR(MATCH(AR31&amp;"|"&amp;D31,nLNK_Key,0),0))</f>
        <v>0</v>
      </c>
      <c r="AV31" s="22">
        <f>IF(OR(AQ31=1,H31=""),0,IFERROR(MATCH(AR31&amp;"|"&amp;H31,nTP_Key,0),0))</f>
        <v>0</v>
      </c>
      <c r="AW31" s="21">
        <f>IF(AV31=0,0,INDEX(nTP_Dup,AV31))</f>
        <v>0</v>
      </c>
      <c r="AX31" s="21" t="str">
        <f>IF(AV31=0,"",INDEX(nTP_Record_Type,AV31))</f>
        <v/>
      </c>
      <c r="AY31" s="21" t="str">
        <f>IF(AV31=0,"",INDEX(nTP_Precision,AV31))</f>
        <v/>
      </c>
      <c r="AZ31" s="21" t="str">
        <f>IF(AV31=0,"",INDEX(nTP_Err,AV31))</f>
        <v/>
      </c>
      <c r="BA31" s="21">
        <f>IF(AV31=0,0,INDEX(nTP_HT,AV31))</f>
        <v>0</v>
      </c>
      <c r="BB31" s="21">
        <f>IF(AV31=0,0,INDEX(nTP_OK,AV31))</f>
        <v>0</v>
      </c>
      <c r="BC31" s="21" t="str">
        <f>IF(AV31=0,"",INDEX(nTP_Loc,AV31))</f>
        <v/>
      </c>
      <c r="BD31" s="21" t="str">
        <f>IF(AV31=0,"",INDEX(nTP_UTC,AV31))</f>
        <v/>
      </c>
      <c r="BE31" s="21" t="str">
        <f>IF(AV31=0,"",INDEX(nTP_Lo,AV31))</f>
        <v/>
      </c>
      <c r="BF31" s="21" t="str">
        <f>IF(AV31=0,"",INDEX(nTP_Hi,AV31))</f>
        <v/>
      </c>
      <c r="BG31" s="22">
        <f>IF(OR(AQ31=1,E31&lt;&gt;"LAST_DOSE_BEFORE_ONSET",AU31=0,AV31=0),0,IF(AZ31&lt;&gt;"",0,SUMPRODUCT(MAX((nADM_SelKey=AR31&amp;"|"&amp;AL31)*nADM_Valid*(nADM_A_HT*BA31*nADM_A_OK*BB31*(nADM_UTC_n&lt;=N(BD31))+nADM_A_HT*BA31*(1-nADM_A_OK*BB31)*(nADM_Loc_n&lt;=N(BC31))+(1-nADM_A_HT*BA31)*(nADM_Lo_n&lt;=N(BE31)))*nADM_Sort_n))))</f>
        <v>0</v>
      </c>
      <c r="BH31" s="22">
        <f>IF(BG31=0,0,MATCH(1,INDEX((nADM_SelKey=AR31&amp;"|"&amp;AL31)*nADM_Valid*(nADM_A_HT*BA31*nADM_A_OK*BB31*(nADM_UTC_n&lt;=N(BD31))+nADM_A_HT*BA31*(1-nADM_A_OK*BB31)*(nADM_Loc_n&lt;=N(BC31))+(1-nADM_A_HT*BA31)*(nADM_Lo_n&lt;=N(BE31)))*(nADM_Sort_n=BG31),0),0))</f>
        <v>0</v>
      </c>
      <c r="BI31" s="21" t="str">
        <f>IF(BH31=0,"",INDEX(nADM_Admin_ID,BH31)&amp;"")</f>
        <v/>
      </c>
      <c r="BJ31" s="22">
        <f>IF(OR(AQ31=1,AG31=""),0,IFERROR(MATCH(AR31&amp;"|"&amp;AG31,nTP_Key,0),0))</f>
        <v>0</v>
      </c>
      <c r="BK31" s="21">
        <f>IF(BJ31=0,0,INDEX(nTP_Dup,BJ31))</f>
        <v>0</v>
      </c>
      <c r="BL31" s="21" t="str">
        <f>IF(BJ31=0,"",INDEX(nTP_Record_Type,BJ31))</f>
        <v/>
      </c>
      <c r="BM31" s="21" t="str">
        <f>IF(BJ31=0,"",INDEX(nTP_Precision,BJ31))</f>
        <v/>
      </c>
      <c r="BN31" s="21" t="str">
        <f>IF(BJ31=0,"",INDEX(nTP_Err,BJ31))</f>
        <v/>
      </c>
      <c r="BO31" s="21">
        <f>IF(BJ31=0,0,INDEX(nTP_HT,BJ31))</f>
        <v>0</v>
      </c>
      <c r="BP31" s="21">
        <f>IF(BJ31=0,0,INDEX(nTP_OK,BJ31))</f>
        <v>0</v>
      </c>
      <c r="BQ31" s="21" t="str">
        <f>IF(BJ31=0,"",INDEX(nTP_Loc,BJ31))</f>
        <v/>
      </c>
      <c r="BR31" s="21" t="str">
        <f>IF(BJ31=0,"",INDEX(nTP_UTC,BJ31))</f>
        <v/>
      </c>
      <c r="BS31" s="21" t="str">
        <f>IF(BJ31=0,"",INDEX(nTP_Lo,BJ31))</f>
        <v/>
      </c>
      <c r="BT31" s="21" t="str">
        <f>IF(BJ31=0,"",INDEX(nTP_Hi,BJ31))</f>
        <v/>
      </c>
      <c r="BU31" s="22">
        <f>IF(OR(BJ31=0,AV31=0),0,SUMPRODUCT((nTP_Case_Key=AR31)*(nTP_Record_Type="MILESTONE:INTERVENTION")*(nTP_Err="")*(nTP_HT*BO31*BA31*(nTP_Loc_n&gt;=N(BQ31))*(nTP_Loc_n&lt;=N(BC31))+(1-nTP_HT*BO31*BA31)*(nTP_Lo_n&gt;=N(BS31))*(nTP_Hi_n&lt;=N(BF31))*(nTP_Lo_n&gt;0))))</f>
        <v>0</v>
      </c>
      <c r="BV31" s="21" t="str">
        <f t="shared" si="19"/>
        <v/>
      </c>
      <c r="BW31" s="21" t="str">
        <f t="shared" si="20"/>
        <v/>
      </c>
      <c r="BX31" s="21" t="str">
        <f t="shared" si="21"/>
        <v/>
      </c>
      <c r="BY31" s="21" t="str">
        <f t="shared" si="22"/>
        <v/>
      </c>
      <c r="BZ31" s="22">
        <f t="shared" si="23"/>
        <v>1</v>
      </c>
      <c r="CA31" s="21" t="str">
        <f t="shared" si="24"/>
        <v/>
      </c>
      <c r="CB31" s="21" t="str">
        <f t="shared" si="25"/>
        <v/>
      </c>
      <c r="CC31" s="21" t="str">
        <f t="shared" si="26"/>
        <v/>
      </c>
      <c r="CD31" s="21" t="str">
        <f t="shared" si="27"/>
        <v/>
      </c>
      <c r="CE31" s="22">
        <f t="shared" si="28"/>
        <v>0</v>
      </c>
      <c r="CF31" s="28" t="str">
        <f t="shared" si="29"/>
        <v/>
      </c>
      <c r="CG31" s="28" t="str">
        <f t="shared" si="30"/>
        <v/>
      </c>
      <c r="CH31" s="21" t="str">
        <f t="shared" si="31"/>
        <v/>
      </c>
      <c r="CI31" s="22">
        <f t="shared" si="32"/>
        <v>0</v>
      </c>
      <c r="CJ31" s="22">
        <f t="shared" si="33"/>
        <v>0</v>
      </c>
      <c r="CK31" s="22">
        <f t="shared" si="34"/>
        <v>0</v>
      </c>
      <c r="CL31" s="22">
        <f t="shared" si="35"/>
        <v>0</v>
      </c>
      <c r="CM31" s="22">
        <f t="shared" si="36"/>
        <v>0</v>
      </c>
      <c r="CN31" s="22">
        <f t="shared" si="37"/>
        <v>0</v>
      </c>
      <c r="CO31" s="22">
        <f t="shared" si="38"/>
        <v>0</v>
      </c>
      <c r="CP31" s="22">
        <f t="shared" si="39"/>
        <v>0</v>
      </c>
      <c r="CQ31" s="21" t="str">
        <f t="shared" si="40"/>
        <v/>
      </c>
    </row>
    <row r="32" spans="1:95" x14ac:dyDescent="0.2">
      <c r="A32" s="10"/>
      <c r="B32" s="10"/>
      <c r="C32" s="12"/>
      <c r="D32" s="10"/>
      <c r="E32" s="17"/>
      <c r="F32" s="10"/>
      <c r="G32" s="10"/>
      <c r="H32" s="10"/>
      <c r="I32" s="17"/>
      <c r="J32" s="17"/>
      <c r="K32" s="10"/>
      <c r="L32" s="17"/>
      <c r="M32" s="17"/>
      <c r="N32" s="17"/>
      <c r="O32" s="10"/>
      <c r="P32" s="15"/>
      <c r="Q32" s="15"/>
      <c r="R32" s="10"/>
      <c r="S32" s="10"/>
      <c r="T32" s="21" t="str">
        <f t="shared" si="0"/>
        <v/>
      </c>
      <c r="U32" s="21" t="str">
        <f t="shared" si="1"/>
        <v/>
      </c>
      <c r="V32" s="21" t="str">
        <f t="shared" si="2"/>
        <v/>
      </c>
      <c r="W32" s="21" t="str">
        <f t="shared" si="3"/>
        <v/>
      </c>
      <c r="X32" s="21" t="str">
        <f t="shared" si="4"/>
        <v/>
      </c>
      <c r="Y32" s="21" t="str">
        <f t="shared" si="5"/>
        <v/>
      </c>
      <c r="Z32" s="21" t="str">
        <f t="shared" si="6"/>
        <v/>
      </c>
      <c r="AA32" s="21" t="str">
        <f t="shared" si="7"/>
        <v/>
      </c>
      <c r="AB32" s="21" t="str">
        <f t="shared" si="8"/>
        <v/>
      </c>
      <c r="AC32" s="21" t="str">
        <f>IF(AQ32=1,"",MID(IF(BX32&lt;&gt;""," | "&amp;BX32&amp;": "&amp;SUBSTITUTE(IFERROR(INDEX(nMSG_Text,MATCH(BX32,nMSG_Code,0)),""),"[input]",BY32),"")&amp;IF(CI32=1," | W_TZ_UNKNOWN: "&amp;SUBSTITUTE(IFERROR(INDEX(nMSG_Text,MATCH("W_TZ_UNKNOWN",nMSG_Code,0)),""),"[input]",""),"")&amp;IF(CJ32=1," | W_SAME_DATE_ORDER_UNKNOWN: "&amp;SUBSTITUTE(IFERROR(INDEX(nMSG_Text,MATCH("W_SAME_DATE_ORDER_UNKNOWN",nMSG_Code,0)),""),"[input]",""),"")&amp;IF(CK32=1," | W_SEQUENCE_UNCERTAIN: "&amp;SUBSTITUTE(IFERROR(INDEX(nMSG_Text,MATCH("W_SEQUENCE_UNCERTAIN",nMSG_Code,0)),""),"[input]",""),"")&amp;IF(CL32=1," | W_ADMIN_SAME_DATE_AS_ONSET: "&amp;SUBSTITUTE(IFERROR(INDEX(nMSG_Text,MATCH("W_ADMIN_SAME_DATE_AS_ONSET",nMSG_Code,0)),""),"[input]",""),"")&amp;IF(CO32=1," | W_INTERVENTION_BEFORE_RECOVERY: "&amp;SUBSTITUTE(IFERROR(INDEX(nMSG_Text,MATCH("W_INTERVENTION_BEFORE_RECOVERY",nMSG_Code,0)),""),"[input]",""),"")&amp;IF(OR(CQ32="",CQ32="OVERLAP"),""," | "&amp;CQ32&amp;" (reported timing): "&amp;SUBSTITUTE(IFERROR(INDEX(nMSG_Text,MATCH(CQ32,nMSG_Code,0)),""),"[input]","numeric reported bounds and a reported unit"))&amp;IF(CM32=1," | I_TREATMENT_DAY_UNDEFINED: "&amp;SUBSTITUTE(IFERROR(INDEX(nMSG_Text,MATCH("I_TREATMENT_DAY_UNDEFINED",nMSG_Code,0)),""),"[input]",""),"")&amp;IF(CH32&lt;&gt;""," | "&amp;CH32&amp;" (constraint): "&amp;SUBSTITUTE(IFERROR(INDEX(nMSG_Text,MATCH(CH32,nMSG_Code,0)),""),"[input]","a source for the constraint"),""),4,9999))</f>
        <v/>
      </c>
      <c r="AD32" s="21" t="str">
        <f t="shared" si="9"/>
        <v/>
      </c>
      <c r="AE32" s="21" t="str">
        <f t="shared" si="10"/>
        <v/>
      </c>
      <c r="AF32" s="21" t="str">
        <f t="shared" si="11"/>
        <v/>
      </c>
      <c r="AG32" s="21" t="str">
        <f t="shared" si="12"/>
        <v/>
      </c>
      <c r="AH32" s="21" t="str">
        <f>IF(BJ32=0,"",INDEX(nTP_ISO,BJ32))</f>
        <v/>
      </c>
      <c r="AI32" s="21" t="str">
        <f>IF(BJ32=0,"",INDEX(nTP_Display,BJ32))</f>
        <v/>
      </c>
      <c r="AJ32" s="21" t="str">
        <f>IF(AV32=0,"",INDEX(nTP_ISO,AV32))</f>
        <v/>
      </c>
      <c r="AK32" s="21" t="str">
        <f>IF(AV32=0,"",INDEX(nTP_Display,AV32))</f>
        <v/>
      </c>
      <c r="AL32" s="21" t="str">
        <f>IF(AU32=0,"",INDEX(nLNK_Exposure_Episode_ID,AU32)&amp;"")</f>
        <v/>
      </c>
      <c r="AM32" s="21" t="str">
        <f>IF(AU32=0,"",INDEX(nLNK_Event_Episode_ID,AU32)&amp;"")</f>
        <v/>
      </c>
      <c r="AN32" s="21" t="str">
        <f t="shared" si="13"/>
        <v/>
      </c>
      <c r="AO32" s="21" t="str">
        <f t="shared" si="14"/>
        <v/>
      </c>
      <c r="AP32" s="21" t="str">
        <f t="shared" si="15"/>
        <v/>
      </c>
      <c r="AQ32" s="22">
        <f t="shared" si="16"/>
        <v>1</v>
      </c>
      <c r="AR32" s="21" t="str">
        <f t="shared" si="17"/>
        <v>|</v>
      </c>
      <c r="AS32" s="21" t="str">
        <f t="shared" si="18"/>
        <v/>
      </c>
      <c r="AT32" s="22">
        <f>IF(AS32="",0,COUNTIF(nINT_Key,AS32))</f>
        <v>0</v>
      </c>
      <c r="AU32" s="22">
        <f>IF(D32="",0,IFERROR(MATCH(AR32&amp;"|"&amp;D32,nLNK_Key,0),0))</f>
        <v>0</v>
      </c>
      <c r="AV32" s="22">
        <f>IF(OR(AQ32=1,H32=""),0,IFERROR(MATCH(AR32&amp;"|"&amp;H32,nTP_Key,0),0))</f>
        <v>0</v>
      </c>
      <c r="AW32" s="21">
        <f>IF(AV32=0,0,INDEX(nTP_Dup,AV32))</f>
        <v>0</v>
      </c>
      <c r="AX32" s="21" t="str">
        <f>IF(AV32=0,"",INDEX(nTP_Record_Type,AV32))</f>
        <v/>
      </c>
      <c r="AY32" s="21" t="str">
        <f>IF(AV32=0,"",INDEX(nTP_Precision,AV32))</f>
        <v/>
      </c>
      <c r="AZ32" s="21" t="str">
        <f>IF(AV32=0,"",INDEX(nTP_Err,AV32))</f>
        <v/>
      </c>
      <c r="BA32" s="21">
        <f>IF(AV32=0,0,INDEX(nTP_HT,AV32))</f>
        <v>0</v>
      </c>
      <c r="BB32" s="21">
        <f>IF(AV32=0,0,INDEX(nTP_OK,AV32))</f>
        <v>0</v>
      </c>
      <c r="BC32" s="21" t="str">
        <f>IF(AV32=0,"",INDEX(nTP_Loc,AV32))</f>
        <v/>
      </c>
      <c r="BD32" s="21" t="str">
        <f>IF(AV32=0,"",INDEX(nTP_UTC,AV32))</f>
        <v/>
      </c>
      <c r="BE32" s="21" t="str">
        <f>IF(AV32=0,"",INDEX(nTP_Lo,AV32))</f>
        <v/>
      </c>
      <c r="BF32" s="21" t="str">
        <f>IF(AV32=0,"",INDEX(nTP_Hi,AV32))</f>
        <v/>
      </c>
      <c r="BG32" s="22">
        <f>IF(OR(AQ32=1,E32&lt;&gt;"LAST_DOSE_BEFORE_ONSET",AU32=0,AV32=0),0,IF(AZ32&lt;&gt;"",0,SUMPRODUCT(MAX((nADM_SelKey=AR32&amp;"|"&amp;AL32)*nADM_Valid*(nADM_A_HT*BA32*nADM_A_OK*BB32*(nADM_UTC_n&lt;=N(BD32))+nADM_A_HT*BA32*(1-nADM_A_OK*BB32)*(nADM_Loc_n&lt;=N(BC32))+(1-nADM_A_HT*BA32)*(nADM_Lo_n&lt;=N(BE32)))*nADM_Sort_n))))</f>
        <v>0</v>
      </c>
      <c r="BH32" s="22">
        <f>IF(BG32=0,0,MATCH(1,INDEX((nADM_SelKey=AR32&amp;"|"&amp;AL32)*nADM_Valid*(nADM_A_HT*BA32*nADM_A_OK*BB32*(nADM_UTC_n&lt;=N(BD32))+nADM_A_HT*BA32*(1-nADM_A_OK*BB32)*(nADM_Loc_n&lt;=N(BC32))+(1-nADM_A_HT*BA32)*(nADM_Lo_n&lt;=N(BE32)))*(nADM_Sort_n=BG32),0),0))</f>
        <v>0</v>
      </c>
      <c r="BI32" s="21" t="str">
        <f>IF(BH32=0,"",INDEX(nADM_Admin_ID,BH32)&amp;"")</f>
        <v/>
      </c>
      <c r="BJ32" s="22">
        <f>IF(OR(AQ32=1,AG32=""),0,IFERROR(MATCH(AR32&amp;"|"&amp;AG32,nTP_Key,0),0))</f>
        <v>0</v>
      </c>
      <c r="BK32" s="21">
        <f>IF(BJ32=0,0,INDEX(nTP_Dup,BJ32))</f>
        <v>0</v>
      </c>
      <c r="BL32" s="21" t="str">
        <f>IF(BJ32=0,"",INDEX(nTP_Record_Type,BJ32))</f>
        <v/>
      </c>
      <c r="BM32" s="21" t="str">
        <f>IF(BJ32=0,"",INDEX(nTP_Precision,BJ32))</f>
        <v/>
      </c>
      <c r="BN32" s="21" t="str">
        <f>IF(BJ32=0,"",INDEX(nTP_Err,BJ32))</f>
        <v/>
      </c>
      <c r="BO32" s="21">
        <f>IF(BJ32=0,0,INDEX(nTP_HT,BJ32))</f>
        <v>0</v>
      </c>
      <c r="BP32" s="21">
        <f>IF(BJ32=0,0,INDEX(nTP_OK,BJ32))</f>
        <v>0</v>
      </c>
      <c r="BQ32" s="21" t="str">
        <f>IF(BJ32=0,"",INDEX(nTP_Loc,BJ32))</f>
        <v/>
      </c>
      <c r="BR32" s="21" t="str">
        <f>IF(BJ32=0,"",INDEX(nTP_UTC,BJ32))</f>
        <v/>
      </c>
      <c r="BS32" s="21" t="str">
        <f>IF(BJ32=0,"",INDEX(nTP_Lo,BJ32))</f>
        <v/>
      </c>
      <c r="BT32" s="21" t="str">
        <f>IF(BJ32=0,"",INDEX(nTP_Hi,BJ32))</f>
        <v/>
      </c>
      <c r="BU32" s="22">
        <f>IF(OR(BJ32=0,AV32=0),0,SUMPRODUCT((nTP_Case_Key=AR32)*(nTP_Record_Type="MILESTONE:INTERVENTION")*(nTP_Err="")*(nTP_HT*BO32*BA32*(nTP_Loc_n&gt;=N(BQ32))*(nTP_Loc_n&lt;=N(BC32))+(1-nTP_HT*BO32*BA32)*(nTP_Lo_n&gt;=N(BS32))*(nTP_Hi_n&lt;=N(BF32))*(nTP_Lo_n&gt;0))))</f>
        <v>0</v>
      </c>
      <c r="BV32" s="21" t="str">
        <f t="shared" si="19"/>
        <v/>
      </c>
      <c r="BW32" s="21" t="str">
        <f t="shared" si="20"/>
        <v/>
      </c>
      <c r="BX32" s="21" t="str">
        <f t="shared" si="21"/>
        <v/>
      </c>
      <c r="BY32" s="21" t="str">
        <f t="shared" si="22"/>
        <v/>
      </c>
      <c r="BZ32" s="22">
        <f t="shared" si="23"/>
        <v>1</v>
      </c>
      <c r="CA32" s="21" t="str">
        <f t="shared" si="24"/>
        <v/>
      </c>
      <c r="CB32" s="21" t="str">
        <f t="shared" si="25"/>
        <v/>
      </c>
      <c r="CC32" s="21" t="str">
        <f t="shared" si="26"/>
        <v/>
      </c>
      <c r="CD32" s="21" t="str">
        <f t="shared" si="27"/>
        <v/>
      </c>
      <c r="CE32" s="22">
        <f t="shared" si="28"/>
        <v>0</v>
      </c>
      <c r="CF32" s="28" t="str">
        <f t="shared" si="29"/>
        <v/>
      </c>
      <c r="CG32" s="28" t="str">
        <f t="shared" si="30"/>
        <v/>
      </c>
      <c r="CH32" s="21" t="str">
        <f t="shared" si="31"/>
        <v/>
      </c>
      <c r="CI32" s="22">
        <f t="shared" si="32"/>
        <v>0</v>
      </c>
      <c r="CJ32" s="22">
        <f t="shared" si="33"/>
        <v>0</v>
      </c>
      <c r="CK32" s="22">
        <f t="shared" si="34"/>
        <v>0</v>
      </c>
      <c r="CL32" s="22">
        <f t="shared" si="35"/>
        <v>0</v>
      </c>
      <c r="CM32" s="22">
        <f t="shared" si="36"/>
        <v>0</v>
      </c>
      <c r="CN32" s="22">
        <f t="shared" si="37"/>
        <v>0</v>
      </c>
      <c r="CO32" s="22">
        <f t="shared" si="38"/>
        <v>0</v>
      </c>
      <c r="CP32" s="22">
        <f t="shared" si="39"/>
        <v>0</v>
      </c>
      <c r="CQ32" s="21" t="str">
        <f t="shared" si="40"/>
        <v/>
      </c>
    </row>
    <row r="33" spans="1:95" x14ac:dyDescent="0.2">
      <c r="A33" s="10"/>
      <c r="B33" s="10"/>
      <c r="C33" s="12"/>
      <c r="D33" s="10"/>
      <c r="E33" s="17"/>
      <c r="F33" s="10"/>
      <c r="G33" s="10"/>
      <c r="H33" s="10"/>
      <c r="I33" s="17"/>
      <c r="J33" s="17"/>
      <c r="K33" s="10"/>
      <c r="L33" s="17"/>
      <c r="M33" s="17"/>
      <c r="N33" s="17"/>
      <c r="O33" s="10"/>
      <c r="P33" s="15"/>
      <c r="Q33" s="15"/>
      <c r="R33" s="10"/>
      <c r="S33" s="10"/>
      <c r="T33" s="21" t="str">
        <f t="shared" si="0"/>
        <v/>
      </c>
      <c r="U33" s="21" t="str">
        <f t="shared" si="1"/>
        <v/>
      </c>
      <c r="V33" s="21" t="str">
        <f t="shared" si="2"/>
        <v/>
      </c>
      <c r="W33" s="21" t="str">
        <f t="shared" si="3"/>
        <v/>
      </c>
      <c r="X33" s="21" t="str">
        <f t="shared" si="4"/>
        <v/>
      </c>
      <c r="Y33" s="21" t="str">
        <f t="shared" si="5"/>
        <v/>
      </c>
      <c r="Z33" s="21" t="str">
        <f t="shared" si="6"/>
        <v/>
      </c>
      <c r="AA33" s="21" t="str">
        <f t="shared" si="7"/>
        <v/>
      </c>
      <c r="AB33" s="21" t="str">
        <f t="shared" si="8"/>
        <v/>
      </c>
      <c r="AC33" s="21" t="str">
        <f>IF(AQ33=1,"",MID(IF(BX33&lt;&gt;""," | "&amp;BX33&amp;": "&amp;SUBSTITUTE(IFERROR(INDEX(nMSG_Text,MATCH(BX33,nMSG_Code,0)),""),"[input]",BY33),"")&amp;IF(CI33=1," | W_TZ_UNKNOWN: "&amp;SUBSTITUTE(IFERROR(INDEX(nMSG_Text,MATCH("W_TZ_UNKNOWN",nMSG_Code,0)),""),"[input]",""),"")&amp;IF(CJ33=1," | W_SAME_DATE_ORDER_UNKNOWN: "&amp;SUBSTITUTE(IFERROR(INDEX(nMSG_Text,MATCH("W_SAME_DATE_ORDER_UNKNOWN",nMSG_Code,0)),""),"[input]",""),"")&amp;IF(CK33=1," | W_SEQUENCE_UNCERTAIN: "&amp;SUBSTITUTE(IFERROR(INDEX(nMSG_Text,MATCH("W_SEQUENCE_UNCERTAIN",nMSG_Code,0)),""),"[input]",""),"")&amp;IF(CL33=1," | W_ADMIN_SAME_DATE_AS_ONSET: "&amp;SUBSTITUTE(IFERROR(INDEX(nMSG_Text,MATCH("W_ADMIN_SAME_DATE_AS_ONSET",nMSG_Code,0)),""),"[input]",""),"")&amp;IF(CO33=1," | W_INTERVENTION_BEFORE_RECOVERY: "&amp;SUBSTITUTE(IFERROR(INDEX(nMSG_Text,MATCH("W_INTERVENTION_BEFORE_RECOVERY",nMSG_Code,0)),""),"[input]",""),"")&amp;IF(OR(CQ33="",CQ33="OVERLAP"),""," | "&amp;CQ33&amp;" (reported timing): "&amp;SUBSTITUTE(IFERROR(INDEX(nMSG_Text,MATCH(CQ33,nMSG_Code,0)),""),"[input]","numeric reported bounds and a reported unit"))&amp;IF(CM33=1," | I_TREATMENT_DAY_UNDEFINED: "&amp;SUBSTITUTE(IFERROR(INDEX(nMSG_Text,MATCH("I_TREATMENT_DAY_UNDEFINED",nMSG_Code,0)),""),"[input]",""),"")&amp;IF(CH33&lt;&gt;""," | "&amp;CH33&amp;" (constraint): "&amp;SUBSTITUTE(IFERROR(INDEX(nMSG_Text,MATCH(CH33,nMSG_Code,0)),""),"[input]","a source for the constraint"),""),4,9999))</f>
        <v/>
      </c>
      <c r="AD33" s="21" t="str">
        <f t="shared" si="9"/>
        <v/>
      </c>
      <c r="AE33" s="21" t="str">
        <f t="shared" si="10"/>
        <v/>
      </c>
      <c r="AF33" s="21" t="str">
        <f t="shared" si="11"/>
        <v/>
      </c>
      <c r="AG33" s="21" t="str">
        <f t="shared" si="12"/>
        <v/>
      </c>
      <c r="AH33" s="21" t="str">
        <f>IF(BJ33=0,"",INDEX(nTP_ISO,BJ33))</f>
        <v/>
      </c>
      <c r="AI33" s="21" t="str">
        <f>IF(BJ33=0,"",INDEX(nTP_Display,BJ33))</f>
        <v/>
      </c>
      <c r="AJ33" s="21" t="str">
        <f>IF(AV33=0,"",INDEX(nTP_ISO,AV33))</f>
        <v/>
      </c>
      <c r="AK33" s="21" t="str">
        <f>IF(AV33=0,"",INDEX(nTP_Display,AV33))</f>
        <v/>
      </c>
      <c r="AL33" s="21" t="str">
        <f>IF(AU33=0,"",INDEX(nLNK_Exposure_Episode_ID,AU33)&amp;"")</f>
        <v/>
      </c>
      <c r="AM33" s="21" t="str">
        <f>IF(AU33=0,"",INDEX(nLNK_Event_Episode_ID,AU33)&amp;"")</f>
        <v/>
      </c>
      <c r="AN33" s="21" t="str">
        <f t="shared" si="13"/>
        <v/>
      </c>
      <c r="AO33" s="21" t="str">
        <f t="shared" si="14"/>
        <v/>
      </c>
      <c r="AP33" s="21" t="str">
        <f t="shared" si="15"/>
        <v/>
      </c>
      <c r="AQ33" s="22">
        <f t="shared" si="16"/>
        <v>1</v>
      </c>
      <c r="AR33" s="21" t="str">
        <f t="shared" si="17"/>
        <v>|</v>
      </c>
      <c r="AS33" s="21" t="str">
        <f t="shared" si="18"/>
        <v/>
      </c>
      <c r="AT33" s="22">
        <f>IF(AS33="",0,COUNTIF(nINT_Key,AS33))</f>
        <v>0</v>
      </c>
      <c r="AU33" s="22">
        <f>IF(D33="",0,IFERROR(MATCH(AR33&amp;"|"&amp;D33,nLNK_Key,0),0))</f>
        <v>0</v>
      </c>
      <c r="AV33" s="22">
        <f>IF(OR(AQ33=1,H33=""),0,IFERROR(MATCH(AR33&amp;"|"&amp;H33,nTP_Key,0),0))</f>
        <v>0</v>
      </c>
      <c r="AW33" s="21">
        <f>IF(AV33=0,0,INDEX(nTP_Dup,AV33))</f>
        <v>0</v>
      </c>
      <c r="AX33" s="21" t="str">
        <f>IF(AV33=0,"",INDEX(nTP_Record_Type,AV33))</f>
        <v/>
      </c>
      <c r="AY33" s="21" t="str">
        <f>IF(AV33=0,"",INDEX(nTP_Precision,AV33))</f>
        <v/>
      </c>
      <c r="AZ33" s="21" t="str">
        <f>IF(AV33=0,"",INDEX(nTP_Err,AV33))</f>
        <v/>
      </c>
      <c r="BA33" s="21">
        <f>IF(AV33=0,0,INDEX(nTP_HT,AV33))</f>
        <v>0</v>
      </c>
      <c r="BB33" s="21">
        <f>IF(AV33=0,0,INDEX(nTP_OK,AV33))</f>
        <v>0</v>
      </c>
      <c r="BC33" s="21" t="str">
        <f>IF(AV33=0,"",INDEX(nTP_Loc,AV33))</f>
        <v/>
      </c>
      <c r="BD33" s="21" t="str">
        <f>IF(AV33=0,"",INDEX(nTP_UTC,AV33))</f>
        <v/>
      </c>
      <c r="BE33" s="21" t="str">
        <f>IF(AV33=0,"",INDEX(nTP_Lo,AV33))</f>
        <v/>
      </c>
      <c r="BF33" s="21" t="str">
        <f>IF(AV33=0,"",INDEX(nTP_Hi,AV33))</f>
        <v/>
      </c>
      <c r="BG33" s="22">
        <f>IF(OR(AQ33=1,E33&lt;&gt;"LAST_DOSE_BEFORE_ONSET",AU33=0,AV33=0),0,IF(AZ33&lt;&gt;"",0,SUMPRODUCT(MAX((nADM_SelKey=AR33&amp;"|"&amp;AL33)*nADM_Valid*(nADM_A_HT*BA33*nADM_A_OK*BB33*(nADM_UTC_n&lt;=N(BD33))+nADM_A_HT*BA33*(1-nADM_A_OK*BB33)*(nADM_Loc_n&lt;=N(BC33))+(1-nADM_A_HT*BA33)*(nADM_Lo_n&lt;=N(BE33)))*nADM_Sort_n))))</f>
        <v>0</v>
      </c>
      <c r="BH33" s="22">
        <f>IF(BG33=0,0,MATCH(1,INDEX((nADM_SelKey=AR33&amp;"|"&amp;AL33)*nADM_Valid*(nADM_A_HT*BA33*nADM_A_OK*BB33*(nADM_UTC_n&lt;=N(BD33))+nADM_A_HT*BA33*(1-nADM_A_OK*BB33)*(nADM_Loc_n&lt;=N(BC33))+(1-nADM_A_HT*BA33)*(nADM_Lo_n&lt;=N(BE33)))*(nADM_Sort_n=BG33),0),0))</f>
        <v>0</v>
      </c>
      <c r="BI33" s="21" t="str">
        <f>IF(BH33=0,"",INDEX(nADM_Admin_ID,BH33)&amp;"")</f>
        <v/>
      </c>
      <c r="BJ33" s="22">
        <f>IF(OR(AQ33=1,AG33=""),0,IFERROR(MATCH(AR33&amp;"|"&amp;AG33,nTP_Key,0),0))</f>
        <v>0</v>
      </c>
      <c r="BK33" s="21">
        <f>IF(BJ33=0,0,INDEX(nTP_Dup,BJ33))</f>
        <v>0</v>
      </c>
      <c r="BL33" s="21" t="str">
        <f>IF(BJ33=0,"",INDEX(nTP_Record_Type,BJ33))</f>
        <v/>
      </c>
      <c r="BM33" s="21" t="str">
        <f>IF(BJ33=0,"",INDEX(nTP_Precision,BJ33))</f>
        <v/>
      </c>
      <c r="BN33" s="21" t="str">
        <f>IF(BJ33=0,"",INDEX(nTP_Err,BJ33))</f>
        <v/>
      </c>
      <c r="BO33" s="21">
        <f>IF(BJ33=0,0,INDEX(nTP_HT,BJ33))</f>
        <v>0</v>
      </c>
      <c r="BP33" s="21">
        <f>IF(BJ33=0,0,INDEX(nTP_OK,BJ33))</f>
        <v>0</v>
      </c>
      <c r="BQ33" s="21" t="str">
        <f>IF(BJ33=0,"",INDEX(nTP_Loc,BJ33))</f>
        <v/>
      </c>
      <c r="BR33" s="21" t="str">
        <f>IF(BJ33=0,"",INDEX(nTP_UTC,BJ33))</f>
        <v/>
      </c>
      <c r="BS33" s="21" t="str">
        <f>IF(BJ33=0,"",INDEX(nTP_Lo,BJ33))</f>
        <v/>
      </c>
      <c r="BT33" s="21" t="str">
        <f>IF(BJ33=0,"",INDEX(nTP_Hi,BJ33))</f>
        <v/>
      </c>
      <c r="BU33" s="22">
        <f>IF(OR(BJ33=0,AV33=0),0,SUMPRODUCT((nTP_Case_Key=AR33)*(nTP_Record_Type="MILESTONE:INTERVENTION")*(nTP_Err="")*(nTP_HT*BO33*BA33*(nTP_Loc_n&gt;=N(BQ33))*(nTP_Loc_n&lt;=N(BC33))+(1-nTP_HT*BO33*BA33)*(nTP_Lo_n&gt;=N(BS33))*(nTP_Hi_n&lt;=N(BF33))*(nTP_Lo_n&gt;0))))</f>
        <v>0</v>
      </c>
      <c r="BV33" s="21" t="str">
        <f t="shared" si="19"/>
        <v/>
      </c>
      <c r="BW33" s="21" t="str">
        <f t="shared" si="20"/>
        <v/>
      </c>
      <c r="BX33" s="21" t="str">
        <f t="shared" si="21"/>
        <v/>
      </c>
      <c r="BY33" s="21" t="str">
        <f t="shared" si="22"/>
        <v/>
      </c>
      <c r="BZ33" s="22">
        <f t="shared" si="23"/>
        <v>1</v>
      </c>
      <c r="CA33" s="21" t="str">
        <f t="shared" si="24"/>
        <v/>
      </c>
      <c r="CB33" s="21" t="str">
        <f t="shared" si="25"/>
        <v/>
      </c>
      <c r="CC33" s="21" t="str">
        <f t="shared" si="26"/>
        <v/>
      </c>
      <c r="CD33" s="21" t="str">
        <f t="shared" si="27"/>
        <v/>
      </c>
      <c r="CE33" s="22">
        <f t="shared" si="28"/>
        <v>0</v>
      </c>
      <c r="CF33" s="28" t="str">
        <f t="shared" si="29"/>
        <v/>
      </c>
      <c r="CG33" s="28" t="str">
        <f t="shared" si="30"/>
        <v/>
      </c>
      <c r="CH33" s="21" t="str">
        <f t="shared" si="31"/>
        <v/>
      </c>
      <c r="CI33" s="22">
        <f t="shared" si="32"/>
        <v>0</v>
      </c>
      <c r="CJ33" s="22">
        <f t="shared" si="33"/>
        <v>0</v>
      </c>
      <c r="CK33" s="22">
        <f t="shared" si="34"/>
        <v>0</v>
      </c>
      <c r="CL33" s="22">
        <f t="shared" si="35"/>
        <v>0</v>
      </c>
      <c r="CM33" s="22">
        <f t="shared" si="36"/>
        <v>0</v>
      </c>
      <c r="CN33" s="22">
        <f t="shared" si="37"/>
        <v>0</v>
      </c>
      <c r="CO33" s="22">
        <f t="shared" si="38"/>
        <v>0</v>
      </c>
      <c r="CP33" s="22">
        <f t="shared" si="39"/>
        <v>0</v>
      </c>
      <c r="CQ33" s="21" t="str">
        <f t="shared" si="40"/>
        <v/>
      </c>
    </row>
    <row r="34" spans="1:95" x14ac:dyDescent="0.2">
      <c r="A34" s="10"/>
      <c r="B34" s="10"/>
      <c r="C34" s="12"/>
      <c r="D34" s="10"/>
      <c r="E34" s="17"/>
      <c r="F34" s="10"/>
      <c r="G34" s="10"/>
      <c r="H34" s="10"/>
      <c r="I34" s="17"/>
      <c r="J34" s="17"/>
      <c r="K34" s="10"/>
      <c r="L34" s="17"/>
      <c r="M34" s="17"/>
      <c r="N34" s="17"/>
      <c r="O34" s="10"/>
      <c r="P34" s="15"/>
      <c r="Q34" s="15"/>
      <c r="R34" s="10"/>
      <c r="S34" s="10"/>
      <c r="T34" s="21" t="str">
        <f t="shared" si="0"/>
        <v/>
      </c>
      <c r="U34" s="21" t="str">
        <f t="shared" si="1"/>
        <v/>
      </c>
      <c r="V34" s="21" t="str">
        <f t="shared" si="2"/>
        <v/>
      </c>
      <c r="W34" s="21" t="str">
        <f t="shared" si="3"/>
        <v/>
      </c>
      <c r="X34" s="21" t="str">
        <f t="shared" si="4"/>
        <v/>
      </c>
      <c r="Y34" s="21" t="str">
        <f t="shared" si="5"/>
        <v/>
      </c>
      <c r="Z34" s="21" t="str">
        <f t="shared" si="6"/>
        <v/>
      </c>
      <c r="AA34" s="21" t="str">
        <f t="shared" si="7"/>
        <v/>
      </c>
      <c r="AB34" s="21" t="str">
        <f t="shared" si="8"/>
        <v/>
      </c>
      <c r="AC34" s="21" t="str">
        <f>IF(AQ34=1,"",MID(IF(BX34&lt;&gt;""," | "&amp;BX34&amp;": "&amp;SUBSTITUTE(IFERROR(INDEX(nMSG_Text,MATCH(BX34,nMSG_Code,0)),""),"[input]",BY34),"")&amp;IF(CI34=1," | W_TZ_UNKNOWN: "&amp;SUBSTITUTE(IFERROR(INDEX(nMSG_Text,MATCH("W_TZ_UNKNOWN",nMSG_Code,0)),""),"[input]",""),"")&amp;IF(CJ34=1," | W_SAME_DATE_ORDER_UNKNOWN: "&amp;SUBSTITUTE(IFERROR(INDEX(nMSG_Text,MATCH("W_SAME_DATE_ORDER_UNKNOWN",nMSG_Code,0)),""),"[input]",""),"")&amp;IF(CK34=1," | W_SEQUENCE_UNCERTAIN: "&amp;SUBSTITUTE(IFERROR(INDEX(nMSG_Text,MATCH("W_SEQUENCE_UNCERTAIN",nMSG_Code,0)),""),"[input]",""),"")&amp;IF(CL34=1," | W_ADMIN_SAME_DATE_AS_ONSET: "&amp;SUBSTITUTE(IFERROR(INDEX(nMSG_Text,MATCH("W_ADMIN_SAME_DATE_AS_ONSET",nMSG_Code,0)),""),"[input]",""),"")&amp;IF(CO34=1," | W_INTERVENTION_BEFORE_RECOVERY: "&amp;SUBSTITUTE(IFERROR(INDEX(nMSG_Text,MATCH("W_INTERVENTION_BEFORE_RECOVERY",nMSG_Code,0)),""),"[input]",""),"")&amp;IF(OR(CQ34="",CQ34="OVERLAP"),""," | "&amp;CQ34&amp;" (reported timing): "&amp;SUBSTITUTE(IFERROR(INDEX(nMSG_Text,MATCH(CQ34,nMSG_Code,0)),""),"[input]","numeric reported bounds and a reported unit"))&amp;IF(CM34=1," | I_TREATMENT_DAY_UNDEFINED: "&amp;SUBSTITUTE(IFERROR(INDEX(nMSG_Text,MATCH("I_TREATMENT_DAY_UNDEFINED",nMSG_Code,0)),""),"[input]",""),"")&amp;IF(CH34&lt;&gt;""," | "&amp;CH34&amp;" (constraint): "&amp;SUBSTITUTE(IFERROR(INDEX(nMSG_Text,MATCH(CH34,nMSG_Code,0)),""),"[input]","a source for the constraint"),""),4,9999))</f>
        <v/>
      </c>
      <c r="AD34" s="21" t="str">
        <f t="shared" si="9"/>
        <v/>
      </c>
      <c r="AE34" s="21" t="str">
        <f t="shared" si="10"/>
        <v/>
      </c>
      <c r="AF34" s="21" t="str">
        <f t="shared" si="11"/>
        <v/>
      </c>
      <c r="AG34" s="21" t="str">
        <f t="shared" si="12"/>
        <v/>
      </c>
      <c r="AH34" s="21" t="str">
        <f>IF(BJ34=0,"",INDEX(nTP_ISO,BJ34))</f>
        <v/>
      </c>
      <c r="AI34" s="21" t="str">
        <f>IF(BJ34=0,"",INDEX(nTP_Display,BJ34))</f>
        <v/>
      </c>
      <c r="AJ34" s="21" t="str">
        <f>IF(AV34=0,"",INDEX(nTP_ISO,AV34))</f>
        <v/>
      </c>
      <c r="AK34" s="21" t="str">
        <f>IF(AV34=0,"",INDEX(nTP_Display,AV34))</f>
        <v/>
      </c>
      <c r="AL34" s="21" t="str">
        <f>IF(AU34=0,"",INDEX(nLNK_Exposure_Episode_ID,AU34)&amp;"")</f>
        <v/>
      </c>
      <c r="AM34" s="21" t="str">
        <f>IF(AU34=0,"",INDEX(nLNK_Event_Episode_ID,AU34)&amp;"")</f>
        <v/>
      </c>
      <c r="AN34" s="21" t="str">
        <f t="shared" si="13"/>
        <v/>
      </c>
      <c r="AO34" s="21" t="str">
        <f t="shared" si="14"/>
        <v/>
      </c>
      <c r="AP34" s="21" t="str">
        <f t="shared" si="15"/>
        <v/>
      </c>
      <c r="AQ34" s="22">
        <f t="shared" si="16"/>
        <v>1</v>
      </c>
      <c r="AR34" s="21" t="str">
        <f t="shared" si="17"/>
        <v>|</v>
      </c>
      <c r="AS34" s="21" t="str">
        <f t="shared" si="18"/>
        <v/>
      </c>
      <c r="AT34" s="22">
        <f>IF(AS34="",0,COUNTIF(nINT_Key,AS34))</f>
        <v>0</v>
      </c>
      <c r="AU34" s="22">
        <f>IF(D34="",0,IFERROR(MATCH(AR34&amp;"|"&amp;D34,nLNK_Key,0),0))</f>
        <v>0</v>
      </c>
      <c r="AV34" s="22">
        <f>IF(OR(AQ34=1,H34=""),0,IFERROR(MATCH(AR34&amp;"|"&amp;H34,nTP_Key,0),0))</f>
        <v>0</v>
      </c>
      <c r="AW34" s="21">
        <f>IF(AV34=0,0,INDEX(nTP_Dup,AV34))</f>
        <v>0</v>
      </c>
      <c r="AX34" s="21" t="str">
        <f>IF(AV34=0,"",INDEX(nTP_Record_Type,AV34))</f>
        <v/>
      </c>
      <c r="AY34" s="21" t="str">
        <f>IF(AV34=0,"",INDEX(nTP_Precision,AV34))</f>
        <v/>
      </c>
      <c r="AZ34" s="21" t="str">
        <f>IF(AV34=0,"",INDEX(nTP_Err,AV34))</f>
        <v/>
      </c>
      <c r="BA34" s="21">
        <f>IF(AV34=0,0,INDEX(nTP_HT,AV34))</f>
        <v>0</v>
      </c>
      <c r="BB34" s="21">
        <f>IF(AV34=0,0,INDEX(nTP_OK,AV34))</f>
        <v>0</v>
      </c>
      <c r="BC34" s="21" t="str">
        <f>IF(AV34=0,"",INDEX(nTP_Loc,AV34))</f>
        <v/>
      </c>
      <c r="BD34" s="21" t="str">
        <f>IF(AV34=0,"",INDEX(nTP_UTC,AV34))</f>
        <v/>
      </c>
      <c r="BE34" s="21" t="str">
        <f>IF(AV34=0,"",INDEX(nTP_Lo,AV34))</f>
        <v/>
      </c>
      <c r="BF34" s="21" t="str">
        <f>IF(AV34=0,"",INDEX(nTP_Hi,AV34))</f>
        <v/>
      </c>
      <c r="BG34" s="22">
        <f>IF(OR(AQ34=1,E34&lt;&gt;"LAST_DOSE_BEFORE_ONSET",AU34=0,AV34=0),0,IF(AZ34&lt;&gt;"",0,SUMPRODUCT(MAX((nADM_SelKey=AR34&amp;"|"&amp;AL34)*nADM_Valid*(nADM_A_HT*BA34*nADM_A_OK*BB34*(nADM_UTC_n&lt;=N(BD34))+nADM_A_HT*BA34*(1-nADM_A_OK*BB34)*(nADM_Loc_n&lt;=N(BC34))+(1-nADM_A_HT*BA34)*(nADM_Lo_n&lt;=N(BE34)))*nADM_Sort_n))))</f>
        <v>0</v>
      </c>
      <c r="BH34" s="22">
        <f>IF(BG34=0,0,MATCH(1,INDEX((nADM_SelKey=AR34&amp;"|"&amp;AL34)*nADM_Valid*(nADM_A_HT*BA34*nADM_A_OK*BB34*(nADM_UTC_n&lt;=N(BD34))+nADM_A_HT*BA34*(1-nADM_A_OK*BB34)*(nADM_Loc_n&lt;=N(BC34))+(1-nADM_A_HT*BA34)*(nADM_Lo_n&lt;=N(BE34)))*(nADM_Sort_n=BG34),0),0))</f>
        <v>0</v>
      </c>
      <c r="BI34" s="21" t="str">
        <f>IF(BH34=0,"",INDEX(nADM_Admin_ID,BH34)&amp;"")</f>
        <v/>
      </c>
      <c r="BJ34" s="22">
        <f>IF(OR(AQ34=1,AG34=""),0,IFERROR(MATCH(AR34&amp;"|"&amp;AG34,nTP_Key,0),0))</f>
        <v>0</v>
      </c>
      <c r="BK34" s="21">
        <f>IF(BJ34=0,0,INDEX(nTP_Dup,BJ34))</f>
        <v>0</v>
      </c>
      <c r="BL34" s="21" t="str">
        <f>IF(BJ34=0,"",INDEX(nTP_Record_Type,BJ34))</f>
        <v/>
      </c>
      <c r="BM34" s="21" t="str">
        <f>IF(BJ34=0,"",INDEX(nTP_Precision,BJ34))</f>
        <v/>
      </c>
      <c r="BN34" s="21" t="str">
        <f>IF(BJ34=0,"",INDEX(nTP_Err,BJ34))</f>
        <v/>
      </c>
      <c r="BO34" s="21">
        <f>IF(BJ34=0,0,INDEX(nTP_HT,BJ34))</f>
        <v>0</v>
      </c>
      <c r="BP34" s="21">
        <f>IF(BJ34=0,0,INDEX(nTP_OK,BJ34))</f>
        <v>0</v>
      </c>
      <c r="BQ34" s="21" t="str">
        <f>IF(BJ34=0,"",INDEX(nTP_Loc,BJ34))</f>
        <v/>
      </c>
      <c r="BR34" s="21" t="str">
        <f>IF(BJ34=0,"",INDEX(nTP_UTC,BJ34))</f>
        <v/>
      </c>
      <c r="BS34" s="21" t="str">
        <f>IF(BJ34=0,"",INDEX(nTP_Lo,BJ34))</f>
        <v/>
      </c>
      <c r="BT34" s="21" t="str">
        <f>IF(BJ34=0,"",INDEX(nTP_Hi,BJ34))</f>
        <v/>
      </c>
      <c r="BU34" s="22">
        <f>IF(OR(BJ34=0,AV34=0),0,SUMPRODUCT((nTP_Case_Key=AR34)*(nTP_Record_Type="MILESTONE:INTERVENTION")*(nTP_Err="")*(nTP_HT*BO34*BA34*(nTP_Loc_n&gt;=N(BQ34))*(nTP_Loc_n&lt;=N(BC34))+(1-nTP_HT*BO34*BA34)*(nTP_Lo_n&gt;=N(BS34))*(nTP_Hi_n&lt;=N(BF34))*(nTP_Lo_n&gt;0))))</f>
        <v>0</v>
      </c>
      <c r="BV34" s="21" t="str">
        <f t="shared" si="19"/>
        <v/>
      </c>
      <c r="BW34" s="21" t="str">
        <f t="shared" si="20"/>
        <v/>
      </c>
      <c r="BX34" s="21" t="str">
        <f t="shared" si="21"/>
        <v/>
      </c>
      <c r="BY34" s="21" t="str">
        <f t="shared" si="22"/>
        <v/>
      </c>
      <c r="BZ34" s="22">
        <f t="shared" si="23"/>
        <v>1</v>
      </c>
      <c r="CA34" s="21" t="str">
        <f t="shared" si="24"/>
        <v/>
      </c>
      <c r="CB34" s="21" t="str">
        <f t="shared" si="25"/>
        <v/>
      </c>
      <c r="CC34" s="21" t="str">
        <f t="shared" si="26"/>
        <v/>
      </c>
      <c r="CD34" s="21" t="str">
        <f t="shared" si="27"/>
        <v/>
      </c>
      <c r="CE34" s="22">
        <f t="shared" si="28"/>
        <v>0</v>
      </c>
      <c r="CF34" s="28" t="str">
        <f t="shared" si="29"/>
        <v/>
      </c>
      <c r="CG34" s="28" t="str">
        <f t="shared" si="30"/>
        <v/>
      </c>
      <c r="CH34" s="21" t="str">
        <f t="shared" si="31"/>
        <v/>
      </c>
      <c r="CI34" s="22">
        <f t="shared" si="32"/>
        <v>0</v>
      </c>
      <c r="CJ34" s="22">
        <f t="shared" si="33"/>
        <v>0</v>
      </c>
      <c r="CK34" s="22">
        <f t="shared" si="34"/>
        <v>0</v>
      </c>
      <c r="CL34" s="22">
        <f t="shared" si="35"/>
        <v>0</v>
      </c>
      <c r="CM34" s="22">
        <f t="shared" si="36"/>
        <v>0</v>
      </c>
      <c r="CN34" s="22">
        <f t="shared" si="37"/>
        <v>0</v>
      </c>
      <c r="CO34" s="22">
        <f t="shared" si="38"/>
        <v>0</v>
      </c>
      <c r="CP34" s="22">
        <f t="shared" si="39"/>
        <v>0</v>
      </c>
      <c r="CQ34" s="21" t="str">
        <f t="shared" si="40"/>
        <v/>
      </c>
    </row>
    <row r="35" spans="1:95" x14ac:dyDescent="0.2">
      <c r="A35" s="10"/>
      <c r="B35" s="10"/>
      <c r="C35" s="12"/>
      <c r="D35" s="10"/>
      <c r="E35" s="17"/>
      <c r="F35" s="10"/>
      <c r="G35" s="10"/>
      <c r="H35" s="10"/>
      <c r="I35" s="17"/>
      <c r="J35" s="17"/>
      <c r="K35" s="10"/>
      <c r="L35" s="17"/>
      <c r="M35" s="17"/>
      <c r="N35" s="17"/>
      <c r="O35" s="10"/>
      <c r="P35" s="15"/>
      <c r="Q35" s="15"/>
      <c r="R35" s="10"/>
      <c r="S35" s="10"/>
      <c r="T35" s="21" t="str">
        <f t="shared" si="0"/>
        <v/>
      </c>
      <c r="U35" s="21" t="str">
        <f t="shared" si="1"/>
        <v/>
      </c>
      <c r="V35" s="21" t="str">
        <f t="shared" si="2"/>
        <v/>
      </c>
      <c r="W35" s="21" t="str">
        <f t="shared" si="3"/>
        <v/>
      </c>
      <c r="X35" s="21" t="str">
        <f t="shared" si="4"/>
        <v/>
      </c>
      <c r="Y35" s="21" t="str">
        <f t="shared" si="5"/>
        <v/>
      </c>
      <c r="Z35" s="21" t="str">
        <f t="shared" si="6"/>
        <v/>
      </c>
      <c r="AA35" s="21" t="str">
        <f t="shared" si="7"/>
        <v/>
      </c>
      <c r="AB35" s="21" t="str">
        <f t="shared" si="8"/>
        <v/>
      </c>
      <c r="AC35" s="21" t="str">
        <f>IF(AQ35=1,"",MID(IF(BX35&lt;&gt;""," | "&amp;BX35&amp;": "&amp;SUBSTITUTE(IFERROR(INDEX(nMSG_Text,MATCH(BX35,nMSG_Code,0)),""),"[input]",BY35),"")&amp;IF(CI35=1," | W_TZ_UNKNOWN: "&amp;SUBSTITUTE(IFERROR(INDEX(nMSG_Text,MATCH("W_TZ_UNKNOWN",nMSG_Code,0)),""),"[input]",""),"")&amp;IF(CJ35=1," | W_SAME_DATE_ORDER_UNKNOWN: "&amp;SUBSTITUTE(IFERROR(INDEX(nMSG_Text,MATCH("W_SAME_DATE_ORDER_UNKNOWN",nMSG_Code,0)),""),"[input]",""),"")&amp;IF(CK35=1," | W_SEQUENCE_UNCERTAIN: "&amp;SUBSTITUTE(IFERROR(INDEX(nMSG_Text,MATCH("W_SEQUENCE_UNCERTAIN",nMSG_Code,0)),""),"[input]",""),"")&amp;IF(CL35=1," | W_ADMIN_SAME_DATE_AS_ONSET: "&amp;SUBSTITUTE(IFERROR(INDEX(nMSG_Text,MATCH("W_ADMIN_SAME_DATE_AS_ONSET",nMSG_Code,0)),""),"[input]",""),"")&amp;IF(CO35=1," | W_INTERVENTION_BEFORE_RECOVERY: "&amp;SUBSTITUTE(IFERROR(INDEX(nMSG_Text,MATCH("W_INTERVENTION_BEFORE_RECOVERY",nMSG_Code,0)),""),"[input]",""),"")&amp;IF(OR(CQ35="",CQ35="OVERLAP"),""," | "&amp;CQ35&amp;" (reported timing): "&amp;SUBSTITUTE(IFERROR(INDEX(nMSG_Text,MATCH(CQ35,nMSG_Code,0)),""),"[input]","numeric reported bounds and a reported unit"))&amp;IF(CM35=1," | I_TREATMENT_DAY_UNDEFINED: "&amp;SUBSTITUTE(IFERROR(INDEX(nMSG_Text,MATCH("I_TREATMENT_DAY_UNDEFINED",nMSG_Code,0)),""),"[input]",""),"")&amp;IF(CH35&lt;&gt;""," | "&amp;CH35&amp;" (constraint): "&amp;SUBSTITUTE(IFERROR(INDEX(nMSG_Text,MATCH(CH35,nMSG_Code,0)),""),"[input]","a source for the constraint"),""),4,9999))</f>
        <v/>
      </c>
      <c r="AD35" s="21" t="str">
        <f t="shared" si="9"/>
        <v/>
      </c>
      <c r="AE35" s="21" t="str">
        <f t="shared" si="10"/>
        <v/>
      </c>
      <c r="AF35" s="21" t="str">
        <f t="shared" si="11"/>
        <v/>
      </c>
      <c r="AG35" s="21" t="str">
        <f t="shared" si="12"/>
        <v/>
      </c>
      <c r="AH35" s="21" t="str">
        <f>IF(BJ35=0,"",INDEX(nTP_ISO,BJ35))</f>
        <v/>
      </c>
      <c r="AI35" s="21" t="str">
        <f>IF(BJ35=0,"",INDEX(nTP_Display,BJ35))</f>
        <v/>
      </c>
      <c r="AJ35" s="21" t="str">
        <f>IF(AV35=0,"",INDEX(nTP_ISO,AV35))</f>
        <v/>
      </c>
      <c r="AK35" s="21" t="str">
        <f>IF(AV35=0,"",INDEX(nTP_Display,AV35))</f>
        <v/>
      </c>
      <c r="AL35" s="21" t="str">
        <f>IF(AU35=0,"",INDEX(nLNK_Exposure_Episode_ID,AU35)&amp;"")</f>
        <v/>
      </c>
      <c r="AM35" s="21" t="str">
        <f>IF(AU35=0,"",INDEX(nLNK_Event_Episode_ID,AU35)&amp;"")</f>
        <v/>
      </c>
      <c r="AN35" s="21" t="str">
        <f t="shared" si="13"/>
        <v/>
      </c>
      <c r="AO35" s="21" t="str">
        <f t="shared" si="14"/>
        <v/>
      </c>
      <c r="AP35" s="21" t="str">
        <f t="shared" si="15"/>
        <v/>
      </c>
      <c r="AQ35" s="22">
        <f t="shared" si="16"/>
        <v>1</v>
      </c>
      <c r="AR35" s="21" t="str">
        <f t="shared" si="17"/>
        <v>|</v>
      </c>
      <c r="AS35" s="21" t="str">
        <f t="shared" si="18"/>
        <v/>
      </c>
      <c r="AT35" s="22">
        <f>IF(AS35="",0,COUNTIF(nINT_Key,AS35))</f>
        <v>0</v>
      </c>
      <c r="AU35" s="22">
        <f>IF(D35="",0,IFERROR(MATCH(AR35&amp;"|"&amp;D35,nLNK_Key,0),0))</f>
        <v>0</v>
      </c>
      <c r="AV35" s="22">
        <f>IF(OR(AQ35=1,H35=""),0,IFERROR(MATCH(AR35&amp;"|"&amp;H35,nTP_Key,0),0))</f>
        <v>0</v>
      </c>
      <c r="AW35" s="21">
        <f>IF(AV35=0,0,INDEX(nTP_Dup,AV35))</f>
        <v>0</v>
      </c>
      <c r="AX35" s="21" t="str">
        <f>IF(AV35=0,"",INDEX(nTP_Record_Type,AV35))</f>
        <v/>
      </c>
      <c r="AY35" s="21" t="str">
        <f>IF(AV35=0,"",INDEX(nTP_Precision,AV35))</f>
        <v/>
      </c>
      <c r="AZ35" s="21" t="str">
        <f>IF(AV35=0,"",INDEX(nTP_Err,AV35))</f>
        <v/>
      </c>
      <c r="BA35" s="21">
        <f>IF(AV35=0,0,INDEX(nTP_HT,AV35))</f>
        <v>0</v>
      </c>
      <c r="BB35" s="21">
        <f>IF(AV35=0,0,INDEX(nTP_OK,AV35))</f>
        <v>0</v>
      </c>
      <c r="BC35" s="21" t="str">
        <f>IF(AV35=0,"",INDEX(nTP_Loc,AV35))</f>
        <v/>
      </c>
      <c r="BD35" s="21" t="str">
        <f>IF(AV35=0,"",INDEX(nTP_UTC,AV35))</f>
        <v/>
      </c>
      <c r="BE35" s="21" t="str">
        <f>IF(AV35=0,"",INDEX(nTP_Lo,AV35))</f>
        <v/>
      </c>
      <c r="BF35" s="21" t="str">
        <f>IF(AV35=0,"",INDEX(nTP_Hi,AV35))</f>
        <v/>
      </c>
      <c r="BG35" s="22">
        <f>IF(OR(AQ35=1,E35&lt;&gt;"LAST_DOSE_BEFORE_ONSET",AU35=0,AV35=0),0,IF(AZ35&lt;&gt;"",0,SUMPRODUCT(MAX((nADM_SelKey=AR35&amp;"|"&amp;AL35)*nADM_Valid*(nADM_A_HT*BA35*nADM_A_OK*BB35*(nADM_UTC_n&lt;=N(BD35))+nADM_A_HT*BA35*(1-nADM_A_OK*BB35)*(nADM_Loc_n&lt;=N(BC35))+(1-nADM_A_HT*BA35)*(nADM_Lo_n&lt;=N(BE35)))*nADM_Sort_n))))</f>
        <v>0</v>
      </c>
      <c r="BH35" s="22">
        <f>IF(BG35=0,0,MATCH(1,INDEX((nADM_SelKey=AR35&amp;"|"&amp;AL35)*nADM_Valid*(nADM_A_HT*BA35*nADM_A_OK*BB35*(nADM_UTC_n&lt;=N(BD35))+nADM_A_HT*BA35*(1-nADM_A_OK*BB35)*(nADM_Loc_n&lt;=N(BC35))+(1-nADM_A_HT*BA35)*(nADM_Lo_n&lt;=N(BE35)))*(nADM_Sort_n=BG35),0),0))</f>
        <v>0</v>
      </c>
      <c r="BI35" s="21" t="str">
        <f>IF(BH35=0,"",INDEX(nADM_Admin_ID,BH35)&amp;"")</f>
        <v/>
      </c>
      <c r="BJ35" s="22">
        <f>IF(OR(AQ35=1,AG35=""),0,IFERROR(MATCH(AR35&amp;"|"&amp;AG35,nTP_Key,0),0))</f>
        <v>0</v>
      </c>
      <c r="BK35" s="21">
        <f>IF(BJ35=0,0,INDEX(nTP_Dup,BJ35))</f>
        <v>0</v>
      </c>
      <c r="BL35" s="21" t="str">
        <f>IF(BJ35=0,"",INDEX(nTP_Record_Type,BJ35))</f>
        <v/>
      </c>
      <c r="BM35" s="21" t="str">
        <f>IF(BJ35=0,"",INDEX(nTP_Precision,BJ35))</f>
        <v/>
      </c>
      <c r="BN35" s="21" t="str">
        <f>IF(BJ35=0,"",INDEX(nTP_Err,BJ35))</f>
        <v/>
      </c>
      <c r="BO35" s="21">
        <f>IF(BJ35=0,0,INDEX(nTP_HT,BJ35))</f>
        <v>0</v>
      </c>
      <c r="BP35" s="21">
        <f>IF(BJ35=0,0,INDEX(nTP_OK,BJ35))</f>
        <v>0</v>
      </c>
      <c r="BQ35" s="21" t="str">
        <f>IF(BJ35=0,"",INDEX(nTP_Loc,BJ35))</f>
        <v/>
      </c>
      <c r="BR35" s="21" t="str">
        <f>IF(BJ35=0,"",INDEX(nTP_UTC,BJ35))</f>
        <v/>
      </c>
      <c r="BS35" s="21" t="str">
        <f>IF(BJ35=0,"",INDEX(nTP_Lo,BJ35))</f>
        <v/>
      </c>
      <c r="BT35" s="21" t="str">
        <f>IF(BJ35=0,"",INDEX(nTP_Hi,BJ35))</f>
        <v/>
      </c>
      <c r="BU35" s="22">
        <f>IF(OR(BJ35=0,AV35=0),0,SUMPRODUCT((nTP_Case_Key=AR35)*(nTP_Record_Type="MILESTONE:INTERVENTION")*(nTP_Err="")*(nTP_HT*BO35*BA35*(nTP_Loc_n&gt;=N(BQ35))*(nTP_Loc_n&lt;=N(BC35))+(1-nTP_HT*BO35*BA35)*(nTP_Lo_n&gt;=N(BS35))*(nTP_Hi_n&lt;=N(BF35))*(nTP_Lo_n&gt;0))))</f>
        <v>0</v>
      </c>
      <c r="BV35" s="21" t="str">
        <f t="shared" si="19"/>
        <v/>
      </c>
      <c r="BW35" s="21" t="str">
        <f t="shared" si="20"/>
        <v/>
      </c>
      <c r="BX35" s="21" t="str">
        <f t="shared" si="21"/>
        <v/>
      </c>
      <c r="BY35" s="21" t="str">
        <f t="shared" si="22"/>
        <v/>
      </c>
      <c r="BZ35" s="22">
        <f t="shared" si="23"/>
        <v>1</v>
      </c>
      <c r="CA35" s="21" t="str">
        <f t="shared" si="24"/>
        <v/>
      </c>
      <c r="CB35" s="21" t="str">
        <f t="shared" si="25"/>
        <v/>
      </c>
      <c r="CC35" s="21" t="str">
        <f t="shared" si="26"/>
        <v/>
      </c>
      <c r="CD35" s="21" t="str">
        <f t="shared" si="27"/>
        <v/>
      </c>
      <c r="CE35" s="22">
        <f t="shared" si="28"/>
        <v>0</v>
      </c>
      <c r="CF35" s="28" t="str">
        <f t="shared" si="29"/>
        <v/>
      </c>
      <c r="CG35" s="28" t="str">
        <f t="shared" si="30"/>
        <v/>
      </c>
      <c r="CH35" s="21" t="str">
        <f t="shared" si="31"/>
        <v/>
      </c>
      <c r="CI35" s="22">
        <f t="shared" si="32"/>
        <v>0</v>
      </c>
      <c r="CJ35" s="22">
        <f t="shared" si="33"/>
        <v>0</v>
      </c>
      <c r="CK35" s="22">
        <f t="shared" si="34"/>
        <v>0</v>
      </c>
      <c r="CL35" s="22">
        <f t="shared" si="35"/>
        <v>0</v>
      </c>
      <c r="CM35" s="22">
        <f t="shared" si="36"/>
        <v>0</v>
      </c>
      <c r="CN35" s="22">
        <f t="shared" si="37"/>
        <v>0</v>
      </c>
      <c r="CO35" s="22">
        <f t="shared" si="38"/>
        <v>0</v>
      </c>
      <c r="CP35" s="22">
        <f t="shared" si="39"/>
        <v>0</v>
      </c>
      <c r="CQ35" s="21" t="str">
        <f t="shared" si="40"/>
        <v/>
      </c>
    </row>
    <row r="36" spans="1:95" x14ac:dyDescent="0.2">
      <c r="A36" s="10"/>
      <c r="B36" s="10"/>
      <c r="C36" s="12"/>
      <c r="D36" s="10"/>
      <c r="E36" s="17"/>
      <c r="F36" s="10"/>
      <c r="G36" s="10"/>
      <c r="H36" s="10"/>
      <c r="I36" s="17"/>
      <c r="J36" s="17"/>
      <c r="K36" s="10"/>
      <c r="L36" s="17"/>
      <c r="M36" s="17"/>
      <c r="N36" s="17"/>
      <c r="O36" s="10"/>
      <c r="P36" s="15"/>
      <c r="Q36" s="15"/>
      <c r="R36" s="10"/>
      <c r="S36" s="10"/>
      <c r="T36" s="21" t="str">
        <f t="shared" si="0"/>
        <v/>
      </c>
      <c r="U36" s="21" t="str">
        <f t="shared" si="1"/>
        <v/>
      </c>
      <c r="V36" s="21" t="str">
        <f t="shared" si="2"/>
        <v/>
      </c>
      <c r="W36" s="21" t="str">
        <f t="shared" si="3"/>
        <v/>
      </c>
      <c r="X36" s="21" t="str">
        <f t="shared" si="4"/>
        <v/>
      </c>
      <c r="Y36" s="21" t="str">
        <f t="shared" si="5"/>
        <v/>
      </c>
      <c r="Z36" s="21" t="str">
        <f t="shared" si="6"/>
        <v/>
      </c>
      <c r="AA36" s="21" t="str">
        <f t="shared" si="7"/>
        <v/>
      </c>
      <c r="AB36" s="21" t="str">
        <f t="shared" si="8"/>
        <v/>
      </c>
      <c r="AC36" s="21" t="str">
        <f>IF(AQ36=1,"",MID(IF(BX36&lt;&gt;""," | "&amp;BX36&amp;": "&amp;SUBSTITUTE(IFERROR(INDEX(nMSG_Text,MATCH(BX36,nMSG_Code,0)),""),"[input]",BY36),"")&amp;IF(CI36=1," | W_TZ_UNKNOWN: "&amp;SUBSTITUTE(IFERROR(INDEX(nMSG_Text,MATCH("W_TZ_UNKNOWN",nMSG_Code,0)),""),"[input]",""),"")&amp;IF(CJ36=1," | W_SAME_DATE_ORDER_UNKNOWN: "&amp;SUBSTITUTE(IFERROR(INDEX(nMSG_Text,MATCH("W_SAME_DATE_ORDER_UNKNOWN",nMSG_Code,0)),""),"[input]",""),"")&amp;IF(CK36=1," | W_SEQUENCE_UNCERTAIN: "&amp;SUBSTITUTE(IFERROR(INDEX(nMSG_Text,MATCH("W_SEQUENCE_UNCERTAIN",nMSG_Code,0)),""),"[input]",""),"")&amp;IF(CL36=1," | W_ADMIN_SAME_DATE_AS_ONSET: "&amp;SUBSTITUTE(IFERROR(INDEX(nMSG_Text,MATCH("W_ADMIN_SAME_DATE_AS_ONSET",nMSG_Code,0)),""),"[input]",""),"")&amp;IF(CO36=1," | W_INTERVENTION_BEFORE_RECOVERY: "&amp;SUBSTITUTE(IFERROR(INDEX(nMSG_Text,MATCH("W_INTERVENTION_BEFORE_RECOVERY",nMSG_Code,0)),""),"[input]",""),"")&amp;IF(OR(CQ36="",CQ36="OVERLAP"),""," | "&amp;CQ36&amp;" (reported timing): "&amp;SUBSTITUTE(IFERROR(INDEX(nMSG_Text,MATCH(CQ36,nMSG_Code,0)),""),"[input]","numeric reported bounds and a reported unit"))&amp;IF(CM36=1," | I_TREATMENT_DAY_UNDEFINED: "&amp;SUBSTITUTE(IFERROR(INDEX(nMSG_Text,MATCH("I_TREATMENT_DAY_UNDEFINED",nMSG_Code,0)),""),"[input]",""),"")&amp;IF(CH36&lt;&gt;""," | "&amp;CH36&amp;" (constraint): "&amp;SUBSTITUTE(IFERROR(INDEX(nMSG_Text,MATCH(CH36,nMSG_Code,0)),""),"[input]","a source for the constraint"),""),4,9999))</f>
        <v/>
      </c>
      <c r="AD36" s="21" t="str">
        <f t="shared" si="9"/>
        <v/>
      </c>
      <c r="AE36" s="21" t="str">
        <f t="shared" si="10"/>
        <v/>
      </c>
      <c r="AF36" s="21" t="str">
        <f t="shared" si="11"/>
        <v/>
      </c>
      <c r="AG36" s="21" t="str">
        <f t="shared" si="12"/>
        <v/>
      </c>
      <c r="AH36" s="21" t="str">
        <f>IF(BJ36=0,"",INDEX(nTP_ISO,BJ36))</f>
        <v/>
      </c>
      <c r="AI36" s="21" t="str">
        <f>IF(BJ36=0,"",INDEX(nTP_Display,BJ36))</f>
        <v/>
      </c>
      <c r="AJ36" s="21" t="str">
        <f>IF(AV36=0,"",INDEX(nTP_ISO,AV36))</f>
        <v/>
      </c>
      <c r="AK36" s="21" t="str">
        <f>IF(AV36=0,"",INDEX(nTP_Display,AV36))</f>
        <v/>
      </c>
      <c r="AL36" s="21" t="str">
        <f>IF(AU36=0,"",INDEX(nLNK_Exposure_Episode_ID,AU36)&amp;"")</f>
        <v/>
      </c>
      <c r="AM36" s="21" t="str">
        <f>IF(AU36=0,"",INDEX(nLNK_Event_Episode_ID,AU36)&amp;"")</f>
        <v/>
      </c>
      <c r="AN36" s="21" t="str">
        <f t="shared" si="13"/>
        <v/>
      </c>
      <c r="AO36" s="21" t="str">
        <f t="shared" si="14"/>
        <v/>
      </c>
      <c r="AP36" s="21" t="str">
        <f t="shared" si="15"/>
        <v/>
      </c>
      <c r="AQ36" s="22">
        <f t="shared" si="16"/>
        <v>1</v>
      </c>
      <c r="AR36" s="21" t="str">
        <f t="shared" si="17"/>
        <v>|</v>
      </c>
      <c r="AS36" s="21" t="str">
        <f t="shared" si="18"/>
        <v/>
      </c>
      <c r="AT36" s="22">
        <f>IF(AS36="",0,COUNTIF(nINT_Key,AS36))</f>
        <v>0</v>
      </c>
      <c r="AU36" s="22">
        <f>IF(D36="",0,IFERROR(MATCH(AR36&amp;"|"&amp;D36,nLNK_Key,0),0))</f>
        <v>0</v>
      </c>
      <c r="AV36" s="22">
        <f>IF(OR(AQ36=1,H36=""),0,IFERROR(MATCH(AR36&amp;"|"&amp;H36,nTP_Key,0),0))</f>
        <v>0</v>
      </c>
      <c r="AW36" s="21">
        <f>IF(AV36=0,0,INDEX(nTP_Dup,AV36))</f>
        <v>0</v>
      </c>
      <c r="AX36" s="21" t="str">
        <f>IF(AV36=0,"",INDEX(nTP_Record_Type,AV36))</f>
        <v/>
      </c>
      <c r="AY36" s="21" t="str">
        <f>IF(AV36=0,"",INDEX(nTP_Precision,AV36))</f>
        <v/>
      </c>
      <c r="AZ36" s="21" t="str">
        <f>IF(AV36=0,"",INDEX(nTP_Err,AV36))</f>
        <v/>
      </c>
      <c r="BA36" s="21">
        <f>IF(AV36=0,0,INDEX(nTP_HT,AV36))</f>
        <v>0</v>
      </c>
      <c r="BB36" s="21">
        <f>IF(AV36=0,0,INDEX(nTP_OK,AV36))</f>
        <v>0</v>
      </c>
      <c r="BC36" s="21" t="str">
        <f>IF(AV36=0,"",INDEX(nTP_Loc,AV36))</f>
        <v/>
      </c>
      <c r="BD36" s="21" t="str">
        <f>IF(AV36=0,"",INDEX(nTP_UTC,AV36))</f>
        <v/>
      </c>
      <c r="BE36" s="21" t="str">
        <f>IF(AV36=0,"",INDEX(nTP_Lo,AV36))</f>
        <v/>
      </c>
      <c r="BF36" s="21" t="str">
        <f>IF(AV36=0,"",INDEX(nTP_Hi,AV36))</f>
        <v/>
      </c>
      <c r="BG36" s="22">
        <f>IF(OR(AQ36=1,E36&lt;&gt;"LAST_DOSE_BEFORE_ONSET",AU36=0,AV36=0),0,IF(AZ36&lt;&gt;"",0,SUMPRODUCT(MAX((nADM_SelKey=AR36&amp;"|"&amp;AL36)*nADM_Valid*(nADM_A_HT*BA36*nADM_A_OK*BB36*(nADM_UTC_n&lt;=N(BD36))+nADM_A_HT*BA36*(1-nADM_A_OK*BB36)*(nADM_Loc_n&lt;=N(BC36))+(1-nADM_A_HT*BA36)*(nADM_Lo_n&lt;=N(BE36)))*nADM_Sort_n))))</f>
        <v>0</v>
      </c>
      <c r="BH36" s="22">
        <f>IF(BG36=0,0,MATCH(1,INDEX((nADM_SelKey=AR36&amp;"|"&amp;AL36)*nADM_Valid*(nADM_A_HT*BA36*nADM_A_OK*BB36*(nADM_UTC_n&lt;=N(BD36))+nADM_A_HT*BA36*(1-nADM_A_OK*BB36)*(nADM_Loc_n&lt;=N(BC36))+(1-nADM_A_HT*BA36)*(nADM_Lo_n&lt;=N(BE36)))*(nADM_Sort_n=BG36),0),0))</f>
        <v>0</v>
      </c>
      <c r="BI36" s="21" t="str">
        <f>IF(BH36=0,"",INDEX(nADM_Admin_ID,BH36)&amp;"")</f>
        <v/>
      </c>
      <c r="BJ36" s="22">
        <f>IF(OR(AQ36=1,AG36=""),0,IFERROR(MATCH(AR36&amp;"|"&amp;AG36,nTP_Key,0),0))</f>
        <v>0</v>
      </c>
      <c r="BK36" s="21">
        <f>IF(BJ36=0,0,INDEX(nTP_Dup,BJ36))</f>
        <v>0</v>
      </c>
      <c r="BL36" s="21" t="str">
        <f>IF(BJ36=0,"",INDEX(nTP_Record_Type,BJ36))</f>
        <v/>
      </c>
      <c r="BM36" s="21" t="str">
        <f>IF(BJ36=0,"",INDEX(nTP_Precision,BJ36))</f>
        <v/>
      </c>
      <c r="BN36" s="21" t="str">
        <f>IF(BJ36=0,"",INDEX(nTP_Err,BJ36))</f>
        <v/>
      </c>
      <c r="BO36" s="21">
        <f>IF(BJ36=0,0,INDEX(nTP_HT,BJ36))</f>
        <v>0</v>
      </c>
      <c r="BP36" s="21">
        <f>IF(BJ36=0,0,INDEX(nTP_OK,BJ36))</f>
        <v>0</v>
      </c>
      <c r="BQ36" s="21" t="str">
        <f>IF(BJ36=0,"",INDEX(nTP_Loc,BJ36))</f>
        <v/>
      </c>
      <c r="BR36" s="21" t="str">
        <f>IF(BJ36=0,"",INDEX(nTP_UTC,BJ36))</f>
        <v/>
      </c>
      <c r="BS36" s="21" t="str">
        <f>IF(BJ36=0,"",INDEX(nTP_Lo,BJ36))</f>
        <v/>
      </c>
      <c r="BT36" s="21" t="str">
        <f>IF(BJ36=0,"",INDEX(nTP_Hi,BJ36))</f>
        <v/>
      </c>
      <c r="BU36" s="22">
        <f>IF(OR(BJ36=0,AV36=0),0,SUMPRODUCT((nTP_Case_Key=AR36)*(nTP_Record_Type="MILESTONE:INTERVENTION")*(nTP_Err="")*(nTP_HT*BO36*BA36*(nTP_Loc_n&gt;=N(BQ36))*(nTP_Loc_n&lt;=N(BC36))+(1-nTP_HT*BO36*BA36)*(nTP_Lo_n&gt;=N(BS36))*(nTP_Hi_n&lt;=N(BF36))*(nTP_Lo_n&gt;0))))</f>
        <v>0</v>
      </c>
      <c r="BV36" s="21" t="str">
        <f t="shared" si="19"/>
        <v/>
      </c>
      <c r="BW36" s="21" t="str">
        <f t="shared" si="20"/>
        <v/>
      </c>
      <c r="BX36" s="21" t="str">
        <f t="shared" si="21"/>
        <v/>
      </c>
      <c r="BY36" s="21" t="str">
        <f t="shared" si="22"/>
        <v/>
      </c>
      <c r="BZ36" s="22">
        <f t="shared" si="23"/>
        <v>1</v>
      </c>
      <c r="CA36" s="21" t="str">
        <f t="shared" si="24"/>
        <v/>
      </c>
      <c r="CB36" s="21" t="str">
        <f t="shared" si="25"/>
        <v/>
      </c>
      <c r="CC36" s="21" t="str">
        <f t="shared" si="26"/>
        <v/>
      </c>
      <c r="CD36" s="21" t="str">
        <f t="shared" si="27"/>
        <v/>
      </c>
      <c r="CE36" s="22">
        <f t="shared" si="28"/>
        <v>0</v>
      </c>
      <c r="CF36" s="28" t="str">
        <f t="shared" si="29"/>
        <v/>
      </c>
      <c r="CG36" s="28" t="str">
        <f t="shared" si="30"/>
        <v/>
      </c>
      <c r="CH36" s="21" t="str">
        <f t="shared" si="31"/>
        <v/>
      </c>
      <c r="CI36" s="22">
        <f t="shared" si="32"/>
        <v>0</v>
      </c>
      <c r="CJ36" s="22">
        <f t="shared" si="33"/>
        <v>0</v>
      </c>
      <c r="CK36" s="22">
        <f t="shared" si="34"/>
        <v>0</v>
      </c>
      <c r="CL36" s="22">
        <f t="shared" si="35"/>
        <v>0</v>
      </c>
      <c r="CM36" s="22">
        <f t="shared" si="36"/>
        <v>0</v>
      </c>
      <c r="CN36" s="22">
        <f t="shared" si="37"/>
        <v>0</v>
      </c>
      <c r="CO36" s="22">
        <f t="shared" si="38"/>
        <v>0</v>
      </c>
      <c r="CP36" s="22">
        <f t="shared" si="39"/>
        <v>0</v>
      </c>
      <c r="CQ36" s="21" t="str">
        <f t="shared" si="40"/>
        <v/>
      </c>
    </row>
    <row r="37" spans="1:95" x14ac:dyDescent="0.2">
      <c r="A37" s="10"/>
      <c r="B37" s="10"/>
      <c r="C37" s="12"/>
      <c r="D37" s="10"/>
      <c r="E37" s="17"/>
      <c r="F37" s="10"/>
      <c r="G37" s="10"/>
      <c r="H37" s="10"/>
      <c r="I37" s="17"/>
      <c r="J37" s="17"/>
      <c r="K37" s="10"/>
      <c r="L37" s="17"/>
      <c r="M37" s="17"/>
      <c r="N37" s="17"/>
      <c r="O37" s="10"/>
      <c r="P37" s="15"/>
      <c r="Q37" s="15"/>
      <c r="R37" s="10"/>
      <c r="S37" s="10"/>
      <c r="T37" s="21" t="str">
        <f t="shared" si="0"/>
        <v/>
      </c>
      <c r="U37" s="21" t="str">
        <f t="shared" si="1"/>
        <v/>
      </c>
      <c r="V37" s="21" t="str">
        <f t="shared" si="2"/>
        <v/>
      </c>
      <c r="W37" s="21" t="str">
        <f t="shared" si="3"/>
        <v/>
      </c>
      <c r="X37" s="21" t="str">
        <f t="shared" si="4"/>
        <v/>
      </c>
      <c r="Y37" s="21" t="str">
        <f t="shared" si="5"/>
        <v/>
      </c>
      <c r="Z37" s="21" t="str">
        <f t="shared" si="6"/>
        <v/>
      </c>
      <c r="AA37" s="21" t="str">
        <f t="shared" si="7"/>
        <v/>
      </c>
      <c r="AB37" s="21" t="str">
        <f t="shared" si="8"/>
        <v/>
      </c>
      <c r="AC37" s="21" t="str">
        <f>IF(AQ37=1,"",MID(IF(BX37&lt;&gt;""," | "&amp;BX37&amp;": "&amp;SUBSTITUTE(IFERROR(INDEX(nMSG_Text,MATCH(BX37,nMSG_Code,0)),""),"[input]",BY37),"")&amp;IF(CI37=1," | W_TZ_UNKNOWN: "&amp;SUBSTITUTE(IFERROR(INDEX(nMSG_Text,MATCH("W_TZ_UNKNOWN",nMSG_Code,0)),""),"[input]",""),"")&amp;IF(CJ37=1," | W_SAME_DATE_ORDER_UNKNOWN: "&amp;SUBSTITUTE(IFERROR(INDEX(nMSG_Text,MATCH("W_SAME_DATE_ORDER_UNKNOWN",nMSG_Code,0)),""),"[input]",""),"")&amp;IF(CK37=1," | W_SEQUENCE_UNCERTAIN: "&amp;SUBSTITUTE(IFERROR(INDEX(nMSG_Text,MATCH("W_SEQUENCE_UNCERTAIN",nMSG_Code,0)),""),"[input]",""),"")&amp;IF(CL37=1," | W_ADMIN_SAME_DATE_AS_ONSET: "&amp;SUBSTITUTE(IFERROR(INDEX(nMSG_Text,MATCH("W_ADMIN_SAME_DATE_AS_ONSET",nMSG_Code,0)),""),"[input]",""),"")&amp;IF(CO37=1," | W_INTERVENTION_BEFORE_RECOVERY: "&amp;SUBSTITUTE(IFERROR(INDEX(nMSG_Text,MATCH("W_INTERVENTION_BEFORE_RECOVERY",nMSG_Code,0)),""),"[input]",""),"")&amp;IF(OR(CQ37="",CQ37="OVERLAP"),""," | "&amp;CQ37&amp;" (reported timing): "&amp;SUBSTITUTE(IFERROR(INDEX(nMSG_Text,MATCH(CQ37,nMSG_Code,0)),""),"[input]","numeric reported bounds and a reported unit"))&amp;IF(CM37=1," | I_TREATMENT_DAY_UNDEFINED: "&amp;SUBSTITUTE(IFERROR(INDEX(nMSG_Text,MATCH("I_TREATMENT_DAY_UNDEFINED",nMSG_Code,0)),""),"[input]",""),"")&amp;IF(CH37&lt;&gt;""," | "&amp;CH37&amp;" (constraint): "&amp;SUBSTITUTE(IFERROR(INDEX(nMSG_Text,MATCH(CH37,nMSG_Code,0)),""),"[input]","a source for the constraint"),""),4,9999))</f>
        <v/>
      </c>
      <c r="AD37" s="21" t="str">
        <f t="shared" si="9"/>
        <v/>
      </c>
      <c r="AE37" s="21" t="str">
        <f t="shared" si="10"/>
        <v/>
      </c>
      <c r="AF37" s="21" t="str">
        <f t="shared" si="11"/>
        <v/>
      </c>
      <c r="AG37" s="21" t="str">
        <f t="shared" si="12"/>
        <v/>
      </c>
      <c r="AH37" s="21" t="str">
        <f>IF(BJ37=0,"",INDEX(nTP_ISO,BJ37))</f>
        <v/>
      </c>
      <c r="AI37" s="21" t="str">
        <f>IF(BJ37=0,"",INDEX(nTP_Display,BJ37))</f>
        <v/>
      </c>
      <c r="AJ37" s="21" t="str">
        <f>IF(AV37=0,"",INDEX(nTP_ISO,AV37))</f>
        <v/>
      </c>
      <c r="AK37" s="21" t="str">
        <f>IF(AV37=0,"",INDEX(nTP_Display,AV37))</f>
        <v/>
      </c>
      <c r="AL37" s="21" t="str">
        <f>IF(AU37=0,"",INDEX(nLNK_Exposure_Episode_ID,AU37)&amp;"")</f>
        <v/>
      </c>
      <c r="AM37" s="21" t="str">
        <f>IF(AU37=0,"",INDEX(nLNK_Event_Episode_ID,AU37)&amp;"")</f>
        <v/>
      </c>
      <c r="AN37" s="21" t="str">
        <f t="shared" si="13"/>
        <v/>
      </c>
      <c r="AO37" s="21" t="str">
        <f t="shared" si="14"/>
        <v/>
      </c>
      <c r="AP37" s="21" t="str">
        <f t="shared" si="15"/>
        <v/>
      </c>
      <c r="AQ37" s="22">
        <f t="shared" si="16"/>
        <v>1</v>
      </c>
      <c r="AR37" s="21" t="str">
        <f t="shared" si="17"/>
        <v>|</v>
      </c>
      <c r="AS37" s="21" t="str">
        <f t="shared" si="18"/>
        <v/>
      </c>
      <c r="AT37" s="22">
        <f>IF(AS37="",0,COUNTIF(nINT_Key,AS37))</f>
        <v>0</v>
      </c>
      <c r="AU37" s="22">
        <f>IF(D37="",0,IFERROR(MATCH(AR37&amp;"|"&amp;D37,nLNK_Key,0),0))</f>
        <v>0</v>
      </c>
      <c r="AV37" s="22">
        <f>IF(OR(AQ37=1,H37=""),0,IFERROR(MATCH(AR37&amp;"|"&amp;H37,nTP_Key,0),0))</f>
        <v>0</v>
      </c>
      <c r="AW37" s="21">
        <f>IF(AV37=0,0,INDEX(nTP_Dup,AV37))</f>
        <v>0</v>
      </c>
      <c r="AX37" s="21" t="str">
        <f>IF(AV37=0,"",INDEX(nTP_Record_Type,AV37))</f>
        <v/>
      </c>
      <c r="AY37" s="21" t="str">
        <f>IF(AV37=0,"",INDEX(nTP_Precision,AV37))</f>
        <v/>
      </c>
      <c r="AZ37" s="21" t="str">
        <f>IF(AV37=0,"",INDEX(nTP_Err,AV37))</f>
        <v/>
      </c>
      <c r="BA37" s="21">
        <f>IF(AV37=0,0,INDEX(nTP_HT,AV37))</f>
        <v>0</v>
      </c>
      <c r="BB37" s="21">
        <f>IF(AV37=0,0,INDEX(nTP_OK,AV37))</f>
        <v>0</v>
      </c>
      <c r="BC37" s="21" t="str">
        <f>IF(AV37=0,"",INDEX(nTP_Loc,AV37))</f>
        <v/>
      </c>
      <c r="BD37" s="21" t="str">
        <f>IF(AV37=0,"",INDEX(nTP_UTC,AV37))</f>
        <v/>
      </c>
      <c r="BE37" s="21" t="str">
        <f>IF(AV37=0,"",INDEX(nTP_Lo,AV37))</f>
        <v/>
      </c>
      <c r="BF37" s="21" t="str">
        <f>IF(AV37=0,"",INDEX(nTP_Hi,AV37))</f>
        <v/>
      </c>
      <c r="BG37" s="22">
        <f>IF(OR(AQ37=1,E37&lt;&gt;"LAST_DOSE_BEFORE_ONSET",AU37=0,AV37=0),0,IF(AZ37&lt;&gt;"",0,SUMPRODUCT(MAX((nADM_SelKey=AR37&amp;"|"&amp;AL37)*nADM_Valid*(nADM_A_HT*BA37*nADM_A_OK*BB37*(nADM_UTC_n&lt;=N(BD37))+nADM_A_HT*BA37*(1-nADM_A_OK*BB37)*(nADM_Loc_n&lt;=N(BC37))+(1-nADM_A_HT*BA37)*(nADM_Lo_n&lt;=N(BE37)))*nADM_Sort_n))))</f>
        <v>0</v>
      </c>
      <c r="BH37" s="22">
        <f>IF(BG37=0,0,MATCH(1,INDEX((nADM_SelKey=AR37&amp;"|"&amp;AL37)*nADM_Valid*(nADM_A_HT*BA37*nADM_A_OK*BB37*(nADM_UTC_n&lt;=N(BD37))+nADM_A_HT*BA37*(1-nADM_A_OK*BB37)*(nADM_Loc_n&lt;=N(BC37))+(1-nADM_A_HT*BA37)*(nADM_Lo_n&lt;=N(BE37)))*(nADM_Sort_n=BG37),0),0))</f>
        <v>0</v>
      </c>
      <c r="BI37" s="21" t="str">
        <f>IF(BH37=0,"",INDEX(nADM_Admin_ID,BH37)&amp;"")</f>
        <v/>
      </c>
      <c r="BJ37" s="22">
        <f>IF(OR(AQ37=1,AG37=""),0,IFERROR(MATCH(AR37&amp;"|"&amp;AG37,nTP_Key,0),0))</f>
        <v>0</v>
      </c>
      <c r="BK37" s="21">
        <f>IF(BJ37=0,0,INDEX(nTP_Dup,BJ37))</f>
        <v>0</v>
      </c>
      <c r="BL37" s="21" t="str">
        <f>IF(BJ37=0,"",INDEX(nTP_Record_Type,BJ37))</f>
        <v/>
      </c>
      <c r="BM37" s="21" t="str">
        <f>IF(BJ37=0,"",INDEX(nTP_Precision,BJ37))</f>
        <v/>
      </c>
      <c r="BN37" s="21" t="str">
        <f>IF(BJ37=0,"",INDEX(nTP_Err,BJ37))</f>
        <v/>
      </c>
      <c r="BO37" s="21">
        <f>IF(BJ37=0,0,INDEX(nTP_HT,BJ37))</f>
        <v>0</v>
      </c>
      <c r="BP37" s="21">
        <f>IF(BJ37=0,0,INDEX(nTP_OK,BJ37))</f>
        <v>0</v>
      </c>
      <c r="BQ37" s="21" t="str">
        <f>IF(BJ37=0,"",INDEX(nTP_Loc,BJ37))</f>
        <v/>
      </c>
      <c r="BR37" s="21" t="str">
        <f>IF(BJ37=0,"",INDEX(nTP_UTC,BJ37))</f>
        <v/>
      </c>
      <c r="BS37" s="21" t="str">
        <f>IF(BJ37=0,"",INDEX(nTP_Lo,BJ37))</f>
        <v/>
      </c>
      <c r="BT37" s="21" t="str">
        <f>IF(BJ37=0,"",INDEX(nTP_Hi,BJ37))</f>
        <v/>
      </c>
      <c r="BU37" s="22">
        <f>IF(OR(BJ37=0,AV37=0),0,SUMPRODUCT((nTP_Case_Key=AR37)*(nTP_Record_Type="MILESTONE:INTERVENTION")*(nTP_Err="")*(nTP_HT*BO37*BA37*(nTP_Loc_n&gt;=N(BQ37))*(nTP_Loc_n&lt;=N(BC37))+(1-nTP_HT*BO37*BA37)*(nTP_Lo_n&gt;=N(BS37))*(nTP_Hi_n&lt;=N(BF37))*(nTP_Lo_n&gt;0))))</f>
        <v>0</v>
      </c>
      <c r="BV37" s="21" t="str">
        <f t="shared" si="19"/>
        <v/>
      </c>
      <c r="BW37" s="21" t="str">
        <f t="shared" si="20"/>
        <v/>
      </c>
      <c r="BX37" s="21" t="str">
        <f t="shared" si="21"/>
        <v/>
      </c>
      <c r="BY37" s="21" t="str">
        <f t="shared" si="22"/>
        <v/>
      </c>
      <c r="BZ37" s="22">
        <f t="shared" si="23"/>
        <v>1</v>
      </c>
      <c r="CA37" s="21" t="str">
        <f t="shared" si="24"/>
        <v/>
      </c>
      <c r="CB37" s="21" t="str">
        <f t="shared" si="25"/>
        <v/>
      </c>
      <c r="CC37" s="21" t="str">
        <f t="shared" si="26"/>
        <v/>
      </c>
      <c r="CD37" s="21" t="str">
        <f t="shared" si="27"/>
        <v/>
      </c>
      <c r="CE37" s="22">
        <f t="shared" si="28"/>
        <v>0</v>
      </c>
      <c r="CF37" s="28" t="str">
        <f t="shared" si="29"/>
        <v/>
      </c>
      <c r="CG37" s="28" t="str">
        <f t="shared" si="30"/>
        <v/>
      </c>
      <c r="CH37" s="21" t="str">
        <f t="shared" si="31"/>
        <v/>
      </c>
      <c r="CI37" s="22">
        <f t="shared" si="32"/>
        <v>0</v>
      </c>
      <c r="CJ37" s="22">
        <f t="shared" si="33"/>
        <v>0</v>
      </c>
      <c r="CK37" s="22">
        <f t="shared" si="34"/>
        <v>0</v>
      </c>
      <c r="CL37" s="22">
        <f t="shared" si="35"/>
        <v>0</v>
      </c>
      <c r="CM37" s="22">
        <f t="shared" si="36"/>
        <v>0</v>
      </c>
      <c r="CN37" s="22">
        <f t="shared" si="37"/>
        <v>0</v>
      </c>
      <c r="CO37" s="22">
        <f t="shared" si="38"/>
        <v>0</v>
      </c>
      <c r="CP37" s="22">
        <f t="shared" si="39"/>
        <v>0</v>
      </c>
      <c r="CQ37" s="21" t="str">
        <f t="shared" si="40"/>
        <v/>
      </c>
    </row>
    <row r="38" spans="1:95" x14ac:dyDescent="0.2">
      <c r="A38" s="10"/>
      <c r="B38" s="10"/>
      <c r="C38" s="12"/>
      <c r="D38" s="10"/>
      <c r="E38" s="17"/>
      <c r="F38" s="10"/>
      <c r="G38" s="10"/>
      <c r="H38" s="10"/>
      <c r="I38" s="17"/>
      <c r="J38" s="17"/>
      <c r="K38" s="10"/>
      <c r="L38" s="17"/>
      <c r="M38" s="17"/>
      <c r="N38" s="17"/>
      <c r="O38" s="10"/>
      <c r="P38" s="15"/>
      <c r="Q38" s="15"/>
      <c r="R38" s="10"/>
      <c r="S38" s="10"/>
      <c r="T38" s="21" t="str">
        <f t="shared" si="0"/>
        <v/>
      </c>
      <c r="U38" s="21" t="str">
        <f t="shared" si="1"/>
        <v/>
      </c>
      <c r="V38" s="21" t="str">
        <f t="shared" si="2"/>
        <v/>
      </c>
      <c r="W38" s="21" t="str">
        <f t="shared" si="3"/>
        <v/>
      </c>
      <c r="X38" s="21" t="str">
        <f t="shared" si="4"/>
        <v/>
      </c>
      <c r="Y38" s="21" t="str">
        <f t="shared" si="5"/>
        <v/>
      </c>
      <c r="Z38" s="21" t="str">
        <f t="shared" si="6"/>
        <v/>
      </c>
      <c r="AA38" s="21" t="str">
        <f t="shared" si="7"/>
        <v/>
      </c>
      <c r="AB38" s="21" t="str">
        <f t="shared" si="8"/>
        <v/>
      </c>
      <c r="AC38" s="21" t="str">
        <f>IF(AQ38=1,"",MID(IF(BX38&lt;&gt;""," | "&amp;BX38&amp;": "&amp;SUBSTITUTE(IFERROR(INDEX(nMSG_Text,MATCH(BX38,nMSG_Code,0)),""),"[input]",BY38),"")&amp;IF(CI38=1," | W_TZ_UNKNOWN: "&amp;SUBSTITUTE(IFERROR(INDEX(nMSG_Text,MATCH("W_TZ_UNKNOWN",nMSG_Code,0)),""),"[input]",""),"")&amp;IF(CJ38=1," | W_SAME_DATE_ORDER_UNKNOWN: "&amp;SUBSTITUTE(IFERROR(INDEX(nMSG_Text,MATCH("W_SAME_DATE_ORDER_UNKNOWN",nMSG_Code,0)),""),"[input]",""),"")&amp;IF(CK38=1," | W_SEQUENCE_UNCERTAIN: "&amp;SUBSTITUTE(IFERROR(INDEX(nMSG_Text,MATCH("W_SEQUENCE_UNCERTAIN",nMSG_Code,0)),""),"[input]",""),"")&amp;IF(CL38=1," | W_ADMIN_SAME_DATE_AS_ONSET: "&amp;SUBSTITUTE(IFERROR(INDEX(nMSG_Text,MATCH("W_ADMIN_SAME_DATE_AS_ONSET",nMSG_Code,0)),""),"[input]",""),"")&amp;IF(CO38=1," | W_INTERVENTION_BEFORE_RECOVERY: "&amp;SUBSTITUTE(IFERROR(INDEX(nMSG_Text,MATCH("W_INTERVENTION_BEFORE_RECOVERY",nMSG_Code,0)),""),"[input]",""),"")&amp;IF(OR(CQ38="",CQ38="OVERLAP"),""," | "&amp;CQ38&amp;" (reported timing): "&amp;SUBSTITUTE(IFERROR(INDEX(nMSG_Text,MATCH(CQ38,nMSG_Code,0)),""),"[input]","numeric reported bounds and a reported unit"))&amp;IF(CM38=1," | I_TREATMENT_DAY_UNDEFINED: "&amp;SUBSTITUTE(IFERROR(INDEX(nMSG_Text,MATCH("I_TREATMENT_DAY_UNDEFINED",nMSG_Code,0)),""),"[input]",""),"")&amp;IF(CH38&lt;&gt;""," | "&amp;CH38&amp;" (constraint): "&amp;SUBSTITUTE(IFERROR(INDEX(nMSG_Text,MATCH(CH38,nMSG_Code,0)),""),"[input]","a source for the constraint"),""),4,9999))</f>
        <v/>
      </c>
      <c r="AD38" s="21" t="str">
        <f t="shared" si="9"/>
        <v/>
      </c>
      <c r="AE38" s="21" t="str">
        <f t="shared" si="10"/>
        <v/>
      </c>
      <c r="AF38" s="21" t="str">
        <f t="shared" si="11"/>
        <v/>
      </c>
      <c r="AG38" s="21" t="str">
        <f t="shared" si="12"/>
        <v/>
      </c>
      <c r="AH38" s="21" t="str">
        <f>IF(BJ38=0,"",INDEX(nTP_ISO,BJ38))</f>
        <v/>
      </c>
      <c r="AI38" s="21" t="str">
        <f>IF(BJ38=0,"",INDEX(nTP_Display,BJ38))</f>
        <v/>
      </c>
      <c r="AJ38" s="21" t="str">
        <f>IF(AV38=0,"",INDEX(nTP_ISO,AV38))</f>
        <v/>
      </c>
      <c r="AK38" s="21" t="str">
        <f>IF(AV38=0,"",INDEX(nTP_Display,AV38))</f>
        <v/>
      </c>
      <c r="AL38" s="21" t="str">
        <f>IF(AU38=0,"",INDEX(nLNK_Exposure_Episode_ID,AU38)&amp;"")</f>
        <v/>
      </c>
      <c r="AM38" s="21" t="str">
        <f>IF(AU38=0,"",INDEX(nLNK_Event_Episode_ID,AU38)&amp;"")</f>
        <v/>
      </c>
      <c r="AN38" s="21" t="str">
        <f t="shared" si="13"/>
        <v/>
      </c>
      <c r="AO38" s="21" t="str">
        <f t="shared" si="14"/>
        <v/>
      </c>
      <c r="AP38" s="21" t="str">
        <f t="shared" si="15"/>
        <v/>
      </c>
      <c r="AQ38" s="22">
        <f t="shared" si="16"/>
        <v>1</v>
      </c>
      <c r="AR38" s="21" t="str">
        <f t="shared" si="17"/>
        <v>|</v>
      </c>
      <c r="AS38" s="21" t="str">
        <f t="shared" si="18"/>
        <v/>
      </c>
      <c r="AT38" s="22">
        <f>IF(AS38="",0,COUNTIF(nINT_Key,AS38))</f>
        <v>0</v>
      </c>
      <c r="AU38" s="22">
        <f>IF(D38="",0,IFERROR(MATCH(AR38&amp;"|"&amp;D38,nLNK_Key,0),0))</f>
        <v>0</v>
      </c>
      <c r="AV38" s="22">
        <f>IF(OR(AQ38=1,H38=""),0,IFERROR(MATCH(AR38&amp;"|"&amp;H38,nTP_Key,0),0))</f>
        <v>0</v>
      </c>
      <c r="AW38" s="21">
        <f>IF(AV38=0,0,INDEX(nTP_Dup,AV38))</f>
        <v>0</v>
      </c>
      <c r="AX38" s="21" t="str">
        <f>IF(AV38=0,"",INDEX(nTP_Record_Type,AV38))</f>
        <v/>
      </c>
      <c r="AY38" s="21" t="str">
        <f>IF(AV38=0,"",INDEX(nTP_Precision,AV38))</f>
        <v/>
      </c>
      <c r="AZ38" s="21" t="str">
        <f>IF(AV38=0,"",INDEX(nTP_Err,AV38))</f>
        <v/>
      </c>
      <c r="BA38" s="21">
        <f>IF(AV38=0,0,INDEX(nTP_HT,AV38))</f>
        <v>0</v>
      </c>
      <c r="BB38" s="21">
        <f>IF(AV38=0,0,INDEX(nTP_OK,AV38))</f>
        <v>0</v>
      </c>
      <c r="BC38" s="21" t="str">
        <f>IF(AV38=0,"",INDEX(nTP_Loc,AV38))</f>
        <v/>
      </c>
      <c r="BD38" s="21" t="str">
        <f>IF(AV38=0,"",INDEX(nTP_UTC,AV38))</f>
        <v/>
      </c>
      <c r="BE38" s="21" t="str">
        <f>IF(AV38=0,"",INDEX(nTP_Lo,AV38))</f>
        <v/>
      </c>
      <c r="BF38" s="21" t="str">
        <f>IF(AV38=0,"",INDEX(nTP_Hi,AV38))</f>
        <v/>
      </c>
      <c r="BG38" s="22">
        <f>IF(OR(AQ38=1,E38&lt;&gt;"LAST_DOSE_BEFORE_ONSET",AU38=0,AV38=0),0,IF(AZ38&lt;&gt;"",0,SUMPRODUCT(MAX((nADM_SelKey=AR38&amp;"|"&amp;AL38)*nADM_Valid*(nADM_A_HT*BA38*nADM_A_OK*BB38*(nADM_UTC_n&lt;=N(BD38))+nADM_A_HT*BA38*(1-nADM_A_OK*BB38)*(nADM_Loc_n&lt;=N(BC38))+(1-nADM_A_HT*BA38)*(nADM_Lo_n&lt;=N(BE38)))*nADM_Sort_n))))</f>
        <v>0</v>
      </c>
      <c r="BH38" s="22">
        <f>IF(BG38=0,0,MATCH(1,INDEX((nADM_SelKey=AR38&amp;"|"&amp;AL38)*nADM_Valid*(nADM_A_HT*BA38*nADM_A_OK*BB38*(nADM_UTC_n&lt;=N(BD38))+nADM_A_HT*BA38*(1-nADM_A_OK*BB38)*(nADM_Loc_n&lt;=N(BC38))+(1-nADM_A_HT*BA38)*(nADM_Lo_n&lt;=N(BE38)))*(nADM_Sort_n=BG38),0),0))</f>
        <v>0</v>
      </c>
      <c r="BI38" s="21" t="str">
        <f>IF(BH38=0,"",INDEX(nADM_Admin_ID,BH38)&amp;"")</f>
        <v/>
      </c>
      <c r="BJ38" s="22">
        <f>IF(OR(AQ38=1,AG38=""),0,IFERROR(MATCH(AR38&amp;"|"&amp;AG38,nTP_Key,0),0))</f>
        <v>0</v>
      </c>
      <c r="BK38" s="21">
        <f>IF(BJ38=0,0,INDEX(nTP_Dup,BJ38))</f>
        <v>0</v>
      </c>
      <c r="BL38" s="21" t="str">
        <f>IF(BJ38=0,"",INDEX(nTP_Record_Type,BJ38))</f>
        <v/>
      </c>
      <c r="BM38" s="21" t="str">
        <f>IF(BJ38=0,"",INDEX(nTP_Precision,BJ38))</f>
        <v/>
      </c>
      <c r="BN38" s="21" t="str">
        <f>IF(BJ38=0,"",INDEX(nTP_Err,BJ38))</f>
        <v/>
      </c>
      <c r="BO38" s="21">
        <f>IF(BJ38=0,0,INDEX(nTP_HT,BJ38))</f>
        <v>0</v>
      </c>
      <c r="BP38" s="21">
        <f>IF(BJ38=0,0,INDEX(nTP_OK,BJ38))</f>
        <v>0</v>
      </c>
      <c r="BQ38" s="21" t="str">
        <f>IF(BJ38=0,"",INDEX(nTP_Loc,BJ38))</f>
        <v/>
      </c>
      <c r="BR38" s="21" t="str">
        <f>IF(BJ38=0,"",INDEX(nTP_UTC,BJ38))</f>
        <v/>
      </c>
      <c r="BS38" s="21" t="str">
        <f>IF(BJ38=0,"",INDEX(nTP_Lo,BJ38))</f>
        <v/>
      </c>
      <c r="BT38" s="21" t="str">
        <f>IF(BJ38=0,"",INDEX(nTP_Hi,BJ38))</f>
        <v/>
      </c>
      <c r="BU38" s="22">
        <f>IF(OR(BJ38=0,AV38=0),0,SUMPRODUCT((nTP_Case_Key=AR38)*(nTP_Record_Type="MILESTONE:INTERVENTION")*(nTP_Err="")*(nTP_HT*BO38*BA38*(nTP_Loc_n&gt;=N(BQ38))*(nTP_Loc_n&lt;=N(BC38))+(1-nTP_HT*BO38*BA38)*(nTP_Lo_n&gt;=N(BS38))*(nTP_Hi_n&lt;=N(BF38))*(nTP_Lo_n&gt;0))))</f>
        <v>0</v>
      </c>
      <c r="BV38" s="21" t="str">
        <f t="shared" si="19"/>
        <v/>
      </c>
      <c r="BW38" s="21" t="str">
        <f t="shared" si="20"/>
        <v/>
      </c>
      <c r="BX38" s="21" t="str">
        <f t="shared" si="21"/>
        <v/>
      </c>
      <c r="BY38" s="21" t="str">
        <f t="shared" si="22"/>
        <v/>
      </c>
      <c r="BZ38" s="22">
        <f t="shared" si="23"/>
        <v>1</v>
      </c>
      <c r="CA38" s="21" t="str">
        <f t="shared" si="24"/>
        <v/>
      </c>
      <c r="CB38" s="21" t="str">
        <f t="shared" si="25"/>
        <v/>
      </c>
      <c r="CC38" s="21" t="str">
        <f t="shared" si="26"/>
        <v/>
      </c>
      <c r="CD38" s="21" t="str">
        <f t="shared" si="27"/>
        <v/>
      </c>
      <c r="CE38" s="22">
        <f t="shared" si="28"/>
        <v>0</v>
      </c>
      <c r="CF38" s="28" t="str">
        <f t="shared" si="29"/>
        <v/>
      </c>
      <c r="CG38" s="28" t="str">
        <f t="shared" si="30"/>
        <v/>
      </c>
      <c r="CH38" s="21" t="str">
        <f t="shared" si="31"/>
        <v/>
      </c>
      <c r="CI38" s="22">
        <f t="shared" si="32"/>
        <v>0</v>
      </c>
      <c r="CJ38" s="22">
        <f t="shared" si="33"/>
        <v>0</v>
      </c>
      <c r="CK38" s="22">
        <f t="shared" si="34"/>
        <v>0</v>
      </c>
      <c r="CL38" s="22">
        <f t="shared" si="35"/>
        <v>0</v>
      </c>
      <c r="CM38" s="22">
        <f t="shared" si="36"/>
        <v>0</v>
      </c>
      <c r="CN38" s="22">
        <f t="shared" si="37"/>
        <v>0</v>
      </c>
      <c r="CO38" s="22">
        <f t="shared" si="38"/>
        <v>0</v>
      </c>
      <c r="CP38" s="22">
        <f t="shared" si="39"/>
        <v>0</v>
      </c>
      <c r="CQ38" s="21" t="str">
        <f t="shared" si="40"/>
        <v/>
      </c>
    </row>
    <row r="39" spans="1:95" x14ac:dyDescent="0.2">
      <c r="A39" s="10"/>
      <c r="B39" s="10"/>
      <c r="C39" s="12"/>
      <c r="D39" s="10"/>
      <c r="E39" s="17"/>
      <c r="F39" s="10"/>
      <c r="G39" s="10"/>
      <c r="H39" s="10"/>
      <c r="I39" s="17"/>
      <c r="J39" s="17"/>
      <c r="K39" s="10"/>
      <c r="L39" s="17"/>
      <c r="M39" s="17"/>
      <c r="N39" s="17"/>
      <c r="O39" s="10"/>
      <c r="P39" s="15"/>
      <c r="Q39" s="15"/>
      <c r="R39" s="10"/>
      <c r="S39" s="10"/>
      <c r="T39" s="21" t="str">
        <f t="shared" si="0"/>
        <v/>
      </c>
      <c r="U39" s="21" t="str">
        <f t="shared" si="1"/>
        <v/>
      </c>
      <c r="V39" s="21" t="str">
        <f t="shared" si="2"/>
        <v/>
      </c>
      <c r="W39" s="21" t="str">
        <f t="shared" si="3"/>
        <v/>
      </c>
      <c r="X39" s="21" t="str">
        <f t="shared" si="4"/>
        <v/>
      </c>
      <c r="Y39" s="21" t="str">
        <f t="shared" si="5"/>
        <v/>
      </c>
      <c r="Z39" s="21" t="str">
        <f t="shared" si="6"/>
        <v/>
      </c>
      <c r="AA39" s="21" t="str">
        <f t="shared" si="7"/>
        <v/>
      </c>
      <c r="AB39" s="21" t="str">
        <f t="shared" si="8"/>
        <v/>
      </c>
      <c r="AC39" s="21" t="str">
        <f>IF(AQ39=1,"",MID(IF(BX39&lt;&gt;""," | "&amp;BX39&amp;": "&amp;SUBSTITUTE(IFERROR(INDEX(nMSG_Text,MATCH(BX39,nMSG_Code,0)),""),"[input]",BY39),"")&amp;IF(CI39=1," | W_TZ_UNKNOWN: "&amp;SUBSTITUTE(IFERROR(INDEX(nMSG_Text,MATCH("W_TZ_UNKNOWN",nMSG_Code,0)),""),"[input]",""),"")&amp;IF(CJ39=1," | W_SAME_DATE_ORDER_UNKNOWN: "&amp;SUBSTITUTE(IFERROR(INDEX(nMSG_Text,MATCH("W_SAME_DATE_ORDER_UNKNOWN",nMSG_Code,0)),""),"[input]",""),"")&amp;IF(CK39=1," | W_SEQUENCE_UNCERTAIN: "&amp;SUBSTITUTE(IFERROR(INDEX(nMSG_Text,MATCH("W_SEQUENCE_UNCERTAIN",nMSG_Code,0)),""),"[input]",""),"")&amp;IF(CL39=1," | W_ADMIN_SAME_DATE_AS_ONSET: "&amp;SUBSTITUTE(IFERROR(INDEX(nMSG_Text,MATCH("W_ADMIN_SAME_DATE_AS_ONSET",nMSG_Code,0)),""),"[input]",""),"")&amp;IF(CO39=1," | W_INTERVENTION_BEFORE_RECOVERY: "&amp;SUBSTITUTE(IFERROR(INDEX(nMSG_Text,MATCH("W_INTERVENTION_BEFORE_RECOVERY",nMSG_Code,0)),""),"[input]",""),"")&amp;IF(OR(CQ39="",CQ39="OVERLAP"),""," | "&amp;CQ39&amp;" (reported timing): "&amp;SUBSTITUTE(IFERROR(INDEX(nMSG_Text,MATCH(CQ39,nMSG_Code,0)),""),"[input]","numeric reported bounds and a reported unit"))&amp;IF(CM39=1," | I_TREATMENT_DAY_UNDEFINED: "&amp;SUBSTITUTE(IFERROR(INDEX(nMSG_Text,MATCH("I_TREATMENT_DAY_UNDEFINED",nMSG_Code,0)),""),"[input]",""),"")&amp;IF(CH39&lt;&gt;""," | "&amp;CH39&amp;" (constraint): "&amp;SUBSTITUTE(IFERROR(INDEX(nMSG_Text,MATCH(CH39,nMSG_Code,0)),""),"[input]","a source for the constraint"),""),4,9999))</f>
        <v/>
      </c>
      <c r="AD39" s="21" t="str">
        <f t="shared" si="9"/>
        <v/>
      </c>
      <c r="AE39" s="21" t="str">
        <f t="shared" si="10"/>
        <v/>
      </c>
      <c r="AF39" s="21" t="str">
        <f t="shared" si="11"/>
        <v/>
      </c>
      <c r="AG39" s="21" t="str">
        <f t="shared" si="12"/>
        <v/>
      </c>
      <c r="AH39" s="21" t="str">
        <f>IF(BJ39=0,"",INDEX(nTP_ISO,BJ39))</f>
        <v/>
      </c>
      <c r="AI39" s="21" t="str">
        <f>IF(BJ39=0,"",INDEX(nTP_Display,BJ39))</f>
        <v/>
      </c>
      <c r="AJ39" s="21" t="str">
        <f>IF(AV39=0,"",INDEX(nTP_ISO,AV39))</f>
        <v/>
      </c>
      <c r="AK39" s="21" t="str">
        <f>IF(AV39=0,"",INDEX(nTP_Display,AV39))</f>
        <v/>
      </c>
      <c r="AL39" s="21" t="str">
        <f>IF(AU39=0,"",INDEX(nLNK_Exposure_Episode_ID,AU39)&amp;"")</f>
        <v/>
      </c>
      <c r="AM39" s="21" t="str">
        <f>IF(AU39=0,"",INDEX(nLNK_Event_Episode_ID,AU39)&amp;"")</f>
        <v/>
      </c>
      <c r="AN39" s="21" t="str">
        <f t="shared" si="13"/>
        <v/>
      </c>
      <c r="AO39" s="21" t="str">
        <f t="shared" si="14"/>
        <v/>
      </c>
      <c r="AP39" s="21" t="str">
        <f t="shared" si="15"/>
        <v/>
      </c>
      <c r="AQ39" s="22">
        <f t="shared" si="16"/>
        <v>1</v>
      </c>
      <c r="AR39" s="21" t="str">
        <f t="shared" si="17"/>
        <v>|</v>
      </c>
      <c r="AS39" s="21" t="str">
        <f t="shared" si="18"/>
        <v/>
      </c>
      <c r="AT39" s="22">
        <f>IF(AS39="",0,COUNTIF(nINT_Key,AS39))</f>
        <v>0</v>
      </c>
      <c r="AU39" s="22">
        <f>IF(D39="",0,IFERROR(MATCH(AR39&amp;"|"&amp;D39,nLNK_Key,0),0))</f>
        <v>0</v>
      </c>
      <c r="AV39" s="22">
        <f>IF(OR(AQ39=1,H39=""),0,IFERROR(MATCH(AR39&amp;"|"&amp;H39,nTP_Key,0),0))</f>
        <v>0</v>
      </c>
      <c r="AW39" s="21">
        <f>IF(AV39=0,0,INDEX(nTP_Dup,AV39))</f>
        <v>0</v>
      </c>
      <c r="AX39" s="21" t="str">
        <f>IF(AV39=0,"",INDEX(nTP_Record_Type,AV39))</f>
        <v/>
      </c>
      <c r="AY39" s="21" t="str">
        <f>IF(AV39=0,"",INDEX(nTP_Precision,AV39))</f>
        <v/>
      </c>
      <c r="AZ39" s="21" t="str">
        <f>IF(AV39=0,"",INDEX(nTP_Err,AV39))</f>
        <v/>
      </c>
      <c r="BA39" s="21">
        <f>IF(AV39=0,0,INDEX(nTP_HT,AV39))</f>
        <v>0</v>
      </c>
      <c r="BB39" s="21">
        <f>IF(AV39=0,0,INDEX(nTP_OK,AV39))</f>
        <v>0</v>
      </c>
      <c r="BC39" s="21" t="str">
        <f>IF(AV39=0,"",INDEX(nTP_Loc,AV39))</f>
        <v/>
      </c>
      <c r="BD39" s="21" t="str">
        <f>IF(AV39=0,"",INDEX(nTP_UTC,AV39))</f>
        <v/>
      </c>
      <c r="BE39" s="21" t="str">
        <f>IF(AV39=0,"",INDEX(nTP_Lo,AV39))</f>
        <v/>
      </c>
      <c r="BF39" s="21" t="str">
        <f>IF(AV39=0,"",INDEX(nTP_Hi,AV39))</f>
        <v/>
      </c>
      <c r="BG39" s="22">
        <f>IF(OR(AQ39=1,E39&lt;&gt;"LAST_DOSE_BEFORE_ONSET",AU39=0,AV39=0),0,IF(AZ39&lt;&gt;"",0,SUMPRODUCT(MAX((nADM_SelKey=AR39&amp;"|"&amp;AL39)*nADM_Valid*(nADM_A_HT*BA39*nADM_A_OK*BB39*(nADM_UTC_n&lt;=N(BD39))+nADM_A_HT*BA39*(1-nADM_A_OK*BB39)*(nADM_Loc_n&lt;=N(BC39))+(1-nADM_A_HT*BA39)*(nADM_Lo_n&lt;=N(BE39)))*nADM_Sort_n))))</f>
        <v>0</v>
      </c>
      <c r="BH39" s="22">
        <f>IF(BG39=0,0,MATCH(1,INDEX((nADM_SelKey=AR39&amp;"|"&amp;AL39)*nADM_Valid*(nADM_A_HT*BA39*nADM_A_OK*BB39*(nADM_UTC_n&lt;=N(BD39))+nADM_A_HT*BA39*(1-nADM_A_OK*BB39)*(nADM_Loc_n&lt;=N(BC39))+(1-nADM_A_HT*BA39)*(nADM_Lo_n&lt;=N(BE39)))*(nADM_Sort_n=BG39),0),0))</f>
        <v>0</v>
      </c>
      <c r="BI39" s="21" t="str">
        <f>IF(BH39=0,"",INDEX(nADM_Admin_ID,BH39)&amp;"")</f>
        <v/>
      </c>
      <c r="BJ39" s="22">
        <f>IF(OR(AQ39=1,AG39=""),0,IFERROR(MATCH(AR39&amp;"|"&amp;AG39,nTP_Key,0),0))</f>
        <v>0</v>
      </c>
      <c r="BK39" s="21">
        <f>IF(BJ39=0,0,INDEX(nTP_Dup,BJ39))</f>
        <v>0</v>
      </c>
      <c r="BL39" s="21" t="str">
        <f>IF(BJ39=0,"",INDEX(nTP_Record_Type,BJ39))</f>
        <v/>
      </c>
      <c r="BM39" s="21" t="str">
        <f>IF(BJ39=0,"",INDEX(nTP_Precision,BJ39))</f>
        <v/>
      </c>
      <c r="BN39" s="21" t="str">
        <f>IF(BJ39=0,"",INDEX(nTP_Err,BJ39))</f>
        <v/>
      </c>
      <c r="BO39" s="21">
        <f>IF(BJ39=0,0,INDEX(nTP_HT,BJ39))</f>
        <v>0</v>
      </c>
      <c r="BP39" s="21">
        <f>IF(BJ39=0,0,INDEX(nTP_OK,BJ39))</f>
        <v>0</v>
      </c>
      <c r="BQ39" s="21" t="str">
        <f>IF(BJ39=0,"",INDEX(nTP_Loc,BJ39))</f>
        <v/>
      </c>
      <c r="BR39" s="21" t="str">
        <f>IF(BJ39=0,"",INDEX(nTP_UTC,BJ39))</f>
        <v/>
      </c>
      <c r="BS39" s="21" t="str">
        <f>IF(BJ39=0,"",INDEX(nTP_Lo,BJ39))</f>
        <v/>
      </c>
      <c r="BT39" s="21" t="str">
        <f>IF(BJ39=0,"",INDEX(nTP_Hi,BJ39))</f>
        <v/>
      </c>
      <c r="BU39" s="22">
        <f>IF(OR(BJ39=0,AV39=0),0,SUMPRODUCT((nTP_Case_Key=AR39)*(nTP_Record_Type="MILESTONE:INTERVENTION")*(nTP_Err="")*(nTP_HT*BO39*BA39*(nTP_Loc_n&gt;=N(BQ39))*(nTP_Loc_n&lt;=N(BC39))+(1-nTP_HT*BO39*BA39)*(nTP_Lo_n&gt;=N(BS39))*(nTP_Hi_n&lt;=N(BF39))*(nTP_Lo_n&gt;0))))</f>
        <v>0</v>
      </c>
      <c r="BV39" s="21" t="str">
        <f t="shared" si="19"/>
        <v/>
      </c>
      <c r="BW39" s="21" t="str">
        <f t="shared" si="20"/>
        <v/>
      </c>
      <c r="BX39" s="21" t="str">
        <f t="shared" si="21"/>
        <v/>
      </c>
      <c r="BY39" s="21" t="str">
        <f t="shared" si="22"/>
        <v/>
      </c>
      <c r="BZ39" s="22">
        <f t="shared" si="23"/>
        <v>1</v>
      </c>
      <c r="CA39" s="21" t="str">
        <f t="shared" si="24"/>
        <v/>
      </c>
      <c r="CB39" s="21" t="str">
        <f t="shared" si="25"/>
        <v/>
      </c>
      <c r="CC39" s="21" t="str">
        <f t="shared" si="26"/>
        <v/>
      </c>
      <c r="CD39" s="21" t="str">
        <f t="shared" si="27"/>
        <v/>
      </c>
      <c r="CE39" s="22">
        <f t="shared" si="28"/>
        <v>0</v>
      </c>
      <c r="CF39" s="28" t="str">
        <f t="shared" si="29"/>
        <v/>
      </c>
      <c r="CG39" s="28" t="str">
        <f t="shared" si="30"/>
        <v/>
      </c>
      <c r="CH39" s="21" t="str">
        <f t="shared" si="31"/>
        <v/>
      </c>
      <c r="CI39" s="22">
        <f t="shared" si="32"/>
        <v>0</v>
      </c>
      <c r="CJ39" s="22">
        <f t="shared" si="33"/>
        <v>0</v>
      </c>
      <c r="CK39" s="22">
        <f t="shared" si="34"/>
        <v>0</v>
      </c>
      <c r="CL39" s="22">
        <f t="shared" si="35"/>
        <v>0</v>
      </c>
      <c r="CM39" s="22">
        <f t="shared" si="36"/>
        <v>0</v>
      </c>
      <c r="CN39" s="22">
        <f t="shared" si="37"/>
        <v>0</v>
      </c>
      <c r="CO39" s="22">
        <f t="shared" si="38"/>
        <v>0</v>
      </c>
      <c r="CP39" s="22">
        <f t="shared" si="39"/>
        <v>0</v>
      </c>
      <c r="CQ39" s="21" t="str">
        <f t="shared" si="40"/>
        <v/>
      </c>
    </row>
    <row r="40" spans="1:95" x14ac:dyDescent="0.2">
      <c r="A40" s="10"/>
      <c r="B40" s="10"/>
      <c r="C40" s="12"/>
      <c r="D40" s="10"/>
      <c r="E40" s="17"/>
      <c r="F40" s="10"/>
      <c r="G40" s="10"/>
      <c r="H40" s="10"/>
      <c r="I40" s="17"/>
      <c r="J40" s="17"/>
      <c r="K40" s="10"/>
      <c r="L40" s="17"/>
      <c r="M40" s="17"/>
      <c r="N40" s="17"/>
      <c r="O40" s="10"/>
      <c r="P40" s="15"/>
      <c r="Q40" s="15"/>
      <c r="R40" s="10"/>
      <c r="S40" s="10"/>
      <c r="T40" s="21" t="str">
        <f t="shared" si="0"/>
        <v/>
      </c>
      <c r="U40" s="21" t="str">
        <f t="shared" si="1"/>
        <v/>
      </c>
      <c r="V40" s="21" t="str">
        <f t="shared" si="2"/>
        <v/>
      </c>
      <c r="W40" s="21" t="str">
        <f t="shared" si="3"/>
        <v/>
      </c>
      <c r="X40" s="21" t="str">
        <f t="shared" si="4"/>
        <v/>
      </c>
      <c r="Y40" s="21" t="str">
        <f t="shared" si="5"/>
        <v/>
      </c>
      <c r="Z40" s="21" t="str">
        <f t="shared" si="6"/>
        <v/>
      </c>
      <c r="AA40" s="21" t="str">
        <f t="shared" si="7"/>
        <v/>
      </c>
      <c r="AB40" s="21" t="str">
        <f t="shared" si="8"/>
        <v/>
      </c>
      <c r="AC40" s="21" t="str">
        <f>IF(AQ40=1,"",MID(IF(BX40&lt;&gt;""," | "&amp;BX40&amp;": "&amp;SUBSTITUTE(IFERROR(INDEX(nMSG_Text,MATCH(BX40,nMSG_Code,0)),""),"[input]",BY40),"")&amp;IF(CI40=1," | W_TZ_UNKNOWN: "&amp;SUBSTITUTE(IFERROR(INDEX(nMSG_Text,MATCH("W_TZ_UNKNOWN",nMSG_Code,0)),""),"[input]",""),"")&amp;IF(CJ40=1," | W_SAME_DATE_ORDER_UNKNOWN: "&amp;SUBSTITUTE(IFERROR(INDEX(nMSG_Text,MATCH("W_SAME_DATE_ORDER_UNKNOWN",nMSG_Code,0)),""),"[input]",""),"")&amp;IF(CK40=1," | W_SEQUENCE_UNCERTAIN: "&amp;SUBSTITUTE(IFERROR(INDEX(nMSG_Text,MATCH("W_SEQUENCE_UNCERTAIN",nMSG_Code,0)),""),"[input]",""),"")&amp;IF(CL40=1," | W_ADMIN_SAME_DATE_AS_ONSET: "&amp;SUBSTITUTE(IFERROR(INDEX(nMSG_Text,MATCH("W_ADMIN_SAME_DATE_AS_ONSET",nMSG_Code,0)),""),"[input]",""),"")&amp;IF(CO40=1," | W_INTERVENTION_BEFORE_RECOVERY: "&amp;SUBSTITUTE(IFERROR(INDEX(nMSG_Text,MATCH("W_INTERVENTION_BEFORE_RECOVERY",nMSG_Code,0)),""),"[input]",""),"")&amp;IF(OR(CQ40="",CQ40="OVERLAP"),""," | "&amp;CQ40&amp;" (reported timing): "&amp;SUBSTITUTE(IFERROR(INDEX(nMSG_Text,MATCH(CQ40,nMSG_Code,0)),""),"[input]","numeric reported bounds and a reported unit"))&amp;IF(CM40=1," | I_TREATMENT_DAY_UNDEFINED: "&amp;SUBSTITUTE(IFERROR(INDEX(nMSG_Text,MATCH("I_TREATMENT_DAY_UNDEFINED",nMSG_Code,0)),""),"[input]",""),"")&amp;IF(CH40&lt;&gt;""," | "&amp;CH40&amp;" (constraint): "&amp;SUBSTITUTE(IFERROR(INDEX(nMSG_Text,MATCH(CH40,nMSG_Code,0)),""),"[input]","a source for the constraint"),""),4,9999))</f>
        <v/>
      </c>
      <c r="AD40" s="21" t="str">
        <f t="shared" si="9"/>
        <v/>
      </c>
      <c r="AE40" s="21" t="str">
        <f t="shared" si="10"/>
        <v/>
      </c>
      <c r="AF40" s="21" t="str">
        <f t="shared" si="11"/>
        <v/>
      </c>
      <c r="AG40" s="21" t="str">
        <f t="shared" si="12"/>
        <v/>
      </c>
      <c r="AH40" s="21" t="str">
        <f>IF(BJ40=0,"",INDEX(nTP_ISO,BJ40))</f>
        <v/>
      </c>
      <c r="AI40" s="21" t="str">
        <f>IF(BJ40=0,"",INDEX(nTP_Display,BJ40))</f>
        <v/>
      </c>
      <c r="AJ40" s="21" t="str">
        <f>IF(AV40=0,"",INDEX(nTP_ISO,AV40))</f>
        <v/>
      </c>
      <c r="AK40" s="21" t="str">
        <f>IF(AV40=0,"",INDEX(nTP_Display,AV40))</f>
        <v/>
      </c>
      <c r="AL40" s="21" t="str">
        <f>IF(AU40=0,"",INDEX(nLNK_Exposure_Episode_ID,AU40)&amp;"")</f>
        <v/>
      </c>
      <c r="AM40" s="21" t="str">
        <f>IF(AU40=0,"",INDEX(nLNK_Event_Episode_ID,AU40)&amp;"")</f>
        <v/>
      </c>
      <c r="AN40" s="21" t="str">
        <f t="shared" si="13"/>
        <v/>
      </c>
      <c r="AO40" s="21" t="str">
        <f t="shared" si="14"/>
        <v/>
      </c>
      <c r="AP40" s="21" t="str">
        <f t="shared" si="15"/>
        <v/>
      </c>
      <c r="AQ40" s="22">
        <f t="shared" si="16"/>
        <v>1</v>
      </c>
      <c r="AR40" s="21" t="str">
        <f t="shared" si="17"/>
        <v>|</v>
      </c>
      <c r="AS40" s="21" t="str">
        <f t="shared" si="18"/>
        <v/>
      </c>
      <c r="AT40" s="22">
        <f>IF(AS40="",0,COUNTIF(nINT_Key,AS40))</f>
        <v>0</v>
      </c>
      <c r="AU40" s="22">
        <f>IF(D40="",0,IFERROR(MATCH(AR40&amp;"|"&amp;D40,nLNK_Key,0),0))</f>
        <v>0</v>
      </c>
      <c r="AV40" s="22">
        <f>IF(OR(AQ40=1,H40=""),0,IFERROR(MATCH(AR40&amp;"|"&amp;H40,nTP_Key,0),0))</f>
        <v>0</v>
      </c>
      <c r="AW40" s="21">
        <f>IF(AV40=0,0,INDEX(nTP_Dup,AV40))</f>
        <v>0</v>
      </c>
      <c r="AX40" s="21" t="str">
        <f>IF(AV40=0,"",INDEX(nTP_Record_Type,AV40))</f>
        <v/>
      </c>
      <c r="AY40" s="21" t="str">
        <f>IF(AV40=0,"",INDEX(nTP_Precision,AV40))</f>
        <v/>
      </c>
      <c r="AZ40" s="21" t="str">
        <f>IF(AV40=0,"",INDEX(nTP_Err,AV40))</f>
        <v/>
      </c>
      <c r="BA40" s="21">
        <f>IF(AV40=0,0,INDEX(nTP_HT,AV40))</f>
        <v>0</v>
      </c>
      <c r="BB40" s="21">
        <f>IF(AV40=0,0,INDEX(nTP_OK,AV40))</f>
        <v>0</v>
      </c>
      <c r="BC40" s="21" t="str">
        <f>IF(AV40=0,"",INDEX(nTP_Loc,AV40))</f>
        <v/>
      </c>
      <c r="BD40" s="21" t="str">
        <f>IF(AV40=0,"",INDEX(nTP_UTC,AV40))</f>
        <v/>
      </c>
      <c r="BE40" s="21" t="str">
        <f>IF(AV40=0,"",INDEX(nTP_Lo,AV40))</f>
        <v/>
      </c>
      <c r="BF40" s="21" t="str">
        <f>IF(AV40=0,"",INDEX(nTP_Hi,AV40))</f>
        <v/>
      </c>
      <c r="BG40" s="22">
        <f>IF(OR(AQ40=1,E40&lt;&gt;"LAST_DOSE_BEFORE_ONSET",AU40=0,AV40=0),0,IF(AZ40&lt;&gt;"",0,SUMPRODUCT(MAX((nADM_SelKey=AR40&amp;"|"&amp;AL40)*nADM_Valid*(nADM_A_HT*BA40*nADM_A_OK*BB40*(nADM_UTC_n&lt;=N(BD40))+nADM_A_HT*BA40*(1-nADM_A_OK*BB40)*(nADM_Loc_n&lt;=N(BC40))+(1-nADM_A_HT*BA40)*(nADM_Lo_n&lt;=N(BE40)))*nADM_Sort_n))))</f>
        <v>0</v>
      </c>
      <c r="BH40" s="22">
        <f>IF(BG40=0,0,MATCH(1,INDEX((nADM_SelKey=AR40&amp;"|"&amp;AL40)*nADM_Valid*(nADM_A_HT*BA40*nADM_A_OK*BB40*(nADM_UTC_n&lt;=N(BD40))+nADM_A_HT*BA40*(1-nADM_A_OK*BB40)*(nADM_Loc_n&lt;=N(BC40))+(1-nADM_A_HT*BA40)*(nADM_Lo_n&lt;=N(BE40)))*(nADM_Sort_n=BG40),0),0))</f>
        <v>0</v>
      </c>
      <c r="BI40" s="21" t="str">
        <f>IF(BH40=0,"",INDEX(nADM_Admin_ID,BH40)&amp;"")</f>
        <v/>
      </c>
      <c r="BJ40" s="22">
        <f>IF(OR(AQ40=1,AG40=""),0,IFERROR(MATCH(AR40&amp;"|"&amp;AG40,nTP_Key,0),0))</f>
        <v>0</v>
      </c>
      <c r="BK40" s="21">
        <f>IF(BJ40=0,0,INDEX(nTP_Dup,BJ40))</f>
        <v>0</v>
      </c>
      <c r="BL40" s="21" t="str">
        <f>IF(BJ40=0,"",INDEX(nTP_Record_Type,BJ40))</f>
        <v/>
      </c>
      <c r="BM40" s="21" t="str">
        <f>IF(BJ40=0,"",INDEX(nTP_Precision,BJ40))</f>
        <v/>
      </c>
      <c r="BN40" s="21" t="str">
        <f>IF(BJ40=0,"",INDEX(nTP_Err,BJ40))</f>
        <v/>
      </c>
      <c r="BO40" s="21">
        <f>IF(BJ40=0,0,INDEX(nTP_HT,BJ40))</f>
        <v>0</v>
      </c>
      <c r="BP40" s="21">
        <f>IF(BJ40=0,0,INDEX(nTP_OK,BJ40))</f>
        <v>0</v>
      </c>
      <c r="BQ40" s="21" t="str">
        <f>IF(BJ40=0,"",INDEX(nTP_Loc,BJ40))</f>
        <v/>
      </c>
      <c r="BR40" s="21" t="str">
        <f>IF(BJ40=0,"",INDEX(nTP_UTC,BJ40))</f>
        <v/>
      </c>
      <c r="BS40" s="21" t="str">
        <f>IF(BJ40=0,"",INDEX(nTP_Lo,BJ40))</f>
        <v/>
      </c>
      <c r="BT40" s="21" t="str">
        <f>IF(BJ40=0,"",INDEX(nTP_Hi,BJ40))</f>
        <v/>
      </c>
      <c r="BU40" s="22">
        <f>IF(OR(BJ40=0,AV40=0),0,SUMPRODUCT((nTP_Case_Key=AR40)*(nTP_Record_Type="MILESTONE:INTERVENTION")*(nTP_Err="")*(nTP_HT*BO40*BA40*(nTP_Loc_n&gt;=N(BQ40))*(nTP_Loc_n&lt;=N(BC40))+(1-nTP_HT*BO40*BA40)*(nTP_Lo_n&gt;=N(BS40))*(nTP_Hi_n&lt;=N(BF40))*(nTP_Lo_n&gt;0))))</f>
        <v>0</v>
      </c>
      <c r="BV40" s="21" t="str">
        <f t="shared" si="19"/>
        <v/>
      </c>
      <c r="BW40" s="21" t="str">
        <f t="shared" si="20"/>
        <v/>
      </c>
      <c r="BX40" s="21" t="str">
        <f t="shared" si="21"/>
        <v/>
      </c>
      <c r="BY40" s="21" t="str">
        <f t="shared" si="22"/>
        <v/>
      </c>
      <c r="BZ40" s="22">
        <f t="shared" si="23"/>
        <v>1</v>
      </c>
      <c r="CA40" s="21" t="str">
        <f t="shared" si="24"/>
        <v/>
      </c>
      <c r="CB40" s="21" t="str">
        <f t="shared" si="25"/>
        <v/>
      </c>
      <c r="CC40" s="21" t="str">
        <f t="shared" si="26"/>
        <v/>
      </c>
      <c r="CD40" s="21" t="str">
        <f t="shared" si="27"/>
        <v/>
      </c>
      <c r="CE40" s="22">
        <f t="shared" si="28"/>
        <v>0</v>
      </c>
      <c r="CF40" s="28" t="str">
        <f t="shared" si="29"/>
        <v/>
      </c>
      <c r="CG40" s="28" t="str">
        <f t="shared" si="30"/>
        <v/>
      </c>
      <c r="CH40" s="21" t="str">
        <f t="shared" si="31"/>
        <v/>
      </c>
      <c r="CI40" s="22">
        <f t="shared" si="32"/>
        <v>0</v>
      </c>
      <c r="CJ40" s="22">
        <f t="shared" si="33"/>
        <v>0</v>
      </c>
      <c r="CK40" s="22">
        <f t="shared" si="34"/>
        <v>0</v>
      </c>
      <c r="CL40" s="22">
        <f t="shared" si="35"/>
        <v>0</v>
      </c>
      <c r="CM40" s="22">
        <f t="shared" si="36"/>
        <v>0</v>
      </c>
      <c r="CN40" s="22">
        <f t="shared" si="37"/>
        <v>0</v>
      </c>
      <c r="CO40" s="22">
        <f t="shared" si="38"/>
        <v>0</v>
      </c>
      <c r="CP40" s="22">
        <f t="shared" si="39"/>
        <v>0</v>
      </c>
      <c r="CQ40" s="21" t="str">
        <f t="shared" si="40"/>
        <v/>
      </c>
    </row>
    <row r="41" spans="1:95" x14ac:dyDescent="0.2">
      <c r="A41" s="10"/>
      <c r="B41" s="10"/>
      <c r="C41" s="12"/>
      <c r="D41" s="10"/>
      <c r="E41" s="17"/>
      <c r="F41" s="10"/>
      <c r="G41" s="10"/>
      <c r="H41" s="10"/>
      <c r="I41" s="17"/>
      <c r="J41" s="17"/>
      <c r="K41" s="10"/>
      <c r="L41" s="17"/>
      <c r="M41" s="17"/>
      <c r="N41" s="17"/>
      <c r="O41" s="10"/>
      <c r="P41" s="15"/>
      <c r="Q41" s="15"/>
      <c r="R41" s="10"/>
      <c r="S41" s="10"/>
      <c r="T41" s="21" t="str">
        <f t="shared" si="0"/>
        <v/>
      </c>
      <c r="U41" s="21" t="str">
        <f t="shared" si="1"/>
        <v/>
      </c>
      <c r="V41" s="21" t="str">
        <f t="shared" si="2"/>
        <v/>
      </c>
      <c r="W41" s="21" t="str">
        <f t="shared" si="3"/>
        <v/>
      </c>
      <c r="X41" s="21" t="str">
        <f t="shared" si="4"/>
        <v/>
      </c>
      <c r="Y41" s="21" t="str">
        <f t="shared" si="5"/>
        <v/>
      </c>
      <c r="Z41" s="21" t="str">
        <f t="shared" si="6"/>
        <v/>
      </c>
      <c r="AA41" s="21" t="str">
        <f t="shared" si="7"/>
        <v/>
      </c>
      <c r="AB41" s="21" t="str">
        <f t="shared" si="8"/>
        <v/>
      </c>
      <c r="AC41" s="21" t="str">
        <f>IF(AQ41=1,"",MID(IF(BX41&lt;&gt;""," | "&amp;BX41&amp;": "&amp;SUBSTITUTE(IFERROR(INDEX(nMSG_Text,MATCH(BX41,nMSG_Code,0)),""),"[input]",BY41),"")&amp;IF(CI41=1," | W_TZ_UNKNOWN: "&amp;SUBSTITUTE(IFERROR(INDEX(nMSG_Text,MATCH("W_TZ_UNKNOWN",nMSG_Code,0)),""),"[input]",""),"")&amp;IF(CJ41=1," | W_SAME_DATE_ORDER_UNKNOWN: "&amp;SUBSTITUTE(IFERROR(INDEX(nMSG_Text,MATCH("W_SAME_DATE_ORDER_UNKNOWN",nMSG_Code,0)),""),"[input]",""),"")&amp;IF(CK41=1," | W_SEQUENCE_UNCERTAIN: "&amp;SUBSTITUTE(IFERROR(INDEX(nMSG_Text,MATCH("W_SEQUENCE_UNCERTAIN",nMSG_Code,0)),""),"[input]",""),"")&amp;IF(CL41=1," | W_ADMIN_SAME_DATE_AS_ONSET: "&amp;SUBSTITUTE(IFERROR(INDEX(nMSG_Text,MATCH("W_ADMIN_SAME_DATE_AS_ONSET",nMSG_Code,0)),""),"[input]",""),"")&amp;IF(CO41=1," | W_INTERVENTION_BEFORE_RECOVERY: "&amp;SUBSTITUTE(IFERROR(INDEX(nMSG_Text,MATCH("W_INTERVENTION_BEFORE_RECOVERY",nMSG_Code,0)),""),"[input]",""),"")&amp;IF(OR(CQ41="",CQ41="OVERLAP"),""," | "&amp;CQ41&amp;" (reported timing): "&amp;SUBSTITUTE(IFERROR(INDEX(nMSG_Text,MATCH(CQ41,nMSG_Code,0)),""),"[input]","numeric reported bounds and a reported unit"))&amp;IF(CM41=1," | I_TREATMENT_DAY_UNDEFINED: "&amp;SUBSTITUTE(IFERROR(INDEX(nMSG_Text,MATCH("I_TREATMENT_DAY_UNDEFINED",nMSG_Code,0)),""),"[input]",""),"")&amp;IF(CH41&lt;&gt;""," | "&amp;CH41&amp;" (constraint): "&amp;SUBSTITUTE(IFERROR(INDEX(nMSG_Text,MATCH(CH41,nMSG_Code,0)),""),"[input]","a source for the constraint"),""),4,9999))</f>
        <v/>
      </c>
      <c r="AD41" s="21" t="str">
        <f t="shared" si="9"/>
        <v/>
      </c>
      <c r="AE41" s="21" t="str">
        <f t="shared" si="10"/>
        <v/>
      </c>
      <c r="AF41" s="21" t="str">
        <f t="shared" si="11"/>
        <v/>
      </c>
      <c r="AG41" s="21" t="str">
        <f t="shared" si="12"/>
        <v/>
      </c>
      <c r="AH41" s="21" t="str">
        <f>IF(BJ41=0,"",INDEX(nTP_ISO,BJ41))</f>
        <v/>
      </c>
      <c r="AI41" s="21" t="str">
        <f>IF(BJ41=0,"",INDEX(nTP_Display,BJ41))</f>
        <v/>
      </c>
      <c r="AJ41" s="21" t="str">
        <f>IF(AV41=0,"",INDEX(nTP_ISO,AV41))</f>
        <v/>
      </c>
      <c r="AK41" s="21" t="str">
        <f>IF(AV41=0,"",INDEX(nTP_Display,AV41))</f>
        <v/>
      </c>
      <c r="AL41" s="21" t="str">
        <f>IF(AU41=0,"",INDEX(nLNK_Exposure_Episode_ID,AU41)&amp;"")</f>
        <v/>
      </c>
      <c r="AM41" s="21" t="str">
        <f>IF(AU41=0,"",INDEX(nLNK_Event_Episode_ID,AU41)&amp;"")</f>
        <v/>
      </c>
      <c r="AN41" s="21" t="str">
        <f t="shared" si="13"/>
        <v/>
      </c>
      <c r="AO41" s="21" t="str">
        <f t="shared" si="14"/>
        <v/>
      </c>
      <c r="AP41" s="21" t="str">
        <f t="shared" si="15"/>
        <v/>
      </c>
      <c r="AQ41" s="22">
        <f t="shared" si="16"/>
        <v>1</v>
      </c>
      <c r="AR41" s="21" t="str">
        <f t="shared" si="17"/>
        <v>|</v>
      </c>
      <c r="AS41" s="21" t="str">
        <f t="shared" si="18"/>
        <v/>
      </c>
      <c r="AT41" s="22">
        <f>IF(AS41="",0,COUNTIF(nINT_Key,AS41))</f>
        <v>0</v>
      </c>
      <c r="AU41" s="22">
        <f>IF(D41="",0,IFERROR(MATCH(AR41&amp;"|"&amp;D41,nLNK_Key,0),0))</f>
        <v>0</v>
      </c>
      <c r="AV41" s="22">
        <f>IF(OR(AQ41=1,H41=""),0,IFERROR(MATCH(AR41&amp;"|"&amp;H41,nTP_Key,0),0))</f>
        <v>0</v>
      </c>
      <c r="AW41" s="21">
        <f>IF(AV41=0,0,INDEX(nTP_Dup,AV41))</f>
        <v>0</v>
      </c>
      <c r="AX41" s="21" t="str">
        <f>IF(AV41=0,"",INDEX(nTP_Record_Type,AV41))</f>
        <v/>
      </c>
      <c r="AY41" s="21" t="str">
        <f>IF(AV41=0,"",INDEX(nTP_Precision,AV41))</f>
        <v/>
      </c>
      <c r="AZ41" s="21" t="str">
        <f>IF(AV41=0,"",INDEX(nTP_Err,AV41))</f>
        <v/>
      </c>
      <c r="BA41" s="21">
        <f>IF(AV41=0,0,INDEX(nTP_HT,AV41))</f>
        <v>0</v>
      </c>
      <c r="BB41" s="21">
        <f>IF(AV41=0,0,INDEX(nTP_OK,AV41))</f>
        <v>0</v>
      </c>
      <c r="BC41" s="21" t="str">
        <f>IF(AV41=0,"",INDEX(nTP_Loc,AV41))</f>
        <v/>
      </c>
      <c r="BD41" s="21" t="str">
        <f>IF(AV41=0,"",INDEX(nTP_UTC,AV41))</f>
        <v/>
      </c>
      <c r="BE41" s="21" t="str">
        <f>IF(AV41=0,"",INDEX(nTP_Lo,AV41))</f>
        <v/>
      </c>
      <c r="BF41" s="21" t="str">
        <f>IF(AV41=0,"",INDEX(nTP_Hi,AV41))</f>
        <v/>
      </c>
      <c r="BG41" s="22">
        <f>IF(OR(AQ41=1,E41&lt;&gt;"LAST_DOSE_BEFORE_ONSET",AU41=0,AV41=0),0,IF(AZ41&lt;&gt;"",0,SUMPRODUCT(MAX((nADM_SelKey=AR41&amp;"|"&amp;AL41)*nADM_Valid*(nADM_A_HT*BA41*nADM_A_OK*BB41*(nADM_UTC_n&lt;=N(BD41))+nADM_A_HT*BA41*(1-nADM_A_OK*BB41)*(nADM_Loc_n&lt;=N(BC41))+(1-nADM_A_HT*BA41)*(nADM_Lo_n&lt;=N(BE41)))*nADM_Sort_n))))</f>
        <v>0</v>
      </c>
      <c r="BH41" s="22">
        <f>IF(BG41=0,0,MATCH(1,INDEX((nADM_SelKey=AR41&amp;"|"&amp;AL41)*nADM_Valid*(nADM_A_HT*BA41*nADM_A_OK*BB41*(nADM_UTC_n&lt;=N(BD41))+nADM_A_HT*BA41*(1-nADM_A_OK*BB41)*(nADM_Loc_n&lt;=N(BC41))+(1-nADM_A_HT*BA41)*(nADM_Lo_n&lt;=N(BE41)))*(nADM_Sort_n=BG41),0),0))</f>
        <v>0</v>
      </c>
      <c r="BI41" s="21" t="str">
        <f>IF(BH41=0,"",INDEX(nADM_Admin_ID,BH41)&amp;"")</f>
        <v/>
      </c>
      <c r="BJ41" s="22">
        <f>IF(OR(AQ41=1,AG41=""),0,IFERROR(MATCH(AR41&amp;"|"&amp;AG41,nTP_Key,0),0))</f>
        <v>0</v>
      </c>
      <c r="BK41" s="21">
        <f>IF(BJ41=0,0,INDEX(nTP_Dup,BJ41))</f>
        <v>0</v>
      </c>
      <c r="BL41" s="21" t="str">
        <f>IF(BJ41=0,"",INDEX(nTP_Record_Type,BJ41))</f>
        <v/>
      </c>
      <c r="BM41" s="21" t="str">
        <f>IF(BJ41=0,"",INDEX(nTP_Precision,BJ41))</f>
        <v/>
      </c>
      <c r="BN41" s="21" t="str">
        <f>IF(BJ41=0,"",INDEX(nTP_Err,BJ41))</f>
        <v/>
      </c>
      <c r="BO41" s="21">
        <f>IF(BJ41=0,0,INDEX(nTP_HT,BJ41))</f>
        <v>0</v>
      </c>
      <c r="BP41" s="21">
        <f>IF(BJ41=0,0,INDEX(nTP_OK,BJ41))</f>
        <v>0</v>
      </c>
      <c r="BQ41" s="21" t="str">
        <f>IF(BJ41=0,"",INDEX(nTP_Loc,BJ41))</f>
        <v/>
      </c>
      <c r="BR41" s="21" t="str">
        <f>IF(BJ41=0,"",INDEX(nTP_UTC,BJ41))</f>
        <v/>
      </c>
      <c r="BS41" s="21" t="str">
        <f>IF(BJ41=0,"",INDEX(nTP_Lo,BJ41))</f>
        <v/>
      </c>
      <c r="BT41" s="21" t="str">
        <f>IF(BJ41=0,"",INDEX(nTP_Hi,BJ41))</f>
        <v/>
      </c>
      <c r="BU41" s="22">
        <f>IF(OR(BJ41=0,AV41=0),0,SUMPRODUCT((nTP_Case_Key=AR41)*(nTP_Record_Type="MILESTONE:INTERVENTION")*(nTP_Err="")*(nTP_HT*BO41*BA41*(nTP_Loc_n&gt;=N(BQ41))*(nTP_Loc_n&lt;=N(BC41))+(1-nTP_HT*BO41*BA41)*(nTP_Lo_n&gt;=N(BS41))*(nTP_Hi_n&lt;=N(BF41))*(nTP_Lo_n&gt;0))))</f>
        <v>0</v>
      </c>
      <c r="BV41" s="21" t="str">
        <f t="shared" si="19"/>
        <v/>
      </c>
      <c r="BW41" s="21" t="str">
        <f t="shared" si="20"/>
        <v/>
      </c>
      <c r="BX41" s="21" t="str">
        <f t="shared" si="21"/>
        <v/>
      </c>
      <c r="BY41" s="21" t="str">
        <f t="shared" si="22"/>
        <v/>
      </c>
      <c r="BZ41" s="22">
        <f t="shared" si="23"/>
        <v>1</v>
      </c>
      <c r="CA41" s="21" t="str">
        <f t="shared" si="24"/>
        <v/>
      </c>
      <c r="CB41" s="21" t="str">
        <f t="shared" si="25"/>
        <v/>
      </c>
      <c r="CC41" s="21" t="str">
        <f t="shared" si="26"/>
        <v/>
      </c>
      <c r="CD41" s="21" t="str">
        <f t="shared" si="27"/>
        <v/>
      </c>
      <c r="CE41" s="22">
        <f t="shared" si="28"/>
        <v>0</v>
      </c>
      <c r="CF41" s="28" t="str">
        <f t="shared" si="29"/>
        <v/>
      </c>
      <c r="CG41" s="28" t="str">
        <f t="shared" si="30"/>
        <v/>
      </c>
      <c r="CH41" s="21" t="str">
        <f t="shared" si="31"/>
        <v/>
      </c>
      <c r="CI41" s="22">
        <f t="shared" si="32"/>
        <v>0</v>
      </c>
      <c r="CJ41" s="22">
        <f t="shared" si="33"/>
        <v>0</v>
      </c>
      <c r="CK41" s="22">
        <f t="shared" si="34"/>
        <v>0</v>
      </c>
      <c r="CL41" s="22">
        <f t="shared" si="35"/>
        <v>0</v>
      </c>
      <c r="CM41" s="22">
        <f t="shared" si="36"/>
        <v>0</v>
      </c>
      <c r="CN41" s="22">
        <f t="shared" si="37"/>
        <v>0</v>
      </c>
      <c r="CO41" s="22">
        <f t="shared" si="38"/>
        <v>0</v>
      </c>
      <c r="CP41" s="22">
        <f t="shared" si="39"/>
        <v>0</v>
      </c>
      <c r="CQ41" s="21" t="str">
        <f t="shared" si="40"/>
        <v/>
      </c>
    </row>
    <row r="42" spans="1:95" x14ac:dyDescent="0.2">
      <c r="A42" s="10"/>
      <c r="B42" s="10"/>
      <c r="C42" s="12"/>
      <c r="D42" s="10"/>
      <c r="E42" s="17"/>
      <c r="F42" s="10"/>
      <c r="G42" s="10"/>
      <c r="H42" s="10"/>
      <c r="I42" s="17"/>
      <c r="J42" s="17"/>
      <c r="K42" s="10"/>
      <c r="L42" s="17"/>
      <c r="M42" s="17"/>
      <c r="N42" s="17"/>
      <c r="O42" s="10"/>
      <c r="P42" s="15"/>
      <c r="Q42" s="15"/>
      <c r="R42" s="10"/>
      <c r="S42" s="10"/>
      <c r="T42" s="21" t="str">
        <f t="shared" si="0"/>
        <v/>
      </c>
      <c r="U42" s="21" t="str">
        <f t="shared" si="1"/>
        <v/>
      </c>
      <c r="V42" s="21" t="str">
        <f t="shared" si="2"/>
        <v/>
      </c>
      <c r="W42" s="21" t="str">
        <f t="shared" si="3"/>
        <v/>
      </c>
      <c r="X42" s="21" t="str">
        <f t="shared" si="4"/>
        <v/>
      </c>
      <c r="Y42" s="21" t="str">
        <f t="shared" si="5"/>
        <v/>
      </c>
      <c r="Z42" s="21" t="str">
        <f t="shared" si="6"/>
        <v/>
      </c>
      <c r="AA42" s="21" t="str">
        <f t="shared" si="7"/>
        <v/>
      </c>
      <c r="AB42" s="21" t="str">
        <f t="shared" si="8"/>
        <v/>
      </c>
      <c r="AC42" s="21" t="str">
        <f>IF(AQ42=1,"",MID(IF(BX42&lt;&gt;""," | "&amp;BX42&amp;": "&amp;SUBSTITUTE(IFERROR(INDEX(nMSG_Text,MATCH(BX42,nMSG_Code,0)),""),"[input]",BY42),"")&amp;IF(CI42=1," | W_TZ_UNKNOWN: "&amp;SUBSTITUTE(IFERROR(INDEX(nMSG_Text,MATCH("W_TZ_UNKNOWN",nMSG_Code,0)),""),"[input]",""),"")&amp;IF(CJ42=1," | W_SAME_DATE_ORDER_UNKNOWN: "&amp;SUBSTITUTE(IFERROR(INDEX(nMSG_Text,MATCH("W_SAME_DATE_ORDER_UNKNOWN",nMSG_Code,0)),""),"[input]",""),"")&amp;IF(CK42=1," | W_SEQUENCE_UNCERTAIN: "&amp;SUBSTITUTE(IFERROR(INDEX(nMSG_Text,MATCH("W_SEQUENCE_UNCERTAIN",nMSG_Code,0)),""),"[input]",""),"")&amp;IF(CL42=1," | W_ADMIN_SAME_DATE_AS_ONSET: "&amp;SUBSTITUTE(IFERROR(INDEX(nMSG_Text,MATCH("W_ADMIN_SAME_DATE_AS_ONSET",nMSG_Code,0)),""),"[input]",""),"")&amp;IF(CO42=1," | W_INTERVENTION_BEFORE_RECOVERY: "&amp;SUBSTITUTE(IFERROR(INDEX(nMSG_Text,MATCH("W_INTERVENTION_BEFORE_RECOVERY",nMSG_Code,0)),""),"[input]",""),"")&amp;IF(OR(CQ42="",CQ42="OVERLAP"),""," | "&amp;CQ42&amp;" (reported timing): "&amp;SUBSTITUTE(IFERROR(INDEX(nMSG_Text,MATCH(CQ42,nMSG_Code,0)),""),"[input]","numeric reported bounds and a reported unit"))&amp;IF(CM42=1," | I_TREATMENT_DAY_UNDEFINED: "&amp;SUBSTITUTE(IFERROR(INDEX(nMSG_Text,MATCH("I_TREATMENT_DAY_UNDEFINED",nMSG_Code,0)),""),"[input]",""),"")&amp;IF(CH42&lt;&gt;""," | "&amp;CH42&amp;" (constraint): "&amp;SUBSTITUTE(IFERROR(INDEX(nMSG_Text,MATCH(CH42,nMSG_Code,0)),""),"[input]","a source for the constraint"),""),4,9999))</f>
        <v/>
      </c>
      <c r="AD42" s="21" t="str">
        <f t="shared" si="9"/>
        <v/>
      </c>
      <c r="AE42" s="21" t="str">
        <f t="shared" si="10"/>
        <v/>
      </c>
      <c r="AF42" s="21" t="str">
        <f t="shared" si="11"/>
        <v/>
      </c>
      <c r="AG42" s="21" t="str">
        <f t="shared" si="12"/>
        <v/>
      </c>
      <c r="AH42" s="21" t="str">
        <f>IF(BJ42=0,"",INDEX(nTP_ISO,BJ42))</f>
        <v/>
      </c>
      <c r="AI42" s="21" t="str">
        <f>IF(BJ42=0,"",INDEX(nTP_Display,BJ42))</f>
        <v/>
      </c>
      <c r="AJ42" s="21" t="str">
        <f>IF(AV42=0,"",INDEX(nTP_ISO,AV42))</f>
        <v/>
      </c>
      <c r="AK42" s="21" t="str">
        <f>IF(AV42=0,"",INDEX(nTP_Display,AV42))</f>
        <v/>
      </c>
      <c r="AL42" s="21" t="str">
        <f>IF(AU42=0,"",INDEX(nLNK_Exposure_Episode_ID,AU42)&amp;"")</f>
        <v/>
      </c>
      <c r="AM42" s="21" t="str">
        <f>IF(AU42=0,"",INDEX(nLNK_Event_Episode_ID,AU42)&amp;"")</f>
        <v/>
      </c>
      <c r="AN42" s="21" t="str">
        <f t="shared" si="13"/>
        <v/>
      </c>
      <c r="AO42" s="21" t="str">
        <f t="shared" si="14"/>
        <v/>
      </c>
      <c r="AP42" s="21" t="str">
        <f t="shared" si="15"/>
        <v/>
      </c>
      <c r="AQ42" s="22">
        <f t="shared" si="16"/>
        <v>1</v>
      </c>
      <c r="AR42" s="21" t="str">
        <f t="shared" si="17"/>
        <v>|</v>
      </c>
      <c r="AS42" s="21" t="str">
        <f t="shared" si="18"/>
        <v/>
      </c>
      <c r="AT42" s="22">
        <f>IF(AS42="",0,COUNTIF(nINT_Key,AS42))</f>
        <v>0</v>
      </c>
      <c r="AU42" s="22">
        <f>IF(D42="",0,IFERROR(MATCH(AR42&amp;"|"&amp;D42,nLNK_Key,0),0))</f>
        <v>0</v>
      </c>
      <c r="AV42" s="22">
        <f>IF(OR(AQ42=1,H42=""),0,IFERROR(MATCH(AR42&amp;"|"&amp;H42,nTP_Key,0),0))</f>
        <v>0</v>
      </c>
      <c r="AW42" s="21">
        <f>IF(AV42=0,0,INDEX(nTP_Dup,AV42))</f>
        <v>0</v>
      </c>
      <c r="AX42" s="21" t="str">
        <f>IF(AV42=0,"",INDEX(nTP_Record_Type,AV42))</f>
        <v/>
      </c>
      <c r="AY42" s="21" t="str">
        <f>IF(AV42=0,"",INDEX(nTP_Precision,AV42))</f>
        <v/>
      </c>
      <c r="AZ42" s="21" t="str">
        <f>IF(AV42=0,"",INDEX(nTP_Err,AV42))</f>
        <v/>
      </c>
      <c r="BA42" s="21">
        <f>IF(AV42=0,0,INDEX(nTP_HT,AV42))</f>
        <v>0</v>
      </c>
      <c r="BB42" s="21">
        <f>IF(AV42=0,0,INDEX(nTP_OK,AV42))</f>
        <v>0</v>
      </c>
      <c r="BC42" s="21" t="str">
        <f>IF(AV42=0,"",INDEX(nTP_Loc,AV42))</f>
        <v/>
      </c>
      <c r="BD42" s="21" t="str">
        <f>IF(AV42=0,"",INDEX(nTP_UTC,AV42))</f>
        <v/>
      </c>
      <c r="BE42" s="21" t="str">
        <f>IF(AV42=0,"",INDEX(nTP_Lo,AV42))</f>
        <v/>
      </c>
      <c r="BF42" s="21" t="str">
        <f>IF(AV42=0,"",INDEX(nTP_Hi,AV42))</f>
        <v/>
      </c>
      <c r="BG42" s="22">
        <f>IF(OR(AQ42=1,E42&lt;&gt;"LAST_DOSE_BEFORE_ONSET",AU42=0,AV42=0),0,IF(AZ42&lt;&gt;"",0,SUMPRODUCT(MAX((nADM_SelKey=AR42&amp;"|"&amp;AL42)*nADM_Valid*(nADM_A_HT*BA42*nADM_A_OK*BB42*(nADM_UTC_n&lt;=N(BD42))+nADM_A_HT*BA42*(1-nADM_A_OK*BB42)*(nADM_Loc_n&lt;=N(BC42))+(1-nADM_A_HT*BA42)*(nADM_Lo_n&lt;=N(BE42)))*nADM_Sort_n))))</f>
        <v>0</v>
      </c>
      <c r="BH42" s="22">
        <f>IF(BG42=0,0,MATCH(1,INDEX((nADM_SelKey=AR42&amp;"|"&amp;AL42)*nADM_Valid*(nADM_A_HT*BA42*nADM_A_OK*BB42*(nADM_UTC_n&lt;=N(BD42))+nADM_A_HT*BA42*(1-nADM_A_OK*BB42)*(nADM_Loc_n&lt;=N(BC42))+(1-nADM_A_HT*BA42)*(nADM_Lo_n&lt;=N(BE42)))*(nADM_Sort_n=BG42),0),0))</f>
        <v>0</v>
      </c>
      <c r="BI42" s="21" t="str">
        <f>IF(BH42=0,"",INDEX(nADM_Admin_ID,BH42)&amp;"")</f>
        <v/>
      </c>
      <c r="BJ42" s="22">
        <f>IF(OR(AQ42=1,AG42=""),0,IFERROR(MATCH(AR42&amp;"|"&amp;AG42,nTP_Key,0),0))</f>
        <v>0</v>
      </c>
      <c r="BK42" s="21">
        <f>IF(BJ42=0,0,INDEX(nTP_Dup,BJ42))</f>
        <v>0</v>
      </c>
      <c r="BL42" s="21" t="str">
        <f>IF(BJ42=0,"",INDEX(nTP_Record_Type,BJ42))</f>
        <v/>
      </c>
      <c r="BM42" s="21" t="str">
        <f>IF(BJ42=0,"",INDEX(nTP_Precision,BJ42))</f>
        <v/>
      </c>
      <c r="BN42" s="21" t="str">
        <f>IF(BJ42=0,"",INDEX(nTP_Err,BJ42))</f>
        <v/>
      </c>
      <c r="BO42" s="21">
        <f>IF(BJ42=0,0,INDEX(nTP_HT,BJ42))</f>
        <v>0</v>
      </c>
      <c r="BP42" s="21">
        <f>IF(BJ42=0,0,INDEX(nTP_OK,BJ42))</f>
        <v>0</v>
      </c>
      <c r="BQ42" s="21" t="str">
        <f>IF(BJ42=0,"",INDEX(nTP_Loc,BJ42))</f>
        <v/>
      </c>
      <c r="BR42" s="21" t="str">
        <f>IF(BJ42=0,"",INDEX(nTP_UTC,BJ42))</f>
        <v/>
      </c>
      <c r="BS42" s="21" t="str">
        <f>IF(BJ42=0,"",INDEX(nTP_Lo,BJ42))</f>
        <v/>
      </c>
      <c r="BT42" s="21" t="str">
        <f>IF(BJ42=0,"",INDEX(nTP_Hi,BJ42))</f>
        <v/>
      </c>
      <c r="BU42" s="22">
        <f>IF(OR(BJ42=0,AV42=0),0,SUMPRODUCT((nTP_Case_Key=AR42)*(nTP_Record_Type="MILESTONE:INTERVENTION")*(nTP_Err="")*(nTP_HT*BO42*BA42*(nTP_Loc_n&gt;=N(BQ42))*(nTP_Loc_n&lt;=N(BC42))+(1-nTP_HT*BO42*BA42)*(nTP_Lo_n&gt;=N(BS42))*(nTP_Hi_n&lt;=N(BF42))*(nTP_Lo_n&gt;0))))</f>
        <v>0</v>
      </c>
      <c r="BV42" s="21" t="str">
        <f t="shared" si="19"/>
        <v/>
      </c>
      <c r="BW42" s="21" t="str">
        <f t="shared" si="20"/>
        <v/>
      </c>
      <c r="BX42" s="21" t="str">
        <f t="shared" si="21"/>
        <v/>
      </c>
      <c r="BY42" s="21" t="str">
        <f t="shared" si="22"/>
        <v/>
      </c>
      <c r="BZ42" s="22">
        <f t="shared" si="23"/>
        <v>1</v>
      </c>
      <c r="CA42" s="21" t="str">
        <f t="shared" si="24"/>
        <v/>
      </c>
      <c r="CB42" s="21" t="str">
        <f t="shared" si="25"/>
        <v/>
      </c>
      <c r="CC42" s="21" t="str">
        <f t="shared" si="26"/>
        <v/>
      </c>
      <c r="CD42" s="21" t="str">
        <f t="shared" si="27"/>
        <v/>
      </c>
      <c r="CE42" s="22">
        <f t="shared" si="28"/>
        <v>0</v>
      </c>
      <c r="CF42" s="28" t="str">
        <f t="shared" si="29"/>
        <v/>
      </c>
      <c r="CG42" s="28" t="str">
        <f t="shared" si="30"/>
        <v/>
      </c>
      <c r="CH42" s="21" t="str">
        <f t="shared" si="31"/>
        <v/>
      </c>
      <c r="CI42" s="22">
        <f t="shared" si="32"/>
        <v>0</v>
      </c>
      <c r="CJ42" s="22">
        <f t="shared" si="33"/>
        <v>0</v>
      </c>
      <c r="CK42" s="22">
        <f t="shared" si="34"/>
        <v>0</v>
      </c>
      <c r="CL42" s="22">
        <f t="shared" si="35"/>
        <v>0</v>
      </c>
      <c r="CM42" s="22">
        <f t="shared" si="36"/>
        <v>0</v>
      </c>
      <c r="CN42" s="22">
        <f t="shared" si="37"/>
        <v>0</v>
      </c>
      <c r="CO42" s="22">
        <f t="shared" si="38"/>
        <v>0</v>
      </c>
      <c r="CP42" s="22">
        <f t="shared" si="39"/>
        <v>0</v>
      </c>
      <c r="CQ42" s="21" t="str">
        <f t="shared" si="40"/>
        <v/>
      </c>
    </row>
    <row r="43" spans="1:95" x14ac:dyDescent="0.2">
      <c r="A43" s="10"/>
      <c r="B43" s="10"/>
      <c r="C43" s="12"/>
      <c r="D43" s="10"/>
      <c r="E43" s="17"/>
      <c r="F43" s="10"/>
      <c r="G43" s="10"/>
      <c r="H43" s="10"/>
      <c r="I43" s="17"/>
      <c r="J43" s="17"/>
      <c r="K43" s="10"/>
      <c r="L43" s="17"/>
      <c r="M43" s="17"/>
      <c r="N43" s="17"/>
      <c r="O43" s="10"/>
      <c r="P43" s="15"/>
      <c r="Q43" s="15"/>
      <c r="R43" s="10"/>
      <c r="S43" s="10"/>
      <c r="T43" s="21" t="str">
        <f t="shared" si="0"/>
        <v/>
      </c>
      <c r="U43" s="21" t="str">
        <f t="shared" si="1"/>
        <v/>
      </c>
      <c r="V43" s="21" t="str">
        <f t="shared" si="2"/>
        <v/>
      </c>
      <c r="W43" s="21" t="str">
        <f t="shared" si="3"/>
        <v/>
      </c>
      <c r="X43" s="21" t="str">
        <f t="shared" si="4"/>
        <v/>
      </c>
      <c r="Y43" s="21" t="str">
        <f t="shared" si="5"/>
        <v/>
      </c>
      <c r="Z43" s="21" t="str">
        <f t="shared" si="6"/>
        <v/>
      </c>
      <c r="AA43" s="21" t="str">
        <f t="shared" si="7"/>
        <v/>
      </c>
      <c r="AB43" s="21" t="str">
        <f t="shared" si="8"/>
        <v/>
      </c>
      <c r="AC43" s="21" t="str">
        <f>IF(AQ43=1,"",MID(IF(BX43&lt;&gt;""," | "&amp;BX43&amp;": "&amp;SUBSTITUTE(IFERROR(INDEX(nMSG_Text,MATCH(BX43,nMSG_Code,0)),""),"[input]",BY43),"")&amp;IF(CI43=1," | W_TZ_UNKNOWN: "&amp;SUBSTITUTE(IFERROR(INDEX(nMSG_Text,MATCH("W_TZ_UNKNOWN",nMSG_Code,0)),""),"[input]",""),"")&amp;IF(CJ43=1," | W_SAME_DATE_ORDER_UNKNOWN: "&amp;SUBSTITUTE(IFERROR(INDEX(nMSG_Text,MATCH("W_SAME_DATE_ORDER_UNKNOWN",nMSG_Code,0)),""),"[input]",""),"")&amp;IF(CK43=1," | W_SEQUENCE_UNCERTAIN: "&amp;SUBSTITUTE(IFERROR(INDEX(nMSG_Text,MATCH("W_SEQUENCE_UNCERTAIN",nMSG_Code,0)),""),"[input]",""),"")&amp;IF(CL43=1," | W_ADMIN_SAME_DATE_AS_ONSET: "&amp;SUBSTITUTE(IFERROR(INDEX(nMSG_Text,MATCH("W_ADMIN_SAME_DATE_AS_ONSET",nMSG_Code,0)),""),"[input]",""),"")&amp;IF(CO43=1," | W_INTERVENTION_BEFORE_RECOVERY: "&amp;SUBSTITUTE(IFERROR(INDEX(nMSG_Text,MATCH("W_INTERVENTION_BEFORE_RECOVERY",nMSG_Code,0)),""),"[input]",""),"")&amp;IF(OR(CQ43="",CQ43="OVERLAP"),""," | "&amp;CQ43&amp;" (reported timing): "&amp;SUBSTITUTE(IFERROR(INDEX(nMSG_Text,MATCH(CQ43,nMSG_Code,0)),""),"[input]","numeric reported bounds and a reported unit"))&amp;IF(CM43=1," | I_TREATMENT_DAY_UNDEFINED: "&amp;SUBSTITUTE(IFERROR(INDEX(nMSG_Text,MATCH("I_TREATMENT_DAY_UNDEFINED",nMSG_Code,0)),""),"[input]",""),"")&amp;IF(CH43&lt;&gt;""," | "&amp;CH43&amp;" (constraint): "&amp;SUBSTITUTE(IFERROR(INDEX(nMSG_Text,MATCH(CH43,nMSG_Code,0)),""),"[input]","a source for the constraint"),""),4,9999))</f>
        <v/>
      </c>
      <c r="AD43" s="21" t="str">
        <f t="shared" si="9"/>
        <v/>
      </c>
      <c r="AE43" s="21" t="str">
        <f t="shared" si="10"/>
        <v/>
      </c>
      <c r="AF43" s="21" t="str">
        <f t="shared" si="11"/>
        <v/>
      </c>
      <c r="AG43" s="21" t="str">
        <f t="shared" si="12"/>
        <v/>
      </c>
      <c r="AH43" s="21" t="str">
        <f>IF(BJ43=0,"",INDEX(nTP_ISO,BJ43))</f>
        <v/>
      </c>
      <c r="AI43" s="21" t="str">
        <f>IF(BJ43=0,"",INDEX(nTP_Display,BJ43))</f>
        <v/>
      </c>
      <c r="AJ43" s="21" t="str">
        <f>IF(AV43=0,"",INDEX(nTP_ISO,AV43))</f>
        <v/>
      </c>
      <c r="AK43" s="21" t="str">
        <f>IF(AV43=0,"",INDEX(nTP_Display,AV43))</f>
        <v/>
      </c>
      <c r="AL43" s="21" t="str">
        <f>IF(AU43=0,"",INDEX(nLNK_Exposure_Episode_ID,AU43)&amp;"")</f>
        <v/>
      </c>
      <c r="AM43" s="21" t="str">
        <f>IF(AU43=0,"",INDEX(nLNK_Event_Episode_ID,AU43)&amp;"")</f>
        <v/>
      </c>
      <c r="AN43" s="21" t="str">
        <f t="shared" si="13"/>
        <v/>
      </c>
      <c r="AO43" s="21" t="str">
        <f t="shared" si="14"/>
        <v/>
      </c>
      <c r="AP43" s="21" t="str">
        <f t="shared" si="15"/>
        <v/>
      </c>
      <c r="AQ43" s="22">
        <f t="shared" si="16"/>
        <v>1</v>
      </c>
      <c r="AR43" s="21" t="str">
        <f t="shared" si="17"/>
        <v>|</v>
      </c>
      <c r="AS43" s="21" t="str">
        <f t="shared" si="18"/>
        <v/>
      </c>
      <c r="AT43" s="22">
        <f>IF(AS43="",0,COUNTIF(nINT_Key,AS43))</f>
        <v>0</v>
      </c>
      <c r="AU43" s="22">
        <f>IF(D43="",0,IFERROR(MATCH(AR43&amp;"|"&amp;D43,nLNK_Key,0),0))</f>
        <v>0</v>
      </c>
      <c r="AV43" s="22">
        <f>IF(OR(AQ43=1,H43=""),0,IFERROR(MATCH(AR43&amp;"|"&amp;H43,nTP_Key,0),0))</f>
        <v>0</v>
      </c>
      <c r="AW43" s="21">
        <f>IF(AV43=0,0,INDEX(nTP_Dup,AV43))</f>
        <v>0</v>
      </c>
      <c r="AX43" s="21" t="str">
        <f>IF(AV43=0,"",INDEX(nTP_Record_Type,AV43))</f>
        <v/>
      </c>
      <c r="AY43" s="21" t="str">
        <f>IF(AV43=0,"",INDEX(nTP_Precision,AV43))</f>
        <v/>
      </c>
      <c r="AZ43" s="21" t="str">
        <f>IF(AV43=0,"",INDEX(nTP_Err,AV43))</f>
        <v/>
      </c>
      <c r="BA43" s="21">
        <f>IF(AV43=0,0,INDEX(nTP_HT,AV43))</f>
        <v>0</v>
      </c>
      <c r="BB43" s="21">
        <f>IF(AV43=0,0,INDEX(nTP_OK,AV43))</f>
        <v>0</v>
      </c>
      <c r="BC43" s="21" t="str">
        <f>IF(AV43=0,"",INDEX(nTP_Loc,AV43))</f>
        <v/>
      </c>
      <c r="BD43" s="21" t="str">
        <f>IF(AV43=0,"",INDEX(nTP_UTC,AV43))</f>
        <v/>
      </c>
      <c r="BE43" s="21" t="str">
        <f>IF(AV43=0,"",INDEX(nTP_Lo,AV43))</f>
        <v/>
      </c>
      <c r="BF43" s="21" t="str">
        <f>IF(AV43=0,"",INDEX(nTP_Hi,AV43))</f>
        <v/>
      </c>
      <c r="BG43" s="22">
        <f>IF(OR(AQ43=1,E43&lt;&gt;"LAST_DOSE_BEFORE_ONSET",AU43=0,AV43=0),0,IF(AZ43&lt;&gt;"",0,SUMPRODUCT(MAX((nADM_SelKey=AR43&amp;"|"&amp;AL43)*nADM_Valid*(nADM_A_HT*BA43*nADM_A_OK*BB43*(nADM_UTC_n&lt;=N(BD43))+nADM_A_HT*BA43*(1-nADM_A_OK*BB43)*(nADM_Loc_n&lt;=N(BC43))+(1-nADM_A_HT*BA43)*(nADM_Lo_n&lt;=N(BE43)))*nADM_Sort_n))))</f>
        <v>0</v>
      </c>
      <c r="BH43" s="22">
        <f>IF(BG43=0,0,MATCH(1,INDEX((nADM_SelKey=AR43&amp;"|"&amp;AL43)*nADM_Valid*(nADM_A_HT*BA43*nADM_A_OK*BB43*(nADM_UTC_n&lt;=N(BD43))+nADM_A_HT*BA43*(1-nADM_A_OK*BB43)*(nADM_Loc_n&lt;=N(BC43))+(1-nADM_A_HT*BA43)*(nADM_Lo_n&lt;=N(BE43)))*(nADM_Sort_n=BG43),0),0))</f>
        <v>0</v>
      </c>
      <c r="BI43" s="21" t="str">
        <f>IF(BH43=0,"",INDEX(nADM_Admin_ID,BH43)&amp;"")</f>
        <v/>
      </c>
      <c r="BJ43" s="22">
        <f>IF(OR(AQ43=1,AG43=""),0,IFERROR(MATCH(AR43&amp;"|"&amp;AG43,nTP_Key,0),0))</f>
        <v>0</v>
      </c>
      <c r="BK43" s="21">
        <f>IF(BJ43=0,0,INDEX(nTP_Dup,BJ43))</f>
        <v>0</v>
      </c>
      <c r="BL43" s="21" t="str">
        <f>IF(BJ43=0,"",INDEX(nTP_Record_Type,BJ43))</f>
        <v/>
      </c>
      <c r="BM43" s="21" t="str">
        <f>IF(BJ43=0,"",INDEX(nTP_Precision,BJ43))</f>
        <v/>
      </c>
      <c r="BN43" s="21" t="str">
        <f>IF(BJ43=0,"",INDEX(nTP_Err,BJ43))</f>
        <v/>
      </c>
      <c r="BO43" s="21">
        <f>IF(BJ43=0,0,INDEX(nTP_HT,BJ43))</f>
        <v>0</v>
      </c>
      <c r="BP43" s="21">
        <f>IF(BJ43=0,0,INDEX(nTP_OK,BJ43))</f>
        <v>0</v>
      </c>
      <c r="BQ43" s="21" t="str">
        <f>IF(BJ43=0,"",INDEX(nTP_Loc,BJ43))</f>
        <v/>
      </c>
      <c r="BR43" s="21" t="str">
        <f>IF(BJ43=0,"",INDEX(nTP_UTC,BJ43))</f>
        <v/>
      </c>
      <c r="BS43" s="21" t="str">
        <f>IF(BJ43=0,"",INDEX(nTP_Lo,BJ43))</f>
        <v/>
      </c>
      <c r="BT43" s="21" t="str">
        <f>IF(BJ43=0,"",INDEX(nTP_Hi,BJ43))</f>
        <v/>
      </c>
      <c r="BU43" s="22">
        <f>IF(OR(BJ43=0,AV43=0),0,SUMPRODUCT((nTP_Case_Key=AR43)*(nTP_Record_Type="MILESTONE:INTERVENTION")*(nTP_Err="")*(nTP_HT*BO43*BA43*(nTP_Loc_n&gt;=N(BQ43))*(nTP_Loc_n&lt;=N(BC43))+(1-nTP_HT*BO43*BA43)*(nTP_Lo_n&gt;=N(BS43))*(nTP_Hi_n&lt;=N(BF43))*(nTP_Lo_n&gt;0))))</f>
        <v>0</v>
      </c>
      <c r="BV43" s="21" t="str">
        <f t="shared" si="19"/>
        <v/>
      </c>
      <c r="BW43" s="21" t="str">
        <f t="shared" si="20"/>
        <v/>
      </c>
      <c r="BX43" s="21" t="str">
        <f t="shared" si="21"/>
        <v/>
      </c>
      <c r="BY43" s="21" t="str">
        <f t="shared" si="22"/>
        <v/>
      </c>
      <c r="BZ43" s="22">
        <f t="shared" si="23"/>
        <v>1</v>
      </c>
      <c r="CA43" s="21" t="str">
        <f t="shared" si="24"/>
        <v/>
      </c>
      <c r="CB43" s="21" t="str">
        <f t="shared" si="25"/>
        <v/>
      </c>
      <c r="CC43" s="21" t="str">
        <f t="shared" si="26"/>
        <v/>
      </c>
      <c r="CD43" s="21" t="str">
        <f t="shared" si="27"/>
        <v/>
      </c>
      <c r="CE43" s="22">
        <f t="shared" si="28"/>
        <v>0</v>
      </c>
      <c r="CF43" s="28" t="str">
        <f t="shared" si="29"/>
        <v/>
      </c>
      <c r="CG43" s="28" t="str">
        <f t="shared" si="30"/>
        <v/>
      </c>
      <c r="CH43" s="21" t="str">
        <f t="shared" si="31"/>
        <v/>
      </c>
      <c r="CI43" s="22">
        <f t="shared" si="32"/>
        <v>0</v>
      </c>
      <c r="CJ43" s="22">
        <f t="shared" si="33"/>
        <v>0</v>
      </c>
      <c r="CK43" s="22">
        <f t="shared" si="34"/>
        <v>0</v>
      </c>
      <c r="CL43" s="22">
        <f t="shared" si="35"/>
        <v>0</v>
      </c>
      <c r="CM43" s="22">
        <f t="shared" si="36"/>
        <v>0</v>
      </c>
      <c r="CN43" s="22">
        <f t="shared" si="37"/>
        <v>0</v>
      </c>
      <c r="CO43" s="22">
        <f t="shared" si="38"/>
        <v>0</v>
      </c>
      <c r="CP43" s="22">
        <f t="shared" si="39"/>
        <v>0</v>
      </c>
      <c r="CQ43" s="21" t="str">
        <f t="shared" si="40"/>
        <v/>
      </c>
    </row>
    <row r="44" spans="1:95" x14ac:dyDescent="0.2">
      <c r="A44" s="10"/>
      <c r="B44" s="10"/>
      <c r="C44" s="12"/>
      <c r="D44" s="10"/>
      <c r="E44" s="17"/>
      <c r="F44" s="10"/>
      <c r="G44" s="10"/>
      <c r="H44" s="10"/>
      <c r="I44" s="17"/>
      <c r="J44" s="17"/>
      <c r="K44" s="10"/>
      <c r="L44" s="17"/>
      <c r="M44" s="17"/>
      <c r="N44" s="17"/>
      <c r="O44" s="10"/>
      <c r="P44" s="15"/>
      <c r="Q44" s="15"/>
      <c r="R44" s="10"/>
      <c r="S44" s="10"/>
      <c r="T44" s="21" t="str">
        <f t="shared" si="0"/>
        <v/>
      </c>
      <c r="U44" s="21" t="str">
        <f t="shared" si="1"/>
        <v/>
      </c>
      <c r="V44" s="21" t="str">
        <f t="shared" si="2"/>
        <v/>
      </c>
      <c r="W44" s="21" t="str">
        <f t="shared" si="3"/>
        <v/>
      </c>
      <c r="X44" s="21" t="str">
        <f t="shared" si="4"/>
        <v/>
      </c>
      <c r="Y44" s="21" t="str">
        <f t="shared" si="5"/>
        <v/>
      </c>
      <c r="Z44" s="21" t="str">
        <f t="shared" si="6"/>
        <v/>
      </c>
      <c r="AA44" s="21" t="str">
        <f t="shared" si="7"/>
        <v/>
      </c>
      <c r="AB44" s="21" t="str">
        <f t="shared" si="8"/>
        <v/>
      </c>
      <c r="AC44" s="21" t="str">
        <f>IF(AQ44=1,"",MID(IF(BX44&lt;&gt;""," | "&amp;BX44&amp;": "&amp;SUBSTITUTE(IFERROR(INDEX(nMSG_Text,MATCH(BX44,nMSG_Code,0)),""),"[input]",BY44),"")&amp;IF(CI44=1," | W_TZ_UNKNOWN: "&amp;SUBSTITUTE(IFERROR(INDEX(nMSG_Text,MATCH("W_TZ_UNKNOWN",nMSG_Code,0)),""),"[input]",""),"")&amp;IF(CJ44=1," | W_SAME_DATE_ORDER_UNKNOWN: "&amp;SUBSTITUTE(IFERROR(INDEX(nMSG_Text,MATCH("W_SAME_DATE_ORDER_UNKNOWN",nMSG_Code,0)),""),"[input]",""),"")&amp;IF(CK44=1," | W_SEQUENCE_UNCERTAIN: "&amp;SUBSTITUTE(IFERROR(INDEX(nMSG_Text,MATCH("W_SEQUENCE_UNCERTAIN",nMSG_Code,0)),""),"[input]",""),"")&amp;IF(CL44=1," | W_ADMIN_SAME_DATE_AS_ONSET: "&amp;SUBSTITUTE(IFERROR(INDEX(nMSG_Text,MATCH("W_ADMIN_SAME_DATE_AS_ONSET",nMSG_Code,0)),""),"[input]",""),"")&amp;IF(CO44=1," | W_INTERVENTION_BEFORE_RECOVERY: "&amp;SUBSTITUTE(IFERROR(INDEX(nMSG_Text,MATCH("W_INTERVENTION_BEFORE_RECOVERY",nMSG_Code,0)),""),"[input]",""),"")&amp;IF(OR(CQ44="",CQ44="OVERLAP"),""," | "&amp;CQ44&amp;" (reported timing): "&amp;SUBSTITUTE(IFERROR(INDEX(nMSG_Text,MATCH(CQ44,nMSG_Code,0)),""),"[input]","numeric reported bounds and a reported unit"))&amp;IF(CM44=1," | I_TREATMENT_DAY_UNDEFINED: "&amp;SUBSTITUTE(IFERROR(INDEX(nMSG_Text,MATCH("I_TREATMENT_DAY_UNDEFINED",nMSG_Code,0)),""),"[input]",""),"")&amp;IF(CH44&lt;&gt;""," | "&amp;CH44&amp;" (constraint): "&amp;SUBSTITUTE(IFERROR(INDEX(nMSG_Text,MATCH(CH44,nMSG_Code,0)),""),"[input]","a source for the constraint"),""),4,9999))</f>
        <v/>
      </c>
      <c r="AD44" s="21" t="str">
        <f t="shared" si="9"/>
        <v/>
      </c>
      <c r="AE44" s="21" t="str">
        <f t="shared" si="10"/>
        <v/>
      </c>
      <c r="AF44" s="21" t="str">
        <f t="shared" si="11"/>
        <v/>
      </c>
      <c r="AG44" s="21" t="str">
        <f t="shared" si="12"/>
        <v/>
      </c>
      <c r="AH44" s="21" t="str">
        <f>IF(BJ44=0,"",INDEX(nTP_ISO,BJ44))</f>
        <v/>
      </c>
      <c r="AI44" s="21" t="str">
        <f>IF(BJ44=0,"",INDEX(nTP_Display,BJ44))</f>
        <v/>
      </c>
      <c r="AJ44" s="21" t="str">
        <f>IF(AV44=0,"",INDEX(nTP_ISO,AV44))</f>
        <v/>
      </c>
      <c r="AK44" s="21" t="str">
        <f>IF(AV44=0,"",INDEX(nTP_Display,AV44))</f>
        <v/>
      </c>
      <c r="AL44" s="21" t="str">
        <f>IF(AU44=0,"",INDEX(nLNK_Exposure_Episode_ID,AU44)&amp;"")</f>
        <v/>
      </c>
      <c r="AM44" s="21" t="str">
        <f>IF(AU44=0,"",INDEX(nLNK_Event_Episode_ID,AU44)&amp;"")</f>
        <v/>
      </c>
      <c r="AN44" s="21" t="str">
        <f t="shared" si="13"/>
        <v/>
      </c>
      <c r="AO44" s="21" t="str">
        <f t="shared" si="14"/>
        <v/>
      </c>
      <c r="AP44" s="21" t="str">
        <f t="shared" si="15"/>
        <v/>
      </c>
      <c r="AQ44" s="22">
        <f t="shared" si="16"/>
        <v>1</v>
      </c>
      <c r="AR44" s="21" t="str">
        <f t="shared" si="17"/>
        <v>|</v>
      </c>
      <c r="AS44" s="21" t="str">
        <f t="shared" si="18"/>
        <v/>
      </c>
      <c r="AT44" s="22">
        <f>IF(AS44="",0,COUNTIF(nINT_Key,AS44))</f>
        <v>0</v>
      </c>
      <c r="AU44" s="22">
        <f>IF(D44="",0,IFERROR(MATCH(AR44&amp;"|"&amp;D44,nLNK_Key,0),0))</f>
        <v>0</v>
      </c>
      <c r="AV44" s="22">
        <f>IF(OR(AQ44=1,H44=""),0,IFERROR(MATCH(AR44&amp;"|"&amp;H44,nTP_Key,0),0))</f>
        <v>0</v>
      </c>
      <c r="AW44" s="21">
        <f>IF(AV44=0,0,INDEX(nTP_Dup,AV44))</f>
        <v>0</v>
      </c>
      <c r="AX44" s="21" t="str">
        <f>IF(AV44=0,"",INDEX(nTP_Record_Type,AV44))</f>
        <v/>
      </c>
      <c r="AY44" s="21" t="str">
        <f>IF(AV44=0,"",INDEX(nTP_Precision,AV44))</f>
        <v/>
      </c>
      <c r="AZ44" s="21" t="str">
        <f>IF(AV44=0,"",INDEX(nTP_Err,AV44))</f>
        <v/>
      </c>
      <c r="BA44" s="21">
        <f>IF(AV44=0,0,INDEX(nTP_HT,AV44))</f>
        <v>0</v>
      </c>
      <c r="BB44" s="21">
        <f>IF(AV44=0,0,INDEX(nTP_OK,AV44))</f>
        <v>0</v>
      </c>
      <c r="BC44" s="21" t="str">
        <f>IF(AV44=0,"",INDEX(nTP_Loc,AV44))</f>
        <v/>
      </c>
      <c r="BD44" s="21" t="str">
        <f>IF(AV44=0,"",INDEX(nTP_UTC,AV44))</f>
        <v/>
      </c>
      <c r="BE44" s="21" t="str">
        <f>IF(AV44=0,"",INDEX(nTP_Lo,AV44))</f>
        <v/>
      </c>
      <c r="BF44" s="21" t="str">
        <f>IF(AV44=0,"",INDEX(nTP_Hi,AV44))</f>
        <v/>
      </c>
      <c r="BG44" s="22">
        <f>IF(OR(AQ44=1,E44&lt;&gt;"LAST_DOSE_BEFORE_ONSET",AU44=0,AV44=0),0,IF(AZ44&lt;&gt;"",0,SUMPRODUCT(MAX((nADM_SelKey=AR44&amp;"|"&amp;AL44)*nADM_Valid*(nADM_A_HT*BA44*nADM_A_OK*BB44*(nADM_UTC_n&lt;=N(BD44))+nADM_A_HT*BA44*(1-nADM_A_OK*BB44)*(nADM_Loc_n&lt;=N(BC44))+(1-nADM_A_HT*BA44)*(nADM_Lo_n&lt;=N(BE44)))*nADM_Sort_n))))</f>
        <v>0</v>
      </c>
      <c r="BH44" s="22">
        <f>IF(BG44=0,0,MATCH(1,INDEX((nADM_SelKey=AR44&amp;"|"&amp;AL44)*nADM_Valid*(nADM_A_HT*BA44*nADM_A_OK*BB44*(nADM_UTC_n&lt;=N(BD44))+nADM_A_HT*BA44*(1-nADM_A_OK*BB44)*(nADM_Loc_n&lt;=N(BC44))+(1-nADM_A_HT*BA44)*(nADM_Lo_n&lt;=N(BE44)))*(nADM_Sort_n=BG44),0),0))</f>
        <v>0</v>
      </c>
      <c r="BI44" s="21" t="str">
        <f>IF(BH44=0,"",INDEX(nADM_Admin_ID,BH44)&amp;"")</f>
        <v/>
      </c>
      <c r="BJ44" s="22">
        <f>IF(OR(AQ44=1,AG44=""),0,IFERROR(MATCH(AR44&amp;"|"&amp;AG44,nTP_Key,0),0))</f>
        <v>0</v>
      </c>
      <c r="BK44" s="21">
        <f>IF(BJ44=0,0,INDEX(nTP_Dup,BJ44))</f>
        <v>0</v>
      </c>
      <c r="BL44" s="21" t="str">
        <f>IF(BJ44=0,"",INDEX(nTP_Record_Type,BJ44))</f>
        <v/>
      </c>
      <c r="BM44" s="21" t="str">
        <f>IF(BJ44=0,"",INDEX(nTP_Precision,BJ44))</f>
        <v/>
      </c>
      <c r="BN44" s="21" t="str">
        <f>IF(BJ44=0,"",INDEX(nTP_Err,BJ44))</f>
        <v/>
      </c>
      <c r="BO44" s="21">
        <f>IF(BJ44=0,0,INDEX(nTP_HT,BJ44))</f>
        <v>0</v>
      </c>
      <c r="BP44" s="21">
        <f>IF(BJ44=0,0,INDEX(nTP_OK,BJ44))</f>
        <v>0</v>
      </c>
      <c r="BQ44" s="21" t="str">
        <f>IF(BJ44=0,"",INDEX(nTP_Loc,BJ44))</f>
        <v/>
      </c>
      <c r="BR44" s="21" t="str">
        <f>IF(BJ44=0,"",INDEX(nTP_UTC,BJ44))</f>
        <v/>
      </c>
      <c r="BS44" s="21" t="str">
        <f>IF(BJ44=0,"",INDEX(nTP_Lo,BJ44))</f>
        <v/>
      </c>
      <c r="BT44" s="21" t="str">
        <f>IF(BJ44=0,"",INDEX(nTP_Hi,BJ44))</f>
        <v/>
      </c>
      <c r="BU44" s="22">
        <f>IF(OR(BJ44=0,AV44=0),0,SUMPRODUCT((nTP_Case_Key=AR44)*(nTP_Record_Type="MILESTONE:INTERVENTION")*(nTP_Err="")*(nTP_HT*BO44*BA44*(nTP_Loc_n&gt;=N(BQ44))*(nTP_Loc_n&lt;=N(BC44))+(1-nTP_HT*BO44*BA44)*(nTP_Lo_n&gt;=N(BS44))*(nTP_Hi_n&lt;=N(BF44))*(nTP_Lo_n&gt;0))))</f>
        <v>0</v>
      </c>
      <c r="BV44" s="21" t="str">
        <f t="shared" si="19"/>
        <v/>
      </c>
      <c r="BW44" s="21" t="str">
        <f t="shared" si="20"/>
        <v/>
      </c>
      <c r="BX44" s="21" t="str">
        <f t="shared" si="21"/>
        <v/>
      </c>
      <c r="BY44" s="21" t="str">
        <f t="shared" si="22"/>
        <v/>
      </c>
      <c r="BZ44" s="22">
        <f t="shared" si="23"/>
        <v>1</v>
      </c>
      <c r="CA44" s="21" t="str">
        <f t="shared" si="24"/>
        <v/>
      </c>
      <c r="CB44" s="21" t="str">
        <f t="shared" si="25"/>
        <v/>
      </c>
      <c r="CC44" s="21" t="str">
        <f t="shared" si="26"/>
        <v/>
      </c>
      <c r="CD44" s="21" t="str">
        <f t="shared" si="27"/>
        <v/>
      </c>
      <c r="CE44" s="22">
        <f t="shared" si="28"/>
        <v>0</v>
      </c>
      <c r="CF44" s="28" t="str">
        <f t="shared" si="29"/>
        <v/>
      </c>
      <c r="CG44" s="28" t="str">
        <f t="shared" si="30"/>
        <v/>
      </c>
      <c r="CH44" s="21" t="str">
        <f t="shared" si="31"/>
        <v/>
      </c>
      <c r="CI44" s="22">
        <f t="shared" si="32"/>
        <v>0</v>
      </c>
      <c r="CJ44" s="22">
        <f t="shared" si="33"/>
        <v>0</v>
      </c>
      <c r="CK44" s="22">
        <f t="shared" si="34"/>
        <v>0</v>
      </c>
      <c r="CL44" s="22">
        <f t="shared" si="35"/>
        <v>0</v>
      </c>
      <c r="CM44" s="22">
        <f t="shared" si="36"/>
        <v>0</v>
      </c>
      <c r="CN44" s="22">
        <f t="shared" si="37"/>
        <v>0</v>
      </c>
      <c r="CO44" s="22">
        <f t="shared" si="38"/>
        <v>0</v>
      </c>
      <c r="CP44" s="22">
        <f t="shared" si="39"/>
        <v>0</v>
      </c>
      <c r="CQ44" s="21" t="str">
        <f t="shared" si="40"/>
        <v/>
      </c>
    </row>
    <row r="45" spans="1:95" x14ac:dyDescent="0.2">
      <c r="A45" s="24" t="s">
        <v>288</v>
      </c>
      <c r="B45" s="23"/>
      <c r="C45" s="23"/>
      <c r="D45" s="23"/>
      <c r="E45" s="23"/>
      <c r="F45" s="23"/>
      <c r="G45" s="23"/>
      <c r="H45" s="23"/>
      <c r="I45" s="23"/>
      <c r="J45" s="23"/>
      <c r="K45" s="23"/>
      <c r="L45" s="23"/>
      <c r="M45" s="23"/>
      <c r="N45" s="23"/>
      <c r="O45" s="23"/>
      <c r="P45" s="23"/>
      <c r="Q45" s="23"/>
      <c r="R45" s="23"/>
      <c r="S45" s="23"/>
      <c r="T45" s="23"/>
      <c r="U45" s="23"/>
      <c r="V45" s="23"/>
      <c r="W45" s="23"/>
      <c r="X45" s="23"/>
      <c r="Y45" s="23"/>
      <c r="Z45" s="23"/>
      <c r="AA45" s="23"/>
      <c r="AB45" s="23"/>
      <c r="AC45" s="23"/>
      <c r="AD45" s="23"/>
      <c r="AE45" s="23"/>
      <c r="AF45" s="23"/>
      <c r="AG45" s="23"/>
      <c r="AH45" s="23"/>
      <c r="AI45" s="23"/>
      <c r="AJ45" s="23"/>
      <c r="AK45" s="23"/>
      <c r="AL45" s="23"/>
      <c r="AM45" s="23"/>
      <c r="AN45" s="23"/>
      <c r="AO45" s="23"/>
      <c r="AP45" s="23"/>
      <c r="AQ45" s="23"/>
      <c r="AR45" s="23"/>
      <c r="AS45" s="23"/>
      <c r="AT45" s="23"/>
      <c r="AU45" s="23"/>
      <c r="AV45" s="23"/>
      <c r="AW45" s="23"/>
      <c r="AX45" s="23"/>
      <c r="AY45" s="23"/>
      <c r="AZ45" s="23"/>
      <c r="BA45" s="23"/>
      <c r="BB45" s="23"/>
      <c r="BC45" s="23"/>
      <c r="BD45" s="23"/>
      <c r="BE45" s="23"/>
      <c r="BF45" s="23"/>
      <c r="BG45" s="23"/>
      <c r="BH45" s="23"/>
      <c r="BI45" s="23"/>
      <c r="BJ45" s="23"/>
      <c r="BK45" s="23"/>
      <c r="BL45" s="23"/>
      <c r="BM45" s="23"/>
      <c r="BN45" s="23"/>
      <c r="BO45" s="23"/>
      <c r="BP45" s="23"/>
      <c r="BQ45" s="23"/>
      <c r="BR45" s="23"/>
      <c r="BS45" s="23"/>
      <c r="BT45" s="23"/>
      <c r="BU45" s="23"/>
      <c r="BV45" s="23"/>
      <c r="BW45" s="23"/>
      <c r="BX45" s="23"/>
      <c r="BY45" s="23"/>
      <c r="BZ45" s="23"/>
      <c r="CA45" s="23"/>
      <c r="CB45" s="23"/>
      <c r="CC45" s="23"/>
      <c r="CD45" s="23"/>
      <c r="CE45" s="23"/>
      <c r="CF45" s="23"/>
      <c r="CG45" s="23"/>
      <c r="CH45" s="23"/>
      <c r="CI45" s="23"/>
      <c r="CJ45" s="23"/>
      <c r="CK45" s="23"/>
      <c r="CL45" s="23"/>
      <c r="CM45" s="23"/>
      <c r="CN45" s="23"/>
      <c r="CO45" s="23"/>
      <c r="CP45" s="23"/>
      <c r="CQ45" s="23"/>
    </row>
    <row r="46" spans="1:95" x14ac:dyDescent="0.2">
      <c r="A46" s="9" t="s">
        <v>951</v>
      </c>
      <c r="B46" s="9" t="s">
        <v>291</v>
      </c>
      <c r="C46" s="11">
        <v>2</v>
      </c>
      <c r="D46" s="9" t="s">
        <v>801</v>
      </c>
      <c r="E46" s="16" t="s">
        <v>49</v>
      </c>
      <c r="F46" s="9"/>
      <c r="G46" s="9" t="s">
        <v>950</v>
      </c>
      <c r="H46" s="9" t="s">
        <v>952</v>
      </c>
      <c r="I46" s="16" t="s">
        <v>57</v>
      </c>
      <c r="J46" s="16"/>
      <c r="K46" s="9"/>
      <c r="L46" s="16"/>
      <c r="M46" s="16"/>
      <c r="N46" s="16"/>
      <c r="O46" s="9"/>
      <c r="P46" s="14"/>
      <c r="Q46" s="14"/>
      <c r="R46" s="9"/>
      <c r="S46" s="9"/>
      <c r="T46" s="21" t="str">
        <f t="shared" ref="T46:T76" si="41">IF(AQ46=1,"",IF(BX46&lt;&gt;"",BX46&amp;": no result is shown",IF(I46="C1",FIXED(CA46,0,FALSE)&amp;" "&amp;X46&amp;IF(ABS(CA46)&gt;=60," ("&amp;FIXED(CA46/60,1,FALSE)&amp;" hours)",""),IF(I46="C2",FIXED(CB46,0,FALSE)&amp;" calendar days"&amp;IF(AND(CB46=0,CA46&lt;&gt;"")," (order within the day from C1: "&amp;Z46&amp;")","")&amp;IF(AA46&lt;&gt;"","; treatment Day "&amp;AA46,""),FIXED(CC46,0,FALSE)&amp;" to "&amp;FIXED(CD46,0,FALSE)&amp;" calendar days"&amp;IF(AD46&lt;&gt;"","; with constraint "&amp;FIXED(AD46,0,FALSE)&amp;" to "&amp;FIXED(AE46,0,FALSE),"")))))</f>
        <v>15 minutes</v>
      </c>
      <c r="U46" s="21">
        <f t="shared" ref="U46:U76" si="42">IF(BX46&lt;&gt;"","",IF(I46="C1",CA46,IF(I46="C2",CB46,"")))</f>
        <v>15</v>
      </c>
      <c r="V46" s="21" t="str">
        <f t="shared" ref="V46:V76" si="43">IF(CC46="","",CC46)</f>
        <v/>
      </c>
      <c r="W46" s="21" t="str">
        <f t="shared" ref="W46:W76" si="44">IF(CD46="","",CD46)</f>
        <v/>
      </c>
      <c r="X46" s="21" t="str">
        <f t="shared" ref="X46:X76" si="45">IF(OR(AQ46=1,BX46&lt;&gt;""),"",IF(I46="C1",IF(BZ46=1,"minutes (local clock)","minutes"),"calendar days"))</f>
        <v>minutes</v>
      </c>
      <c r="Y46" s="21" t="str">
        <f t="shared" ref="Y46:Y76" si="46">IF(AQ46=1,"",IF(CN46=1,"C7 ("&amp;I46&amp;")",IF(AND(I46="C2",J46="inclusive"),"C2+C3",I46)))</f>
        <v>C1</v>
      </c>
      <c r="Z46" s="21" t="str">
        <f t="shared" ref="Z46:Z76" si="47">IF(OR(AQ46=1,BX46&lt;&gt;""),"",IF(I46="C1",IF(CA46&gt;0,"AFTER",IF(CA46&lt;0,"BEFORE","SIMULTANEOUS")),IF(I46="C2",IF(CB46&gt;0,"AFTER",IF(CB46&lt;0,"BEFORE",IF(CA46&lt;&gt;"",IF(CA46&gt;0,"AFTER",IF(CA46&lt;0,"BEFORE","SIMULTANEOUS")),"SAME_DATE_ORDER_UNKNOWN"))),IF(CC46&gt;0,"AFTER",IF(CD46&lt;0,"BEFORE",IF(AND(CC46=0,CD46=0),"SAME_DATE_ORDER_UNKNOWN","SEQUENCE_UNCERTAIN"))))))</f>
        <v>AFTER</v>
      </c>
      <c r="AA46" s="21" t="str">
        <f t="shared" ref="AA46:AA76" si="48">IF(AND(BX46="",I46="C2",J46="inclusive"),IF(CB46&gt;=0,CB46+1,""),"")</f>
        <v/>
      </c>
      <c r="AB46" s="21" t="str">
        <f t="shared" ref="AB46:AB76" si="49">IF(AQ46=1,"",IF(BX46&lt;&gt;"",BX46&amp;IF(CQ46="I_APPROXIMATE_NOT_COMPARED","; I_APPROXIMATE_NOT_COMPARED",""),MID(IF(CI46=1,"; W_TZ_UNKNOWN","")&amp;IF(CJ46=1,"; W_SAME_DATE_ORDER_UNKNOWN","")&amp;IF(CK46=1,"; W_SEQUENCE_UNCERTAIN","")&amp;IF(CL46=1,"; W_ADMIN_SAME_DATE_AS_ONSET","")&amp;IF(CO46=1,"; W_INTERVENTION_BEFORE_RECOVERY","")&amp;IF(OR(CQ46="",CQ46="OVERLAP"),"","; "&amp;CQ46)&amp;IF(CM46=1,"; I_TREATMENT_DAY_UNDEFINED","")&amp;IF(CH46&lt;&gt;"","; "&amp;CH46&amp;" (constraint)",""),3,999)))</f>
        <v/>
      </c>
      <c r="AC46" s="21" t="str">
        <f>IF(AQ46=1,"",MID(IF(BX46&lt;&gt;""," | "&amp;BX46&amp;": "&amp;SUBSTITUTE(IFERROR(INDEX(nMSG_Text,MATCH(BX46,nMSG_Code,0)),""),"[input]",BY46),"")&amp;IF(CI46=1," | W_TZ_UNKNOWN: "&amp;SUBSTITUTE(IFERROR(INDEX(nMSG_Text,MATCH("W_TZ_UNKNOWN",nMSG_Code,0)),""),"[input]",""),"")&amp;IF(CJ46=1," | W_SAME_DATE_ORDER_UNKNOWN: "&amp;SUBSTITUTE(IFERROR(INDEX(nMSG_Text,MATCH("W_SAME_DATE_ORDER_UNKNOWN",nMSG_Code,0)),""),"[input]",""),"")&amp;IF(CK46=1," | W_SEQUENCE_UNCERTAIN: "&amp;SUBSTITUTE(IFERROR(INDEX(nMSG_Text,MATCH("W_SEQUENCE_UNCERTAIN",nMSG_Code,0)),""),"[input]",""),"")&amp;IF(CL46=1," | W_ADMIN_SAME_DATE_AS_ONSET: "&amp;SUBSTITUTE(IFERROR(INDEX(nMSG_Text,MATCH("W_ADMIN_SAME_DATE_AS_ONSET",nMSG_Code,0)),""),"[input]",""),"")&amp;IF(CO46=1," | W_INTERVENTION_BEFORE_RECOVERY: "&amp;SUBSTITUTE(IFERROR(INDEX(nMSG_Text,MATCH("W_INTERVENTION_BEFORE_RECOVERY",nMSG_Code,0)),""),"[input]",""),"")&amp;IF(OR(CQ46="",CQ46="OVERLAP"),""," | "&amp;CQ46&amp;" (reported timing): "&amp;SUBSTITUTE(IFERROR(INDEX(nMSG_Text,MATCH(CQ46,nMSG_Code,0)),""),"[input]","numeric reported bounds and a reported unit"))&amp;IF(CM46=1," | I_TREATMENT_DAY_UNDEFINED: "&amp;SUBSTITUTE(IFERROR(INDEX(nMSG_Text,MATCH("I_TREATMENT_DAY_UNDEFINED",nMSG_Code,0)),""),"[input]",""),"")&amp;IF(CH46&lt;&gt;""," | "&amp;CH46&amp;" (constraint): "&amp;SUBSTITUTE(IFERROR(INDEX(nMSG_Text,MATCH(CH46,nMSG_Code,0)),""),"[input]","a source for the constraint"),""),4,9999))</f>
        <v/>
      </c>
      <c r="AD46" s="21" t="str">
        <f t="shared" ref="AD46:AD76" si="50">IF(OR(CF46="",CH46&lt;&gt;""),"",BE46-CG46)</f>
        <v/>
      </c>
      <c r="AE46" s="21" t="str">
        <f t="shared" ref="AE46:AE76" si="51">IF(OR(CF46="",CH46&lt;&gt;""),"",BF46-CF46)</f>
        <v/>
      </c>
      <c r="AF46" s="21" t="str">
        <f t="shared" ref="AF46:AF76" si="52">IF(CQ46="","",IF(CQ46="OVERLAP","Overlaps the computed interval. ",IF(CQ46="W_REPORTED_TIMING_CONFLICT","Conflicts with the computed interval; both kept. ",IF(CQ46="I_APPROXIMATE_NOT_COMPARED","Not compared. ",CQ46&amp;": not compared. ")))&amp;"Reported: "&amp;CHAR(34)&amp;K46&amp;CHAR(34)&amp;IF(AND(ISNUMBER(L46),ISNUMBER(M46))," ["&amp;L46&amp;" to "&amp;M46&amp;" "&amp;N46&amp;"]",""))</f>
        <v/>
      </c>
      <c r="AG46" s="21" t="str">
        <f t="shared" ref="AG46:AG76" si="53">IF(E46="LAST_DOSE_BEFORE_ONSET",BI46,G46&amp;"")</f>
        <v>EX-A/START</v>
      </c>
      <c r="AH46" s="21" t="str">
        <f>IF(BJ46=0,"",INDEX(nTP_ISO,BJ46))</f>
        <v>2026-01-10T09:00-05:00</v>
      </c>
      <c r="AI46" s="21" t="str">
        <f>IF(BJ46=0,"",INDEX(nTP_Display,BJ46))</f>
        <v>10 January 2026 09:00 (UTC-05:00)</v>
      </c>
      <c r="AJ46" s="21" t="str">
        <f>IF(AV46=0,"",INDEX(nTP_ISO,AV46))</f>
        <v>2026-01-10T09:15-05:00</v>
      </c>
      <c r="AK46" s="21" t="str">
        <f>IF(AV46=0,"",INDEX(nTP_Display,AV46))</f>
        <v>10 January 2026 09:15 (UTC-05:00)</v>
      </c>
      <c r="AL46" s="21" t="str">
        <f>IF(AU46=0,"",INDEX(nLNK_Exposure_Episode_ID,AU46)&amp;"")</f>
        <v>EX-A</v>
      </c>
      <c r="AM46" s="21" t="str">
        <f>IF(AU46=0,"",INDEX(nLNK_Event_Episode_ID,AU46)&amp;"")</f>
        <v>EV-1</v>
      </c>
      <c r="AN46" s="21" t="str">
        <f t="shared" ref="AN46:AN76" si="54">IF(OR(AQ46=1,BX46&lt;&gt;""),"",IF(I46="C1",IF(BZ46=1,"Local clock times subtracted; the UTC offset of at least one time is unknown.","Both times converted to UTC with the recorded offsets."),IF(I46="C2","Calendar-date difference of the recorded local dates; not elapsed days."&amp;IF(J46="inclusive"," Treatment day uses the inclusive convention selected by the user; never written to E2B fields automatically.",""),"Bounded interval: minimum = end-point lower bound minus anchor upper bound; maximum = end-point upper bound minus anchor lower bound. No single date is imputed."))&amp;IF(E46="LAST_DOSE_BEFORE_ONSET"," Anchor selected by C5: latest administration at or before the end point ("&amp;AG46&amp;").",""))</f>
        <v>Both times converted to UTC with the recorded offsets.</v>
      </c>
      <c r="AO46" s="21" t="str">
        <f t="shared" ref="AO46:AO76" si="55">IF(AND(AQ46=0,CN46=1,BX46="",BU46=0),"No intervention is recorded between cessation and recovery. The absence of a record is not evidence that none was given; CALC-SPEC 1.0 has no code for interventions unknown.","")</f>
        <v/>
      </c>
      <c r="AP46" s="21" t="str">
        <f t="shared" ref="AP46:AP76" si="56">IF(AQ46=1,"","CALC-SPEC 1.0")</f>
        <v>CALC-SPEC 1.0</v>
      </c>
      <c r="AQ46" s="22">
        <f t="shared" ref="AQ46:AQ76" si="57">IF(AND(A46="",D46="",E46="",H46=""),1,0)</f>
        <v>0</v>
      </c>
      <c r="AR46" s="21" t="str">
        <f t="shared" ref="AR46:AR76" si="58">B46&amp;"|"&amp;C46</f>
        <v>EX-C01|2</v>
      </c>
      <c r="AS46" s="21" t="str">
        <f t="shared" ref="AS46:AS76" si="59">IF(A46="","",AR46&amp;"|"&amp;A46)</f>
        <v>EX-C01|2|I01</v>
      </c>
      <c r="AT46" s="22">
        <f>IF(AS46="",0,COUNTIF(nINT_Key,AS46))</f>
        <v>1</v>
      </c>
      <c r="AU46" s="22">
        <f>IF(D46="",0,IFERROR(MATCH(AR46&amp;"|"&amp;D46,nLNK_Key,0),0))</f>
        <v>22</v>
      </c>
      <c r="AV46" s="22">
        <f>IF(OR(AQ46=1,H46=""),0,IFERROR(MATCH(AR46&amp;"|"&amp;H46,nTP_Key,0),0))</f>
        <v>280</v>
      </c>
      <c r="AW46" s="21">
        <f>IF(AV46=0,0,INDEX(nTP_Dup,AV46))</f>
        <v>1</v>
      </c>
      <c r="AX46" s="21" t="str">
        <f>IF(AV46=0,"",INDEX(nTP_Record_Type,AV46))</f>
        <v>EVENT_ONSET</v>
      </c>
      <c r="AY46" s="21" t="str">
        <f>IF(AV46=0,"",INDEX(nTP_Precision,AV46))</f>
        <v>TIMESTAMP</v>
      </c>
      <c r="AZ46" s="21" t="str">
        <f>IF(AV46=0,"",INDEX(nTP_Err,AV46))</f>
        <v/>
      </c>
      <c r="BA46" s="21">
        <f>IF(AV46=0,0,INDEX(nTP_HT,AV46))</f>
        <v>1</v>
      </c>
      <c r="BB46" s="21">
        <f>IF(AV46=0,0,INDEX(nTP_OK,AV46))</f>
        <v>1</v>
      </c>
      <c r="BC46" s="21">
        <f>IF(AV46=0,"",INDEX(nTP_Loc,AV46))</f>
        <v>66286635</v>
      </c>
      <c r="BD46" s="21">
        <f>IF(AV46=0,"",INDEX(nTP_UTC,AV46))</f>
        <v>66286935</v>
      </c>
      <c r="BE46" s="21">
        <f>IF(AV46=0,"",INDEX(nTP_Lo,AV46))</f>
        <v>46032</v>
      </c>
      <c r="BF46" s="21">
        <f>IF(AV46=0,"",INDEX(nTP_Hi,AV46))</f>
        <v>46032</v>
      </c>
      <c r="BG46" s="22">
        <f>IF(OR(AQ46=1,E46&lt;&gt;"LAST_DOSE_BEFORE_ONSET",AU46=0,AV46=0),0,IF(AZ46&lt;&gt;"",0,SUMPRODUCT(MAX((nADM_SelKey=AR46&amp;"|"&amp;AL46)*nADM_Valid*(nADM_A_HT*BA46*nADM_A_OK*BB46*(nADM_UTC_n&lt;=N(BD46))+nADM_A_HT*BA46*(1-nADM_A_OK*BB46)*(nADM_Loc_n&lt;=N(BC46))+(1-nADM_A_HT*BA46)*(nADM_Lo_n&lt;=N(BE46)))*nADM_Sort_n))))</f>
        <v>0</v>
      </c>
      <c r="BH46" s="22">
        <f>IF(BG46=0,0,MATCH(1,INDEX((nADM_SelKey=AR46&amp;"|"&amp;AL46)*nADM_Valid*(nADM_A_HT*BA46*nADM_A_OK*BB46*(nADM_UTC_n&lt;=N(BD46))+nADM_A_HT*BA46*(1-nADM_A_OK*BB46)*(nADM_Loc_n&lt;=N(BC46))+(1-nADM_A_HT*BA46)*(nADM_Lo_n&lt;=N(BE46)))*(nADM_Sort_n=BG46),0),0))</f>
        <v>0</v>
      </c>
      <c r="BI46" s="21" t="str">
        <f>IF(BH46=0,"",INDEX(nADM_Admin_ID,BH46)&amp;"")</f>
        <v/>
      </c>
      <c r="BJ46" s="22">
        <f>IF(OR(AQ46=1,AG46=""),0,IFERROR(MATCH(AR46&amp;"|"&amp;AG46,nTP_Key,0),0))</f>
        <v>32</v>
      </c>
      <c r="BK46" s="21">
        <f>IF(BJ46=0,0,INDEX(nTP_Dup,BJ46))</f>
        <v>1</v>
      </c>
      <c r="BL46" s="21" t="str">
        <f>IF(BJ46=0,"",INDEX(nTP_Record_Type,BJ46))</f>
        <v>EXPOSURE_START</v>
      </c>
      <c r="BM46" s="21" t="str">
        <f>IF(BJ46=0,"",INDEX(nTP_Precision,BJ46))</f>
        <v>TIMESTAMP</v>
      </c>
      <c r="BN46" s="21" t="str">
        <f>IF(BJ46=0,"",INDEX(nTP_Err,BJ46))</f>
        <v/>
      </c>
      <c r="BO46" s="21">
        <f>IF(BJ46=0,0,INDEX(nTP_HT,BJ46))</f>
        <v>1</v>
      </c>
      <c r="BP46" s="21">
        <f>IF(BJ46=0,0,INDEX(nTP_OK,BJ46))</f>
        <v>1</v>
      </c>
      <c r="BQ46" s="21">
        <f>IF(BJ46=0,"",INDEX(nTP_Loc,BJ46))</f>
        <v>66286620</v>
      </c>
      <c r="BR46" s="21">
        <f>IF(BJ46=0,"",INDEX(nTP_UTC,BJ46))</f>
        <v>66286920</v>
      </c>
      <c r="BS46" s="21">
        <f>IF(BJ46=0,"",INDEX(nTP_Lo,BJ46))</f>
        <v>46032</v>
      </c>
      <c r="BT46" s="21">
        <f>IF(BJ46=0,"",INDEX(nTP_Hi,BJ46))</f>
        <v>46032</v>
      </c>
      <c r="BU46" s="22">
        <f>IF(OR(BJ46=0,AV46=0),0,SUMPRODUCT((nTP_Case_Key=AR46)*(nTP_Record_Type="MILESTONE:INTERVENTION")*(nTP_Err="")*(nTP_HT*BO46*BA46*(nTP_Loc_n&gt;=N(BQ46))*(nTP_Loc_n&lt;=N(BC46))+(1-nTP_HT*BO46*BA46)*(nTP_Lo_n&gt;=N(BS46))*(nTP_Hi_n&lt;=N(BF46))*(nTP_Lo_n&gt;0))))</f>
        <v>0</v>
      </c>
      <c r="BV46" s="21" t="str">
        <f t="shared" ref="BV46:BV76" si="60">IF(AQ46=1,"",IF(A46="","E_MISSING_INPUT",IF(AT46&gt;1,"E_DUPLICATE_ID",IF(AU46=0,"E_MISSING_LINK",IF(OR(E46="",AND(E46="OTHER",F46="")),"E_MISSING_INPUT",IF(AV46=0,"E_MISSING_INPUT",IF(BJ46=0,"E_MISSING_INPUT",IF(OR(BK46&gt;1,AW46&gt;1),"E_DUPLICATE_ID",""))))))))</f>
        <v/>
      </c>
      <c r="BW46" s="21" t="str">
        <f t="shared" ref="BW46:BW76" si="61">IF(BV46&lt;&gt;"E_MISSING_INPUT","",IF(A46="","an Interval_ID",IF(E46="","an Anchor_Type",IF(AND(E46="OTHER",F46=""),"a description of the OTHER anchor",IF(AV46=0,"the end-point record "&amp;IF(H46="","(End_Record_ID is blank)",H46),IF(E46="LAST_DOSE_BEFORE_ONSET","an administration of exposure episode "&amp;AL46&amp;" dated at or before the end point (C5)","the anchor record "&amp;IF(G46="","(Anchor_Record_ID is blank)",G46)))))))</f>
        <v/>
      </c>
      <c r="BX46" s="21" t="str">
        <f t="shared" ref="BX46:BX76" si="62">IF(AQ46=1,"",IF(BV46&lt;&gt;"",BV46,IF(BN46&lt;&gt;"",BN46,IF(AZ46&lt;&gt;"",AZ46,IF(AND(I46&lt;&gt;"C1",I46&lt;&gt;"C2",I46&lt;&gt;"C4"),"E_MISSING_INPUT",IF(OR(BS46="",BE46=""),"E_MISSING_INPUT",IF(AND(I46="C1",BO46*BA46=0),"E_MISSING_INPUT",IF(AND(I46="C2",OR(AND(BM46&lt;&gt;"TIMESTAMP",BM46&lt;&gt;"DATE"),AND(AY46&lt;&gt;"TIMESTAMP",AY46&lt;&gt;"DATE"))),"E_MISSING_INPUT",""))))))))</f>
        <v/>
      </c>
      <c r="BY46" s="21" t="str">
        <f t="shared" ref="BY46:BY76" si="63">IF(BX46&lt;&gt;"E_MISSING_INPUT","",IF(BV46="E_MISSING_INPUT",BW46,IF(BN46="E_MISSING_INPUT","the date fields required by the precision of anchor record "&amp;AG46,IF(AZ46="E_MISSING_INPUT","the date fields required by the precision of end-point record "&amp;H46,IF(AND(I46&lt;&gt;"C1",I46&lt;&gt;"C2",I46&lt;&gt;"C4"),"a calculation mode (C1, C2 or C4)",IF(OR(BS46="",BE46=""),"dated anchor and end-point records",IF(I46="C1","a time of day and UTC offset (or unknown) on both records; C1 needs two timestamps, so use C2 or C4 for dates","an exact date on both records; use C4 for partial dates and ranges")))))))</f>
        <v/>
      </c>
      <c r="BZ46" s="22">
        <f t="shared" ref="BZ46:BZ76" si="64">IF(BP46*BB46=1,0,1)</f>
        <v>0</v>
      </c>
      <c r="CA46" s="21">
        <f t="shared" ref="CA46:CA76" si="65">IF(AND(BX46="",BO46*BA46=1),IF(BZ46=0,BD46-BR46,BC46-BQ46),"")</f>
        <v>15</v>
      </c>
      <c r="CB46" s="21" t="str">
        <f t="shared" ref="CB46:CB76" si="66">IF(AND(BX46="",I46="C2"),BE46-BS46,"")</f>
        <v/>
      </c>
      <c r="CC46" s="21" t="str">
        <f t="shared" ref="CC46:CC76" si="67">IF(AND(BX46="",I46="C4"),BE46-BT46,"")</f>
        <v/>
      </c>
      <c r="CD46" s="21" t="str">
        <f t="shared" ref="CD46:CD76" si="68">IF(AND(BX46="",I46="C4"),BF46-BS46,"")</f>
        <v/>
      </c>
      <c r="CE46" s="22">
        <f t="shared" ref="CE46:CE76" si="69">IF(AND(I46="C4",OR(ISNUMBER(P46),ISNUMBER(Q46))),1,0)</f>
        <v>0</v>
      </c>
      <c r="CF46" s="28" t="str">
        <f t="shared" ref="CF46:CF76" si="70">IF(OR(BX46&lt;&gt;"",CE46=0),"",IF(ISNUMBER(P46),MAX(BS46,P46),BS46))</f>
        <v/>
      </c>
      <c r="CG46" s="28" t="str">
        <f t="shared" ref="CG46:CG76" si="71">IF(OR(BX46&lt;&gt;"",CE46=0),"",IF(ISNUMBER(Q46),MIN(BT46,Q46),BT46))</f>
        <v/>
      </c>
      <c r="CH46" s="21" t="str">
        <f t="shared" ref="CH46:CH76" si="72">IF(CF46="","",IF(CF46&gt;CG46,"E_REVERSED_BOUNDS",IF(R46="","E_MISSING_INPUT","")))</f>
        <v/>
      </c>
      <c r="CI46" s="22">
        <f t="shared" ref="CI46:CI76" si="73">IF(AND(BX46="",BZ46=1,CA46&lt;&gt;"",OR(I46="C1",AND(I46="C2",CB46=0))),1,0)</f>
        <v>0</v>
      </c>
      <c r="CJ46" s="22">
        <f t="shared" ref="CJ46:CJ76" si="74">IF(AND(BX46="",OR(AND(I46="C2",CB46=0,CA46=""),AND(I46="C4",CC46=0,CD46=0))),1,0)</f>
        <v>0</v>
      </c>
      <c r="CK46" s="22">
        <f t="shared" ref="CK46:CK76" si="75">IF(Z46="SEQUENCE_UNCERTAIN",1,0)</f>
        <v>0</v>
      </c>
      <c r="CL46" s="22">
        <f t="shared" ref="CL46:CL76" si="76">IF(AND(BX46="",E46="LAST_DOSE_BEFORE_ONSET",BO46*BA46=0,BS46=BE46),1,0)</f>
        <v>0</v>
      </c>
      <c r="CM46" s="22">
        <f t="shared" ref="CM46:CM76" si="77">IF(AND(BX46="",I46="C2",J46="inclusive",CB46&lt;0),1,0)</f>
        <v>0</v>
      </c>
      <c r="CN46" s="22">
        <f t="shared" ref="CN46:CN76" si="78">IF(AND(E46="CESSATION",AX46="MILESTONE:RECOVERY"),1,0)</f>
        <v>0</v>
      </c>
      <c r="CO46" s="22">
        <f t="shared" ref="CO46:CO76" si="79">IF(AND(BX46="",CN46=1,BU46&gt;0),1,0)</f>
        <v>0</v>
      </c>
      <c r="CP46" s="22">
        <f t="shared" ref="CP46:CP76" si="80">IF(I46="C1",IF(N46="minutes",1,IF(N46="hours",60,IF(N46="days",1440,0))),IF(OR(I46="C2",I46="C4"),IF(N46="calendar days",1,0),0))</f>
        <v>0</v>
      </c>
      <c r="CQ46" s="21" t="str">
        <f t="shared" ref="CQ46:CQ76" si="81">IF(COUNTA(K46:N46)=0,"",IF(OR(L46="",M46=""),"I_APPROXIMATE_NOT_COMPARED",IF(OR(NOT(ISNUMBER(L46)),NOT(ISNUMBER(M46))),"E_MISSING_INPUT",IF(L46&gt;M46,"E_REVERSED_BOUNDS",IF(OR(N46="weeks",N46="months",N46="years"),"I_APPROXIMATE_NOT_COMPARED",IF(N46="","E_MISSING_INPUT",IF(BX46&lt;&gt;"","",IF(CP46=0,"I_APPROXIMATE_NOT_COMPARED",IF(AND(L46*CP46&lt;=IF(I46="C4",CD46,U46),M46*CP46&gt;=IF(I46="C4",CC46,U46)),"OVERLAP","W_REPORTED_TIMING_CONFLICT")))))))))</f>
        <v/>
      </c>
    </row>
    <row r="47" spans="1:95" x14ac:dyDescent="0.2">
      <c r="A47" s="9" t="s">
        <v>953</v>
      </c>
      <c r="B47" s="9" t="s">
        <v>291</v>
      </c>
      <c r="C47" s="11">
        <v>2</v>
      </c>
      <c r="D47" s="9" t="s">
        <v>801</v>
      </c>
      <c r="E47" s="16" t="s">
        <v>49</v>
      </c>
      <c r="F47" s="9"/>
      <c r="G47" s="9" t="s">
        <v>950</v>
      </c>
      <c r="H47" s="9" t="s">
        <v>952</v>
      </c>
      <c r="I47" s="16" t="s">
        <v>58</v>
      </c>
      <c r="J47" s="16" t="s">
        <v>61</v>
      </c>
      <c r="K47" s="9"/>
      <c r="L47" s="16"/>
      <c r="M47" s="16"/>
      <c r="N47" s="16"/>
      <c r="O47" s="9"/>
      <c r="P47" s="14"/>
      <c r="Q47" s="14"/>
      <c r="R47" s="9"/>
      <c r="S47" s="9" t="s">
        <v>954</v>
      </c>
      <c r="T47" s="21" t="str">
        <f t="shared" si="41"/>
        <v>0 calendar days (order within the day from C1: AFTER); treatment Day 1</v>
      </c>
      <c r="U47" s="21">
        <f t="shared" si="42"/>
        <v>0</v>
      </c>
      <c r="V47" s="21" t="str">
        <f t="shared" si="43"/>
        <v/>
      </c>
      <c r="W47" s="21" t="str">
        <f t="shared" si="44"/>
        <v/>
      </c>
      <c r="X47" s="21" t="str">
        <f t="shared" si="45"/>
        <v>calendar days</v>
      </c>
      <c r="Y47" s="21" t="str">
        <f t="shared" si="46"/>
        <v>C2+C3</v>
      </c>
      <c r="Z47" s="21" t="str">
        <f t="shared" si="47"/>
        <v>AFTER</v>
      </c>
      <c r="AA47" s="21">
        <f t="shared" si="48"/>
        <v>1</v>
      </c>
      <c r="AB47" s="21" t="str">
        <f t="shared" si="49"/>
        <v/>
      </c>
      <c r="AC47" s="21" t="str">
        <f>IF(AQ47=1,"",MID(IF(BX47&lt;&gt;""," | "&amp;BX47&amp;": "&amp;SUBSTITUTE(IFERROR(INDEX(nMSG_Text,MATCH(BX47,nMSG_Code,0)),""),"[input]",BY47),"")&amp;IF(CI47=1," | W_TZ_UNKNOWN: "&amp;SUBSTITUTE(IFERROR(INDEX(nMSG_Text,MATCH("W_TZ_UNKNOWN",nMSG_Code,0)),""),"[input]",""),"")&amp;IF(CJ47=1," | W_SAME_DATE_ORDER_UNKNOWN: "&amp;SUBSTITUTE(IFERROR(INDEX(nMSG_Text,MATCH("W_SAME_DATE_ORDER_UNKNOWN",nMSG_Code,0)),""),"[input]",""),"")&amp;IF(CK47=1," | W_SEQUENCE_UNCERTAIN: "&amp;SUBSTITUTE(IFERROR(INDEX(nMSG_Text,MATCH("W_SEQUENCE_UNCERTAIN",nMSG_Code,0)),""),"[input]",""),"")&amp;IF(CL47=1," | W_ADMIN_SAME_DATE_AS_ONSET: "&amp;SUBSTITUTE(IFERROR(INDEX(nMSG_Text,MATCH("W_ADMIN_SAME_DATE_AS_ONSET",nMSG_Code,0)),""),"[input]",""),"")&amp;IF(CO47=1," | W_INTERVENTION_BEFORE_RECOVERY: "&amp;SUBSTITUTE(IFERROR(INDEX(nMSG_Text,MATCH("W_INTERVENTION_BEFORE_RECOVERY",nMSG_Code,0)),""),"[input]",""),"")&amp;IF(OR(CQ47="",CQ47="OVERLAP"),""," | "&amp;CQ47&amp;" (reported timing): "&amp;SUBSTITUTE(IFERROR(INDEX(nMSG_Text,MATCH(CQ47,nMSG_Code,0)),""),"[input]","numeric reported bounds and a reported unit"))&amp;IF(CM47=1," | I_TREATMENT_DAY_UNDEFINED: "&amp;SUBSTITUTE(IFERROR(INDEX(nMSG_Text,MATCH("I_TREATMENT_DAY_UNDEFINED",nMSG_Code,0)),""),"[input]",""),"")&amp;IF(CH47&lt;&gt;""," | "&amp;CH47&amp;" (constraint): "&amp;SUBSTITUTE(IFERROR(INDEX(nMSG_Text,MATCH(CH47,nMSG_Code,0)),""),"[input]","a source for the constraint"),""),4,9999))</f>
        <v/>
      </c>
      <c r="AD47" s="21" t="str">
        <f t="shared" si="50"/>
        <v/>
      </c>
      <c r="AE47" s="21" t="str">
        <f t="shared" si="51"/>
        <v/>
      </c>
      <c r="AF47" s="21" t="str">
        <f t="shared" si="52"/>
        <v/>
      </c>
      <c r="AG47" s="21" t="str">
        <f t="shared" si="53"/>
        <v>EX-A/START</v>
      </c>
      <c r="AH47" s="21" t="str">
        <f>IF(BJ47=0,"",INDEX(nTP_ISO,BJ47))</f>
        <v>2026-01-10T09:00-05:00</v>
      </c>
      <c r="AI47" s="21" t="str">
        <f>IF(BJ47=0,"",INDEX(nTP_Display,BJ47))</f>
        <v>10 January 2026 09:00 (UTC-05:00)</v>
      </c>
      <c r="AJ47" s="21" t="str">
        <f>IF(AV47=0,"",INDEX(nTP_ISO,AV47))</f>
        <v>2026-01-10T09:15-05:00</v>
      </c>
      <c r="AK47" s="21" t="str">
        <f>IF(AV47=0,"",INDEX(nTP_Display,AV47))</f>
        <v>10 January 2026 09:15 (UTC-05:00)</v>
      </c>
      <c r="AL47" s="21" t="str">
        <f>IF(AU47=0,"",INDEX(nLNK_Exposure_Episode_ID,AU47)&amp;"")</f>
        <v>EX-A</v>
      </c>
      <c r="AM47" s="21" t="str">
        <f>IF(AU47=0,"",INDEX(nLNK_Event_Episode_ID,AU47)&amp;"")</f>
        <v>EV-1</v>
      </c>
      <c r="AN47" s="21" t="str">
        <f t="shared" si="54"/>
        <v>Calendar-date difference of the recorded local dates; not elapsed days. Treatment day uses the inclusive convention selected by the user; never written to E2B fields automatically.</v>
      </c>
      <c r="AO47" s="21" t="str">
        <f t="shared" si="55"/>
        <v/>
      </c>
      <c r="AP47" s="21" t="str">
        <f t="shared" si="56"/>
        <v>CALC-SPEC 1.0</v>
      </c>
      <c r="AQ47" s="22">
        <f t="shared" si="57"/>
        <v>0</v>
      </c>
      <c r="AR47" s="21" t="str">
        <f t="shared" si="58"/>
        <v>EX-C01|2</v>
      </c>
      <c r="AS47" s="21" t="str">
        <f t="shared" si="59"/>
        <v>EX-C01|2|I02</v>
      </c>
      <c r="AT47" s="22">
        <f>IF(AS47="",0,COUNTIF(nINT_Key,AS47))</f>
        <v>1</v>
      </c>
      <c r="AU47" s="22">
        <f>IF(D47="",0,IFERROR(MATCH(AR47&amp;"|"&amp;D47,nLNK_Key,0),0))</f>
        <v>22</v>
      </c>
      <c r="AV47" s="22">
        <f>IF(OR(AQ47=1,H47=""),0,IFERROR(MATCH(AR47&amp;"|"&amp;H47,nTP_Key,0),0))</f>
        <v>280</v>
      </c>
      <c r="AW47" s="21">
        <f>IF(AV47=0,0,INDEX(nTP_Dup,AV47))</f>
        <v>1</v>
      </c>
      <c r="AX47" s="21" t="str">
        <f>IF(AV47=0,"",INDEX(nTP_Record_Type,AV47))</f>
        <v>EVENT_ONSET</v>
      </c>
      <c r="AY47" s="21" t="str">
        <f>IF(AV47=0,"",INDEX(nTP_Precision,AV47))</f>
        <v>TIMESTAMP</v>
      </c>
      <c r="AZ47" s="21" t="str">
        <f>IF(AV47=0,"",INDEX(nTP_Err,AV47))</f>
        <v/>
      </c>
      <c r="BA47" s="21">
        <f>IF(AV47=0,0,INDEX(nTP_HT,AV47))</f>
        <v>1</v>
      </c>
      <c r="BB47" s="21">
        <f>IF(AV47=0,0,INDEX(nTP_OK,AV47))</f>
        <v>1</v>
      </c>
      <c r="BC47" s="21">
        <f>IF(AV47=0,"",INDEX(nTP_Loc,AV47))</f>
        <v>66286635</v>
      </c>
      <c r="BD47" s="21">
        <f>IF(AV47=0,"",INDEX(nTP_UTC,AV47))</f>
        <v>66286935</v>
      </c>
      <c r="BE47" s="21">
        <f>IF(AV47=0,"",INDEX(nTP_Lo,AV47))</f>
        <v>46032</v>
      </c>
      <c r="BF47" s="21">
        <f>IF(AV47=0,"",INDEX(nTP_Hi,AV47))</f>
        <v>46032</v>
      </c>
      <c r="BG47" s="22">
        <f>IF(OR(AQ47=1,E47&lt;&gt;"LAST_DOSE_BEFORE_ONSET",AU47=0,AV47=0),0,IF(AZ47&lt;&gt;"",0,SUMPRODUCT(MAX((nADM_SelKey=AR47&amp;"|"&amp;AL47)*nADM_Valid*(nADM_A_HT*BA47*nADM_A_OK*BB47*(nADM_UTC_n&lt;=N(BD47))+nADM_A_HT*BA47*(1-nADM_A_OK*BB47)*(nADM_Loc_n&lt;=N(BC47))+(1-nADM_A_HT*BA47)*(nADM_Lo_n&lt;=N(BE47)))*nADM_Sort_n))))</f>
        <v>0</v>
      </c>
      <c r="BH47" s="22">
        <f>IF(BG47=0,0,MATCH(1,INDEX((nADM_SelKey=AR47&amp;"|"&amp;AL47)*nADM_Valid*(nADM_A_HT*BA47*nADM_A_OK*BB47*(nADM_UTC_n&lt;=N(BD47))+nADM_A_HT*BA47*(1-nADM_A_OK*BB47)*(nADM_Loc_n&lt;=N(BC47))+(1-nADM_A_HT*BA47)*(nADM_Lo_n&lt;=N(BE47)))*(nADM_Sort_n=BG47),0),0))</f>
        <v>0</v>
      </c>
      <c r="BI47" s="21" t="str">
        <f>IF(BH47=0,"",INDEX(nADM_Admin_ID,BH47)&amp;"")</f>
        <v/>
      </c>
      <c r="BJ47" s="22">
        <f>IF(OR(AQ47=1,AG47=""),0,IFERROR(MATCH(AR47&amp;"|"&amp;AG47,nTP_Key,0),0))</f>
        <v>32</v>
      </c>
      <c r="BK47" s="21">
        <f>IF(BJ47=0,0,INDEX(nTP_Dup,BJ47))</f>
        <v>1</v>
      </c>
      <c r="BL47" s="21" t="str">
        <f>IF(BJ47=0,"",INDEX(nTP_Record_Type,BJ47))</f>
        <v>EXPOSURE_START</v>
      </c>
      <c r="BM47" s="21" t="str">
        <f>IF(BJ47=0,"",INDEX(nTP_Precision,BJ47))</f>
        <v>TIMESTAMP</v>
      </c>
      <c r="BN47" s="21" t="str">
        <f>IF(BJ47=0,"",INDEX(nTP_Err,BJ47))</f>
        <v/>
      </c>
      <c r="BO47" s="21">
        <f>IF(BJ47=0,0,INDEX(nTP_HT,BJ47))</f>
        <v>1</v>
      </c>
      <c r="BP47" s="21">
        <f>IF(BJ47=0,0,INDEX(nTP_OK,BJ47))</f>
        <v>1</v>
      </c>
      <c r="BQ47" s="21">
        <f>IF(BJ47=0,"",INDEX(nTP_Loc,BJ47))</f>
        <v>66286620</v>
      </c>
      <c r="BR47" s="21">
        <f>IF(BJ47=0,"",INDEX(nTP_UTC,BJ47))</f>
        <v>66286920</v>
      </c>
      <c r="BS47" s="21">
        <f>IF(BJ47=0,"",INDEX(nTP_Lo,BJ47))</f>
        <v>46032</v>
      </c>
      <c r="BT47" s="21">
        <f>IF(BJ47=0,"",INDEX(nTP_Hi,BJ47))</f>
        <v>46032</v>
      </c>
      <c r="BU47" s="22">
        <f>IF(OR(BJ47=0,AV47=0),0,SUMPRODUCT((nTP_Case_Key=AR47)*(nTP_Record_Type="MILESTONE:INTERVENTION")*(nTP_Err="")*(nTP_HT*BO47*BA47*(nTP_Loc_n&gt;=N(BQ47))*(nTP_Loc_n&lt;=N(BC47))+(1-nTP_HT*BO47*BA47)*(nTP_Lo_n&gt;=N(BS47))*(nTP_Hi_n&lt;=N(BF47))*(nTP_Lo_n&gt;0))))</f>
        <v>0</v>
      </c>
      <c r="BV47" s="21" t="str">
        <f t="shared" si="60"/>
        <v/>
      </c>
      <c r="BW47" s="21" t="str">
        <f t="shared" si="61"/>
        <v/>
      </c>
      <c r="BX47" s="21" t="str">
        <f t="shared" si="62"/>
        <v/>
      </c>
      <c r="BY47" s="21" t="str">
        <f t="shared" si="63"/>
        <v/>
      </c>
      <c r="BZ47" s="22">
        <f t="shared" si="64"/>
        <v>0</v>
      </c>
      <c r="CA47" s="21">
        <f t="shared" si="65"/>
        <v>15</v>
      </c>
      <c r="CB47" s="21">
        <f t="shared" si="66"/>
        <v>0</v>
      </c>
      <c r="CC47" s="21" t="str">
        <f t="shared" si="67"/>
        <v/>
      </c>
      <c r="CD47" s="21" t="str">
        <f t="shared" si="68"/>
        <v/>
      </c>
      <c r="CE47" s="22">
        <f t="shared" si="69"/>
        <v>0</v>
      </c>
      <c r="CF47" s="28" t="str">
        <f t="shared" si="70"/>
        <v/>
      </c>
      <c r="CG47" s="28" t="str">
        <f t="shared" si="71"/>
        <v/>
      </c>
      <c r="CH47" s="21" t="str">
        <f t="shared" si="72"/>
        <v/>
      </c>
      <c r="CI47" s="22">
        <f t="shared" si="73"/>
        <v>0</v>
      </c>
      <c r="CJ47" s="22">
        <f t="shared" si="74"/>
        <v>0</v>
      </c>
      <c r="CK47" s="22">
        <f t="shared" si="75"/>
        <v>0</v>
      </c>
      <c r="CL47" s="22">
        <f t="shared" si="76"/>
        <v>0</v>
      </c>
      <c r="CM47" s="22">
        <f t="shared" si="77"/>
        <v>0</v>
      </c>
      <c r="CN47" s="22">
        <f t="shared" si="78"/>
        <v>0</v>
      </c>
      <c r="CO47" s="22">
        <f t="shared" si="79"/>
        <v>0</v>
      </c>
      <c r="CP47" s="22">
        <f t="shared" si="80"/>
        <v>0</v>
      </c>
      <c r="CQ47" s="21" t="str">
        <f t="shared" si="81"/>
        <v/>
      </c>
    </row>
    <row r="48" spans="1:95" x14ac:dyDescent="0.2">
      <c r="A48" s="9" t="s">
        <v>955</v>
      </c>
      <c r="B48" s="9" t="s">
        <v>291</v>
      </c>
      <c r="C48" s="11">
        <v>2</v>
      </c>
      <c r="D48" s="9" t="s">
        <v>801</v>
      </c>
      <c r="E48" s="16" t="s">
        <v>50</v>
      </c>
      <c r="F48" s="9"/>
      <c r="G48" s="9"/>
      <c r="H48" s="9" t="s">
        <v>952</v>
      </c>
      <c r="I48" s="16" t="s">
        <v>57</v>
      </c>
      <c r="J48" s="16"/>
      <c r="K48" s="9"/>
      <c r="L48" s="16"/>
      <c r="M48" s="16"/>
      <c r="N48" s="16"/>
      <c r="O48" s="9"/>
      <c r="P48" s="14"/>
      <c r="Q48" s="14"/>
      <c r="R48" s="9"/>
      <c r="S48" s="9" t="s">
        <v>956</v>
      </c>
      <c r="T48" s="21" t="str">
        <f t="shared" si="41"/>
        <v>15 minutes</v>
      </c>
      <c r="U48" s="21">
        <f t="shared" si="42"/>
        <v>15</v>
      </c>
      <c r="V48" s="21" t="str">
        <f t="shared" si="43"/>
        <v/>
      </c>
      <c r="W48" s="21" t="str">
        <f t="shared" si="44"/>
        <v/>
      </c>
      <c r="X48" s="21" t="str">
        <f t="shared" si="45"/>
        <v>minutes</v>
      </c>
      <c r="Y48" s="21" t="str">
        <f t="shared" si="46"/>
        <v>C1</v>
      </c>
      <c r="Z48" s="21" t="str">
        <f t="shared" si="47"/>
        <v>AFTER</v>
      </c>
      <c r="AA48" s="21" t="str">
        <f t="shared" si="48"/>
        <v/>
      </c>
      <c r="AB48" s="21" t="str">
        <f t="shared" si="49"/>
        <v/>
      </c>
      <c r="AC48" s="21" t="str">
        <f>IF(AQ48=1,"",MID(IF(BX48&lt;&gt;""," | "&amp;BX48&amp;": "&amp;SUBSTITUTE(IFERROR(INDEX(nMSG_Text,MATCH(BX48,nMSG_Code,0)),""),"[input]",BY48),"")&amp;IF(CI48=1," | W_TZ_UNKNOWN: "&amp;SUBSTITUTE(IFERROR(INDEX(nMSG_Text,MATCH("W_TZ_UNKNOWN",nMSG_Code,0)),""),"[input]",""),"")&amp;IF(CJ48=1," | W_SAME_DATE_ORDER_UNKNOWN: "&amp;SUBSTITUTE(IFERROR(INDEX(nMSG_Text,MATCH("W_SAME_DATE_ORDER_UNKNOWN",nMSG_Code,0)),""),"[input]",""),"")&amp;IF(CK48=1," | W_SEQUENCE_UNCERTAIN: "&amp;SUBSTITUTE(IFERROR(INDEX(nMSG_Text,MATCH("W_SEQUENCE_UNCERTAIN",nMSG_Code,0)),""),"[input]",""),"")&amp;IF(CL48=1," | W_ADMIN_SAME_DATE_AS_ONSET: "&amp;SUBSTITUTE(IFERROR(INDEX(nMSG_Text,MATCH("W_ADMIN_SAME_DATE_AS_ONSET",nMSG_Code,0)),""),"[input]",""),"")&amp;IF(CO48=1," | W_INTERVENTION_BEFORE_RECOVERY: "&amp;SUBSTITUTE(IFERROR(INDEX(nMSG_Text,MATCH("W_INTERVENTION_BEFORE_RECOVERY",nMSG_Code,0)),""),"[input]",""),"")&amp;IF(OR(CQ48="",CQ48="OVERLAP"),""," | "&amp;CQ48&amp;" (reported timing): "&amp;SUBSTITUTE(IFERROR(INDEX(nMSG_Text,MATCH(CQ48,nMSG_Code,0)),""),"[input]","numeric reported bounds and a reported unit"))&amp;IF(CM48=1," | I_TREATMENT_DAY_UNDEFINED: "&amp;SUBSTITUTE(IFERROR(INDEX(nMSG_Text,MATCH("I_TREATMENT_DAY_UNDEFINED",nMSG_Code,0)),""),"[input]",""),"")&amp;IF(CH48&lt;&gt;""," | "&amp;CH48&amp;" (constraint): "&amp;SUBSTITUTE(IFERROR(INDEX(nMSG_Text,MATCH(CH48,nMSG_Code,0)),""),"[input]","a source for the constraint"),""),4,9999))</f>
        <v/>
      </c>
      <c r="AD48" s="21" t="str">
        <f t="shared" si="50"/>
        <v/>
      </c>
      <c r="AE48" s="21" t="str">
        <f t="shared" si="51"/>
        <v/>
      </c>
      <c r="AF48" s="21" t="str">
        <f t="shared" si="52"/>
        <v/>
      </c>
      <c r="AG48" s="21" t="str">
        <f t="shared" si="53"/>
        <v>ADM-A1</v>
      </c>
      <c r="AH48" s="21" t="str">
        <f>IF(BJ48=0,"",INDEX(nTP_ISO,BJ48))</f>
        <v>2026-01-10T09:00-05:00</v>
      </c>
      <c r="AI48" s="21" t="str">
        <f>IF(BJ48=0,"",INDEX(nTP_Display,BJ48))</f>
        <v>10 January 2026 09:00 (UTC-05:00)</v>
      </c>
      <c r="AJ48" s="21" t="str">
        <f>IF(AV48=0,"",INDEX(nTP_ISO,AV48))</f>
        <v>2026-01-10T09:15-05:00</v>
      </c>
      <c r="AK48" s="21" t="str">
        <f>IF(AV48=0,"",INDEX(nTP_Display,AV48))</f>
        <v>10 January 2026 09:15 (UTC-05:00)</v>
      </c>
      <c r="AL48" s="21" t="str">
        <f>IF(AU48=0,"",INDEX(nLNK_Exposure_Episode_ID,AU48)&amp;"")</f>
        <v>EX-A</v>
      </c>
      <c r="AM48" s="21" t="str">
        <f>IF(AU48=0,"",INDEX(nLNK_Event_Episode_ID,AU48)&amp;"")</f>
        <v>EV-1</v>
      </c>
      <c r="AN48" s="21" t="str">
        <f t="shared" si="54"/>
        <v>Both times converted to UTC with the recorded offsets. Anchor selected by C5: latest administration at or before the end point (ADM-A1).</v>
      </c>
      <c r="AO48" s="21" t="str">
        <f t="shared" si="55"/>
        <v/>
      </c>
      <c r="AP48" s="21" t="str">
        <f t="shared" si="56"/>
        <v>CALC-SPEC 1.0</v>
      </c>
      <c r="AQ48" s="22">
        <f t="shared" si="57"/>
        <v>0</v>
      </c>
      <c r="AR48" s="21" t="str">
        <f t="shared" si="58"/>
        <v>EX-C01|2</v>
      </c>
      <c r="AS48" s="21" t="str">
        <f t="shared" si="59"/>
        <v>EX-C01|2|I03</v>
      </c>
      <c r="AT48" s="22">
        <f>IF(AS48="",0,COUNTIF(nINT_Key,AS48))</f>
        <v>1</v>
      </c>
      <c r="AU48" s="22">
        <f>IF(D48="",0,IFERROR(MATCH(AR48&amp;"|"&amp;D48,nLNK_Key,0),0))</f>
        <v>22</v>
      </c>
      <c r="AV48" s="22">
        <f>IF(OR(AQ48=1,H48=""),0,IFERROR(MATCH(AR48&amp;"|"&amp;H48,nTP_Key,0),0))</f>
        <v>280</v>
      </c>
      <c r="AW48" s="21">
        <f>IF(AV48=0,0,INDEX(nTP_Dup,AV48))</f>
        <v>1</v>
      </c>
      <c r="AX48" s="21" t="str">
        <f>IF(AV48=0,"",INDEX(nTP_Record_Type,AV48))</f>
        <v>EVENT_ONSET</v>
      </c>
      <c r="AY48" s="21" t="str">
        <f>IF(AV48=0,"",INDEX(nTP_Precision,AV48))</f>
        <v>TIMESTAMP</v>
      </c>
      <c r="AZ48" s="21" t="str">
        <f>IF(AV48=0,"",INDEX(nTP_Err,AV48))</f>
        <v/>
      </c>
      <c r="BA48" s="21">
        <f>IF(AV48=0,0,INDEX(nTP_HT,AV48))</f>
        <v>1</v>
      </c>
      <c r="BB48" s="21">
        <f>IF(AV48=0,0,INDEX(nTP_OK,AV48))</f>
        <v>1</v>
      </c>
      <c r="BC48" s="21">
        <f>IF(AV48=0,"",INDEX(nTP_Loc,AV48))</f>
        <v>66286635</v>
      </c>
      <c r="BD48" s="21">
        <f>IF(AV48=0,"",INDEX(nTP_UTC,AV48))</f>
        <v>66286935</v>
      </c>
      <c r="BE48" s="21">
        <f>IF(AV48=0,"",INDEX(nTP_Lo,AV48))</f>
        <v>46032</v>
      </c>
      <c r="BF48" s="21">
        <f>IF(AV48=0,"",INDEX(nTP_Hi,AV48))</f>
        <v>46032</v>
      </c>
      <c r="BG48" s="22">
        <f>IF(OR(AQ48=1,E48&lt;&gt;"LAST_DOSE_BEFORE_ONSET",AU48=0,AV48=0),0,IF(AZ48&lt;&gt;"",0,SUMPRODUCT(MAX((nADM_SelKey=AR48&amp;"|"&amp;AL48)*nADM_Valid*(nADM_A_HT*BA48*nADM_A_OK*BB48*(nADM_UTC_n&lt;=N(BD48))+nADM_A_HT*BA48*(1-nADM_A_OK*BB48)*(nADM_Loc_n&lt;=N(BC48))+(1-nADM_A_HT*BA48)*(nADM_Lo_n&lt;=N(BE48)))*nADM_Sort_n))))</f>
        <v>66286920</v>
      </c>
      <c r="BH48" s="22">
        <f>IF(BG48=0,0,MATCH(1,INDEX((nADM_SelKey=AR48&amp;"|"&amp;AL48)*nADM_Valid*(nADM_A_HT*BA48*nADM_A_OK*BB48*(nADM_UTC_n&lt;=N(BD48))+nADM_A_HT*BA48*(1-nADM_A_OK*BB48)*(nADM_Loc_n&lt;=N(BC48))+(1-nADM_A_HT*BA48)*(nADM_Lo_n&lt;=N(BE48)))*(nADM_Sort_n=BG48),0),0))</f>
        <v>62</v>
      </c>
      <c r="BI48" s="21" t="str">
        <f>IF(BH48=0,"",INDEX(nADM_Admin_ID,BH48)&amp;"")</f>
        <v>ADM-A1</v>
      </c>
      <c r="BJ48" s="22">
        <f>IF(OR(AQ48=1,AG48=""),0,IFERROR(MATCH(AR48&amp;"|"&amp;AG48,nTP_Key,0),0))</f>
        <v>251</v>
      </c>
      <c r="BK48" s="21">
        <f>IF(BJ48=0,0,INDEX(nTP_Dup,BJ48))</f>
        <v>1</v>
      </c>
      <c r="BL48" s="21" t="str">
        <f>IF(BJ48=0,"",INDEX(nTP_Record_Type,BJ48))</f>
        <v>ADMINISTRATION</v>
      </c>
      <c r="BM48" s="21" t="str">
        <f>IF(BJ48=0,"",INDEX(nTP_Precision,BJ48))</f>
        <v>TIMESTAMP</v>
      </c>
      <c r="BN48" s="21" t="str">
        <f>IF(BJ48=0,"",INDEX(nTP_Err,BJ48))</f>
        <v/>
      </c>
      <c r="BO48" s="21">
        <f>IF(BJ48=0,0,INDEX(nTP_HT,BJ48))</f>
        <v>1</v>
      </c>
      <c r="BP48" s="21">
        <f>IF(BJ48=0,0,INDEX(nTP_OK,BJ48))</f>
        <v>1</v>
      </c>
      <c r="BQ48" s="21">
        <f>IF(BJ48=0,"",INDEX(nTP_Loc,BJ48))</f>
        <v>66286620</v>
      </c>
      <c r="BR48" s="21">
        <f>IF(BJ48=0,"",INDEX(nTP_UTC,BJ48))</f>
        <v>66286920</v>
      </c>
      <c r="BS48" s="21">
        <f>IF(BJ48=0,"",INDEX(nTP_Lo,BJ48))</f>
        <v>46032</v>
      </c>
      <c r="BT48" s="21">
        <f>IF(BJ48=0,"",INDEX(nTP_Hi,BJ48))</f>
        <v>46032</v>
      </c>
      <c r="BU48" s="22">
        <f>IF(OR(BJ48=0,AV48=0),0,SUMPRODUCT((nTP_Case_Key=AR48)*(nTP_Record_Type="MILESTONE:INTERVENTION")*(nTP_Err="")*(nTP_HT*BO48*BA48*(nTP_Loc_n&gt;=N(BQ48))*(nTP_Loc_n&lt;=N(BC48))+(1-nTP_HT*BO48*BA48)*(nTP_Lo_n&gt;=N(BS48))*(nTP_Hi_n&lt;=N(BF48))*(nTP_Lo_n&gt;0))))</f>
        <v>0</v>
      </c>
      <c r="BV48" s="21" t="str">
        <f t="shared" si="60"/>
        <v/>
      </c>
      <c r="BW48" s="21" t="str">
        <f t="shared" si="61"/>
        <v/>
      </c>
      <c r="BX48" s="21" t="str">
        <f t="shared" si="62"/>
        <v/>
      </c>
      <c r="BY48" s="21" t="str">
        <f t="shared" si="63"/>
        <v/>
      </c>
      <c r="BZ48" s="22">
        <f t="shared" si="64"/>
        <v>0</v>
      </c>
      <c r="CA48" s="21">
        <f t="shared" si="65"/>
        <v>15</v>
      </c>
      <c r="CB48" s="21" t="str">
        <f t="shared" si="66"/>
        <v/>
      </c>
      <c r="CC48" s="21" t="str">
        <f t="shared" si="67"/>
        <v/>
      </c>
      <c r="CD48" s="21" t="str">
        <f t="shared" si="68"/>
        <v/>
      </c>
      <c r="CE48" s="22">
        <f t="shared" si="69"/>
        <v>0</v>
      </c>
      <c r="CF48" s="28" t="str">
        <f t="shared" si="70"/>
        <v/>
      </c>
      <c r="CG48" s="28" t="str">
        <f t="shared" si="71"/>
        <v/>
      </c>
      <c r="CH48" s="21" t="str">
        <f t="shared" si="72"/>
        <v/>
      </c>
      <c r="CI48" s="22">
        <f t="shared" si="73"/>
        <v>0</v>
      </c>
      <c r="CJ48" s="22">
        <f t="shared" si="74"/>
        <v>0</v>
      </c>
      <c r="CK48" s="22">
        <f t="shared" si="75"/>
        <v>0</v>
      </c>
      <c r="CL48" s="22">
        <f t="shared" si="76"/>
        <v>0</v>
      </c>
      <c r="CM48" s="22">
        <f t="shared" si="77"/>
        <v>0</v>
      </c>
      <c r="CN48" s="22">
        <f t="shared" si="78"/>
        <v>0</v>
      </c>
      <c r="CO48" s="22">
        <f t="shared" si="79"/>
        <v>0</v>
      </c>
      <c r="CP48" s="22">
        <f t="shared" si="80"/>
        <v>0</v>
      </c>
      <c r="CQ48" s="21" t="str">
        <f t="shared" si="81"/>
        <v/>
      </c>
    </row>
    <row r="49" spans="1:95" x14ac:dyDescent="0.2">
      <c r="A49" s="9" t="s">
        <v>958</v>
      </c>
      <c r="B49" s="9" t="s">
        <v>291</v>
      </c>
      <c r="C49" s="11">
        <v>2</v>
      </c>
      <c r="D49" s="9" t="s">
        <v>803</v>
      </c>
      <c r="E49" s="16" t="s">
        <v>53</v>
      </c>
      <c r="F49" s="9" t="s">
        <v>959</v>
      </c>
      <c r="G49" s="9" t="s">
        <v>957</v>
      </c>
      <c r="H49" s="9" t="s">
        <v>952</v>
      </c>
      <c r="I49" s="16" t="s">
        <v>57</v>
      </c>
      <c r="J49" s="16"/>
      <c r="K49" s="9"/>
      <c r="L49" s="16"/>
      <c r="M49" s="16"/>
      <c r="N49" s="16"/>
      <c r="O49" s="9"/>
      <c r="P49" s="14"/>
      <c r="Q49" s="14"/>
      <c r="R49" s="9"/>
      <c r="S49" s="9"/>
      <c r="T49" s="21" t="str">
        <f t="shared" si="41"/>
        <v>55 minutes</v>
      </c>
      <c r="U49" s="21">
        <f t="shared" si="42"/>
        <v>55</v>
      </c>
      <c r="V49" s="21" t="str">
        <f t="shared" si="43"/>
        <v/>
      </c>
      <c r="W49" s="21" t="str">
        <f t="shared" si="44"/>
        <v/>
      </c>
      <c r="X49" s="21" t="str">
        <f t="shared" si="45"/>
        <v>minutes</v>
      </c>
      <c r="Y49" s="21" t="str">
        <f t="shared" si="46"/>
        <v>C1</v>
      </c>
      <c r="Z49" s="21" t="str">
        <f t="shared" si="47"/>
        <v>AFTER</v>
      </c>
      <c r="AA49" s="21" t="str">
        <f t="shared" si="48"/>
        <v/>
      </c>
      <c r="AB49" s="21" t="str">
        <f t="shared" si="49"/>
        <v/>
      </c>
      <c r="AC49" s="21" t="str">
        <f>IF(AQ49=1,"",MID(IF(BX49&lt;&gt;""," | "&amp;BX49&amp;": "&amp;SUBSTITUTE(IFERROR(INDEX(nMSG_Text,MATCH(BX49,nMSG_Code,0)),""),"[input]",BY49),"")&amp;IF(CI49=1," | W_TZ_UNKNOWN: "&amp;SUBSTITUTE(IFERROR(INDEX(nMSG_Text,MATCH("W_TZ_UNKNOWN",nMSG_Code,0)),""),"[input]",""),"")&amp;IF(CJ49=1," | W_SAME_DATE_ORDER_UNKNOWN: "&amp;SUBSTITUTE(IFERROR(INDEX(nMSG_Text,MATCH("W_SAME_DATE_ORDER_UNKNOWN",nMSG_Code,0)),""),"[input]",""),"")&amp;IF(CK49=1," | W_SEQUENCE_UNCERTAIN: "&amp;SUBSTITUTE(IFERROR(INDEX(nMSG_Text,MATCH("W_SEQUENCE_UNCERTAIN",nMSG_Code,0)),""),"[input]",""),"")&amp;IF(CL49=1," | W_ADMIN_SAME_DATE_AS_ONSET: "&amp;SUBSTITUTE(IFERROR(INDEX(nMSG_Text,MATCH("W_ADMIN_SAME_DATE_AS_ONSET",nMSG_Code,0)),""),"[input]",""),"")&amp;IF(CO49=1," | W_INTERVENTION_BEFORE_RECOVERY: "&amp;SUBSTITUTE(IFERROR(INDEX(nMSG_Text,MATCH("W_INTERVENTION_BEFORE_RECOVERY",nMSG_Code,0)),""),"[input]",""),"")&amp;IF(OR(CQ49="",CQ49="OVERLAP"),""," | "&amp;CQ49&amp;" (reported timing): "&amp;SUBSTITUTE(IFERROR(INDEX(nMSG_Text,MATCH(CQ49,nMSG_Code,0)),""),"[input]","numeric reported bounds and a reported unit"))&amp;IF(CM49=1," | I_TREATMENT_DAY_UNDEFINED: "&amp;SUBSTITUTE(IFERROR(INDEX(nMSG_Text,MATCH("I_TREATMENT_DAY_UNDEFINED",nMSG_Code,0)),""),"[input]",""),"")&amp;IF(CH49&lt;&gt;""," | "&amp;CH49&amp;" (constraint): "&amp;SUBSTITUTE(IFERROR(INDEX(nMSG_Text,MATCH(CH49,nMSG_Code,0)),""),"[input]","a source for the constraint"),""),4,9999))</f>
        <v/>
      </c>
      <c r="AD49" s="21" t="str">
        <f t="shared" si="50"/>
        <v/>
      </c>
      <c r="AE49" s="21" t="str">
        <f t="shared" si="51"/>
        <v/>
      </c>
      <c r="AF49" s="21" t="str">
        <f t="shared" si="52"/>
        <v/>
      </c>
      <c r="AG49" s="21" t="str">
        <f t="shared" si="53"/>
        <v>EX-B/START</v>
      </c>
      <c r="AH49" s="21" t="str">
        <f>IF(BJ49=0,"",INDEX(nTP_ISO,BJ49))</f>
        <v>2026-01-10T08:20-05:00</v>
      </c>
      <c r="AI49" s="21" t="str">
        <f>IF(BJ49=0,"",INDEX(nTP_Display,BJ49))</f>
        <v>10 January 2026 08:20 (UTC-05:00)</v>
      </c>
      <c r="AJ49" s="21" t="str">
        <f>IF(AV49=0,"",INDEX(nTP_ISO,AV49))</f>
        <v>2026-01-10T09:15-05:00</v>
      </c>
      <c r="AK49" s="21" t="str">
        <f>IF(AV49=0,"",INDEX(nTP_Display,AV49))</f>
        <v>10 January 2026 09:15 (UTC-05:00)</v>
      </c>
      <c r="AL49" s="21" t="str">
        <f>IF(AU49=0,"",INDEX(nLNK_Exposure_Episode_ID,AU49)&amp;"")</f>
        <v>EX-B</v>
      </c>
      <c r="AM49" s="21" t="str">
        <f>IF(AU49=0,"",INDEX(nLNK_Event_Episode_ID,AU49)&amp;"")</f>
        <v>EV-1</v>
      </c>
      <c r="AN49" s="21" t="str">
        <f t="shared" si="54"/>
        <v>Both times converted to UTC with the recorded offsets.</v>
      </c>
      <c r="AO49" s="21" t="str">
        <f t="shared" si="55"/>
        <v/>
      </c>
      <c r="AP49" s="21" t="str">
        <f t="shared" si="56"/>
        <v>CALC-SPEC 1.0</v>
      </c>
      <c r="AQ49" s="22">
        <f t="shared" si="57"/>
        <v>0</v>
      </c>
      <c r="AR49" s="21" t="str">
        <f t="shared" si="58"/>
        <v>EX-C01|2</v>
      </c>
      <c r="AS49" s="21" t="str">
        <f t="shared" si="59"/>
        <v>EX-C01|2|I04</v>
      </c>
      <c r="AT49" s="22">
        <f>IF(AS49="",0,COUNTIF(nINT_Key,AS49))</f>
        <v>1</v>
      </c>
      <c r="AU49" s="22">
        <f>IF(D49="",0,IFERROR(MATCH(AR49&amp;"|"&amp;D49,nLNK_Key,0),0))</f>
        <v>23</v>
      </c>
      <c r="AV49" s="22">
        <f>IF(OR(AQ49=1,H49=""),0,IFERROR(MATCH(AR49&amp;"|"&amp;H49,nTP_Key,0),0))</f>
        <v>280</v>
      </c>
      <c r="AW49" s="21">
        <f>IF(AV49=0,0,INDEX(nTP_Dup,AV49))</f>
        <v>1</v>
      </c>
      <c r="AX49" s="21" t="str">
        <f>IF(AV49=0,"",INDEX(nTP_Record_Type,AV49))</f>
        <v>EVENT_ONSET</v>
      </c>
      <c r="AY49" s="21" t="str">
        <f>IF(AV49=0,"",INDEX(nTP_Precision,AV49))</f>
        <v>TIMESTAMP</v>
      </c>
      <c r="AZ49" s="21" t="str">
        <f>IF(AV49=0,"",INDEX(nTP_Err,AV49))</f>
        <v/>
      </c>
      <c r="BA49" s="21">
        <f>IF(AV49=0,0,INDEX(nTP_HT,AV49))</f>
        <v>1</v>
      </c>
      <c r="BB49" s="21">
        <f>IF(AV49=0,0,INDEX(nTP_OK,AV49))</f>
        <v>1</v>
      </c>
      <c r="BC49" s="21">
        <f>IF(AV49=0,"",INDEX(nTP_Loc,AV49))</f>
        <v>66286635</v>
      </c>
      <c r="BD49" s="21">
        <f>IF(AV49=0,"",INDEX(nTP_UTC,AV49))</f>
        <v>66286935</v>
      </c>
      <c r="BE49" s="21">
        <f>IF(AV49=0,"",INDEX(nTP_Lo,AV49))</f>
        <v>46032</v>
      </c>
      <c r="BF49" s="21">
        <f>IF(AV49=0,"",INDEX(nTP_Hi,AV49))</f>
        <v>46032</v>
      </c>
      <c r="BG49" s="22">
        <f>IF(OR(AQ49=1,E49&lt;&gt;"LAST_DOSE_BEFORE_ONSET",AU49=0,AV49=0),0,IF(AZ49&lt;&gt;"",0,SUMPRODUCT(MAX((nADM_SelKey=AR49&amp;"|"&amp;AL49)*nADM_Valid*(nADM_A_HT*BA49*nADM_A_OK*BB49*(nADM_UTC_n&lt;=N(BD49))+nADM_A_HT*BA49*(1-nADM_A_OK*BB49)*(nADM_Loc_n&lt;=N(BC49))+(1-nADM_A_HT*BA49)*(nADM_Lo_n&lt;=N(BE49)))*nADM_Sort_n))))</f>
        <v>0</v>
      </c>
      <c r="BH49" s="22">
        <f>IF(BG49=0,0,MATCH(1,INDEX((nADM_SelKey=AR49&amp;"|"&amp;AL49)*nADM_Valid*(nADM_A_HT*BA49*nADM_A_OK*BB49*(nADM_UTC_n&lt;=N(BD49))+nADM_A_HT*BA49*(1-nADM_A_OK*BB49)*(nADM_Loc_n&lt;=N(BC49))+(1-nADM_A_HT*BA49)*(nADM_Lo_n&lt;=N(BE49)))*(nADM_Sort_n=BG49),0),0))</f>
        <v>0</v>
      </c>
      <c r="BI49" s="21" t="str">
        <f>IF(BH49=0,"",INDEX(nADM_Admin_ID,BH49)&amp;"")</f>
        <v/>
      </c>
      <c r="BJ49" s="22">
        <f>IF(OR(AQ49=1,AG49=""),0,IFERROR(MATCH(AR49&amp;"|"&amp;AG49,nTP_Key,0),0))</f>
        <v>33</v>
      </c>
      <c r="BK49" s="21">
        <f>IF(BJ49=0,0,INDEX(nTP_Dup,BJ49))</f>
        <v>1</v>
      </c>
      <c r="BL49" s="21" t="str">
        <f>IF(BJ49=0,"",INDEX(nTP_Record_Type,BJ49))</f>
        <v>EXPOSURE_START</v>
      </c>
      <c r="BM49" s="21" t="str">
        <f>IF(BJ49=0,"",INDEX(nTP_Precision,BJ49))</f>
        <v>TIMESTAMP</v>
      </c>
      <c r="BN49" s="21" t="str">
        <f>IF(BJ49=0,"",INDEX(nTP_Err,BJ49))</f>
        <v/>
      </c>
      <c r="BO49" s="21">
        <f>IF(BJ49=0,0,INDEX(nTP_HT,BJ49))</f>
        <v>1</v>
      </c>
      <c r="BP49" s="21">
        <f>IF(BJ49=0,0,INDEX(nTP_OK,BJ49))</f>
        <v>1</v>
      </c>
      <c r="BQ49" s="21">
        <f>IF(BJ49=0,"",INDEX(nTP_Loc,BJ49))</f>
        <v>66286580</v>
      </c>
      <c r="BR49" s="21">
        <f>IF(BJ49=0,"",INDEX(nTP_UTC,BJ49))</f>
        <v>66286880</v>
      </c>
      <c r="BS49" s="21">
        <f>IF(BJ49=0,"",INDEX(nTP_Lo,BJ49))</f>
        <v>46032</v>
      </c>
      <c r="BT49" s="21">
        <f>IF(BJ49=0,"",INDEX(nTP_Hi,BJ49))</f>
        <v>46032</v>
      </c>
      <c r="BU49" s="22">
        <f>IF(OR(BJ49=0,AV49=0),0,SUMPRODUCT((nTP_Case_Key=AR49)*(nTP_Record_Type="MILESTONE:INTERVENTION")*(nTP_Err="")*(nTP_HT*BO49*BA49*(nTP_Loc_n&gt;=N(BQ49))*(nTP_Loc_n&lt;=N(BC49))+(1-nTP_HT*BO49*BA49)*(nTP_Lo_n&gt;=N(BS49))*(nTP_Hi_n&lt;=N(BF49))*(nTP_Lo_n&gt;0))))</f>
        <v>0</v>
      </c>
      <c r="BV49" s="21" t="str">
        <f t="shared" si="60"/>
        <v/>
      </c>
      <c r="BW49" s="21" t="str">
        <f t="shared" si="61"/>
        <v/>
      </c>
      <c r="BX49" s="21" t="str">
        <f t="shared" si="62"/>
        <v/>
      </c>
      <c r="BY49" s="21" t="str">
        <f t="shared" si="63"/>
        <v/>
      </c>
      <c r="BZ49" s="22">
        <f t="shared" si="64"/>
        <v>0</v>
      </c>
      <c r="CA49" s="21">
        <f t="shared" si="65"/>
        <v>55</v>
      </c>
      <c r="CB49" s="21" t="str">
        <f t="shared" si="66"/>
        <v/>
      </c>
      <c r="CC49" s="21" t="str">
        <f t="shared" si="67"/>
        <v/>
      </c>
      <c r="CD49" s="21" t="str">
        <f t="shared" si="68"/>
        <v/>
      </c>
      <c r="CE49" s="22">
        <f t="shared" si="69"/>
        <v>0</v>
      </c>
      <c r="CF49" s="28" t="str">
        <f t="shared" si="70"/>
        <v/>
      </c>
      <c r="CG49" s="28" t="str">
        <f t="shared" si="71"/>
        <v/>
      </c>
      <c r="CH49" s="21" t="str">
        <f t="shared" si="72"/>
        <v/>
      </c>
      <c r="CI49" s="22">
        <f t="shared" si="73"/>
        <v>0</v>
      </c>
      <c r="CJ49" s="22">
        <f t="shared" si="74"/>
        <v>0</v>
      </c>
      <c r="CK49" s="22">
        <f t="shared" si="75"/>
        <v>0</v>
      </c>
      <c r="CL49" s="22">
        <f t="shared" si="76"/>
        <v>0</v>
      </c>
      <c r="CM49" s="22">
        <f t="shared" si="77"/>
        <v>0</v>
      </c>
      <c r="CN49" s="22">
        <f t="shared" si="78"/>
        <v>0</v>
      </c>
      <c r="CO49" s="22">
        <f t="shared" si="79"/>
        <v>0</v>
      </c>
      <c r="CP49" s="22">
        <f t="shared" si="80"/>
        <v>0</v>
      </c>
      <c r="CQ49" s="21" t="str">
        <f t="shared" si="81"/>
        <v/>
      </c>
    </row>
    <row r="50" spans="1:95" x14ac:dyDescent="0.2">
      <c r="A50" s="9" t="s">
        <v>961</v>
      </c>
      <c r="B50" s="9" t="s">
        <v>291</v>
      </c>
      <c r="C50" s="11">
        <v>2</v>
      </c>
      <c r="D50" s="9" t="s">
        <v>803</v>
      </c>
      <c r="E50" s="16" t="s">
        <v>55</v>
      </c>
      <c r="F50" s="9" t="s">
        <v>962</v>
      </c>
      <c r="G50" s="9" t="s">
        <v>960</v>
      </c>
      <c r="H50" s="9" t="s">
        <v>952</v>
      </c>
      <c r="I50" s="16" t="s">
        <v>57</v>
      </c>
      <c r="J50" s="16"/>
      <c r="K50" s="9"/>
      <c r="L50" s="16"/>
      <c r="M50" s="16"/>
      <c r="N50" s="16"/>
      <c r="O50" s="9"/>
      <c r="P50" s="14"/>
      <c r="Q50" s="14"/>
      <c r="R50" s="9"/>
      <c r="S50" s="9"/>
      <c r="T50" s="21" t="str">
        <f t="shared" si="41"/>
        <v>25 minutes</v>
      </c>
      <c r="U50" s="21">
        <f t="shared" si="42"/>
        <v>25</v>
      </c>
      <c r="V50" s="21" t="str">
        <f t="shared" si="43"/>
        <v/>
      </c>
      <c r="W50" s="21" t="str">
        <f t="shared" si="44"/>
        <v/>
      </c>
      <c r="X50" s="21" t="str">
        <f t="shared" si="45"/>
        <v>minutes</v>
      </c>
      <c r="Y50" s="21" t="str">
        <f t="shared" si="46"/>
        <v>C1</v>
      </c>
      <c r="Z50" s="21" t="str">
        <f t="shared" si="47"/>
        <v>AFTER</v>
      </c>
      <c r="AA50" s="21" t="str">
        <f t="shared" si="48"/>
        <v/>
      </c>
      <c r="AB50" s="21" t="str">
        <f t="shared" si="49"/>
        <v/>
      </c>
      <c r="AC50" s="21" t="str">
        <f>IF(AQ50=1,"",MID(IF(BX50&lt;&gt;""," | "&amp;BX50&amp;": "&amp;SUBSTITUTE(IFERROR(INDEX(nMSG_Text,MATCH(BX50,nMSG_Code,0)),""),"[input]",BY50),"")&amp;IF(CI50=1," | W_TZ_UNKNOWN: "&amp;SUBSTITUTE(IFERROR(INDEX(nMSG_Text,MATCH("W_TZ_UNKNOWN",nMSG_Code,0)),""),"[input]",""),"")&amp;IF(CJ50=1," | W_SAME_DATE_ORDER_UNKNOWN: "&amp;SUBSTITUTE(IFERROR(INDEX(nMSG_Text,MATCH("W_SAME_DATE_ORDER_UNKNOWN",nMSG_Code,0)),""),"[input]",""),"")&amp;IF(CK50=1," | W_SEQUENCE_UNCERTAIN: "&amp;SUBSTITUTE(IFERROR(INDEX(nMSG_Text,MATCH("W_SEQUENCE_UNCERTAIN",nMSG_Code,0)),""),"[input]",""),"")&amp;IF(CL50=1," | W_ADMIN_SAME_DATE_AS_ONSET: "&amp;SUBSTITUTE(IFERROR(INDEX(nMSG_Text,MATCH("W_ADMIN_SAME_DATE_AS_ONSET",nMSG_Code,0)),""),"[input]",""),"")&amp;IF(CO50=1," | W_INTERVENTION_BEFORE_RECOVERY: "&amp;SUBSTITUTE(IFERROR(INDEX(nMSG_Text,MATCH("W_INTERVENTION_BEFORE_RECOVERY",nMSG_Code,0)),""),"[input]",""),"")&amp;IF(OR(CQ50="",CQ50="OVERLAP"),""," | "&amp;CQ50&amp;" (reported timing): "&amp;SUBSTITUTE(IFERROR(INDEX(nMSG_Text,MATCH(CQ50,nMSG_Code,0)),""),"[input]","numeric reported bounds and a reported unit"))&amp;IF(CM50=1," | I_TREATMENT_DAY_UNDEFINED: "&amp;SUBSTITUTE(IFERROR(INDEX(nMSG_Text,MATCH("I_TREATMENT_DAY_UNDEFINED",nMSG_Code,0)),""),"[input]",""),"")&amp;IF(CH50&lt;&gt;""," | "&amp;CH50&amp;" (constraint): "&amp;SUBSTITUTE(IFERROR(INDEX(nMSG_Text,MATCH(CH50,nMSG_Code,0)),""),"[input]","a source for the constraint"),""),4,9999))</f>
        <v/>
      </c>
      <c r="AD50" s="21" t="str">
        <f t="shared" si="50"/>
        <v/>
      </c>
      <c r="AE50" s="21" t="str">
        <f t="shared" si="51"/>
        <v/>
      </c>
      <c r="AF50" s="21" t="str">
        <f t="shared" si="52"/>
        <v/>
      </c>
      <c r="AG50" s="21" t="str">
        <f t="shared" si="53"/>
        <v>EX-B/STOP</v>
      </c>
      <c r="AH50" s="21" t="str">
        <f>IF(BJ50=0,"",INDEX(nTP_ISO,BJ50))</f>
        <v>2026-01-10T08:50-05:00</v>
      </c>
      <c r="AI50" s="21" t="str">
        <f>IF(BJ50=0,"",INDEX(nTP_Display,BJ50))</f>
        <v>10 January 2026 08:50 (UTC-05:00)</v>
      </c>
      <c r="AJ50" s="21" t="str">
        <f>IF(AV50=0,"",INDEX(nTP_ISO,AV50))</f>
        <v>2026-01-10T09:15-05:00</v>
      </c>
      <c r="AK50" s="21" t="str">
        <f>IF(AV50=0,"",INDEX(nTP_Display,AV50))</f>
        <v>10 January 2026 09:15 (UTC-05:00)</v>
      </c>
      <c r="AL50" s="21" t="str">
        <f>IF(AU50=0,"",INDEX(nLNK_Exposure_Episode_ID,AU50)&amp;"")</f>
        <v>EX-B</v>
      </c>
      <c r="AM50" s="21" t="str">
        <f>IF(AU50=0,"",INDEX(nLNK_Event_Episode_ID,AU50)&amp;"")</f>
        <v>EV-1</v>
      </c>
      <c r="AN50" s="21" t="str">
        <f t="shared" si="54"/>
        <v>Both times converted to UTC with the recorded offsets.</v>
      </c>
      <c r="AO50" s="21" t="str">
        <f t="shared" si="55"/>
        <v/>
      </c>
      <c r="AP50" s="21" t="str">
        <f t="shared" si="56"/>
        <v>CALC-SPEC 1.0</v>
      </c>
      <c r="AQ50" s="22">
        <f t="shared" si="57"/>
        <v>0</v>
      </c>
      <c r="AR50" s="21" t="str">
        <f t="shared" si="58"/>
        <v>EX-C01|2</v>
      </c>
      <c r="AS50" s="21" t="str">
        <f t="shared" si="59"/>
        <v>EX-C01|2|I05</v>
      </c>
      <c r="AT50" s="22">
        <f>IF(AS50="",0,COUNTIF(nINT_Key,AS50))</f>
        <v>1</v>
      </c>
      <c r="AU50" s="22">
        <f>IF(D50="",0,IFERROR(MATCH(AR50&amp;"|"&amp;D50,nLNK_Key,0),0))</f>
        <v>23</v>
      </c>
      <c r="AV50" s="22">
        <f>IF(OR(AQ50=1,H50=""),0,IFERROR(MATCH(AR50&amp;"|"&amp;H50,nTP_Key,0),0))</f>
        <v>280</v>
      </c>
      <c r="AW50" s="21">
        <f>IF(AV50=0,0,INDEX(nTP_Dup,AV50))</f>
        <v>1</v>
      </c>
      <c r="AX50" s="21" t="str">
        <f>IF(AV50=0,"",INDEX(nTP_Record_Type,AV50))</f>
        <v>EVENT_ONSET</v>
      </c>
      <c r="AY50" s="21" t="str">
        <f>IF(AV50=0,"",INDEX(nTP_Precision,AV50))</f>
        <v>TIMESTAMP</v>
      </c>
      <c r="AZ50" s="21" t="str">
        <f>IF(AV50=0,"",INDEX(nTP_Err,AV50))</f>
        <v/>
      </c>
      <c r="BA50" s="21">
        <f>IF(AV50=0,0,INDEX(nTP_HT,AV50))</f>
        <v>1</v>
      </c>
      <c r="BB50" s="21">
        <f>IF(AV50=0,0,INDEX(nTP_OK,AV50))</f>
        <v>1</v>
      </c>
      <c r="BC50" s="21">
        <f>IF(AV50=0,"",INDEX(nTP_Loc,AV50))</f>
        <v>66286635</v>
      </c>
      <c r="BD50" s="21">
        <f>IF(AV50=0,"",INDEX(nTP_UTC,AV50))</f>
        <v>66286935</v>
      </c>
      <c r="BE50" s="21">
        <f>IF(AV50=0,"",INDEX(nTP_Lo,AV50))</f>
        <v>46032</v>
      </c>
      <c r="BF50" s="21">
        <f>IF(AV50=0,"",INDEX(nTP_Hi,AV50))</f>
        <v>46032</v>
      </c>
      <c r="BG50" s="22">
        <f>IF(OR(AQ50=1,E50&lt;&gt;"LAST_DOSE_BEFORE_ONSET",AU50=0,AV50=0),0,IF(AZ50&lt;&gt;"",0,SUMPRODUCT(MAX((nADM_SelKey=AR50&amp;"|"&amp;AL50)*nADM_Valid*(nADM_A_HT*BA50*nADM_A_OK*BB50*(nADM_UTC_n&lt;=N(BD50))+nADM_A_HT*BA50*(1-nADM_A_OK*BB50)*(nADM_Loc_n&lt;=N(BC50))+(1-nADM_A_HT*BA50)*(nADM_Lo_n&lt;=N(BE50)))*nADM_Sort_n))))</f>
        <v>0</v>
      </c>
      <c r="BH50" s="22">
        <f>IF(BG50=0,0,MATCH(1,INDEX((nADM_SelKey=AR50&amp;"|"&amp;AL50)*nADM_Valid*(nADM_A_HT*BA50*nADM_A_OK*BB50*(nADM_UTC_n&lt;=N(BD50))+nADM_A_HT*BA50*(1-nADM_A_OK*BB50)*(nADM_Loc_n&lt;=N(BC50))+(1-nADM_A_HT*BA50)*(nADM_Lo_n&lt;=N(BE50)))*(nADM_Sort_n=BG50),0),0))</f>
        <v>0</v>
      </c>
      <c r="BI50" s="21" t="str">
        <f>IF(BH50=0,"",INDEX(nADM_Admin_ID,BH50)&amp;"")</f>
        <v/>
      </c>
      <c r="BJ50" s="22">
        <f>IF(OR(AQ50=1,AG50=""),0,IFERROR(MATCH(AR50&amp;"|"&amp;AG50,nTP_Key,0),0))</f>
        <v>96</v>
      </c>
      <c r="BK50" s="21">
        <f>IF(BJ50=0,0,INDEX(nTP_Dup,BJ50))</f>
        <v>1</v>
      </c>
      <c r="BL50" s="21" t="str">
        <f>IF(BJ50=0,"",INDEX(nTP_Record_Type,BJ50))</f>
        <v>EXPOSURE_STOP</v>
      </c>
      <c r="BM50" s="21" t="str">
        <f>IF(BJ50=0,"",INDEX(nTP_Precision,BJ50))</f>
        <v>TIMESTAMP</v>
      </c>
      <c r="BN50" s="21" t="str">
        <f>IF(BJ50=0,"",INDEX(nTP_Err,BJ50))</f>
        <v/>
      </c>
      <c r="BO50" s="21">
        <f>IF(BJ50=0,0,INDEX(nTP_HT,BJ50))</f>
        <v>1</v>
      </c>
      <c r="BP50" s="21">
        <f>IF(BJ50=0,0,INDEX(nTP_OK,BJ50))</f>
        <v>1</v>
      </c>
      <c r="BQ50" s="21">
        <f>IF(BJ50=0,"",INDEX(nTP_Loc,BJ50))</f>
        <v>66286610</v>
      </c>
      <c r="BR50" s="21">
        <f>IF(BJ50=0,"",INDEX(nTP_UTC,BJ50))</f>
        <v>66286910</v>
      </c>
      <c r="BS50" s="21">
        <f>IF(BJ50=0,"",INDEX(nTP_Lo,BJ50))</f>
        <v>46032</v>
      </c>
      <c r="BT50" s="21">
        <f>IF(BJ50=0,"",INDEX(nTP_Hi,BJ50))</f>
        <v>46032</v>
      </c>
      <c r="BU50" s="22">
        <f>IF(OR(BJ50=0,AV50=0),0,SUMPRODUCT((nTP_Case_Key=AR50)*(nTP_Record_Type="MILESTONE:INTERVENTION")*(nTP_Err="")*(nTP_HT*BO50*BA50*(nTP_Loc_n&gt;=N(BQ50))*(nTP_Loc_n&lt;=N(BC50))+(1-nTP_HT*BO50*BA50)*(nTP_Lo_n&gt;=N(BS50))*(nTP_Hi_n&lt;=N(BF50))*(nTP_Lo_n&gt;0))))</f>
        <v>0</v>
      </c>
      <c r="BV50" s="21" t="str">
        <f t="shared" si="60"/>
        <v/>
      </c>
      <c r="BW50" s="21" t="str">
        <f t="shared" si="61"/>
        <v/>
      </c>
      <c r="BX50" s="21" t="str">
        <f t="shared" si="62"/>
        <v/>
      </c>
      <c r="BY50" s="21" t="str">
        <f t="shared" si="63"/>
        <v/>
      </c>
      <c r="BZ50" s="22">
        <f t="shared" si="64"/>
        <v>0</v>
      </c>
      <c r="CA50" s="21">
        <f t="shared" si="65"/>
        <v>25</v>
      </c>
      <c r="CB50" s="21" t="str">
        <f t="shared" si="66"/>
        <v/>
      </c>
      <c r="CC50" s="21" t="str">
        <f t="shared" si="67"/>
        <v/>
      </c>
      <c r="CD50" s="21" t="str">
        <f t="shared" si="68"/>
        <v/>
      </c>
      <c r="CE50" s="22">
        <f t="shared" si="69"/>
        <v>0</v>
      </c>
      <c r="CF50" s="28" t="str">
        <f t="shared" si="70"/>
        <v/>
      </c>
      <c r="CG50" s="28" t="str">
        <f t="shared" si="71"/>
        <v/>
      </c>
      <c r="CH50" s="21" t="str">
        <f t="shared" si="72"/>
        <v/>
      </c>
      <c r="CI50" s="22">
        <f t="shared" si="73"/>
        <v>0</v>
      </c>
      <c r="CJ50" s="22">
        <f t="shared" si="74"/>
        <v>0</v>
      </c>
      <c r="CK50" s="22">
        <f t="shared" si="75"/>
        <v>0</v>
      </c>
      <c r="CL50" s="22">
        <f t="shared" si="76"/>
        <v>0</v>
      </c>
      <c r="CM50" s="22">
        <f t="shared" si="77"/>
        <v>0</v>
      </c>
      <c r="CN50" s="22">
        <f t="shared" si="78"/>
        <v>0</v>
      </c>
      <c r="CO50" s="22">
        <f t="shared" si="79"/>
        <v>0</v>
      </c>
      <c r="CP50" s="22">
        <f t="shared" si="80"/>
        <v>0</v>
      </c>
      <c r="CQ50" s="21" t="str">
        <f t="shared" si="81"/>
        <v/>
      </c>
    </row>
    <row r="51" spans="1:95" x14ac:dyDescent="0.2">
      <c r="A51" s="9" t="s">
        <v>964</v>
      </c>
      <c r="B51" s="9" t="s">
        <v>291</v>
      </c>
      <c r="C51" s="11">
        <v>2</v>
      </c>
      <c r="D51" s="9" t="s">
        <v>805</v>
      </c>
      <c r="E51" s="16" t="s">
        <v>55</v>
      </c>
      <c r="F51" s="9" t="s">
        <v>965</v>
      </c>
      <c r="G51" s="9" t="s">
        <v>963</v>
      </c>
      <c r="H51" s="9" t="s">
        <v>952</v>
      </c>
      <c r="I51" s="16" t="s">
        <v>57</v>
      </c>
      <c r="J51" s="16"/>
      <c r="K51" s="9"/>
      <c r="L51" s="16"/>
      <c r="M51" s="16"/>
      <c r="N51" s="16"/>
      <c r="O51" s="9"/>
      <c r="P51" s="14"/>
      <c r="Q51" s="14"/>
      <c r="R51" s="9"/>
      <c r="S51" s="9"/>
      <c r="T51" s="21" t="str">
        <f t="shared" si="41"/>
        <v>60 minutes (1.0 hours)</v>
      </c>
      <c r="U51" s="21">
        <f t="shared" si="42"/>
        <v>60</v>
      </c>
      <c r="V51" s="21" t="str">
        <f t="shared" si="43"/>
        <v/>
      </c>
      <c r="W51" s="21" t="str">
        <f t="shared" si="44"/>
        <v/>
      </c>
      <c r="X51" s="21" t="str">
        <f t="shared" si="45"/>
        <v>minutes</v>
      </c>
      <c r="Y51" s="21" t="str">
        <f t="shared" si="46"/>
        <v>C1</v>
      </c>
      <c r="Z51" s="21" t="str">
        <f t="shared" si="47"/>
        <v>AFTER</v>
      </c>
      <c r="AA51" s="21" t="str">
        <f t="shared" si="48"/>
        <v/>
      </c>
      <c r="AB51" s="21" t="str">
        <f t="shared" si="49"/>
        <v/>
      </c>
      <c r="AC51" s="21" t="str">
        <f>IF(AQ51=1,"",MID(IF(BX51&lt;&gt;""," | "&amp;BX51&amp;": "&amp;SUBSTITUTE(IFERROR(INDEX(nMSG_Text,MATCH(BX51,nMSG_Code,0)),""),"[input]",BY51),"")&amp;IF(CI51=1," | W_TZ_UNKNOWN: "&amp;SUBSTITUTE(IFERROR(INDEX(nMSG_Text,MATCH("W_TZ_UNKNOWN",nMSG_Code,0)),""),"[input]",""),"")&amp;IF(CJ51=1," | W_SAME_DATE_ORDER_UNKNOWN: "&amp;SUBSTITUTE(IFERROR(INDEX(nMSG_Text,MATCH("W_SAME_DATE_ORDER_UNKNOWN",nMSG_Code,0)),""),"[input]",""),"")&amp;IF(CK51=1," | W_SEQUENCE_UNCERTAIN: "&amp;SUBSTITUTE(IFERROR(INDEX(nMSG_Text,MATCH("W_SEQUENCE_UNCERTAIN",nMSG_Code,0)),""),"[input]",""),"")&amp;IF(CL51=1," | W_ADMIN_SAME_DATE_AS_ONSET: "&amp;SUBSTITUTE(IFERROR(INDEX(nMSG_Text,MATCH("W_ADMIN_SAME_DATE_AS_ONSET",nMSG_Code,0)),""),"[input]",""),"")&amp;IF(CO51=1," | W_INTERVENTION_BEFORE_RECOVERY: "&amp;SUBSTITUTE(IFERROR(INDEX(nMSG_Text,MATCH("W_INTERVENTION_BEFORE_RECOVERY",nMSG_Code,0)),""),"[input]",""),"")&amp;IF(OR(CQ51="",CQ51="OVERLAP"),""," | "&amp;CQ51&amp;" (reported timing): "&amp;SUBSTITUTE(IFERROR(INDEX(nMSG_Text,MATCH(CQ51,nMSG_Code,0)),""),"[input]","numeric reported bounds and a reported unit"))&amp;IF(CM51=1," | I_TREATMENT_DAY_UNDEFINED: "&amp;SUBSTITUTE(IFERROR(INDEX(nMSG_Text,MATCH("I_TREATMENT_DAY_UNDEFINED",nMSG_Code,0)),""),"[input]",""),"")&amp;IF(CH51&lt;&gt;""," | "&amp;CH51&amp;" (constraint): "&amp;SUBSTITUTE(IFERROR(INDEX(nMSG_Text,MATCH(CH51,nMSG_Code,0)),""),"[input]","a source for the constraint"),""),4,9999))</f>
        <v/>
      </c>
      <c r="AD51" s="21" t="str">
        <f t="shared" si="50"/>
        <v/>
      </c>
      <c r="AE51" s="21" t="str">
        <f t="shared" si="51"/>
        <v/>
      </c>
      <c r="AF51" s="21" t="str">
        <f t="shared" si="52"/>
        <v/>
      </c>
      <c r="AG51" s="21" t="str">
        <f t="shared" si="53"/>
        <v>EX-AS/START</v>
      </c>
      <c r="AH51" s="21" t="str">
        <f>IF(BJ51=0,"",INDEX(nTP_ISO,BJ51))</f>
        <v>2026-01-10T08:15-05:00</v>
      </c>
      <c r="AI51" s="21" t="str">
        <f>IF(BJ51=0,"",INDEX(nTP_Display,BJ51))</f>
        <v>10 January 2026 08:15 (UTC-05:00)</v>
      </c>
      <c r="AJ51" s="21" t="str">
        <f>IF(AV51=0,"",INDEX(nTP_ISO,AV51))</f>
        <v>2026-01-10T09:15-05:00</v>
      </c>
      <c r="AK51" s="21" t="str">
        <f>IF(AV51=0,"",INDEX(nTP_Display,AV51))</f>
        <v>10 January 2026 09:15 (UTC-05:00)</v>
      </c>
      <c r="AL51" s="21" t="str">
        <f>IF(AU51=0,"",INDEX(nLNK_Exposure_Episode_ID,AU51)&amp;"")</f>
        <v>EX-AS</v>
      </c>
      <c r="AM51" s="21" t="str">
        <f>IF(AU51=0,"",INDEX(nLNK_Event_Episode_ID,AU51)&amp;"")</f>
        <v>EV-1</v>
      </c>
      <c r="AN51" s="21" t="str">
        <f t="shared" si="54"/>
        <v>Both times converted to UTC with the recorded offsets.</v>
      </c>
      <c r="AO51" s="21" t="str">
        <f t="shared" si="55"/>
        <v/>
      </c>
      <c r="AP51" s="21" t="str">
        <f t="shared" si="56"/>
        <v>CALC-SPEC 1.0</v>
      </c>
      <c r="AQ51" s="22">
        <f t="shared" si="57"/>
        <v>0</v>
      </c>
      <c r="AR51" s="21" t="str">
        <f t="shared" si="58"/>
        <v>EX-C01|2</v>
      </c>
      <c r="AS51" s="21" t="str">
        <f t="shared" si="59"/>
        <v>EX-C01|2|I06</v>
      </c>
      <c r="AT51" s="22">
        <f>IF(AS51="",0,COUNTIF(nINT_Key,AS51))</f>
        <v>1</v>
      </c>
      <c r="AU51" s="22">
        <f>IF(D51="",0,IFERROR(MATCH(AR51&amp;"|"&amp;D51,nLNK_Key,0),0))</f>
        <v>24</v>
      </c>
      <c r="AV51" s="22">
        <f>IF(OR(AQ51=1,H51=""),0,IFERROR(MATCH(AR51&amp;"|"&amp;H51,nTP_Key,0),0))</f>
        <v>280</v>
      </c>
      <c r="AW51" s="21">
        <f>IF(AV51=0,0,INDEX(nTP_Dup,AV51))</f>
        <v>1</v>
      </c>
      <c r="AX51" s="21" t="str">
        <f>IF(AV51=0,"",INDEX(nTP_Record_Type,AV51))</f>
        <v>EVENT_ONSET</v>
      </c>
      <c r="AY51" s="21" t="str">
        <f>IF(AV51=0,"",INDEX(nTP_Precision,AV51))</f>
        <v>TIMESTAMP</v>
      </c>
      <c r="AZ51" s="21" t="str">
        <f>IF(AV51=0,"",INDEX(nTP_Err,AV51))</f>
        <v/>
      </c>
      <c r="BA51" s="21">
        <f>IF(AV51=0,0,INDEX(nTP_HT,AV51))</f>
        <v>1</v>
      </c>
      <c r="BB51" s="21">
        <f>IF(AV51=0,0,INDEX(nTP_OK,AV51))</f>
        <v>1</v>
      </c>
      <c r="BC51" s="21">
        <f>IF(AV51=0,"",INDEX(nTP_Loc,AV51))</f>
        <v>66286635</v>
      </c>
      <c r="BD51" s="21">
        <f>IF(AV51=0,"",INDEX(nTP_UTC,AV51))</f>
        <v>66286935</v>
      </c>
      <c r="BE51" s="21">
        <f>IF(AV51=0,"",INDEX(nTP_Lo,AV51))</f>
        <v>46032</v>
      </c>
      <c r="BF51" s="21">
        <f>IF(AV51=0,"",INDEX(nTP_Hi,AV51))</f>
        <v>46032</v>
      </c>
      <c r="BG51" s="22">
        <f>IF(OR(AQ51=1,E51&lt;&gt;"LAST_DOSE_BEFORE_ONSET",AU51=0,AV51=0),0,IF(AZ51&lt;&gt;"",0,SUMPRODUCT(MAX((nADM_SelKey=AR51&amp;"|"&amp;AL51)*nADM_Valid*(nADM_A_HT*BA51*nADM_A_OK*BB51*(nADM_UTC_n&lt;=N(BD51))+nADM_A_HT*BA51*(1-nADM_A_OK*BB51)*(nADM_Loc_n&lt;=N(BC51))+(1-nADM_A_HT*BA51)*(nADM_Lo_n&lt;=N(BE51)))*nADM_Sort_n))))</f>
        <v>0</v>
      </c>
      <c r="BH51" s="22">
        <f>IF(BG51=0,0,MATCH(1,INDEX((nADM_SelKey=AR51&amp;"|"&amp;AL51)*nADM_Valid*(nADM_A_HT*BA51*nADM_A_OK*BB51*(nADM_UTC_n&lt;=N(BD51))+nADM_A_HT*BA51*(1-nADM_A_OK*BB51)*(nADM_Loc_n&lt;=N(BC51))+(1-nADM_A_HT*BA51)*(nADM_Lo_n&lt;=N(BE51)))*(nADM_Sort_n=BG51),0),0))</f>
        <v>0</v>
      </c>
      <c r="BI51" s="21" t="str">
        <f>IF(BH51=0,"",INDEX(nADM_Admin_ID,BH51)&amp;"")</f>
        <v/>
      </c>
      <c r="BJ51" s="22">
        <f>IF(OR(AQ51=1,AG51=""),0,IFERROR(MATCH(AR51&amp;"|"&amp;AG51,nTP_Key,0),0))</f>
        <v>34</v>
      </c>
      <c r="BK51" s="21">
        <f>IF(BJ51=0,0,INDEX(nTP_Dup,BJ51))</f>
        <v>1</v>
      </c>
      <c r="BL51" s="21" t="str">
        <f>IF(BJ51=0,"",INDEX(nTP_Record_Type,BJ51))</f>
        <v>EXPOSURE_START</v>
      </c>
      <c r="BM51" s="21" t="str">
        <f>IF(BJ51=0,"",INDEX(nTP_Precision,BJ51))</f>
        <v>TIMESTAMP</v>
      </c>
      <c r="BN51" s="21" t="str">
        <f>IF(BJ51=0,"",INDEX(nTP_Err,BJ51))</f>
        <v/>
      </c>
      <c r="BO51" s="21">
        <f>IF(BJ51=0,0,INDEX(nTP_HT,BJ51))</f>
        <v>1</v>
      </c>
      <c r="BP51" s="21">
        <f>IF(BJ51=0,0,INDEX(nTP_OK,BJ51))</f>
        <v>1</v>
      </c>
      <c r="BQ51" s="21">
        <f>IF(BJ51=0,"",INDEX(nTP_Loc,BJ51))</f>
        <v>66286575</v>
      </c>
      <c r="BR51" s="21">
        <f>IF(BJ51=0,"",INDEX(nTP_UTC,BJ51))</f>
        <v>66286875</v>
      </c>
      <c r="BS51" s="21">
        <f>IF(BJ51=0,"",INDEX(nTP_Lo,BJ51))</f>
        <v>46032</v>
      </c>
      <c r="BT51" s="21">
        <f>IF(BJ51=0,"",INDEX(nTP_Hi,BJ51))</f>
        <v>46032</v>
      </c>
      <c r="BU51" s="22">
        <f>IF(OR(BJ51=0,AV51=0),0,SUMPRODUCT((nTP_Case_Key=AR51)*(nTP_Record_Type="MILESTONE:INTERVENTION")*(nTP_Err="")*(nTP_HT*BO51*BA51*(nTP_Loc_n&gt;=N(BQ51))*(nTP_Loc_n&lt;=N(BC51))+(1-nTP_HT*BO51*BA51)*(nTP_Lo_n&gt;=N(BS51))*(nTP_Hi_n&lt;=N(BF51))*(nTP_Lo_n&gt;0))))</f>
        <v>0</v>
      </c>
      <c r="BV51" s="21" t="str">
        <f t="shared" si="60"/>
        <v/>
      </c>
      <c r="BW51" s="21" t="str">
        <f t="shared" si="61"/>
        <v/>
      </c>
      <c r="BX51" s="21" t="str">
        <f t="shared" si="62"/>
        <v/>
      </c>
      <c r="BY51" s="21" t="str">
        <f t="shared" si="63"/>
        <v/>
      </c>
      <c r="BZ51" s="22">
        <f t="shared" si="64"/>
        <v>0</v>
      </c>
      <c r="CA51" s="21">
        <f t="shared" si="65"/>
        <v>60</v>
      </c>
      <c r="CB51" s="21" t="str">
        <f t="shared" si="66"/>
        <v/>
      </c>
      <c r="CC51" s="21" t="str">
        <f t="shared" si="67"/>
        <v/>
      </c>
      <c r="CD51" s="21" t="str">
        <f t="shared" si="68"/>
        <v/>
      </c>
      <c r="CE51" s="22">
        <f t="shared" si="69"/>
        <v>0</v>
      </c>
      <c r="CF51" s="28" t="str">
        <f t="shared" si="70"/>
        <v/>
      </c>
      <c r="CG51" s="28" t="str">
        <f t="shared" si="71"/>
        <v/>
      </c>
      <c r="CH51" s="21" t="str">
        <f t="shared" si="72"/>
        <v/>
      </c>
      <c r="CI51" s="22">
        <f t="shared" si="73"/>
        <v>0</v>
      </c>
      <c r="CJ51" s="22">
        <f t="shared" si="74"/>
        <v>0</v>
      </c>
      <c r="CK51" s="22">
        <f t="shared" si="75"/>
        <v>0</v>
      </c>
      <c r="CL51" s="22">
        <f t="shared" si="76"/>
        <v>0</v>
      </c>
      <c r="CM51" s="22">
        <f t="shared" si="77"/>
        <v>0</v>
      </c>
      <c r="CN51" s="22">
        <f t="shared" si="78"/>
        <v>0</v>
      </c>
      <c r="CO51" s="22">
        <f t="shared" si="79"/>
        <v>0</v>
      </c>
      <c r="CP51" s="22">
        <f t="shared" si="80"/>
        <v>0</v>
      </c>
      <c r="CQ51" s="21" t="str">
        <f t="shared" si="81"/>
        <v/>
      </c>
    </row>
    <row r="52" spans="1:95" x14ac:dyDescent="0.2">
      <c r="A52" s="9" t="s">
        <v>966</v>
      </c>
      <c r="B52" s="9" t="s">
        <v>291</v>
      </c>
      <c r="C52" s="11">
        <v>2</v>
      </c>
      <c r="D52" s="9" t="s">
        <v>801</v>
      </c>
      <c r="E52" s="16" t="s">
        <v>55</v>
      </c>
      <c r="F52" s="9" t="s">
        <v>967</v>
      </c>
      <c r="G52" s="9" t="s">
        <v>723</v>
      </c>
      <c r="H52" s="9" t="s">
        <v>952</v>
      </c>
      <c r="I52" s="16" t="s">
        <v>57</v>
      </c>
      <c r="J52" s="16"/>
      <c r="K52" s="9"/>
      <c r="L52" s="16"/>
      <c r="M52" s="16"/>
      <c r="N52" s="16"/>
      <c r="O52" s="9"/>
      <c r="P52" s="14"/>
      <c r="Q52" s="14"/>
      <c r="R52" s="9"/>
      <c r="S52" s="9"/>
      <c r="T52" s="21" t="str">
        <f t="shared" si="41"/>
        <v>25 minutes</v>
      </c>
      <c r="U52" s="21">
        <f t="shared" si="42"/>
        <v>25</v>
      </c>
      <c r="V52" s="21" t="str">
        <f t="shared" si="43"/>
        <v/>
      </c>
      <c r="W52" s="21" t="str">
        <f t="shared" si="44"/>
        <v/>
      </c>
      <c r="X52" s="21" t="str">
        <f t="shared" si="45"/>
        <v>minutes</v>
      </c>
      <c r="Y52" s="21" t="str">
        <f t="shared" si="46"/>
        <v>C1</v>
      </c>
      <c r="Z52" s="21" t="str">
        <f t="shared" si="47"/>
        <v>AFTER</v>
      </c>
      <c r="AA52" s="21" t="str">
        <f t="shared" si="48"/>
        <v/>
      </c>
      <c r="AB52" s="21" t="str">
        <f t="shared" si="49"/>
        <v/>
      </c>
      <c r="AC52" s="21" t="str">
        <f>IF(AQ52=1,"",MID(IF(BX52&lt;&gt;""," | "&amp;BX52&amp;": "&amp;SUBSTITUTE(IFERROR(INDEX(nMSG_Text,MATCH(BX52,nMSG_Code,0)),""),"[input]",BY52),"")&amp;IF(CI52=1," | W_TZ_UNKNOWN: "&amp;SUBSTITUTE(IFERROR(INDEX(nMSG_Text,MATCH("W_TZ_UNKNOWN",nMSG_Code,0)),""),"[input]",""),"")&amp;IF(CJ52=1," | W_SAME_DATE_ORDER_UNKNOWN: "&amp;SUBSTITUTE(IFERROR(INDEX(nMSG_Text,MATCH("W_SAME_DATE_ORDER_UNKNOWN",nMSG_Code,0)),""),"[input]",""),"")&amp;IF(CK52=1," | W_SEQUENCE_UNCERTAIN: "&amp;SUBSTITUTE(IFERROR(INDEX(nMSG_Text,MATCH("W_SEQUENCE_UNCERTAIN",nMSG_Code,0)),""),"[input]",""),"")&amp;IF(CL52=1," | W_ADMIN_SAME_DATE_AS_ONSET: "&amp;SUBSTITUTE(IFERROR(INDEX(nMSG_Text,MATCH("W_ADMIN_SAME_DATE_AS_ONSET",nMSG_Code,0)),""),"[input]",""),"")&amp;IF(CO52=1," | W_INTERVENTION_BEFORE_RECOVERY: "&amp;SUBSTITUTE(IFERROR(INDEX(nMSG_Text,MATCH("W_INTERVENTION_BEFORE_RECOVERY",nMSG_Code,0)),""),"[input]",""),"")&amp;IF(OR(CQ52="",CQ52="OVERLAP"),""," | "&amp;CQ52&amp;" (reported timing): "&amp;SUBSTITUTE(IFERROR(INDEX(nMSG_Text,MATCH(CQ52,nMSG_Code,0)),""),"[input]","numeric reported bounds and a reported unit"))&amp;IF(CM52=1," | I_TREATMENT_DAY_UNDEFINED: "&amp;SUBSTITUTE(IFERROR(INDEX(nMSG_Text,MATCH("I_TREATMENT_DAY_UNDEFINED",nMSG_Code,0)),""),"[input]",""),"")&amp;IF(CH52&lt;&gt;""," | "&amp;CH52&amp;" (constraint): "&amp;SUBSTITUTE(IFERROR(INDEX(nMSG_Text,MATCH(CH52,nMSG_Code,0)),""),"[input]","a source for the constraint"),""),4,9999))</f>
        <v/>
      </c>
      <c r="AD52" s="21" t="str">
        <f t="shared" si="50"/>
        <v/>
      </c>
      <c r="AE52" s="21" t="str">
        <f t="shared" si="51"/>
        <v/>
      </c>
      <c r="AF52" s="21" t="str">
        <f t="shared" si="52"/>
        <v/>
      </c>
      <c r="AG52" s="21" t="str">
        <f t="shared" si="53"/>
        <v>M-BASE</v>
      </c>
      <c r="AH52" s="21" t="str">
        <f>IF(BJ52=0,"",INDEX(nTP_ISO,BJ52))</f>
        <v>2026-01-10T08:50-05:00</v>
      </c>
      <c r="AI52" s="21" t="str">
        <f>IF(BJ52=0,"",INDEX(nTP_Display,BJ52))</f>
        <v>10 January 2026 08:50 (UTC-05:00)</v>
      </c>
      <c r="AJ52" s="21" t="str">
        <f>IF(AV52=0,"",INDEX(nTP_ISO,AV52))</f>
        <v>2026-01-10T09:15-05:00</v>
      </c>
      <c r="AK52" s="21" t="str">
        <f>IF(AV52=0,"",INDEX(nTP_Display,AV52))</f>
        <v>10 January 2026 09:15 (UTC-05:00)</v>
      </c>
      <c r="AL52" s="21" t="str">
        <f>IF(AU52=0,"",INDEX(nLNK_Exposure_Episode_ID,AU52)&amp;"")</f>
        <v>EX-A</v>
      </c>
      <c r="AM52" s="21" t="str">
        <f>IF(AU52=0,"",INDEX(nLNK_Event_Episode_ID,AU52)&amp;"")</f>
        <v>EV-1</v>
      </c>
      <c r="AN52" s="21" t="str">
        <f t="shared" si="54"/>
        <v>Both times converted to UTC with the recorded offsets.</v>
      </c>
      <c r="AO52" s="21" t="str">
        <f t="shared" si="55"/>
        <v/>
      </c>
      <c r="AP52" s="21" t="str">
        <f t="shared" si="56"/>
        <v>CALC-SPEC 1.0</v>
      </c>
      <c r="AQ52" s="22">
        <f t="shared" si="57"/>
        <v>0</v>
      </c>
      <c r="AR52" s="21" t="str">
        <f t="shared" si="58"/>
        <v>EX-C01|2</v>
      </c>
      <c r="AS52" s="21" t="str">
        <f t="shared" si="59"/>
        <v>EX-C01|2|I07</v>
      </c>
      <c r="AT52" s="22">
        <f>IF(AS52="",0,COUNTIF(nINT_Key,AS52))</f>
        <v>1</v>
      </c>
      <c r="AU52" s="22">
        <f>IF(D52="",0,IFERROR(MATCH(AR52&amp;"|"&amp;D52,nLNK_Key,0),0))</f>
        <v>22</v>
      </c>
      <c r="AV52" s="22">
        <f>IF(OR(AQ52=1,H52=""),0,IFERROR(MATCH(AR52&amp;"|"&amp;H52,nTP_Key,0),0))</f>
        <v>280</v>
      </c>
      <c r="AW52" s="21">
        <f>IF(AV52=0,0,INDEX(nTP_Dup,AV52))</f>
        <v>1</v>
      </c>
      <c r="AX52" s="21" t="str">
        <f>IF(AV52=0,"",INDEX(nTP_Record_Type,AV52))</f>
        <v>EVENT_ONSET</v>
      </c>
      <c r="AY52" s="21" t="str">
        <f>IF(AV52=0,"",INDEX(nTP_Precision,AV52))</f>
        <v>TIMESTAMP</v>
      </c>
      <c r="AZ52" s="21" t="str">
        <f>IF(AV52=0,"",INDEX(nTP_Err,AV52))</f>
        <v/>
      </c>
      <c r="BA52" s="21">
        <f>IF(AV52=0,0,INDEX(nTP_HT,AV52))</f>
        <v>1</v>
      </c>
      <c r="BB52" s="21">
        <f>IF(AV52=0,0,INDEX(nTP_OK,AV52))</f>
        <v>1</v>
      </c>
      <c r="BC52" s="21">
        <f>IF(AV52=0,"",INDEX(nTP_Loc,AV52))</f>
        <v>66286635</v>
      </c>
      <c r="BD52" s="21">
        <f>IF(AV52=0,"",INDEX(nTP_UTC,AV52))</f>
        <v>66286935</v>
      </c>
      <c r="BE52" s="21">
        <f>IF(AV52=0,"",INDEX(nTP_Lo,AV52))</f>
        <v>46032</v>
      </c>
      <c r="BF52" s="21">
        <f>IF(AV52=0,"",INDEX(nTP_Hi,AV52))</f>
        <v>46032</v>
      </c>
      <c r="BG52" s="22">
        <f>IF(OR(AQ52=1,E52&lt;&gt;"LAST_DOSE_BEFORE_ONSET",AU52=0,AV52=0),0,IF(AZ52&lt;&gt;"",0,SUMPRODUCT(MAX((nADM_SelKey=AR52&amp;"|"&amp;AL52)*nADM_Valid*(nADM_A_HT*BA52*nADM_A_OK*BB52*(nADM_UTC_n&lt;=N(BD52))+nADM_A_HT*BA52*(1-nADM_A_OK*BB52)*(nADM_Loc_n&lt;=N(BC52))+(1-nADM_A_HT*BA52)*(nADM_Lo_n&lt;=N(BE52)))*nADM_Sort_n))))</f>
        <v>0</v>
      </c>
      <c r="BH52" s="22">
        <f>IF(BG52=0,0,MATCH(1,INDEX((nADM_SelKey=AR52&amp;"|"&amp;AL52)*nADM_Valid*(nADM_A_HT*BA52*nADM_A_OK*BB52*(nADM_UTC_n&lt;=N(BD52))+nADM_A_HT*BA52*(1-nADM_A_OK*BB52)*(nADM_Loc_n&lt;=N(BC52))+(1-nADM_A_HT*BA52)*(nADM_Lo_n&lt;=N(BE52)))*(nADM_Sort_n=BG52),0),0))</f>
        <v>0</v>
      </c>
      <c r="BI52" s="21" t="str">
        <f>IF(BH52=0,"",INDEX(nADM_Admin_ID,BH52)&amp;"")</f>
        <v/>
      </c>
      <c r="BJ52" s="22">
        <f>IF(OR(AQ52=1,AG52=""),0,IFERROR(MATCH(AR52&amp;"|"&amp;AG52,nTP_Key,0),0))</f>
        <v>379</v>
      </c>
      <c r="BK52" s="21">
        <f>IF(BJ52=0,0,INDEX(nTP_Dup,BJ52))</f>
        <v>1</v>
      </c>
      <c r="BL52" s="21" t="str">
        <f>IF(BJ52=0,"",INDEX(nTP_Record_Type,BJ52))</f>
        <v>MILESTONE:BASELINE</v>
      </c>
      <c r="BM52" s="21" t="str">
        <f>IF(BJ52=0,"",INDEX(nTP_Precision,BJ52))</f>
        <v>TIMESTAMP</v>
      </c>
      <c r="BN52" s="21" t="str">
        <f>IF(BJ52=0,"",INDEX(nTP_Err,BJ52))</f>
        <v/>
      </c>
      <c r="BO52" s="21">
        <f>IF(BJ52=0,0,INDEX(nTP_HT,BJ52))</f>
        <v>1</v>
      </c>
      <c r="BP52" s="21">
        <f>IF(BJ52=0,0,INDEX(nTP_OK,BJ52))</f>
        <v>1</v>
      </c>
      <c r="BQ52" s="21">
        <f>IF(BJ52=0,"",INDEX(nTP_Loc,BJ52))</f>
        <v>66286610</v>
      </c>
      <c r="BR52" s="21">
        <f>IF(BJ52=0,"",INDEX(nTP_UTC,BJ52))</f>
        <v>66286910</v>
      </c>
      <c r="BS52" s="21">
        <f>IF(BJ52=0,"",INDEX(nTP_Lo,BJ52))</f>
        <v>46032</v>
      </c>
      <c r="BT52" s="21">
        <f>IF(BJ52=0,"",INDEX(nTP_Hi,BJ52))</f>
        <v>46032</v>
      </c>
      <c r="BU52" s="22">
        <f>IF(OR(BJ52=0,AV52=0),0,SUMPRODUCT((nTP_Case_Key=AR52)*(nTP_Record_Type="MILESTONE:INTERVENTION")*(nTP_Err="")*(nTP_HT*BO52*BA52*(nTP_Loc_n&gt;=N(BQ52))*(nTP_Loc_n&lt;=N(BC52))+(1-nTP_HT*BO52*BA52)*(nTP_Lo_n&gt;=N(BS52))*(nTP_Hi_n&lt;=N(BF52))*(nTP_Lo_n&gt;0))))</f>
        <v>0</v>
      </c>
      <c r="BV52" s="21" t="str">
        <f t="shared" si="60"/>
        <v/>
      </c>
      <c r="BW52" s="21" t="str">
        <f t="shared" si="61"/>
        <v/>
      </c>
      <c r="BX52" s="21" t="str">
        <f t="shared" si="62"/>
        <v/>
      </c>
      <c r="BY52" s="21" t="str">
        <f t="shared" si="63"/>
        <v/>
      </c>
      <c r="BZ52" s="22">
        <f t="shared" si="64"/>
        <v>0</v>
      </c>
      <c r="CA52" s="21">
        <f t="shared" si="65"/>
        <v>25</v>
      </c>
      <c r="CB52" s="21" t="str">
        <f t="shared" si="66"/>
        <v/>
      </c>
      <c r="CC52" s="21" t="str">
        <f t="shared" si="67"/>
        <v/>
      </c>
      <c r="CD52" s="21" t="str">
        <f t="shared" si="68"/>
        <v/>
      </c>
      <c r="CE52" s="22">
        <f t="shared" si="69"/>
        <v>0</v>
      </c>
      <c r="CF52" s="28" t="str">
        <f t="shared" si="70"/>
        <v/>
      </c>
      <c r="CG52" s="28" t="str">
        <f t="shared" si="71"/>
        <v/>
      </c>
      <c r="CH52" s="21" t="str">
        <f t="shared" si="72"/>
        <v/>
      </c>
      <c r="CI52" s="22">
        <f t="shared" si="73"/>
        <v>0</v>
      </c>
      <c r="CJ52" s="22">
        <f t="shared" si="74"/>
        <v>0</v>
      </c>
      <c r="CK52" s="22">
        <f t="shared" si="75"/>
        <v>0</v>
      </c>
      <c r="CL52" s="22">
        <f t="shared" si="76"/>
        <v>0</v>
      </c>
      <c r="CM52" s="22">
        <f t="shared" si="77"/>
        <v>0</v>
      </c>
      <c r="CN52" s="22">
        <f t="shared" si="78"/>
        <v>0</v>
      </c>
      <c r="CO52" s="22">
        <f t="shared" si="79"/>
        <v>0</v>
      </c>
      <c r="CP52" s="22">
        <f t="shared" si="80"/>
        <v>0</v>
      </c>
      <c r="CQ52" s="21" t="str">
        <f t="shared" si="81"/>
        <v/>
      </c>
    </row>
    <row r="53" spans="1:95" x14ac:dyDescent="0.2">
      <c r="A53" s="9" t="s">
        <v>969</v>
      </c>
      <c r="B53" s="9" t="s">
        <v>291</v>
      </c>
      <c r="C53" s="11">
        <v>2</v>
      </c>
      <c r="D53" s="9" t="s">
        <v>801</v>
      </c>
      <c r="E53" s="16" t="s">
        <v>54</v>
      </c>
      <c r="F53" s="9"/>
      <c r="G53" s="9" t="s">
        <v>968</v>
      </c>
      <c r="H53" s="9" t="s">
        <v>952</v>
      </c>
      <c r="I53" s="16" t="s">
        <v>57</v>
      </c>
      <c r="J53" s="16"/>
      <c r="K53" s="9"/>
      <c r="L53" s="16"/>
      <c r="M53" s="16"/>
      <c r="N53" s="16"/>
      <c r="O53" s="9"/>
      <c r="P53" s="14"/>
      <c r="Q53" s="14"/>
      <c r="R53" s="9"/>
      <c r="S53" s="9" t="s">
        <v>970</v>
      </c>
      <c r="T53" s="21" t="str">
        <f t="shared" si="41"/>
        <v>-1 minutes</v>
      </c>
      <c r="U53" s="21">
        <f t="shared" si="42"/>
        <v>-1</v>
      </c>
      <c r="V53" s="21" t="str">
        <f t="shared" si="43"/>
        <v/>
      </c>
      <c r="W53" s="21" t="str">
        <f t="shared" si="44"/>
        <v/>
      </c>
      <c r="X53" s="21" t="str">
        <f t="shared" si="45"/>
        <v>minutes</v>
      </c>
      <c r="Y53" s="21" t="str">
        <f t="shared" si="46"/>
        <v>C1</v>
      </c>
      <c r="Z53" s="21" t="str">
        <f t="shared" si="47"/>
        <v>BEFORE</v>
      </c>
      <c r="AA53" s="21" t="str">
        <f t="shared" si="48"/>
        <v/>
      </c>
      <c r="AB53" s="21" t="str">
        <f t="shared" si="49"/>
        <v/>
      </c>
      <c r="AC53" s="21" t="str">
        <f>IF(AQ53=1,"",MID(IF(BX53&lt;&gt;""," | "&amp;BX53&amp;": "&amp;SUBSTITUTE(IFERROR(INDEX(nMSG_Text,MATCH(BX53,nMSG_Code,0)),""),"[input]",BY53),"")&amp;IF(CI53=1," | W_TZ_UNKNOWN: "&amp;SUBSTITUTE(IFERROR(INDEX(nMSG_Text,MATCH("W_TZ_UNKNOWN",nMSG_Code,0)),""),"[input]",""),"")&amp;IF(CJ53=1," | W_SAME_DATE_ORDER_UNKNOWN: "&amp;SUBSTITUTE(IFERROR(INDEX(nMSG_Text,MATCH("W_SAME_DATE_ORDER_UNKNOWN",nMSG_Code,0)),""),"[input]",""),"")&amp;IF(CK53=1," | W_SEQUENCE_UNCERTAIN: "&amp;SUBSTITUTE(IFERROR(INDEX(nMSG_Text,MATCH("W_SEQUENCE_UNCERTAIN",nMSG_Code,0)),""),"[input]",""),"")&amp;IF(CL53=1," | W_ADMIN_SAME_DATE_AS_ONSET: "&amp;SUBSTITUTE(IFERROR(INDEX(nMSG_Text,MATCH("W_ADMIN_SAME_DATE_AS_ONSET",nMSG_Code,0)),""),"[input]",""),"")&amp;IF(CO53=1," | W_INTERVENTION_BEFORE_RECOVERY: "&amp;SUBSTITUTE(IFERROR(INDEX(nMSG_Text,MATCH("W_INTERVENTION_BEFORE_RECOVERY",nMSG_Code,0)),""),"[input]",""),"")&amp;IF(OR(CQ53="",CQ53="OVERLAP"),""," | "&amp;CQ53&amp;" (reported timing): "&amp;SUBSTITUTE(IFERROR(INDEX(nMSG_Text,MATCH(CQ53,nMSG_Code,0)),""),"[input]","numeric reported bounds and a reported unit"))&amp;IF(CM53=1," | I_TREATMENT_DAY_UNDEFINED: "&amp;SUBSTITUTE(IFERROR(INDEX(nMSG_Text,MATCH("I_TREATMENT_DAY_UNDEFINED",nMSG_Code,0)),""),"[input]",""),"")&amp;IF(CH53&lt;&gt;""," | "&amp;CH53&amp;" (constraint): "&amp;SUBSTITUTE(IFERROR(INDEX(nMSG_Text,MATCH(CH53,nMSG_Code,0)),""),"[input]","a source for the constraint"),""),4,9999))</f>
        <v/>
      </c>
      <c r="AD53" s="21" t="str">
        <f t="shared" si="50"/>
        <v/>
      </c>
      <c r="AE53" s="21" t="str">
        <f t="shared" si="51"/>
        <v/>
      </c>
      <c r="AF53" s="21" t="str">
        <f t="shared" si="52"/>
        <v/>
      </c>
      <c r="AG53" s="21" t="str">
        <f t="shared" si="53"/>
        <v>EX-A/STOP</v>
      </c>
      <c r="AH53" s="21" t="str">
        <f>IF(BJ53=0,"",INDEX(nTP_ISO,BJ53))</f>
        <v>2026-01-10T09:16-05:00</v>
      </c>
      <c r="AI53" s="21" t="str">
        <f>IF(BJ53=0,"",INDEX(nTP_Display,BJ53))</f>
        <v>10 January 2026 09:16 (UTC-05:00)</v>
      </c>
      <c r="AJ53" s="21" t="str">
        <f>IF(AV53=0,"",INDEX(nTP_ISO,AV53))</f>
        <v>2026-01-10T09:15-05:00</v>
      </c>
      <c r="AK53" s="21" t="str">
        <f>IF(AV53=0,"",INDEX(nTP_Display,AV53))</f>
        <v>10 January 2026 09:15 (UTC-05:00)</v>
      </c>
      <c r="AL53" s="21" t="str">
        <f>IF(AU53=0,"",INDEX(nLNK_Exposure_Episode_ID,AU53)&amp;"")</f>
        <v>EX-A</v>
      </c>
      <c r="AM53" s="21" t="str">
        <f>IF(AU53=0,"",INDEX(nLNK_Event_Episode_ID,AU53)&amp;"")</f>
        <v>EV-1</v>
      </c>
      <c r="AN53" s="21" t="str">
        <f t="shared" si="54"/>
        <v>Both times converted to UTC with the recorded offsets.</v>
      </c>
      <c r="AO53" s="21" t="str">
        <f t="shared" si="55"/>
        <v/>
      </c>
      <c r="AP53" s="21" t="str">
        <f t="shared" si="56"/>
        <v>CALC-SPEC 1.0</v>
      </c>
      <c r="AQ53" s="22">
        <f t="shared" si="57"/>
        <v>0</v>
      </c>
      <c r="AR53" s="21" t="str">
        <f t="shared" si="58"/>
        <v>EX-C01|2</v>
      </c>
      <c r="AS53" s="21" t="str">
        <f t="shared" si="59"/>
        <v>EX-C01|2|I08</v>
      </c>
      <c r="AT53" s="22">
        <f>IF(AS53="",0,COUNTIF(nINT_Key,AS53))</f>
        <v>1</v>
      </c>
      <c r="AU53" s="22">
        <f>IF(D53="",0,IFERROR(MATCH(AR53&amp;"|"&amp;D53,nLNK_Key,0),0))</f>
        <v>22</v>
      </c>
      <c r="AV53" s="22">
        <f>IF(OR(AQ53=1,H53=""),0,IFERROR(MATCH(AR53&amp;"|"&amp;H53,nTP_Key,0),0))</f>
        <v>280</v>
      </c>
      <c r="AW53" s="21">
        <f>IF(AV53=0,0,INDEX(nTP_Dup,AV53))</f>
        <v>1</v>
      </c>
      <c r="AX53" s="21" t="str">
        <f>IF(AV53=0,"",INDEX(nTP_Record_Type,AV53))</f>
        <v>EVENT_ONSET</v>
      </c>
      <c r="AY53" s="21" t="str">
        <f>IF(AV53=0,"",INDEX(nTP_Precision,AV53))</f>
        <v>TIMESTAMP</v>
      </c>
      <c r="AZ53" s="21" t="str">
        <f>IF(AV53=0,"",INDEX(nTP_Err,AV53))</f>
        <v/>
      </c>
      <c r="BA53" s="21">
        <f>IF(AV53=0,0,INDEX(nTP_HT,AV53))</f>
        <v>1</v>
      </c>
      <c r="BB53" s="21">
        <f>IF(AV53=0,0,INDEX(nTP_OK,AV53))</f>
        <v>1</v>
      </c>
      <c r="BC53" s="21">
        <f>IF(AV53=0,"",INDEX(nTP_Loc,AV53))</f>
        <v>66286635</v>
      </c>
      <c r="BD53" s="21">
        <f>IF(AV53=0,"",INDEX(nTP_UTC,AV53))</f>
        <v>66286935</v>
      </c>
      <c r="BE53" s="21">
        <f>IF(AV53=0,"",INDEX(nTP_Lo,AV53))</f>
        <v>46032</v>
      </c>
      <c r="BF53" s="21">
        <f>IF(AV53=0,"",INDEX(nTP_Hi,AV53))</f>
        <v>46032</v>
      </c>
      <c r="BG53" s="22">
        <f>IF(OR(AQ53=1,E53&lt;&gt;"LAST_DOSE_BEFORE_ONSET",AU53=0,AV53=0),0,IF(AZ53&lt;&gt;"",0,SUMPRODUCT(MAX((nADM_SelKey=AR53&amp;"|"&amp;AL53)*nADM_Valid*(nADM_A_HT*BA53*nADM_A_OK*BB53*(nADM_UTC_n&lt;=N(BD53))+nADM_A_HT*BA53*(1-nADM_A_OK*BB53)*(nADM_Loc_n&lt;=N(BC53))+(1-nADM_A_HT*BA53)*(nADM_Lo_n&lt;=N(BE53)))*nADM_Sort_n))))</f>
        <v>0</v>
      </c>
      <c r="BH53" s="22">
        <f>IF(BG53=0,0,MATCH(1,INDEX((nADM_SelKey=AR53&amp;"|"&amp;AL53)*nADM_Valid*(nADM_A_HT*BA53*nADM_A_OK*BB53*(nADM_UTC_n&lt;=N(BD53))+nADM_A_HT*BA53*(1-nADM_A_OK*BB53)*(nADM_Loc_n&lt;=N(BC53))+(1-nADM_A_HT*BA53)*(nADM_Lo_n&lt;=N(BE53)))*(nADM_Sort_n=BG53),0),0))</f>
        <v>0</v>
      </c>
      <c r="BI53" s="21" t="str">
        <f>IF(BH53=0,"",INDEX(nADM_Admin_ID,BH53)&amp;"")</f>
        <v/>
      </c>
      <c r="BJ53" s="22">
        <f>IF(OR(AQ53=1,AG53=""),0,IFERROR(MATCH(AR53&amp;"|"&amp;AG53,nTP_Key,0),0))</f>
        <v>95</v>
      </c>
      <c r="BK53" s="21">
        <f>IF(BJ53=0,0,INDEX(nTP_Dup,BJ53))</f>
        <v>1</v>
      </c>
      <c r="BL53" s="21" t="str">
        <f>IF(BJ53=0,"",INDEX(nTP_Record_Type,BJ53))</f>
        <v>EXPOSURE_STOP</v>
      </c>
      <c r="BM53" s="21" t="str">
        <f>IF(BJ53=0,"",INDEX(nTP_Precision,BJ53))</f>
        <v>TIMESTAMP</v>
      </c>
      <c r="BN53" s="21" t="str">
        <f>IF(BJ53=0,"",INDEX(nTP_Err,BJ53))</f>
        <v/>
      </c>
      <c r="BO53" s="21">
        <f>IF(BJ53=0,0,INDEX(nTP_HT,BJ53))</f>
        <v>1</v>
      </c>
      <c r="BP53" s="21">
        <f>IF(BJ53=0,0,INDEX(nTP_OK,BJ53))</f>
        <v>1</v>
      </c>
      <c r="BQ53" s="21">
        <f>IF(BJ53=0,"",INDEX(nTP_Loc,BJ53))</f>
        <v>66286636</v>
      </c>
      <c r="BR53" s="21">
        <f>IF(BJ53=0,"",INDEX(nTP_UTC,BJ53))</f>
        <v>66286936</v>
      </c>
      <c r="BS53" s="21">
        <f>IF(BJ53=0,"",INDEX(nTP_Lo,BJ53))</f>
        <v>46032</v>
      </c>
      <c r="BT53" s="21">
        <f>IF(BJ53=0,"",INDEX(nTP_Hi,BJ53))</f>
        <v>46032</v>
      </c>
      <c r="BU53" s="22">
        <f>IF(OR(BJ53=0,AV53=0),0,SUMPRODUCT((nTP_Case_Key=AR53)*(nTP_Record_Type="MILESTONE:INTERVENTION")*(nTP_Err="")*(nTP_HT*BO53*BA53*(nTP_Loc_n&gt;=N(BQ53))*(nTP_Loc_n&lt;=N(BC53))+(1-nTP_HT*BO53*BA53)*(nTP_Lo_n&gt;=N(BS53))*(nTP_Hi_n&lt;=N(BF53))*(nTP_Lo_n&gt;0))))</f>
        <v>0</v>
      </c>
      <c r="BV53" s="21" t="str">
        <f t="shared" si="60"/>
        <v/>
      </c>
      <c r="BW53" s="21" t="str">
        <f t="shared" si="61"/>
        <v/>
      </c>
      <c r="BX53" s="21" t="str">
        <f t="shared" si="62"/>
        <v/>
      </c>
      <c r="BY53" s="21" t="str">
        <f t="shared" si="63"/>
        <v/>
      </c>
      <c r="BZ53" s="22">
        <f t="shared" si="64"/>
        <v>0</v>
      </c>
      <c r="CA53" s="21">
        <f t="shared" si="65"/>
        <v>-1</v>
      </c>
      <c r="CB53" s="21" t="str">
        <f t="shared" si="66"/>
        <v/>
      </c>
      <c r="CC53" s="21" t="str">
        <f t="shared" si="67"/>
        <v/>
      </c>
      <c r="CD53" s="21" t="str">
        <f t="shared" si="68"/>
        <v/>
      </c>
      <c r="CE53" s="22">
        <f t="shared" si="69"/>
        <v>0</v>
      </c>
      <c r="CF53" s="28" t="str">
        <f t="shared" si="70"/>
        <v/>
      </c>
      <c r="CG53" s="28" t="str">
        <f t="shared" si="71"/>
        <v/>
      </c>
      <c r="CH53" s="21" t="str">
        <f t="shared" si="72"/>
        <v/>
      </c>
      <c r="CI53" s="22">
        <f t="shared" si="73"/>
        <v>0</v>
      </c>
      <c r="CJ53" s="22">
        <f t="shared" si="74"/>
        <v>0</v>
      </c>
      <c r="CK53" s="22">
        <f t="shared" si="75"/>
        <v>0</v>
      </c>
      <c r="CL53" s="22">
        <f t="shared" si="76"/>
        <v>0</v>
      </c>
      <c r="CM53" s="22">
        <f t="shared" si="77"/>
        <v>0</v>
      </c>
      <c r="CN53" s="22">
        <f t="shared" si="78"/>
        <v>0</v>
      </c>
      <c r="CO53" s="22">
        <f t="shared" si="79"/>
        <v>0</v>
      </c>
      <c r="CP53" s="22">
        <f t="shared" si="80"/>
        <v>0</v>
      </c>
      <c r="CQ53" s="21" t="str">
        <f t="shared" si="81"/>
        <v/>
      </c>
    </row>
    <row r="54" spans="1:95" x14ac:dyDescent="0.2">
      <c r="A54" s="9" t="s">
        <v>971</v>
      </c>
      <c r="B54" s="9" t="s">
        <v>291</v>
      </c>
      <c r="C54" s="11">
        <v>2</v>
      </c>
      <c r="D54" s="9" t="s">
        <v>801</v>
      </c>
      <c r="E54" s="16" t="s">
        <v>55</v>
      </c>
      <c r="F54" s="9" t="s">
        <v>972</v>
      </c>
      <c r="G54" s="9" t="s">
        <v>726</v>
      </c>
      <c r="H54" s="9" t="s">
        <v>952</v>
      </c>
      <c r="I54" s="16" t="s">
        <v>57</v>
      </c>
      <c r="J54" s="16"/>
      <c r="K54" s="9"/>
      <c r="L54" s="16"/>
      <c r="M54" s="16"/>
      <c r="N54" s="16"/>
      <c r="O54" s="9"/>
      <c r="P54" s="14"/>
      <c r="Q54" s="14"/>
      <c r="R54" s="9"/>
      <c r="S54" s="9"/>
      <c r="T54" s="21" t="str">
        <f t="shared" si="41"/>
        <v>-3 minutes</v>
      </c>
      <c r="U54" s="21">
        <f t="shared" si="42"/>
        <v>-3</v>
      </c>
      <c r="V54" s="21" t="str">
        <f t="shared" si="43"/>
        <v/>
      </c>
      <c r="W54" s="21" t="str">
        <f t="shared" si="44"/>
        <v/>
      </c>
      <c r="X54" s="21" t="str">
        <f t="shared" si="45"/>
        <v>minutes</v>
      </c>
      <c r="Y54" s="21" t="str">
        <f t="shared" si="46"/>
        <v>C1</v>
      </c>
      <c r="Z54" s="21" t="str">
        <f t="shared" si="47"/>
        <v>BEFORE</v>
      </c>
      <c r="AA54" s="21" t="str">
        <f t="shared" si="48"/>
        <v/>
      </c>
      <c r="AB54" s="21" t="str">
        <f t="shared" si="49"/>
        <v/>
      </c>
      <c r="AC54" s="21" t="str">
        <f>IF(AQ54=1,"",MID(IF(BX54&lt;&gt;""," | "&amp;BX54&amp;": "&amp;SUBSTITUTE(IFERROR(INDEX(nMSG_Text,MATCH(BX54,nMSG_Code,0)),""),"[input]",BY54),"")&amp;IF(CI54=1," | W_TZ_UNKNOWN: "&amp;SUBSTITUTE(IFERROR(INDEX(nMSG_Text,MATCH("W_TZ_UNKNOWN",nMSG_Code,0)),""),"[input]",""),"")&amp;IF(CJ54=1," | W_SAME_DATE_ORDER_UNKNOWN: "&amp;SUBSTITUTE(IFERROR(INDEX(nMSG_Text,MATCH("W_SAME_DATE_ORDER_UNKNOWN",nMSG_Code,0)),""),"[input]",""),"")&amp;IF(CK54=1," | W_SEQUENCE_UNCERTAIN: "&amp;SUBSTITUTE(IFERROR(INDEX(nMSG_Text,MATCH("W_SEQUENCE_UNCERTAIN",nMSG_Code,0)),""),"[input]",""),"")&amp;IF(CL54=1," | W_ADMIN_SAME_DATE_AS_ONSET: "&amp;SUBSTITUTE(IFERROR(INDEX(nMSG_Text,MATCH("W_ADMIN_SAME_DATE_AS_ONSET",nMSG_Code,0)),""),"[input]",""),"")&amp;IF(CO54=1," | W_INTERVENTION_BEFORE_RECOVERY: "&amp;SUBSTITUTE(IFERROR(INDEX(nMSG_Text,MATCH("W_INTERVENTION_BEFORE_RECOVERY",nMSG_Code,0)),""),"[input]",""),"")&amp;IF(OR(CQ54="",CQ54="OVERLAP"),""," | "&amp;CQ54&amp;" (reported timing): "&amp;SUBSTITUTE(IFERROR(INDEX(nMSG_Text,MATCH(CQ54,nMSG_Code,0)),""),"[input]","numeric reported bounds and a reported unit"))&amp;IF(CM54=1," | I_TREATMENT_DAY_UNDEFINED: "&amp;SUBSTITUTE(IFERROR(INDEX(nMSG_Text,MATCH("I_TREATMENT_DAY_UNDEFINED",nMSG_Code,0)),""),"[input]",""),"")&amp;IF(CH54&lt;&gt;""," | "&amp;CH54&amp;" (constraint): "&amp;SUBSTITUTE(IFERROR(INDEX(nMSG_Text,MATCH(CH54,nMSG_Code,0)),""),"[input]","a source for the constraint"),""),4,9999))</f>
        <v/>
      </c>
      <c r="AD54" s="21" t="str">
        <f t="shared" si="50"/>
        <v/>
      </c>
      <c r="AE54" s="21" t="str">
        <f t="shared" si="51"/>
        <v/>
      </c>
      <c r="AF54" s="21" t="str">
        <f t="shared" si="52"/>
        <v/>
      </c>
      <c r="AG54" s="21" t="str">
        <f t="shared" si="53"/>
        <v>M-EMERG</v>
      </c>
      <c r="AH54" s="21" t="str">
        <f>IF(BJ54=0,"",INDEX(nTP_ISO,BJ54))</f>
        <v>2026-01-10T09:18-05:00</v>
      </c>
      <c r="AI54" s="21" t="str">
        <f>IF(BJ54=0,"",INDEX(nTP_Display,BJ54))</f>
        <v>10 January 2026 09:18 (UTC-05:00)</v>
      </c>
      <c r="AJ54" s="21" t="str">
        <f>IF(AV54=0,"",INDEX(nTP_ISO,AV54))</f>
        <v>2026-01-10T09:15-05:00</v>
      </c>
      <c r="AK54" s="21" t="str">
        <f>IF(AV54=0,"",INDEX(nTP_Display,AV54))</f>
        <v>10 January 2026 09:15 (UTC-05:00)</v>
      </c>
      <c r="AL54" s="21" t="str">
        <f>IF(AU54=0,"",INDEX(nLNK_Exposure_Episode_ID,AU54)&amp;"")</f>
        <v>EX-A</v>
      </c>
      <c r="AM54" s="21" t="str">
        <f>IF(AU54=0,"",INDEX(nLNK_Event_Episode_ID,AU54)&amp;"")</f>
        <v>EV-1</v>
      </c>
      <c r="AN54" s="21" t="str">
        <f t="shared" si="54"/>
        <v>Both times converted to UTC with the recorded offsets.</v>
      </c>
      <c r="AO54" s="21" t="str">
        <f t="shared" si="55"/>
        <v/>
      </c>
      <c r="AP54" s="21" t="str">
        <f t="shared" si="56"/>
        <v>CALC-SPEC 1.0</v>
      </c>
      <c r="AQ54" s="22">
        <f t="shared" si="57"/>
        <v>0</v>
      </c>
      <c r="AR54" s="21" t="str">
        <f t="shared" si="58"/>
        <v>EX-C01|2</v>
      </c>
      <c r="AS54" s="21" t="str">
        <f t="shared" si="59"/>
        <v>EX-C01|2|I09</v>
      </c>
      <c r="AT54" s="22">
        <f>IF(AS54="",0,COUNTIF(nINT_Key,AS54))</f>
        <v>1</v>
      </c>
      <c r="AU54" s="22">
        <f>IF(D54="",0,IFERROR(MATCH(AR54&amp;"|"&amp;D54,nLNK_Key,0),0))</f>
        <v>22</v>
      </c>
      <c r="AV54" s="22">
        <f>IF(OR(AQ54=1,H54=""),0,IFERROR(MATCH(AR54&amp;"|"&amp;H54,nTP_Key,0),0))</f>
        <v>280</v>
      </c>
      <c r="AW54" s="21">
        <f>IF(AV54=0,0,INDEX(nTP_Dup,AV54))</f>
        <v>1</v>
      </c>
      <c r="AX54" s="21" t="str">
        <f>IF(AV54=0,"",INDEX(nTP_Record_Type,AV54))</f>
        <v>EVENT_ONSET</v>
      </c>
      <c r="AY54" s="21" t="str">
        <f>IF(AV54=0,"",INDEX(nTP_Precision,AV54))</f>
        <v>TIMESTAMP</v>
      </c>
      <c r="AZ54" s="21" t="str">
        <f>IF(AV54=0,"",INDEX(nTP_Err,AV54))</f>
        <v/>
      </c>
      <c r="BA54" s="21">
        <f>IF(AV54=0,0,INDEX(nTP_HT,AV54))</f>
        <v>1</v>
      </c>
      <c r="BB54" s="21">
        <f>IF(AV54=0,0,INDEX(nTP_OK,AV54))</f>
        <v>1</v>
      </c>
      <c r="BC54" s="21">
        <f>IF(AV54=0,"",INDEX(nTP_Loc,AV54))</f>
        <v>66286635</v>
      </c>
      <c r="BD54" s="21">
        <f>IF(AV54=0,"",INDEX(nTP_UTC,AV54))</f>
        <v>66286935</v>
      </c>
      <c r="BE54" s="21">
        <f>IF(AV54=0,"",INDEX(nTP_Lo,AV54))</f>
        <v>46032</v>
      </c>
      <c r="BF54" s="21">
        <f>IF(AV54=0,"",INDEX(nTP_Hi,AV54))</f>
        <v>46032</v>
      </c>
      <c r="BG54" s="22">
        <f>IF(OR(AQ54=1,E54&lt;&gt;"LAST_DOSE_BEFORE_ONSET",AU54=0,AV54=0),0,IF(AZ54&lt;&gt;"",0,SUMPRODUCT(MAX((nADM_SelKey=AR54&amp;"|"&amp;AL54)*nADM_Valid*(nADM_A_HT*BA54*nADM_A_OK*BB54*(nADM_UTC_n&lt;=N(BD54))+nADM_A_HT*BA54*(1-nADM_A_OK*BB54)*(nADM_Loc_n&lt;=N(BC54))+(1-nADM_A_HT*BA54)*(nADM_Lo_n&lt;=N(BE54)))*nADM_Sort_n))))</f>
        <v>0</v>
      </c>
      <c r="BH54" s="22">
        <f>IF(BG54=0,0,MATCH(1,INDEX((nADM_SelKey=AR54&amp;"|"&amp;AL54)*nADM_Valid*(nADM_A_HT*BA54*nADM_A_OK*BB54*(nADM_UTC_n&lt;=N(BD54))+nADM_A_HT*BA54*(1-nADM_A_OK*BB54)*(nADM_Loc_n&lt;=N(BC54))+(1-nADM_A_HT*BA54)*(nADM_Lo_n&lt;=N(BE54)))*(nADM_Sort_n=BG54),0),0))</f>
        <v>0</v>
      </c>
      <c r="BI54" s="21" t="str">
        <f>IF(BH54=0,"",INDEX(nADM_Admin_ID,BH54)&amp;"")</f>
        <v/>
      </c>
      <c r="BJ54" s="22">
        <f>IF(OR(AQ54=1,AG54=""),0,IFERROR(MATCH(AR54&amp;"|"&amp;AG54,nTP_Key,0),0))</f>
        <v>380</v>
      </c>
      <c r="BK54" s="21">
        <f>IF(BJ54=0,0,INDEX(nTP_Dup,BJ54))</f>
        <v>1</v>
      </c>
      <c r="BL54" s="21" t="str">
        <f>IF(BJ54=0,"",INDEX(nTP_Record_Type,BJ54))</f>
        <v>MILESTONE:INTERVENTION</v>
      </c>
      <c r="BM54" s="21" t="str">
        <f>IF(BJ54=0,"",INDEX(nTP_Precision,BJ54))</f>
        <v>TIMESTAMP</v>
      </c>
      <c r="BN54" s="21" t="str">
        <f>IF(BJ54=0,"",INDEX(nTP_Err,BJ54))</f>
        <v/>
      </c>
      <c r="BO54" s="21">
        <f>IF(BJ54=0,0,INDEX(nTP_HT,BJ54))</f>
        <v>1</v>
      </c>
      <c r="BP54" s="21">
        <f>IF(BJ54=0,0,INDEX(nTP_OK,BJ54))</f>
        <v>1</v>
      </c>
      <c r="BQ54" s="21">
        <f>IF(BJ54=0,"",INDEX(nTP_Loc,BJ54))</f>
        <v>66286638</v>
      </c>
      <c r="BR54" s="21">
        <f>IF(BJ54=0,"",INDEX(nTP_UTC,BJ54))</f>
        <v>66286938</v>
      </c>
      <c r="BS54" s="21">
        <f>IF(BJ54=0,"",INDEX(nTP_Lo,BJ54))</f>
        <v>46032</v>
      </c>
      <c r="BT54" s="21">
        <f>IF(BJ54=0,"",INDEX(nTP_Hi,BJ54))</f>
        <v>46032</v>
      </c>
      <c r="BU54" s="22">
        <f>IF(OR(BJ54=0,AV54=0),0,SUMPRODUCT((nTP_Case_Key=AR54)*(nTP_Record_Type="MILESTONE:INTERVENTION")*(nTP_Err="")*(nTP_HT*BO54*BA54*(nTP_Loc_n&gt;=N(BQ54))*(nTP_Loc_n&lt;=N(BC54))+(1-nTP_HT*BO54*BA54)*(nTP_Lo_n&gt;=N(BS54))*(nTP_Hi_n&lt;=N(BF54))*(nTP_Lo_n&gt;0))))</f>
        <v>0</v>
      </c>
      <c r="BV54" s="21" t="str">
        <f t="shared" si="60"/>
        <v/>
      </c>
      <c r="BW54" s="21" t="str">
        <f t="shared" si="61"/>
        <v/>
      </c>
      <c r="BX54" s="21" t="str">
        <f t="shared" si="62"/>
        <v/>
      </c>
      <c r="BY54" s="21" t="str">
        <f t="shared" si="63"/>
        <v/>
      </c>
      <c r="BZ54" s="22">
        <f t="shared" si="64"/>
        <v>0</v>
      </c>
      <c r="CA54" s="21">
        <f t="shared" si="65"/>
        <v>-3</v>
      </c>
      <c r="CB54" s="21" t="str">
        <f t="shared" si="66"/>
        <v/>
      </c>
      <c r="CC54" s="21" t="str">
        <f t="shared" si="67"/>
        <v/>
      </c>
      <c r="CD54" s="21" t="str">
        <f t="shared" si="68"/>
        <v/>
      </c>
      <c r="CE54" s="22">
        <f t="shared" si="69"/>
        <v>0</v>
      </c>
      <c r="CF54" s="28" t="str">
        <f t="shared" si="70"/>
        <v/>
      </c>
      <c r="CG54" s="28" t="str">
        <f t="shared" si="71"/>
        <v/>
      </c>
      <c r="CH54" s="21" t="str">
        <f t="shared" si="72"/>
        <v/>
      </c>
      <c r="CI54" s="22">
        <f t="shared" si="73"/>
        <v>0</v>
      </c>
      <c r="CJ54" s="22">
        <f t="shared" si="74"/>
        <v>0</v>
      </c>
      <c r="CK54" s="22">
        <f t="shared" si="75"/>
        <v>0</v>
      </c>
      <c r="CL54" s="22">
        <f t="shared" si="76"/>
        <v>0</v>
      </c>
      <c r="CM54" s="22">
        <f t="shared" si="77"/>
        <v>0</v>
      </c>
      <c r="CN54" s="22">
        <f t="shared" si="78"/>
        <v>0</v>
      </c>
      <c r="CO54" s="22">
        <f t="shared" si="79"/>
        <v>0</v>
      </c>
      <c r="CP54" s="22">
        <f t="shared" si="80"/>
        <v>0</v>
      </c>
      <c r="CQ54" s="21" t="str">
        <f t="shared" si="81"/>
        <v/>
      </c>
    </row>
    <row r="55" spans="1:95" x14ac:dyDescent="0.2">
      <c r="A55" s="9" t="s">
        <v>973</v>
      </c>
      <c r="B55" s="9" t="s">
        <v>291</v>
      </c>
      <c r="C55" s="11">
        <v>2</v>
      </c>
      <c r="D55" s="9" t="s">
        <v>801</v>
      </c>
      <c r="E55" s="16" t="s">
        <v>54</v>
      </c>
      <c r="F55" s="9"/>
      <c r="G55" s="9" t="s">
        <v>968</v>
      </c>
      <c r="H55" s="9" t="s">
        <v>729</v>
      </c>
      <c r="I55" s="16" t="s">
        <v>57</v>
      </c>
      <c r="J55" s="16"/>
      <c r="K55" s="9"/>
      <c r="L55" s="16"/>
      <c r="M55" s="16"/>
      <c r="N55" s="16"/>
      <c r="O55" s="9"/>
      <c r="P55" s="14"/>
      <c r="Q55" s="14"/>
      <c r="R55" s="9"/>
      <c r="S55" s="9" t="s">
        <v>974</v>
      </c>
      <c r="T55" s="21" t="str">
        <f t="shared" si="41"/>
        <v>19 minutes</v>
      </c>
      <c r="U55" s="21">
        <f t="shared" si="42"/>
        <v>19</v>
      </c>
      <c r="V55" s="21" t="str">
        <f t="shared" si="43"/>
        <v/>
      </c>
      <c r="W55" s="21" t="str">
        <f t="shared" si="44"/>
        <v/>
      </c>
      <c r="X55" s="21" t="str">
        <f t="shared" si="45"/>
        <v>minutes</v>
      </c>
      <c r="Y55" s="21" t="str">
        <f t="shared" si="46"/>
        <v>C7 (C1)</v>
      </c>
      <c r="Z55" s="21" t="str">
        <f t="shared" si="47"/>
        <v>AFTER</v>
      </c>
      <c r="AA55" s="21" t="str">
        <f t="shared" si="48"/>
        <v/>
      </c>
      <c r="AB55" s="21" t="str">
        <f t="shared" si="49"/>
        <v>W_INTERVENTION_BEFORE_RECOVERY</v>
      </c>
      <c r="AC55" s="21" t="str">
        <f>IF(AQ55=1,"",MID(IF(BX55&lt;&gt;""," | "&amp;BX55&amp;": "&amp;SUBSTITUTE(IFERROR(INDEX(nMSG_Text,MATCH(BX55,nMSG_Code,0)),""),"[input]",BY55),"")&amp;IF(CI55=1," | W_TZ_UNKNOWN: "&amp;SUBSTITUTE(IFERROR(INDEX(nMSG_Text,MATCH("W_TZ_UNKNOWN",nMSG_Code,0)),""),"[input]",""),"")&amp;IF(CJ55=1," | W_SAME_DATE_ORDER_UNKNOWN: "&amp;SUBSTITUTE(IFERROR(INDEX(nMSG_Text,MATCH("W_SAME_DATE_ORDER_UNKNOWN",nMSG_Code,0)),""),"[input]",""),"")&amp;IF(CK55=1," | W_SEQUENCE_UNCERTAIN: "&amp;SUBSTITUTE(IFERROR(INDEX(nMSG_Text,MATCH("W_SEQUENCE_UNCERTAIN",nMSG_Code,0)),""),"[input]",""),"")&amp;IF(CL55=1," | W_ADMIN_SAME_DATE_AS_ONSET: "&amp;SUBSTITUTE(IFERROR(INDEX(nMSG_Text,MATCH("W_ADMIN_SAME_DATE_AS_ONSET",nMSG_Code,0)),""),"[input]",""),"")&amp;IF(CO55=1," | W_INTERVENTION_BEFORE_RECOVERY: "&amp;SUBSTITUTE(IFERROR(INDEX(nMSG_Text,MATCH("W_INTERVENTION_BEFORE_RECOVERY",nMSG_Code,0)),""),"[input]",""),"")&amp;IF(OR(CQ55="",CQ55="OVERLAP"),""," | "&amp;CQ55&amp;" (reported timing): "&amp;SUBSTITUTE(IFERROR(INDEX(nMSG_Text,MATCH(CQ55,nMSG_Code,0)),""),"[input]","numeric reported bounds and a reported unit"))&amp;IF(CM55=1," | I_TREATMENT_DAY_UNDEFINED: "&amp;SUBSTITUTE(IFERROR(INDEX(nMSG_Text,MATCH("I_TREATMENT_DAY_UNDEFINED",nMSG_Code,0)),""),"[input]",""),"")&amp;IF(CH55&lt;&gt;""," | "&amp;CH55&amp;" (constraint): "&amp;SUBSTITUTE(IFERROR(INDEX(nMSG_Text,MATCH(CH55,nMSG_Code,0)),""),"[input]","a source for the constraint"),""),4,9999))</f>
        <v>W_INTERVENTION_BEFORE_RECOVERY: Treatment was given before recovery, so recovery cannot be attributed to withdrawal alone.</v>
      </c>
      <c r="AD55" s="21" t="str">
        <f t="shared" si="50"/>
        <v/>
      </c>
      <c r="AE55" s="21" t="str">
        <f t="shared" si="51"/>
        <v/>
      </c>
      <c r="AF55" s="21" t="str">
        <f t="shared" si="52"/>
        <v/>
      </c>
      <c r="AG55" s="21" t="str">
        <f t="shared" si="53"/>
        <v>EX-A/STOP</v>
      </c>
      <c r="AH55" s="21" t="str">
        <f>IF(BJ55=0,"",INDEX(nTP_ISO,BJ55))</f>
        <v>2026-01-10T09:16-05:00</v>
      </c>
      <c r="AI55" s="21" t="str">
        <f>IF(BJ55=0,"",INDEX(nTP_Display,BJ55))</f>
        <v>10 January 2026 09:16 (UTC-05:00)</v>
      </c>
      <c r="AJ55" s="21" t="str">
        <f>IF(AV55=0,"",INDEX(nTP_ISO,AV55))</f>
        <v>2026-01-10T09:35-05:00</v>
      </c>
      <c r="AK55" s="21" t="str">
        <f>IF(AV55=0,"",INDEX(nTP_Display,AV55))</f>
        <v>10 January 2026 09:35 (UTC-05:00)</v>
      </c>
      <c r="AL55" s="21" t="str">
        <f>IF(AU55=0,"",INDEX(nLNK_Exposure_Episode_ID,AU55)&amp;"")</f>
        <v>EX-A</v>
      </c>
      <c r="AM55" s="21" t="str">
        <f>IF(AU55=0,"",INDEX(nLNK_Event_Episode_ID,AU55)&amp;"")</f>
        <v>EV-1</v>
      </c>
      <c r="AN55" s="21" t="str">
        <f t="shared" si="54"/>
        <v>Both times converted to UTC with the recorded offsets.</v>
      </c>
      <c r="AO55" s="21" t="str">
        <f t="shared" si="55"/>
        <v/>
      </c>
      <c r="AP55" s="21" t="str">
        <f t="shared" si="56"/>
        <v>CALC-SPEC 1.0</v>
      </c>
      <c r="AQ55" s="22">
        <f t="shared" si="57"/>
        <v>0</v>
      </c>
      <c r="AR55" s="21" t="str">
        <f t="shared" si="58"/>
        <v>EX-C01|2</v>
      </c>
      <c r="AS55" s="21" t="str">
        <f t="shared" si="59"/>
        <v>EX-C01|2|I10</v>
      </c>
      <c r="AT55" s="22">
        <f>IF(AS55="",0,COUNTIF(nINT_Key,AS55))</f>
        <v>1</v>
      </c>
      <c r="AU55" s="22">
        <f>IF(D55="",0,IFERROR(MATCH(AR55&amp;"|"&amp;D55,nLNK_Key,0),0))</f>
        <v>22</v>
      </c>
      <c r="AV55" s="22">
        <f>IF(OR(AQ55=1,H55=""),0,IFERROR(MATCH(AR55&amp;"|"&amp;H55,nTP_Key,0),0))</f>
        <v>381</v>
      </c>
      <c r="AW55" s="21">
        <f>IF(AV55=0,0,INDEX(nTP_Dup,AV55))</f>
        <v>1</v>
      </c>
      <c r="AX55" s="21" t="str">
        <f>IF(AV55=0,"",INDEX(nTP_Record_Type,AV55))</f>
        <v>MILESTONE:RECOVERY</v>
      </c>
      <c r="AY55" s="21" t="str">
        <f>IF(AV55=0,"",INDEX(nTP_Precision,AV55))</f>
        <v>TIMESTAMP</v>
      </c>
      <c r="AZ55" s="21" t="str">
        <f>IF(AV55=0,"",INDEX(nTP_Err,AV55))</f>
        <v/>
      </c>
      <c r="BA55" s="21">
        <f>IF(AV55=0,0,INDEX(nTP_HT,AV55))</f>
        <v>1</v>
      </c>
      <c r="BB55" s="21">
        <f>IF(AV55=0,0,INDEX(nTP_OK,AV55))</f>
        <v>1</v>
      </c>
      <c r="BC55" s="21">
        <f>IF(AV55=0,"",INDEX(nTP_Loc,AV55))</f>
        <v>66286655</v>
      </c>
      <c r="BD55" s="21">
        <f>IF(AV55=0,"",INDEX(nTP_UTC,AV55))</f>
        <v>66286955</v>
      </c>
      <c r="BE55" s="21">
        <f>IF(AV55=0,"",INDEX(nTP_Lo,AV55))</f>
        <v>46032</v>
      </c>
      <c r="BF55" s="21">
        <f>IF(AV55=0,"",INDEX(nTP_Hi,AV55))</f>
        <v>46032</v>
      </c>
      <c r="BG55" s="22">
        <f>IF(OR(AQ55=1,E55&lt;&gt;"LAST_DOSE_BEFORE_ONSET",AU55=0,AV55=0),0,IF(AZ55&lt;&gt;"",0,SUMPRODUCT(MAX((nADM_SelKey=AR55&amp;"|"&amp;AL55)*nADM_Valid*(nADM_A_HT*BA55*nADM_A_OK*BB55*(nADM_UTC_n&lt;=N(BD55))+nADM_A_HT*BA55*(1-nADM_A_OK*BB55)*(nADM_Loc_n&lt;=N(BC55))+(1-nADM_A_HT*BA55)*(nADM_Lo_n&lt;=N(BE55)))*nADM_Sort_n))))</f>
        <v>0</v>
      </c>
      <c r="BH55" s="22">
        <f>IF(BG55=0,0,MATCH(1,INDEX((nADM_SelKey=AR55&amp;"|"&amp;AL55)*nADM_Valid*(nADM_A_HT*BA55*nADM_A_OK*BB55*(nADM_UTC_n&lt;=N(BD55))+nADM_A_HT*BA55*(1-nADM_A_OK*BB55)*(nADM_Loc_n&lt;=N(BC55))+(1-nADM_A_HT*BA55)*(nADM_Lo_n&lt;=N(BE55)))*(nADM_Sort_n=BG55),0),0))</f>
        <v>0</v>
      </c>
      <c r="BI55" s="21" t="str">
        <f>IF(BH55=0,"",INDEX(nADM_Admin_ID,BH55)&amp;"")</f>
        <v/>
      </c>
      <c r="BJ55" s="22">
        <f>IF(OR(AQ55=1,AG55=""),0,IFERROR(MATCH(AR55&amp;"|"&amp;AG55,nTP_Key,0),0))</f>
        <v>95</v>
      </c>
      <c r="BK55" s="21">
        <f>IF(BJ55=0,0,INDEX(nTP_Dup,BJ55))</f>
        <v>1</v>
      </c>
      <c r="BL55" s="21" t="str">
        <f>IF(BJ55=0,"",INDEX(nTP_Record_Type,BJ55))</f>
        <v>EXPOSURE_STOP</v>
      </c>
      <c r="BM55" s="21" t="str">
        <f>IF(BJ55=0,"",INDEX(nTP_Precision,BJ55))</f>
        <v>TIMESTAMP</v>
      </c>
      <c r="BN55" s="21" t="str">
        <f>IF(BJ55=0,"",INDEX(nTP_Err,BJ55))</f>
        <v/>
      </c>
      <c r="BO55" s="21">
        <f>IF(BJ55=0,0,INDEX(nTP_HT,BJ55))</f>
        <v>1</v>
      </c>
      <c r="BP55" s="21">
        <f>IF(BJ55=0,0,INDEX(nTP_OK,BJ55))</f>
        <v>1</v>
      </c>
      <c r="BQ55" s="21">
        <f>IF(BJ55=0,"",INDEX(nTP_Loc,BJ55))</f>
        <v>66286636</v>
      </c>
      <c r="BR55" s="21">
        <f>IF(BJ55=0,"",INDEX(nTP_UTC,BJ55))</f>
        <v>66286936</v>
      </c>
      <c r="BS55" s="21">
        <f>IF(BJ55=0,"",INDEX(nTP_Lo,BJ55))</f>
        <v>46032</v>
      </c>
      <c r="BT55" s="21">
        <f>IF(BJ55=0,"",INDEX(nTP_Hi,BJ55))</f>
        <v>46032</v>
      </c>
      <c r="BU55" s="22">
        <f>IF(OR(BJ55=0,AV55=0),0,SUMPRODUCT((nTP_Case_Key=AR55)*(nTP_Record_Type="MILESTONE:INTERVENTION")*(nTP_Err="")*(nTP_HT*BO55*BA55*(nTP_Loc_n&gt;=N(BQ55))*(nTP_Loc_n&lt;=N(BC55))+(1-nTP_HT*BO55*BA55)*(nTP_Lo_n&gt;=N(BS55))*(nTP_Hi_n&lt;=N(BF55))*(nTP_Lo_n&gt;0))))</f>
        <v>1</v>
      </c>
      <c r="BV55" s="21" t="str">
        <f t="shared" si="60"/>
        <v/>
      </c>
      <c r="BW55" s="21" t="str">
        <f t="shared" si="61"/>
        <v/>
      </c>
      <c r="BX55" s="21" t="str">
        <f t="shared" si="62"/>
        <v/>
      </c>
      <c r="BY55" s="21" t="str">
        <f t="shared" si="63"/>
        <v/>
      </c>
      <c r="BZ55" s="22">
        <f t="shared" si="64"/>
        <v>0</v>
      </c>
      <c r="CA55" s="21">
        <f t="shared" si="65"/>
        <v>19</v>
      </c>
      <c r="CB55" s="21" t="str">
        <f t="shared" si="66"/>
        <v/>
      </c>
      <c r="CC55" s="21" t="str">
        <f t="shared" si="67"/>
        <v/>
      </c>
      <c r="CD55" s="21" t="str">
        <f t="shared" si="68"/>
        <v/>
      </c>
      <c r="CE55" s="22">
        <f t="shared" si="69"/>
        <v>0</v>
      </c>
      <c r="CF55" s="28" t="str">
        <f t="shared" si="70"/>
        <v/>
      </c>
      <c r="CG55" s="28" t="str">
        <f t="shared" si="71"/>
        <v/>
      </c>
      <c r="CH55" s="21" t="str">
        <f t="shared" si="72"/>
        <v/>
      </c>
      <c r="CI55" s="22">
        <f t="shared" si="73"/>
        <v>0</v>
      </c>
      <c r="CJ55" s="22">
        <f t="shared" si="74"/>
        <v>0</v>
      </c>
      <c r="CK55" s="22">
        <f t="shared" si="75"/>
        <v>0</v>
      </c>
      <c r="CL55" s="22">
        <f t="shared" si="76"/>
        <v>0</v>
      </c>
      <c r="CM55" s="22">
        <f t="shared" si="77"/>
        <v>0</v>
      </c>
      <c r="CN55" s="22">
        <f t="shared" si="78"/>
        <v>1</v>
      </c>
      <c r="CO55" s="22">
        <f t="shared" si="79"/>
        <v>1</v>
      </c>
      <c r="CP55" s="22">
        <f t="shared" si="80"/>
        <v>0</v>
      </c>
      <c r="CQ55" s="21" t="str">
        <f t="shared" si="81"/>
        <v/>
      </c>
    </row>
    <row r="56" spans="1:95" x14ac:dyDescent="0.2">
      <c r="A56" s="9" t="s">
        <v>975</v>
      </c>
      <c r="B56" s="9" t="s">
        <v>291</v>
      </c>
      <c r="C56" s="11">
        <v>2</v>
      </c>
      <c r="D56" s="9" t="s">
        <v>801</v>
      </c>
      <c r="E56" s="16" t="s">
        <v>55</v>
      </c>
      <c r="F56" s="9" t="s">
        <v>972</v>
      </c>
      <c r="G56" s="9" t="s">
        <v>726</v>
      </c>
      <c r="H56" s="9" t="s">
        <v>729</v>
      </c>
      <c r="I56" s="16" t="s">
        <v>57</v>
      </c>
      <c r="J56" s="16"/>
      <c r="K56" s="9"/>
      <c r="L56" s="16"/>
      <c r="M56" s="16"/>
      <c r="N56" s="16"/>
      <c r="O56" s="9"/>
      <c r="P56" s="14"/>
      <c r="Q56" s="14"/>
      <c r="R56" s="9"/>
      <c r="S56" s="9"/>
      <c r="T56" s="21" t="str">
        <f t="shared" si="41"/>
        <v>17 minutes</v>
      </c>
      <c r="U56" s="21">
        <f t="shared" si="42"/>
        <v>17</v>
      </c>
      <c r="V56" s="21" t="str">
        <f t="shared" si="43"/>
        <v/>
      </c>
      <c r="W56" s="21" t="str">
        <f t="shared" si="44"/>
        <v/>
      </c>
      <c r="X56" s="21" t="str">
        <f t="shared" si="45"/>
        <v>minutes</v>
      </c>
      <c r="Y56" s="21" t="str">
        <f t="shared" si="46"/>
        <v>C1</v>
      </c>
      <c r="Z56" s="21" t="str">
        <f t="shared" si="47"/>
        <v>AFTER</v>
      </c>
      <c r="AA56" s="21" t="str">
        <f t="shared" si="48"/>
        <v/>
      </c>
      <c r="AB56" s="21" t="str">
        <f t="shared" si="49"/>
        <v/>
      </c>
      <c r="AC56" s="21" t="str">
        <f>IF(AQ56=1,"",MID(IF(BX56&lt;&gt;""," | "&amp;BX56&amp;": "&amp;SUBSTITUTE(IFERROR(INDEX(nMSG_Text,MATCH(BX56,nMSG_Code,0)),""),"[input]",BY56),"")&amp;IF(CI56=1," | W_TZ_UNKNOWN: "&amp;SUBSTITUTE(IFERROR(INDEX(nMSG_Text,MATCH("W_TZ_UNKNOWN",nMSG_Code,0)),""),"[input]",""),"")&amp;IF(CJ56=1," | W_SAME_DATE_ORDER_UNKNOWN: "&amp;SUBSTITUTE(IFERROR(INDEX(nMSG_Text,MATCH("W_SAME_DATE_ORDER_UNKNOWN",nMSG_Code,0)),""),"[input]",""),"")&amp;IF(CK56=1," | W_SEQUENCE_UNCERTAIN: "&amp;SUBSTITUTE(IFERROR(INDEX(nMSG_Text,MATCH("W_SEQUENCE_UNCERTAIN",nMSG_Code,0)),""),"[input]",""),"")&amp;IF(CL56=1," | W_ADMIN_SAME_DATE_AS_ONSET: "&amp;SUBSTITUTE(IFERROR(INDEX(nMSG_Text,MATCH("W_ADMIN_SAME_DATE_AS_ONSET",nMSG_Code,0)),""),"[input]",""),"")&amp;IF(CO56=1," | W_INTERVENTION_BEFORE_RECOVERY: "&amp;SUBSTITUTE(IFERROR(INDEX(nMSG_Text,MATCH("W_INTERVENTION_BEFORE_RECOVERY",nMSG_Code,0)),""),"[input]",""),"")&amp;IF(OR(CQ56="",CQ56="OVERLAP"),""," | "&amp;CQ56&amp;" (reported timing): "&amp;SUBSTITUTE(IFERROR(INDEX(nMSG_Text,MATCH(CQ56,nMSG_Code,0)),""),"[input]","numeric reported bounds and a reported unit"))&amp;IF(CM56=1," | I_TREATMENT_DAY_UNDEFINED: "&amp;SUBSTITUTE(IFERROR(INDEX(nMSG_Text,MATCH("I_TREATMENT_DAY_UNDEFINED",nMSG_Code,0)),""),"[input]",""),"")&amp;IF(CH56&lt;&gt;""," | "&amp;CH56&amp;" (constraint): "&amp;SUBSTITUTE(IFERROR(INDEX(nMSG_Text,MATCH(CH56,nMSG_Code,0)),""),"[input]","a source for the constraint"),""),4,9999))</f>
        <v/>
      </c>
      <c r="AD56" s="21" t="str">
        <f t="shared" si="50"/>
        <v/>
      </c>
      <c r="AE56" s="21" t="str">
        <f t="shared" si="51"/>
        <v/>
      </c>
      <c r="AF56" s="21" t="str">
        <f t="shared" si="52"/>
        <v/>
      </c>
      <c r="AG56" s="21" t="str">
        <f t="shared" si="53"/>
        <v>M-EMERG</v>
      </c>
      <c r="AH56" s="21" t="str">
        <f>IF(BJ56=0,"",INDEX(nTP_ISO,BJ56))</f>
        <v>2026-01-10T09:18-05:00</v>
      </c>
      <c r="AI56" s="21" t="str">
        <f>IF(BJ56=0,"",INDEX(nTP_Display,BJ56))</f>
        <v>10 January 2026 09:18 (UTC-05:00)</v>
      </c>
      <c r="AJ56" s="21" t="str">
        <f>IF(AV56=0,"",INDEX(nTP_ISO,AV56))</f>
        <v>2026-01-10T09:35-05:00</v>
      </c>
      <c r="AK56" s="21" t="str">
        <f>IF(AV56=0,"",INDEX(nTP_Display,AV56))</f>
        <v>10 January 2026 09:35 (UTC-05:00)</v>
      </c>
      <c r="AL56" s="21" t="str">
        <f>IF(AU56=0,"",INDEX(nLNK_Exposure_Episode_ID,AU56)&amp;"")</f>
        <v>EX-A</v>
      </c>
      <c r="AM56" s="21" t="str">
        <f>IF(AU56=0,"",INDEX(nLNK_Event_Episode_ID,AU56)&amp;"")</f>
        <v>EV-1</v>
      </c>
      <c r="AN56" s="21" t="str">
        <f t="shared" si="54"/>
        <v>Both times converted to UTC with the recorded offsets.</v>
      </c>
      <c r="AO56" s="21" t="str">
        <f t="shared" si="55"/>
        <v/>
      </c>
      <c r="AP56" s="21" t="str">
        <f t="shared" si="56"/>
        <v>CALC-SPEC 1.0</v>
      </c>
      <c r="AQ56" s="22">
        <f t="shared" si="57"/>
        <v>0</v>
      </c>
      <c r="AR56" s="21" t="str">
        <f t="shared" si="58"/>
        <v>EX-C01|2</v>
      </c>
      <c r="AS56" s="21" t="str">
        <f t="shared" si="59"/>
        <v>EX-C01|2|I11</v>
      </c>
      <c r="AT56" s="22">
        <f>IF(AS56="",0,COUNTIF(nINT_Key,AS56))</f>
        <v>1</v>
      </c>
      <c r="AU56" s="22">
        <f>IF(D56="",0,IFERROR(MATCH(AR56&amp;"|"&amp;D56,nLNK_Key,0),0))</f>
        <v>22</v>
      </c>
      <c r="AV56" s="22">
        <f>IF(OR(AQ56=1,H56=""),0,IFERROR(MATCH(AR56&amp;"|"&amp;H56,nTP_Key,0),0))</f>
        <v>381</v>
      </c>
      <c r="AW56" s="21">
        <f>IF(AV56=0,0,INDEX(nTP_Dup,AV56))</f>
        <v>1</v>
      </c>
      <c r="AX56" s="21" t="str">
        <f>IF(AV56=0,"",INDEX(nTP_Record_Type,AV56))</f>
        <v>MILESTONE:RECOVERY</v>
      </c>
      <c r="AY56" s="21" t="str">
        <f>IF(AV56=0,"",INDEX(nTP_Precision,AV56))</f>
        <v>TIMESTAMP</v>
      </c>
      <c r="AZ56" s="21" t="str">
        <f>IF(AV56=0,"",INDEX(nTP_Err,AV56))</f>
        <v/>
      </c>
      <c r="BA56" s="21">
        <f>IF(AV56=0,0,INDEX(nTP_HT,AV56))</f>
        <v>1</v>
      </c>
      <c r="BB56" s="21">
        <f>IF(AV56=0,0,INDEX(nTP_OK,AV56))</f>
        <v>1</v>
      </c>
      <c r="BC56" s="21">
        <f>IF(AV56=0,"",INDEX(nTP_Loc,AV56))</f>
        <v>66286655</v>
      </c>
      <c r="BD56" s="21">
        <f>IF(AV56=0,"",INDEX(nTP_UTC,AV56))</f>
        <v>66286955</v>
      </c>
      <c r="BE56" s="21">
        <f>IF(AV56=0,"",INDEX(nTP_Lo,AV56))</f>
        <v>46032</v>
      </c>
      <c r="BF56" s="21">
        <f>IF(AV56=0,"",INDEX(nTP_Hi,AV56))</f>
        <v>46032</v>
      </c>
      <c r="BG56" s="22">
        <f>IF(OR(AQ56=1,E56&lt;&gt;"LAST_DOSE_BEFORE_ONSET",AU56=0,AV56=0),0,IF(AZ56&lt;&gt;"",0,SUMPRODUCT(MAX((nADM_SelKey=AR56&amp;"|"&amp;AL56)*nADM_Valid*(nADM_A_HT*BA56*nADM_A_OK*BB56*(nADM_UTC_n&lt;=N(BD56))+nADM_A_HT*BA56*(1-nADM_A_OK*BB56)*(nADM_Loc_n&lt;=N(BC56))+(1-nADM_A_HT*BA56)*(nADM_Lo_n&lt;=N(BE56)))*nADM_Sort_n))))</f>
        <v>0</v>
      </c>
      <c r="BH56" s="22">
        <f>IF(BG56=0,0,MATCH(1,INDEX((nADM_SelKey=AR56&amp;"|"&amp;AL56)*nADM_Valid*(nADM_A_HT*BA56*nADM_A_OK*BB56*(nADM_UTC_n&lt;=N(BD56))+nADM_A_HT*BA56*(1-nADM_A_OK*BB56)*(nADM_Loc_n&lt;=N(BC56))+(1-nADM_A_HT*BA56)*(nADM_Lo_n&lt;=N(BE56)))*(nADM_Sort_n=BG56),0),0))</f>
        <v>0</v>
      </c>
      <c r="BI56" s="21" t="str">
        <f>IF(BH56=0,"",INDEX(nADM_Admin_ID,BH56)&amp;"")</f>
        <v/>
      </c>
      <c r="BJ56" s="22">
        <f>IF(OR(AQ56=1,AG56=""),0,IFERROR(MATCH(AR56&amp;"|"&amp;AG56,nTP_Key,0),0))</f>
        <v>380</v>
      </c>
      <c r="BK56" s="21">
        <f>IF(BJ56=0,0,INDEX(nTP_Dup,BJ56))</f>
        <v>1</v>
      </c>
      <c r="BL56" s="21" t="str">
        <f>IF(BJ56=0,"",INDEX(nTP_Record_Type,BJ56))</f>
        <v>MILESTONE:INTERVENTION</v>
      </c>
      <c r="BM56" s="21" t="str">
        <f>IF(BJ56=0,"",INDEX(nTP_Precision,BJ56))</f>
        <v>TIMESTAMP</v>
      </c>
      <c r="BN56" s="21" t="str">
        <f>IF(BJ56=0,"",INDEX(nTP_Err,BJ56))</f>
        <v/>
      </c>
      <c r="BO56" s="21">
        <f>IF(BJ56=0,0,INDEX(nTP_HT,BJ56))</f>
        <v>1</v>
      </c>
      <c r="BP56" s="21">
        <f>IF(BJ56=0,0,INDEX(nTP_OK,BJ56))</f>
        <v>1</v>
      </c>
      <c r="BQ56" s="21">
        <f>IF(BJ56=0,"",INDEX(nTP_Loc,BJ56))</f>
        <v>66286638</v>
      </c>
      <c r="BR56" s="21">
        <f>IF(BJ56=0,"",INDEX(nTP_UTC,BJ56))</f>
        <v>66286938</v>
      </c>
      <c r="BS56" s="21">
        <f>IF(BJ56=0,"",INDEX(nTP_Lo,BJ56))</f>
        <v>46032</v>
      </c>
      <c r="BT56" s="21">
        <f>IF(BJ56=0,"",INDEX(nTP_Hi,BJ56))</f>
        <v>46032</v>
      </c>
      <c r="BU56" s="22">
        <f>IF(OR(BJ56=0,AV56=0),0,SUMPRODUCT((nTP_Case_Key=AR56)*(nTP_Record_Type="MILESTONE:INTERVENTION")*(nTP_Err="")*(nTP_HT*BO56*BA56*(nTP_Loc_n&gt;=N(BQ56))*(nTP_Loc_n&lt;=N(BC56))+(1-nTP_HT*BO56*BA56)*(nTP_Lo_n&gt;=N(BS56))*(nTP_Hi_n&lt;=N(BF56))*(nTP_Lo_n&gt;0))))</f>
        <v>1</v>
      </c>
      <c r="BV56" s="21" t="str">
        <f t="shared" si="60"/>
        <v/>
      </c>
      <c r="BW56" s="21" t="str">
        <f t="shared" si="61"/>
        <v/>
      </c>
      <c r="BX56" s="21" t="str">
        <f t="shared" si="62"/>
        <v/>
      </c>
      <c r="BY56" s="21" t="str">
        <f t="shared" si="63"/>
        <v/>
      </c>
      <c r="BZ56" s="22">
        <f t="shared" si="64"/>
        <v>0</v>
      </c>
      <c r="CA56" s="21">
        <f t="shared" si="65"/>
        <v>17</v>
      </c>
      <c r="CB56" s="21" t="str">
        <f t="shared" si="66"/>
        <v/>
      </c>
      <c r="CC56" s="21" t="str">
        <f t="shared" si="67"/>
        <v/>
      </c>
      <c r="CD56" s="21" t="str">
        <f t="shared" si="68"/>
        <v/>
      </c>
      <c r="CE56" s="22">
        <f t="shared" si="69"/>
        <v>0</v>
      </c>
      <c r="CF56" s="28" t="str">
        <f t="shared" si="70"/>
        <v/>
      </c>
      <c r="CG56" s="28" t="str">
        <f t="shared" si="71"/>
        <v/>
      </c>
      <c r="CH56" s="21" t="str">
        <f t="shared" si="72"/>
        <v/>
      </c>
      <c r="CI56" s="22">
        <f t="shared" si="73"/>
        <v>0</v>
      </c>
      <c r="CJ56" s="22">
        <f t="shared" si="74"/>
        <v>0</v>
      </c>
      <c r="CK56" s="22">
        <f t="shared" si="75"/>
        <v>0</v>
      </c>
      <c r="CL56" s="22">
        <f t="shared" si="76"/>
        <v>0</v>
      </c>
      <c r="CM56" s="22">
        <f t="shared" si="77"/>
        <v>0</v>
      </c>
      <c r="CN56" s="22">
        <f t="shared" si="78"/>
        <v>0</v>
      </c>
      <c r="CO56" s="22">
        <f t="shared" si="79"/>
        <v>0</v>
      </c>
      <c r="CP56" s="22">
        <f t="shared" si="80"/>
        <v>0</v>
      </c>
      <c r="CQ56" s="21" t="str">
        <f t="shared" si="81"/>
        <v/>
      </c>
    </row>
    <row r="57" spans="1:95" x14ac:dyDescent="0.2">
      <c r="A57" s="9" t="s">
        <v>976</v>
      </c>
      <c r="B57" s="9" t="s">
        <v>291</v>
      </c>
      <c r="C57" s="11">
        <v>2</v>
      </c>
      <c r="D57" s="9" t="s">
        <v>801</v>
      </c>
      <c r="E57" s="16" t="s">
        <v>55</v>
      </c>
      <c r="F57" s="9" t="s">
        <v>977</v>
      </c>
      <c r="G57" s="9" t="s">
        <v>952</v>
      </c>
      <c r="H57" s="9" t="s">
        <v>729</v>
      </c>
      <c r="I57" s="16" t="s">
        <v>57</v>
      </c>
      <c r="J57" s="16"/>
      <c r="K57" s="9"/>
      <c r="L57" s="16"/>
      <c r="M57" s="16"/>
      <c r="N57" s="16"/>
      <c r="O57" s="9"/>
      <c r="P57" s="14"/>
      <c r="Q57" s="14"/>
      <c r="R57" s="9"/>
      <c r="S57" s="9"/>
      <c r="T57" s="21" t="str">
        <f t="shared" si="41"/>
        <v>20 minutes</v>
      </c>
      <c r="U57" s="21">
        <f t="shared" si="42"/>
        <v>20</v>
      </c>
      <c r="V57" s="21" t="str">
        <f t="shared" si="43"/>
        <v/>
      </c>
      <c r="W57" s="21" t="str">
        <f t="shared" si="44"/>
        <v/>
      </c>
      <c r="X57" s="21" t="str">
        <f t="shared" si="45"/>
        <v>minutes</v>
      </c>
      <c r="Y57" s="21" t="str">
        <f t="shared" si="46"/>
        <v>C1</v>
      </c>
      <c r="Z57" s="21" t="str">
        <f t="shared" si="47"/>
        <v>AFTER</v>
      </c>
      <c r="AA57" s="21" t="str">
        <f t="shared" si="48"/>
        <v/>
      </c>
      <c r="AB57" s="21" t="str">
        <f t="shared" si="49"/>
        <v/>
      </c>
      <c r="AC57" s="21" t="str">
        <f>IF(AQ57=1,"",MID(IF(BX57&lt;&gt;""," | "&amp;BX57&amp;": "&amp;SUBSTITUTE(IFERROR(INDEX(nMSG_Text,MATCH(BX57,nMSG_Code,0)),""),"[input]",BY57),"")&amp;IF(CI57=1," | W_TZ_UNKNOWN: "&amp;SUBSTITUTE(IFERROR(INDEX(nMSG_Text,MATCH("W_TZ_UNKNOWN",nMSG_Code,0)),""),"[input]",""),"")&amp;IF(CJ57=1," | W_SAME_DATE_ORDER_UNKNOWN: "&amp;SUBSTITUTE(IFERROR(INDEX(nMSG_Text,MATCH("W_SAME_DATE_ORDER_UNKNOWN",nMSG_Code,0)),""),"[input]",""),"")&amp;IF(CK57=1," | W_SEQUENCE_UNCERTAIN: "&amp;SUBSTITUTE(IFERROR(INDEX(nMSG_Text,MATCH("W_SEQUENCE_UNCERTAIN",nMSG_Code,0)),""),"[input]",""),"")&amp;IF(CL57=1," | W_ADMIN_SAME_DATE_AS_ONSET: "&amp;SUBSTITUTE(IFERROR(INDEX(nMSG_Text,MATCH("W_ADMIN_SAME_DATE_AS_ONSET",nMSG_Code,0)),""),"[input]",""),"")&amp;IF(CO57=1," | W_INTERVENTION_BEFORE_RECOVERY: "&amp;SUBSTITUTE(IFERROR(INDEX(nMSG_Text,MATCH("W_INTERVENTION_BEFORE_RECOVERY",nMSG_Code,0)),""),"[input]",""),"")&amp;IF(OR(CQ57="",CQ57="OVERLAP"),""," | "&amp;CQ57&amp;" (reported timing): "&amp;SUBSTITUTE(IFERROR(INDEX(nMSG_Text,MATCH(CQ57,nMSG_Code,0)),""),"[input]","numeric reported bounds and a reported unit"))&amp;IF(CM57=1," | I_TREATMENT_DAY_UNDEFINED: "&amp;SUBSTITUTE(IFERROR(INDEX(nMSG_Text,MATCH("I_TREATMENT_DAY_UNDEFINED",nMSG_Code,0)),""),"[input]",""),"")&amp;IF(CH57&lt;&gt;""," | "&amp;CH57&amp;" (constraint): "&amp;SUBSTITUTE(IFERROR(INDEX(nMSG_Text,MATCH(CH57,nMSG_Code,0)),""),"[input]","a source for the constraint"),""),4,9999))</f>
        <v/>
      </c>
      <c r="AD57" s="21" t="str">
        <f t="shared" si="50"/>
        <v/>
      </c>
      <c r="AE57" s="21" t="str">
        <f t="shared" si="51"/>
        <v/>
      </c>
      <c r="AF57" s="21" t="str">
        <f t="shared" si="52"/>
        <v/>
      </c>
      <c r="AG57" s="21" t="str">
        <f t="shared" si="53"/>
        <v>EV-1/ONSET</v>
      </c>
      <c r="AH57" s="21" t="str">
        <f>IF(BJ57=0,"",INDEX(nTP_ISO,BJ57))</f>
        <v>2026-01-10T09:15-05:00</v>
      </c>
      <c r="AI57" s="21" t="str">
        <f>IF(BJ57=0,"",INDEX(nTP_Display,BJ57))</f>
        <v>10 January 2026 09:15 (UTC-05:00)</v>
      </c>
      <c r="AJ57" s="21" t="str">
        <f>IF(AV57=0,"",INDEX(nTP_ISO,AV57))</f>
        <v>2026-01-10T09:35-05:00</v>
      </c>
      <c r="AK57" s="21" t="str">
        <f>IF(AV57=0,"",INDEX(nTP_Display,AV57))</f>
        <v>10 January 2026 09:35 (UTC-05:00)</v>
      </c>
      <c r="AL57" s="21" t="str">
        <f>IF(AU57=0,"",INDEX(nLNK_Exposure_Episode_ID,AU57)&amp;"")</f>
        <v>EX-A</v>
      </c>
      <c r="AM57" s="21" t="str">
        <f>IF(AU57=0,"",INDEX(nLNK_Event_Episode_ID,AU57)&amp;"")</f>
        <v>EV-1</v>
      </c>
      <c r="AN57" s="21" t="str">
        <f t="shared" si="54"/>
        <v>Both times converted to UTC with the recorded offsets.</v>
      </c>
      <c r="AO57" s="21" t="str">
        <f t="shared" si="55"/>
        <v/>
      </c>
      <c r="AP57" s="21" t="str">
        <f t="shared" si="56"/>
        <v>CALC-SPEC 1.0</v>
      </c>
      <c r="AQ57" s="22">
        <f t="shared" si="57"/>
        <v>0</v>
      </c>
      <c r="AR57" s="21" t="str">
        <f t="shared" si="58"/>
        <v>EX-C01|2</v>
      </c>
      <c r="AS57" s="21" t="str">
        <f t="shared" si="59"/>
        <v>EX-C01|2|I12</v>
      </c>
      <c r="AT57" s="22">
        <f>IF(AS57="",0,COUNTIF(nINT_Key,AS57))</f>
        <v>1</v>
      </c>
      <c r="AU57" s="22">
        <f>IF(D57="",0,IFERROR(MATCH(AR57&amp;"|"&amp;D57,nLNK_Key,0),0))</f>
        <v>22</v>
      </c>
      <c r="AV57" s="22">
        <f>IF(OR(AQ57=1,H57=""),0,IFERROR(MATCH(AR57&amp;"|"&amp;H57,nTP_Key,0),0))</f>
        <v>381</v>
      </c>
      <c r="AW57" s="21">
        <f>IF(AV57=0,0,INDEX(nTP_Dup,AV57))</f>
        <v>1</v>
      </c>
      <c r="AX57" s="21" t="str">
        <f>IF(AV57=0,"",INDEX(nTP_Record_Type,AV57))</f>
        <v>MILESTONE:RECOVERY</v>
      </c>
      <c r="AY57" s="21" t="str">
        <f>IF(AV57=0,"",INDEX(nTP_Precision,AV57))</f>
        <v>TIMESTAMP</v>
      </c>
      <c r="AZ57" s="21" t="str">
        <f>IF(AV57=0,"",INDEX(nTP_Err,AV57))</f>
        <v/>
      </c>
      <c r="BA57" s="21">
        <f>IF(AV57=0,0,INDEX(nTP_HT,AV57))</f>
        <v>1</v>
      </c>
      <c r="BB57" s="21">
        <f>IF(AV57=0,0,INDEX(nTP_OK,AV57))</f>
        <v>1</v>
      </c>
      <c r="BC57" s="21">
        <f>IF(AV57=0,"",INDEX(nTP_Loc,AV57))</f>
        <v>66286655</v>
      </c>
      <c r="BD57" s="21">
        <f>IF(AV57=0,"",INDEX(nTP_UTC,AV57))</f>
        <v>66286955</v>
      </c>
      <c r="BE57" s="21">
        <f>IF(AV57=0,"",INDEX(nTP_Lo,AV57))</f>
        <v>46032</v>
      </c>
      <c r="BF57" s="21">
        <f>IF(AV57=0,"",INDEX(nTP_Hi,AV57))</f>
        <v>46032</v>
      </c>
      <c r="BG57" s="22">
        <f>IF(OR(AQ57=1,E57&lt;&gt;"LAST_DOSE_BEFORE_ONSET",AU57=0,AV57=0),0,IF(AZ57&lt;&gt;"",0,SUMPRODUCT(MAX((nADM_SelKey=AR57&amp;"|"&amp;AL57)*nADM_Valid*(nADM_A_HT*BA57*nADM_A_OK*BB57*(nADM_UTC_n&lt;=N(BD57))+nADM_A_HT*BA57*(1-nADM_A_OK*BB57)*(nADM_Loc_n&lt;=N(BC57))+(1-nADM_A_HT*BA57)*(nADM_Lo_n&lt;=N(BE57)))*nADM_Sort_n))))</f>
        <v>0</v>
      </c>
      <c r="BH57" s="22">
        <f>IF(BG57=0,0,MATCH(1,INDEX((nADM_SelKey=AR57&amp;"|"&amp;AL57)*nADM_Valid*(nADM_A_HT*BA57*nADM_A_OK*BB57*(nADM_UTC_n&lt;=N(BD57))+nADM_A_HT*BA57*(1-nADM_A_OK*BB57)*(nADM_Loc_n&lt;=N(BC57))+(1-nADM_A_HT*BA57)*(nADM_Lo_n&lt;=N(BE57)))*(nADM_Sort_n=BG57),0),0))</f>
        <v>0</v>
      </c>
      <c r="BI57" s="21" t="str">
        <f>IF(BH57=0,"",INDEX(nADM_Admin_ID,BH57)&amp;"")</f>
        <v/>
      </c>
      <c r="BJ57" s="22">
        <f>IF(OR(AQ57=1,AG57=""),0,IFERROR(MATCH(AR57&amp;"|"&amp;AG57,nTP_Key,0),0))</f>
        <v>280</v>
      </c>
      <c r="BK57" s="21">
        <f>IF(BJ57=0,0,INDEX(nTP_Dup,BJ57))</f>
        <v>1</v>
      </c>
      <c r="BL57" s="21" t="str">
        <f>IF(BJ57=0,"",INDEX(nTP_Record_Type,BJ57))</f>
        <v>EVENT_ONSET</v>
      </c>
      <c r="BM57" s="21" t="str">
        <f>IF(BJ57=0,"",INDEX(nTP_Precision,BJ57))</f>
        <v>TIMESTAMP</v>
      </c>
      <c r="BN57" s="21" t="str">
        <f>IF(BJ57=0,"",INDEX(nTP_Err,BJ57))</f>
        <v/>
      </c>
      <c r="BO57" s="21">
        <f>IF(BJ57=0,0,INDEX(nTP_HT,BJ57))</f>
        <v>1</v>
      </c>
      <c r="BP57" s="21">
        <f>IF(BJ57=0,0,INDEX(nTP_OK,BJ57))</f>
        <v>1</v>
      </c>
      <c r="BQ57" s="21">
        <f>IF(BJ57=0,"",INDEX(nTP_Loc,BJ57))</f>
        <v>66286635</v>
      </c>
      <c r="BR57" s="21">
        <f>IF(BJ57=0,"",INDEX(nTP_UTC,BJ57))</f>
        <v>66286935</v>
      </c>
      <c r="BS57" s="21">
        <f>IF(BJ57=0,"",INDEX(nTP_Lo,BJ57))</f>
        <v>46032</v>
      </c>
      <c r="BT57" s="21">
        <f>IF(BJ57=0,"",INDEX(nTP_Hi,BJ57))</f>
        <v>46032</v>
      </c>
      <c r="BU57" s="22">
        <f>IF(OR(BJ57=0,AV57=0),0,SUMPRODUCT((nTP_Case_Key=AR57)*(nTP_Record_Type="MILESTONE:INTERVENTION")*(nTP_Err="")*(nTP_HT*BO57*BA57*(nTP_Loc_n&gt;=N(BQ57))*(nTP_Loc_n&lt;=N(BC57))+(1-nTP_HT*BO57*BA57)*(nTP_Lo_n&gt;=N(BS57))*(nTP_Hi_n&lt;=N(BF57))*(nTP_Lo_n&gt;0))))</f>
        <v>1</v>
      </c>
      <c r="BV57" s="21" t="str">
        <f t="shared" si="60"/>
        <v/>
      </c>
      <c r="BW57" s="21" t="str">
        <f t="shared" si="61"/>
        <v/>
      </c>
      <c r="BX57" s="21" t="str">
        <f t="shared" si="62"/>
        <v/>
      </c>
      <c r="BY57" s="21" t="str">
        <f t="shared" si="63"/>
        <v/>
      </c>
      <c r="BZ57" s="22">
        <f t="shared" si="64"/>
        <v>0</v>
      </c>
      <c r="CA57" s="21">
        <f t="shared" si="65"/>
        <v>20</v>
      </c>
      <c r="CB57" s="21" t="str">
        <f t="shared" si="66"/>
        <v/>
      </c>
      <c r="CC57" s="21" t="str">
        <f t="shared" si="67"/>
        <v/>
      </c>
      <c r="CD57" s="21" t="str">
        <f t="shared" si="68"/>
        <v/>
      </c>
      <c r="CE57" s="22">
        <f t="shared" si="69"/>
        <v>0</v>
      </c>
      <c r="CF57" s="28" t="str">
        <f t="shared" si="70"/>
        <v/>
      </c>
      <c r="CG57" s="28" t="str">
        <f t="shared" si="71"/>
        <v/>
      </c>
      <c r="CH57" s="21" t="str">
        <f t="shared" si="72"/>
        <v/>
      </c>
      <c r="CI57" s="22">
        <f t="shared" si="73"/>
        <v>0</v>
      </c>
      <c r="CJ57" s="22">
        <f t="shared" si="74"/>
        <v>0</v>
      </c>
      <c r="CK57" s="22">
        <f t="shared" si="75"/>
        <v>0</v>
      </c>
      <c r="CL57" s="22">
        <f t="shared" si="76"/>
        <v>0</v>
      </c>
      <c r="CM57" s="22">
        <f t="shared" si="77"/>
        <v>0</v>
      </c>
      <c r="CN57" s="22">
        <f t="shared" si="78"/>
        <v>0</v>
      </c>
      <c r="CO57" s="22">
        <f t="shared" si="79"/>
        <v>0</v>
      </c>
      <c r="CP57" s="22">
        <f t="shared" si="80"/>
        <v>0</v>
      </c>
      <c r="CQ57" s="21" t="str">
        <f t="shared" si="81"/>
        <v/>
      </c>
    </row>
    <row r="58" spans="1:95" x14ac:dyDescent="0.2">
      <c r="A58" s="9" t="s">
        <v>978</v>
      </c>
      <c r="B58" s="9" t="s">
        <v>291</v>
      </c>
      <c r="C58" s="11">
        <v>2</v>
      </c>
      <c r="D58" s="9" t="s">
        <v>801</v>
      </c>
      <c r="E58" s="16" t="s">
        <v>49</v>
      </c>
      <c r="F58" s="9"/>
      <c r="G58" s="9" t="s">
        <v>950</v>
      </c>
      <c r="H58" s="9" t="s">
        <v>968</v>
      </c>
      <c r="I58" s="16" t="s">
        <v>57</v>
      </c>
      <c r="J58" s="16"/>
      <c r="K58" s="9"/>
      <c r="L58" s="16"/>
      <c r="M58" s="16"/>
      <c r="N58" s="16"/>
      <c r="O58" s="9"/>
      <c r="P58" s="14"/>
      <c r="Q58" s="14"/>
      <c r="R58" s="9"/>
      <c r="S58" s="9" t="s">
        <v>979</v>
      </c>
      <c r="T58" s="21" t="str">
        <f t="shared" si="41"/>
        <v>16 minutes</v>
      </c>
      <c r="U58" s="21">
        <f t="shared" si="42"/>
        <v>16</v>
      </c>
      <c r="V58" s="21" t="str">
        <f t="shared" si="43"/>
        <v/>
      </c>
      <c r="W58" s="21" t="str">
        <f t="shared" si="44"/>
        <v/>
      </c>
      <c r="X58" s="21" t="str">
        <f t="shared" si="45"/>
        <v>minutes</v>
      </c>
      <c r="Y58" s="21" t="str">
        <f t="shared" si="46"/>
        <v>C1</v>
      </c>
      <c r="Z58" s="21" t="str">
        <f t="shared" si="47"/>
        <v>AFTER</v>
      </c>
      <c r="AA58" s="21" t="str">
        <f t="shared" si="48"/>
        <v/>
      </c>
      <c r="AB58" s="21" t="str">
        <f t="shared" si="49"/>
        <v/>
      </c>
      <c r="AC58" s="21" t="str">
        <f>IF(AQ58=1,"",MID(IF(BX58&lt;&gt;""," | "&amp;BX58&amp;": "&amp;SUBSTITUTE(IFERROR(INDEX(nMSG_Text,MATCH(BX58,nMSG_Code,0)),""),"[input]",BY58),"")&amp;IF(CI58=1," | W_TZ_UNKNOWN: "&amp;SUBSTITUTE(IFERROR(INDEX(nMSG_Text,MATCH("W_TZ_UNKNOWN",nMSG_Code,0)),""),"[input]",""),"")&amp;IF(CJ58=1," | W_SAME_DATE_ORDER_UNKNOWN: "&amp;SUBSTITUTE(IFERROR(INDEX(nMSG_Text,MATCH("W_SAME_DATE_ORDER_UNKNOWN",nMSG_Code,0)),""),"[input]",""),"")&amp;IF(CK58=1," | W_SEQUENCE_UNCERTAIN: "&amp;SUBSTITUTE(IFERROR(INDEX(nMSG_Text,MATCH("W_SEQUENCE_UNCERTAIN",nMSG_Code,0)),""),"[input]",""),"")&amp;IF(CL58=1," | W_ADMIN_SAME_DATE_AS_ONSET: "&amp;SUBSTITUTE(IFERROR(INDEX(nMSG_Text,MATCH("W_ADMIN_SAME_DATE_AS_ONSET",nMSG_Code,0)),""),"[input]",""),"")&amp;IF(CO58=1," | W_INTERVENTION_BEFORE_RECOVERY: "&amp;SUBSTITUTE(IFERROR(INDEX(nMSG_Text,MATCH("W_INTERVENTION_BEFORE_RECOVERY",nMSG_Code,0)),""),"[input]",""),"")&amp;IF(OR(CQ58="",CQ58="OVERLAP"),""," | "&amp;CQ58&amp;" (reported timing): "&amp;SUBSTITUTE(IFERROR(INDEX(nMSG_Text,MATCH(CQ58,nMSG_Code,0)),""),"[input]","numeric reported bounds and a reported unit"))&amp;IF(CM58=1," | I_TREATMENT_DAY_UNDEFINED: "&amp;SUBSTITUTE(IFERROR(INDEX(nMSG_Text,MATCH("I_TREATMENT_DAY_UNDEFINED",nMSG_Code,0)),""),"[input]",""),"")&amp;IF(CH58&lt;&gt;""," | "&amp;CH58&amp;" (constraint): "&amp;SUBSTITUTE(IFERROR(INDEX(nMSG_Text,MATCH(CH58,nMSG_Code,0)),""),"[input]","a source for the constraint"),""),4,9999))</f>
        <v/>
      </c>
      <c r="AD58" s="21" t="str">
        <f t="shared" si="50"/>
        <v/>
      </c>
      <c r="AE58" s="21" t="str">
        <f t="shared" si="51"/>
        <v/>
      </c>
      <c r="AF58" s="21" t="str">
        <f t="shared" si="52"/>
        <v/>
      </c>
      <c r="AG58" s="21" t="str">
        <f t="shared" si="53"/>
        <v>EX-A/START</v>
      </c>
      <c r="AH58" s="21" t="str">
        <f>IF(BJ58=0,"",INDEX(nTP_ISO,BJ58))</f>
        <v>2026-01-10T09:00-05:00</v>
      </c>
      <c r="AI58" s="21" t="str">
        <f>IF(BJ58=0,"",INDEX(nTP_Display,BJ58))</f>
        <v>10 January 2026 09:00 (UTC-05:00)</v>
      </c>
      <c r="AJ58" s="21" t="str">
        <f>IF(AV58=0,"",INDEX(nTP_ISO,AV58))</f>
        <v>2026-01-10T09:16-05:00</v>
      </c>
      <c r="AK58" s="21" t="str">
        <f>IF(AV58=0,"",INDEX(nTP_Display,AV58))</f>
        <v>10 January 2026 09:16 (UTC-05:00)</v>
      </c>
      <c r="AL58" s="21" t="str">
        <f>IF(AU58=0,"",INDEX(nLNK_Exposure_Episode_ID,AU58)&amp;"")</f>
        <v>EX-A</v>
      </c>
      <c r="AM58" s="21" t="str">
        <f>IF(AU58=0,"",INDEX(nLNK_Event_Episode_ID,AU58)&amp;"")</f>
        <v>EV-1</v>
      </c>
      <c r="AN58" s="21" t="str">
        <f t="shared" si="54"/>
        <v>Both times converted to UTC with the recorded offsets.</v>
      </c>
      <c r="AO58" s="21" t="str">
        <f t="shared" si="55"/>
        <v/>
      </c>
      <c r="AP58" s="21" t="str">
        <f t="shared" si="56"/>
        <v>CALC-SPEC 1.0</v>
      </c>
      <c r="AQ58" s="22">
        <f t="shared" si="57"/>
        <v>0</v>
      </c>
      <c r="AR58" s="21" t="str">
        <f t="shared" si="58"/>
        <v>EX-C01|2</v>
      </c>
      <c r="AS58" s="21" t="str">
        <f t="shared" si="59"/>
        <v>EX-C01|2|I13</v>
      </c>
      <c r="AT58" s="22">
        <f>IF(AS58="",0,COUNTIF(nINT_Key,AS58))</f>
        <v>1</v>
      </c>
      <c r="AU58" s="22">
        <f>IF(D58="",0,IFERROR(MATCH(AR58&amp;"|"&amp;D58,nLNK_Key,0),0))</f>
        <v>22</v>
      </c>
      <c r="AV58" s="22">
        <f>IF(OR(AQ58=1,H58=""),0,IFERROR(MATCH(AR58&amp;"|"&amp;H58,nTP_Key,0),0))</f>
        <v>95</v>
      </c>
      <c r="AW58" s="21">
        <f>IF(AV58=0,0,INDEX(nTP_Dup,AV58))</f>
        <v>1</v>
      </c>
      <c r="AX58" s="21" t="str">
        <f>IF(AV58=0,"",INDEX(nTP_Record_Type,AV58))</f>
        <v>EXPOSURE_STOP</v>
      </c>
      <c r="AY58" s="21" t="str">
        <f>IF(AV58=0,"",INDEX(nTP_Precision,AV58))</f>
        <v>TIMESTAMP</v>
      </c>
      <c r="AZ58" s="21" t="str">
        <f>IF(AV58=0,"",INDEX(nTP_Err,AV58))</f>
        <v/>
      </c>
      <c r="BA58" s="21">
        <f>IF(AV58=0,0,INDEX(nTP_HT,AV58))</f>
        <v>1</v>
      </c>
      <c r="BB58" s="21">
        <f>IF(AV58=0,0,INDEX(nTP_OK,AV58))</f>
        <v>1</v>
      </c>
      <c r="BC58" s="21">
        <f>IF(AV58=0,"",INDEX(nTP_Loc,AV58))</f>
        <v>66286636</v>
      </c>
      <c r="BD58" s="21">
        <f>IF(AV58=0,"",INDEX(nTP_UTC,AV58))</f>
        <v>66286936</v>
      </c>
      <c r="BE58" s="21">
        <f>IF(AV58=0,"",INDEX(nTP_Lo,AV58))</f>
        <v>46032</v>
      </c>
      <c r="BF58" s="21">
        <f>IF(AV58=0,"",INDEX(nTP_Hi,AV58))</f>
        <v>46032</v>
      </c>
      <c r="BG58" s="22">
        <f>IF(OR(AQ58=1,E58&lt;&gt;"LAST_DOSE_BEFORE_ONSET",AU58=0,AV58=0),0,IF(AZ58&lt;&gt;"",0,SUMPRODUCT(MAX((nADM_SelKey=AR58&amp;"|"&amp;AL58)*nADM_Valid*(nADM_A_HT*BA58*nADM_A_OK*BB58*(nADM_UTC_n&lt;=N(BD58))+nADM_A_HT*BA58*(1-nADM_A_OK*BB58)*(nADM_Loc_n&lt;=N(BC58))+(1-nADM_A_HT*BA58)*(nADM_Lo_n&lt;=N(BE58)))*nADM_Sort_n))))</f>
        <v>0</v>
      </c>
      <c r="BH58" s="22">
        <f>IF(BG58=0,0,MATCH(1,INDEX((nADM_SelKey=AR58&amp;"|"&amp;AL58)*nADM_Valid*(nADM_A_HT*BA58*nADM_A_OK*BB58*(nADM_UTC_n&lt;=N(BD58))+nADM_A_HT*BA58*(1-nADM_A_OK*BB58)*(nADM_Loc_n&lt;=N(BC58))+(1-nADM_A_HT*BA58)*(nADM_Lo_n&lt;=N(BE58)))*(nADM_Sort_n=BG58),0),0))</f>
        <v>0</v>
      </c>
      <c r="BI58" s="21" t="str">
        <f>IF(BH58=0,"",INDEX(nADM_Admin_ID,BH58)&amp;"")</f>
        <v/>
      </c>
      <c r="BJ58" s="22">
        <f>IF(OR(AQ58=1,AG58=""),0,IFERROR(MATCH(AR58&amp;"|"&amp;AG58,nTP_Key,0),0))</f>
        <v>32</v>
      </c>
      <c r="BK58" s="21">
        <f>IF(BJ58=0,0,INDEX(nTP_Dup,BJ58))</f>
        <v>1</v>
      </c>
      <c r="BL58" s="21" t="str">
        <f>IF(BJ58=0,"",INDEX(nTP_Record_Type,BJ58))</f>
        <v>EXPOSURE_START</v>
      </c>
      <c r="BM58" s="21" t="str">
        <f>IF(BJ58=0,"",INDEX(nTP_Precision,BJ58))</f>
        <v>TIMESTAMP</v>
      </c>
      <c r="BN58" s="21" t="str">
        <f>IF(BJ58=0,"",INDEX(nTP_Err,BJ58))</f>
        <v/>
      </c>
      <c r="BO58" s="21">
        <f>IF(BJ58=0,0,INDEX(nTP_HT,BJ58))</f>
        <v>1</v>
      </c>
      <c r="BP58" s="21">
        <f>IF(BJ58=0,0,INDEX(nTP_OK,BJ58))</f>
        <v>1</v>
      </c>
      <c r="BQ58" s="21">
        <f>IF(BJ58=0,"",INDEX(nTP_Loc,BJ58))</f>
        <v>66286620</v>
      </c>
      <c r="BR58" s="21">
        <f>IF(BJ58=0,"",INDEX(nTP_UTC,BJ58))</f>
        <v>66286920</v>
      </c>
      <c r="BS58" s="21">
        <f>IF(BJ58=0,"",INDEX(nTP_Lo,BJ58))</f>
        <v>46032</v>
      </c>
      <c r="BT58" s="21">
        <f>IF(BJ58=0,"",INDEX(nTP_Hi,BJ58))</f>
        <v>46032</v>
      </c>
      <c r="BU58" s="22">
        <f>IF(OR(BJ58=0,AV58=0),0,SUMPRODUCT((nTP_Case_Key=AR58)*(nTP_Record_Type="MILESTONE:INTERVENTION")*(nTP_Err="")*(nTP_HT*BO58*BA58*(nTP_Loc_n&gt;=N(BQ58))*(nTP_Loc_n&lt;=N(BC58))+(1-nTP_HT*BO58*BA58)*(nTP_Lo_n&gt;=N(BS58))*(nTP_Hi_n&lt;=N(BF58))*(nTP_Lo_n&gt;0))))</f>
        <v>0</v>
      </c>
      <c r="BV58" s="21" t="str">
        <f t="shared" si="60"/>
        <v/>
      </c>
      <c r="BW58" s="21" t="str">
        <f t="shared" si="61"/>
        <v/>
      </c>
      <c r="BX58" s="21" t="str">
        <f t="shared" si="62"/>
        <v/>
      </c>
      <c r="BY58" s="21" t="str">
        <f t="shared" si="63"/>
        <v/>
      </c>
      <c r="BZ58" s="22">
        <f t="shared" si="64"/>
        <v>0</v>
      </c>
      <c r="CA58" s="21">
        <f t="shared" si="65"/>
        <v>16</v>
      </c>
      <c r="CB58" s="21" t="str">
        <f t="shared" si="66"/>
        <v/>
      </c>
      <c r="CC58" s="21" t="str">
        <f t="shared" si="67"/>
        <v/>
      </c>
      <c r="CD58" s="21" t="str">
        <f t="shared" si="68"/>
        <v/>
      </c>
      <c r="CE58" s="22">
        <f t="shared" si="69"/>
        <v>0</v>
      </c>
      <c r="CF58" s="28" t="str">
        <f t="shared" si="70"/>
        <v/>
      </c>
      <c r="CG58" s="28" t="str">
        <f t="shared" si="71"/>
        <v/>
      </c>
      <c r="CH58" s="21" t="str">
        <f t="shared" si="72"/>
        <v/>
      </c>
      <c r="CI58" s="22">
        <f t="shared" si="73"/>
        <v>0</v>
      </c>
      <c r="CJ58" s="22">
        <f t="shared" si="74"/>
        <v>0</v>
      </c>
      <c r="CK58" s="22">
        <f t="shared" si="75"/>
        <v>0</v>
      </c>
      <c r="CL58" s="22">
        <f t="shared" si="76"/>
        <v>0</v>
      </c>
      <c r="CM58" s="22">
        <f t="shared" si="77"/>
        <v>0</v>
      </c>
      <c r="CN58" s="22">
        <f t="shared" si="78"/>
        <v>0</v>
      </c>
      <c r="CO58" s="22">
        <f t="shared" si="79"/>
        <v>0</v>
      </c>
      <c r="CP58" s="22">
        <f t="shared" si="80"/>
        <v>0</v>
      </c>
      <c r="CQ58" s="21" t="str">
        <f t="shared" si="81"/>
        <v/>
      </c>
    </row>
    <row r="59" spans="1:95" x14ac:dyDescent="0.2">
      <c r="A59" s="9" t="s">
        <v>980</v>
      </c>
      <c r="B59" s="9" t="s">
        <v>291</v>
      </c>
      <c r="C59" s="11">
        <v>2</v>
      </c>
      <c r="D59" s="9" t="s">
        <v>801</v>
      </c>
      <c r="E59" s="16" t="s">
        <v>55</v>
      </c>
      <c r="F59" s="9" t="s">
        <v>977</v>
      </c>
      <c r="G59" s="9" t="s">
        <v>952</v>
      </c>
      <c r="H59" s="9" t="s">
        <v>736</v>
      </c>
      <c r="I59" s="16" t="s">
        <v>57</v>
      </c>
      <c r="J59" s="16"/>
      <c r="K59" s="9"/>
      <c r="L59" s="16"/>
      <c r="M59" s="16"/>
      <c r="N59" s="16"/>
      <c r="O59" s="9"/>
      <c r="P59" s="14"/>
      <c r="Q59" s="14"/>
      <c r="R59" s="9"/>
      <c r="S59" s="9" t="s">
        <v>981</v>
      </c>
      <c r="T59" s="21" t="str">
        <f t="shared" si="41"/>
        <v>50 minutes</v>
      </c>
      <c r="U59" s="21">
        <f t="shared" si="42"/>
        <v>50</v>
      </c>
      <c r="V59" s="21" t="str">
        <f t="shared" si="43"/>
        <v/>
      </c>
      <c r="W59" s="21" t="str">
        <f t="shared" si="44"/>
        <v/>
      </c>
      <c r="X59" s="21" t="str">
        <f t="shared" si="45"/>
        <v>minutes</v>
      </c>
      <c r="Y59" s="21" t="str">
        <f t="shared" si="46"/>
        <v>C1</v>
      </c>
      <c r="Z59" s="21" t="str">
        <f t="shared" si="47"/>
        <v>AFTER</v>
      </c>
      <c r="AA59" s="21" t="str">
        <f t="shared" si="48"/>
        <v/>
      </c>
      <c r="AB59" s="21" t="str">
        <f t="shared" si="49"/>
        <v/>
      </c>
      <c r="AC59" s="21" t="str">
        <f>IF(AQ59=1,"",MID(IF(BX59&lt;&gt;""," | "&amp;BX59&amp;": "&amp;SUBSTITUTE(IFERROR(INDEX(nMSG_Text,MATCH(BX59,nMSG_Code,0)),""),"[input]",BY59),"")&amp;IF(CI59=1," | W_TZ_UNKNOWN: "&amp;SUBSTITUTE(IFERROR(INDEX(nMSG_Text,MATCH("W_TZ_UNKNOWN",nMSG_Code,0)),""),"[input]",""),"")&amp;IF(CJ59=1," | W_SAME_DATE_ORDER_UNKNOWN: "&amp;SUBSTITUTE(IFERROR(INDEX(nMSG_Text,MATCH("W_SAME_DATE_ORDER_UNKNOWN",nMSG_Code,0)),""),"[input]",""),"")&amp;IF(CK59=1," | W_SEQUENCE_UNCERTAIN: "&amp;SUBSTITUTE(IFERROR(INDEX(nMSG_Text,MATCH("W_SEQUENCE_UNCERTAIN",nMSG_Code,0)),""),"[input]",""),"")&amp;IF(CL59=1," | W_ADMIN_SAME_DATE_AS_ONSET: "&amp;SUBSTITUTE(IFERROR(INDEX(nMSG_Text,MATCH("W_ADMIN_SAME_DATE_AS_ONSET",nMSG_Code,0)),""),"[input]",""),"")&amp;IF(CO59=1," | W_INTERVENTION_BEFORE_RECOVERY: "&amp;SUBSTITUTE(IFERROR(INDEX(nMSG_Text,MATCH("W_INTERVENTION_BEFORE_RECOVERY",nMSG_Code,0)),""),"[input]",""),"")&amp;IF(OR(CQ59="",CQ59="OVERLAP"),""," | "&amp;CQ59&amp;" (reported timing): "&amp;SUBSTITUTE(IFERROR(INDEX(nMSG_Text,MATCH(CQ59,nMSG_Code,0)),""),"[input]","numeric reported bounds and a reported unit"))&amp;IF(CM59=1," | I_TREATMENT_DAY_UNDEFINED: "&amp;SUBSTITUTE(IFERROR(INDEX(nMSG_Text,MATCH("I_TREATMENT_DAY_UNDEFINED",nMSG_Code,0)),""),"[input]",""),"")&amp;IF(CH59&lt;&gt;""," | "&amp;CH59&amp;" (constraint): "&amp;SUBSTITUTE(IFERROR(INDEX(nMSG_Text,MATCH(CH59,nMSG_Code,0)),""),"[input]","a source for the constraint"),""),4,9999))</f>
        <v/>
      </c>
      <c r="AD59" s="21" t="str">
        <f t="shared" si="50"/>
        <v/>
      </c>
      <c r="AE59" s="21" t="str">
        <f t="shared" si="51"/>
        <v/>
      </c>
      <c r="AF59" s="21" t="str">
        <f t="shared" si="52"/>
        <v/>
      </c>
      <c r="AG59" s="21" t="str">
        <f t="shared" si="53"/>
        <v>EV-1/ONSET</v>
      </c>
      <c r="AH59" s="21" t="str">
        <f>IF(BJ59=0,"",INDEX(nTP_ISO,BJ59))</f>
        <v>2026-01-10T09:15-05:00</v>
      </c>
      <c r="AI59" s="21" t="str">
        <f>IF(BJ59=0,"",INDEX(nTP_Display,BJ59))</f>
        <v>10 January 2026 09:15 (UTC-05:00)</v>
      </c>
      <c r="AJ59" s="21" t="str">
        <f>IF(AV59=0,"",INDEX(nTP_ISO,AV59))</f>
        <v>2026-01-10T10:05-05:00</v>
      </c>
      <c r="AK59" s="21" t="str">
        <f>IF(AV59=0,"",INDEX(nTP_Display,AV59))</f>
        <v>10 January 2026 10:05 (UTC-05:00)</v>
      </c>
      <c r="AL59" s="21" t="str">
        <f>IF(AU59=0,"",INDEX(nLNK_Exposure_Episode_ID,AU59)&amp;"")</f>
        <v>EX-A</v>
      </c>
      <c r="AM59" s="21" t="str">
        <f>IF(AU59=0,"",INDEX(nLNK_Event_Episode_ID,AU59)&amp;"")</f>
        <v>EV-1</v>
      </c>
      <c r="AN59" s="21" t="str">
        <f t="shared" si="54"/>
        <v>Both times converted to UTC with the recorded offsets.</v>
      </c>
      <c r="AO59" s="21" t="str">
        <f t="shared" si="55"/>
        <v/>
      </c>
      <c r="AP59" s="21" t="str">
        <f t="shared" si="56"/>
        <v>CALC-SPEC 1.0</v>
      </c>
      <c r="AQ59" s="22">
        <f t="shared" si="57"/>
        <v>0</v>
      </c>
      <c r="AR59" s="21" t="str">
        <f t="shared" si="58"/>
        <v>EX-C01|2</v>
      </c>
      <c r="AS59" s="21" t="str">
        <f t="shared" si="59"/>
        <v>EX-C01|2|I14</v>
      </c>
      <c r="AT59" s="22">
        <f>IF(AS59="",0,COUNTIF(nINT_Key,AS59))</f>
        <v>1</v>
      </c>
      <c r="AU59" s="22">
        <f>IF(D59="",0,IFERROR(MATCH(AR59&amp;"|"&amp;D59,nLNK_Key,0),0))</f>
        <v>22</v>
      </c>
      <c r="AV59" s="22">
        <f>IF(OR(AQ59=1,H59=""),0,IFERROR(MATCH(AR59&amp;"|"&amp;H59,nTP_Key,0),0))</f>
        <v>383</v>
      </c>
      <c r="AW59" s="21">
        <f>IF(AV59=0,0,INDEX(nTP_Dup,AV59))</f>
        <v>1</v>
      </c>
      <c r="AX59" s="21" t="str">
        <f>IF(AV59=0,"",INDEX(nTP_Record_Type,AV59))</f>
        <v>MILESTONE:TEST</v>
      </c>
      <c r="AY59" s="21" t="str">
        <f>IF(AV59=0,"",INDEX(nTP_Precision,AV59))</f>
        <v>TIMESTAMP</v>
      </c>
      <c r="AZ59" s="21" t="str">
        <f>IF(AV59=0,"",INDEX(nTP_Err,AV59))</f>
        <v/>
      </c>
      <c r="BA59" s="21">
        <f>IF(AV59=0,0,INDEX(nTP_HT,AV59))</f>
        <v>1</v>
      </c>
      <c r="BB59" s="21">
        <f>IF(AV59=0,0,INDEX(nTP_OK,AV59))</f>
        <v>1</v>
      </c>
      <c r="BC59" s="21">
        <f>IF(AV59=0,"",INDEX(nTP_Loc,AV59))</f>
        <v>66286685</v>
      </c>
      <c r="BD59" s="21">
        <f>IF(AV59=0,"",INDEX(nTP_UTC,AV59))</f>
        <v>66286985</v>
      </c>
      <c r="BE59" s="21">
        <f>IF(AV59=0,"",INDEX(nTP_Lo,AV59))</f>
        <v>46032</v>
      </c>
      <c r="BF59" s="21">
        <f>IF(AV59=0,"",INDEX(nTP_Hi,AV59))</f>
        <v>46032</v>
      </c>
      <c r="BG59" s="22">
        <f>IF(OR(AQ59=1,E59&lt;&gt;"LAST_DOSE_BEFORE_ONSET",AU59=0,AV59=0),0,IF(AZ59&lt;&gt;"",0,SUMPRODUCT(MAX((nADM_SelKey=AR59&amp;"|"&amp;AL59)*nADM_Valid*(nADM_A_HT*BA59*nADM_A_OK*BB59*(nADM_UTC_n&lt;=N(BD59))+nADM_A_HT*BA59*(1-nADM_A_OK*BB59)*(nADM_Loc_n&lt;=N(BC59))+(1-nADM_A_HT*BA59)*(nADM_Lo_n&lt;=N(BE59)))*nADM_Sort_n))))</f>
        <v>0</v>
      </c>
      <c r="BH59" s="22">
        <f>IF(BG59=0,0,MATCH(1,INDEX((nADM_SelKey=AR59&amp;"|"&amp;AL59)*nADM_Valid*(nADM_A_HT*BA59*nADM_A_OK*BB59*(nADM_UTC_n&lt;=N(BD59))+nADM_A_HT*BA59*(1-nADM_A_OK*BB59)*(nADM_Loc_n&lt;=N(BC59))+(1-nADM_A_HT*BA59)*(nADM_Lo_n&lt;=N(BE59)))*(nADM_Sort_n=BG59),0),0))</f>
        <v>0</v>
      </c>
      <c r="BI59" s="21" t="str">
        <f>IF(BH59=0,"",INDEX(nADM_Admin_ID,BH59)&amp;"")</f>
        <v/>
      </c>
      <c r="BJ59" s="22">
        <f>IF(OR(AQ59=1,AG59=""),0,IFERROR(MATCH(AR59&amp;"|"&amp;AG59,nTP_Key,0),0))</f>
        <v>280</v>
      </c>
      <c r="BK59" s="21">
        <f>IF(BJ59=0,0,INDEX(nTP_Dup,BJ59))</f>
        <v>1</v>
      </c>
      <c r="BL59" s="21" t="str">
        <f>IF(BJ59=0,"",INDEX(nTP_Record_Type,BJ59))</f>
        <v>EVENT_ONSET</v>
      </c>
      <c r="BM59" s="21" t="str">
        <f>IF(BJ59=0,"",INDEX(nTP_Precision,BJ59))</f>
        <v>TIMESTAMP</v>
      </c>
      <c r="BN59" s="21" t="str">
        <f>IF(BJ59=0,"",INDEX(nTP_Err,BJ59))</f>
        <v/>
      </c>
      <c r="BO59" s="21">
        <f>IF(BJ59=0,0,INDEX(nTP_HT,BJ59))</f>
        <v>1</v>
      </c>
      <c r="BP59" s="21">
        <f>IF(BJ59=0,0,INDEX(nTP_OK,BJ59))</f>
        <v>1</v>
      </c>
      <c r="BQ59" s="21">
        <f>IF(BJ59=0,"",INDEX(nTP_Loc,BJ59))</f>
        <v>66286635</v>
      </c>
      <c r="BR59" s="21">
        <f>IF(BJ59=0,"",INDEX(nTP_UTC,BJ59))</f>
        <v>66286935</v>
      </c>
      <c r="BS59" s="21">
        <f>IF(BJ59=0,"",INDEX(nTP_Lo,BJ59))</f>
        <v>46032</v>
      </c>
      <c r="BT59" s="21">
        <f>IF(BJ59=0,"",INDEX(nTP_Hi,BJ59))</f>
        <v>46032</v>
      </c>
      <c r="BU59" s="22">
        <f>IF(OR(BJ59=0,AV59=0),0,SUMPRODUCT((nTP_Case_Key=AR59)*(nTP_Record_Type="MILESTONE:INTERVENTION")*(nTP_Err="")*(nTP_HT*BO59*BA59*(nTP_Loc_n&gt;=N(BQ59))*(nTP_Loc_n&lt;=N(BC59))+(1-nTP_HT*BO59*BA59)*(nTP_Lo_n&gt;=N(BS59))*(nTP_Hi_n&lt;=N(BF59))*(nTP_Lo_n&gt;0))))</f>
        <v>1</v>
      </c>
      <c r="BV59" s="21" t="str">
        <f t="shared" si="60"/>
        <v/>
      </c>
      <c r="BW59" s="21" t="str">
        <f t="shared" si="61"/>
        <v/>
      </c>
      <c r="BX59" s="21" t="str">
        <f t="shared" si="62"/>
        <v/>
      </c>
      <c r="BY59" s="21" t="str">
        <f t="shared" si="63"/>
        <v/>
      </c>
      <c r="BZ59" s="22">
        <f t="shared" si="64"/>
        <v>0</v>
      </c>
      <c r="CA59" s="21">
        <f t="shared" si="65"/>
        <v>50</v>
      </c>
      <c r="CB59" s="21" t="str">
        <f t="shared" si="66"/>
        <v/>
      </c>
      <c r="CC59" s="21" t="str">
        <f t="shared" si="67"/>
        <v/>
      </c>
      <c r="CD59" s="21" t="str">
        <f t="shared" si="68"/>
        <v/>
      </c>
      <c r="CE59" s="22">
        <f t="shared" si="69"/>
        <v>0</v>
      </c>
      <c r="CF59" s="28" t="str">
        <f t="shared" si="70"/>
        <v/>
      </c>
      <c r="CG59" s="28" t="str">
        <f t="shared" si="71"/>
        <v/>
      </c>
      <c r="CH59" s="21" t="str">
        <f t="shared" si="72"/>
        <v/>
      </c>
      <c r="CI59" s="22">
        <f t="shared" si="73"/>
        <v>0</v>
      </c>
      <c r="CJ59" s="22">
        <f t="shared" si="74"/>
        <v>0</v>
      </c>
      <c r="CK59" s="22">
        <f t="shared" si="75"/>
        <v>0</v>
      </c>
      <c r="CL59" s="22">
        <f t="shared" si="76"/>
        <v>0</v>
      </c>
      <c r="CM59" s="22">
        <f t="shared" si="77"/>
        <v>0</v>
      </c>
      <c r="CN59" s="22">
        <f t="shared" si="78"/>
        <v>0</v>
      </c>
      <c r="CO59" s="22">
        <f t="shared" si="79"/>
        <v>0</v>
      </c>
      <c r="CP59" s="22">
        <f t="shared" si="80"/>
        <v>0</v>
      </c>
      <c r="CQ59" s="21" t="str">
        <f t="shared" si="81"/>
        <v/>
      </c>
    </row>
    <row r="60" spans="1:95" x14ac:dyDescent="0.2">
      <c r="A60" s="9" t="s">
        <v>951</v>
      </c>
      <c r="B60" s="9" t="s">
        <v>295</v>
      </c>
      <c r="C60" s="11">
        <v>2</v>
      </c>
      <c r="D60" s="9" t="s">
        <v>801</v>
      </c>
      <c r="E60" s="16" t="s">
        <v>49</v>
      </c>
      <c r="F60" s="9"/>
      <c r="G60" s="9" t="s">
        <v>982</v>
      </c>
      <c r="H60" s="9" t="s">
        <v>952</v>
      </c>
      <c r="I60" s="16" t="s">
        <v>58</v>
      </c>
      <c r="J60" s="16"/>
      <c r="K60" s="9"/>
      <c r="L60" s="16"/>
      <c r="M60" s="16"/>
      <c r="N60" s="16"/>
      <c r="O60" s="9"/>
      <c r="P60" s="14"/>
      <c r="Q60" s="14"/>
      <c r="R60" s="9"/>
      <c r="S60" s="9"/>
      <c r="T60" s="21" t="str">
        <f t="shared" si="41"/>
        <v>185 calendar days</v>
      </c>
      <c r="U60" s="21">
        <f t="shared" si="42"/>
        <v>185</v>
      </c>
      <c r="V60" s="21" t="str">
        <f t="shared" si="43"/>
        <v/>
      </c>
      <c r="W60" s="21" t="str">
        <f t="shared" si="44"/>
        <v/>
      </c>
      <c r="X60" s="21" t="str">
        <f t="shared" si="45"/>
        <v>calendar days</v>
      </c>
      <c r="Y60" s="21" t="str">
        <f t="shared" si="46"/>
        <v>C2</v>
      </c>
      <c r="Z60" s="21" t="str">
        <f t="shared" si="47"/>
        <v>AFTER</v>
      </c>
      <c r="AA60" s="21" t="str">
        <f t="shared" si="48"/>
        <v/>
      </c>
      <c r="AB60" s="21" t="str">
        <f t="shared" si="49"/>
        <v/>
      </c>
      <c r="AC60" s="21" t="str">
        <f>IF(AQ60=1,"",MID(IF(BX60&lt;&gt;""," | "&amp;BX60&amp;": "&amp;SUBSTITUTE(IFERROR(INDEX(nMSG_Text,MATCH(BX60,nMSG_Code,0)),""),"[input]",BY60),"")&amp;IF(CI60=1," | W_TZ_UNKNOWN: "&amp;SUBSTITUTE(IFERROR(INDEX(nMSG_Text,MATCH("W_TZ_UNKNOWN",nMSG_Code,0)),""),"[input]",""),"")&amp;IF(CJ60=1," | W_SAME_DATE_ORDER_UNKNOWN: "&amp;SUBSTITUTE(IFERROR(INDEX(nMSG_Text,MATCH("W_SAME_DATE_ORDER_UNKNOWN",nMSG_Code,0)),""),"[input]",""),"")&amp;IF(CK60=1," | W_SEQUENCE_UNCERTAIN: "&amp;SUBSTITUTE(IFERROR(INDEX(nMSG_Text,MATCH("W_SEQUENCE_UNCERTAIN",nMSG_Code,0)),""),"[input]",""),"")&amp;IF(CL60=1," | W_ADMIN_SAME_DATE_AS_ONSET: "&amp;SUBSTITUTE(IFERROR(INDEX(nMSG_Text,MATCH("W_ADMIN_SAME_DATE_AS_ONSET",nMSG_Code,0)),""),"[input]",""),"")&amp;IF(CO60=1," | W_INTERVENTION_BEFORE_RECOVERY: "&amp;SUBSTITUTE(IFERROR(INDEX(nMSG_Text,MATCH("W_INTERVENTION_BEFORE_RECOVERY",nMSG_Code,0)),""),"[input]",""),"")&amp;IF(OR(CQ60="",CQ60="OVERLAP"),""," | "&amp;CQ60&amp;" (reported timing): "&amp;SUBSTITUTE(IFERROR(INDEX(nMSG_Text,MATCH(CQ60,nMSG_Code,0)),""),"[input]","numeric reported bounds and a reported unit"))&amp;IF(CM60=1," | I_TREATMENT_DAY_UNDEFINED: "&amp;SUBSTITUTE(IFERROR(INDEX(nMSG_Text,MATCH("I_TREATMENT_DAY_UNDEFINED",nMSG_Code,0)),""),"[input]",""),"")&amp;IF(CH60&lt;&gt;""," | "&amp;CH60&amp;" (constraint): "&amp;SUBSTITUTE(IFERROR(INDEX(nMSG_Text,MATCH(CH60,nMSG_Code,0)),""),"[input]","a source for the constraint"),""),4,9999))</f>
        <v/>
      </c>
      <c r="AD60" s="21" t="str">
        <f t="shared" si="50"/>
        <v/>
      </c>
      <c r="AE60" s="21" t="str">
        <f t="shared" si="51"/>
        <v/>
      </c>
      <c r="AF60" s="21" t="str">
        <f t="shared" si="52"/>
        <v/>
      </c>
      <c r="AG60" s="21" t="str">
        <f t="shared" si="53"/>
        <v>EX-DIG/START</v>
      </c>
      <c r="AH60" s="21" t="str">
        <f>IF(BJ60=0,"",INDEX(nTP_ISO,BJ60))</f>
        <v>2026-01-01</v>
      </c>
      <c r="AI60" s="21" t="str">
        <f>IF(BJ60=0,"",INDEX(nTP_Display,BJ60))</f>
        <v>1 January 2026</v>
      </c>
      <c r="AJ60" s="21" t="str">
        <f>IF(AV60=0,"",INDEX(nTP_ISO,AV60))</f>
        <v>2026-07-05</v>
      </c>
      <c r="AK60" s="21" t="str">
        <f>IF(AV60=0,"",INDEX(nTP_Display,AV60))</f>
        <v>5 July 2026</v>
      </c>
      <c r="AL60" s="21" t="str">
        <f>IF(AU60=0,"",INDEX(nLNK_Exposure_Episode_ID,AU60)&amp;"")</f>
        <v>EX-DIG</v>
      </c>
      <c r="AM60" s="21" t="str">
        <f>IF(AU60=0,"",INDEX(nLNK_Event_Episode_ID,AU60)&amp;"")</f>
        <v>EV-1</v>
      </c>
      <c r="AN60" s="21" t="str">
        <f t="shared" si="54"/>
        <v>Calendar-date difference of the recorded local dates; not elapsed days.</v>
      </c>
      <c r="AO60" s="21" t="str">
        <f t="shared" si="55"/>
        <v/>
      </c>
      <c r="AP60" s="21" t="str">
        <f t="shared" si="56"/>
        <v>CALC-SPEC 1.0</v>
      </c>
      <c r="AQ60" s="22">
        <f t="shared" si="57"/>
        <v>0</v>
      </c>
      <c r="AR60" s="21" t="str">
        <f t="shared" si="58"/>
        <v>EX-C04|2</v>
      </c>
      <c r="AS60" s="21" t="str">
        <f t="shared" si="59"/>
        <v>EX-C04|2|I01</v>
      </c>
      <c r="AT60" s="22">
        <f>IF(AS60="",0,COUNTIF(nINT_Key,AS60))</f>
        <v>1</v>
      </c>
      <c r="AU60" s="22">
        <f>IF(D60="",0,IFERROR(MATCH(AR60&amp;"|"&amp;D60,nLNK_Key,0),0))</f>
        <v>25</v>
      </c>
      <c r="AV60" s="22">
        <f>IF(OR(AQ60=1,H60=""),0,IFERROR(MATCH(AR60&amp;"|"&amp;H60,nTP_Key,0),0))</f>
        <v>281</v>
      </c>
      <c r="AW60" s="21">
        <f>IF(AV60=0,0,INDEX(nTP_Dup,AV60))</f>
        <v>1</v>
      </c>
      <c r="AX60" s="21" t="str">
        <f>IF(AV60=0,"",INDEX(nTP_Record_Type,AV60))</f>
        <v>EVENT_ONSET</v>
      </c>
      <c r="AY60" s="21" t="str">
        <f>IF(AV60=0,"",INDEX(nTP_Precision,AV60))</f>
        <v>DATE</v>
      </c>
      <c r="AZ60" s="21" t="str">
        <f>IF(AV60=0,"",INDEX(nTP_Err,AV60))</f>
        <v/>
      </c>
      <c r="BA60" s="21">
        <f>IF(AV60=0,0,INDEX(nTP_HT,AV60))</f>
        <v>0</v>
      </c>
      <c r="BB60" s="21">
        <f>IF(AV60=0,0,INDEX(nTP_OK,AV60))</f>
        <v>0</v>
      </c>
      <c r="BC60" s="21" t="str">
        <f>IF(AV60=0,"",INDEX(nTP_Loc,AV60))</f>
        <v/>
      </c>
      <c r="BD60" s="21" t="str">
        <f>IF(AV60=0,"",INDEX(nTP_UTC,AV60))</f>
        <v/>
      </c>
      <c r="BE60" s="21">
        <f>IF(AV60=0,"",INDEX(nTP_Lo,AV60))</f>
        <v>46208</v>
      </c>
      <c r="BF60" s="21">
        <f>IF(AV60=0,"",INDEX(nTP_Hi,AV60))</f>
        <v>46208</v>
      </c>
      <c r="BG60" s="22">
        <f>IF(OR(AQ60=1,E60&lt;&gt;"LAST_DOSE_BEFORE_ONSET",AU60=0,AV60=0),0,IF(AZ60&lt;&gt;"",0,SUMPRODUCT(MAX((nADM_SelKey=AR60&amp;"|"&amp;AL60)*nADM_Valid*(nADM_A_HT*BA60*nADM_A_OK*BB60*(nADM_UTC_n&lt;=N(BD60))+nADM_A_HT*BA60*(1-nADM_A_OK*BB60)*(nADM_Loc_n&lt;=N(BC60))+(1-nADM_A_HT*BA60)*(nADM_Lo_n&lt;=N(BE60)))*nADM_Sort_n))))</f>
        <v>0</v>
      </c>
      <c r="BH60" s="22">
        <f>IF(BG60=0,0,MATCH(1,INDEX((nADM_SelKey=AR60&amp;"|"&amp;AL60)*nADM_Valid*(nADM_A_HT*BA60*nADM_A_OK*BB60*(nADM_UTC_n&lt;=N(BD60))+nADM_A_HT*BA60*(1-nADM_A_OK*BB60)*(nADM_Loc_n&lt;=N(BC60))+(1-nADM_A_HT*BA60)*(nADM_Lo_n&lt;=N(BE60)))*(nADM_Sort_n=BG60),0),0))</f>
        <v>0</v>
      </c>
      <c r="BI60" s="21" t="str">
        <f>IF(BH60=0,"",INDEX(nADM_Admin_ID,BH60)&amp;"")</f>
        <v/>
      </c>
      <c r="BJ60" s="22">
        <f>IF(OR(AQ60=1,AG60=""),0,IFERROR(MATCH(AR60&amp;"|"&amp;AG60,nTP_Key,0),0))</f>
        <v>35</v>
      </c>
      <c r="BK60" s="21">
        <f>IF(BJ60=0,0,INDEX(nTP_Dup,BJ60))</f>
        <v>1</v>
      </c>
      <c r="BL60" s="21" t="str">
        <f>IF(BJ60=0,"",INDEX(nTP_Record_Type,BJ60))</f>
        <v>EXPOSURE_START</v>
      </c>
      <c r="BM60" s="21" t="str">
        <f>IF(BJ60=0,"",INDEX(nTP_Precision,BJ60))</f>
        <v>DATE</v>
      </c>
      <c r="BN60" s="21" t="str">
        <f>IF(BJ60=0,"",INDEX(nTP_Err,BJ60))</f>
        <v/>
      </c>
      <c r="BO60" s="21">
        <f>IF(BJ60=0,0,INDEX(nTP_HT,BJ60))</f>
        <v>0</v>
      </c>
      <c r="BP60" s="21">
        <f>IF(BJ60=0,0,INDEX(nTP_OK,BJ60))</f>
        <v>0</v>
      </c>
      <c r="BQ60" s="21" t="str">
        <f>IF(BJ60=0,"",INDEX(nTP_Loc,BJ60))</f>
        <v/>
      </c>
      <c r="BR60" s="21" t="str">
        <f>IF(BJ60=0,"",INDEX(nTP_UTC,BJ60))</f>
        <v/>
      </c>
      <c r="BS60" s="21">
        <f>IF(BJ60=0,"",INDEX(nTP_Lo,BJ60))</f>
        <v>46023</v>
      </c>
      <c r="BT60" s="21">
        <f>IF(BJ60=0,"",INDEX(nTP_Hi,BJ60))</f>
        <v>46023</v>
      </c>
      <c r="BU60" s="22">
        <f>IF(OR(BJ60=0,AV60=0),0,SUMPRODUCT((nTP_Case_Key=AR60)*(nTP_Record_Type="MILESTONE:INTERVENTION")*(nTP_Err="")*(nTP_HT*BO60*BA60*(nTP_Loc_n&gt;=N(BQ60))*(nTP_Loc_n&lt;=N(BC60))+(1-nTP_HT*BO60*BA60)*(nTP_Lo_n&gt;=N(BS60))*(nTP_Hi_n&lt;=N(BF60))*(nTP_Lo_n&gt;0))))</f>
        <v>1</v>
      </c>
      <c r="BV60" s="21" t="str">
        <f t="shared" si="60"/>
        <v/>
      </c>
      <c r="BW60" s="21" t="str">
        <f t="shared" si="61"/>
        <v/>
      </c>
      <c r="BX60" s="21" t="str">
        <f t="shared" si="62"/>
        <v/>
      </c>
      <c r="BY60" s="21" t="str">
        <f t="shared" si="63"/>
        <v/>
      </c>
      <c r="BZ60" s="22">
        <f t="shared" si="64"/>
        <v>1</v>
      </c>
      <c r="CA60" s="21" t="str">
        <f t="shared" si="65"/>
        <v/>
      </c>
      <c r="CB60" s="21">
        <f t="shared" si="66"/>
        <v>185</v>
      </c>
      <c r="CC60" s="21" t="str">
        <f t="shared" si="67"/>
        <v/>
      </c>
      <c r="CD60" s="21" t="str">
        <f t="shared" si="68"/>
        <v/>
      </c>
      <c r="CE60" s="22">
        <f t="shared" si="69"/>
        <v>0</v>
      </c>
      <c r="CF60" s="28" t="str">
        <f t="shared" si="70"/>
        <v/>
      </c>
      <c r="CG60" s="28" t="str">
        <f t="shared" si="71"/>
        <v/>
      </c>
      <c r="CH60" s="21" t="str">
        <f t="shared" si="72"/>
        <v/>
      </c>
      <c r="CI60" s="22">
        <f t="shared" si="73"/>
        <v>0</v>
      </c>
      <c r="CJ60" s="22">
        <f t="shared" si="74"/>
        <v>0</v>
      </c>
      <c r="CK60" s="22">
        <f t="shared" si="75"/>
        <v>0</v>
      </c>
      <c r="CL60" s="22">
        <f t="shared" si="76"/>
        <v>0</v>
      </c>
      <c r="CM60" s="22">
        <f t="shared" si="77"/>
        <v>0</v>
      </c>
      <c r="CN60" s="22">
        <f t="shared" si="78"/>
        <v>0</v>
      </c>
      <c r="CO60" s="22">
        <f t="shared" si="79"/>
        <v>0</v>
      </c>
      <c r="CP60" s="22">
        <f t="shared" si="80"/>
        <v>0</v>
      </c>
      <c r="CQ60" s="21" t="str">
        <f t="shared" si="81"/>
        <v/>
      </c>
    </row>
    <row r="61" spans="1:95" x14ac:dyDescent="0.2">
      <c r="A61" s="9" t="s">
        <v>953</v>
      </c>
      <c r="B61" s="9" t="s">
        <v>295</v>
      </c>
      <c r="C61" s="11">
        <v>2</v>
      </c>
      <c r="D61" s="9" t="s">
        <v>801</v>
      </c>
      <c r="E61" s="16" t="s">
        <v>55</v>
      </c>
      <c r="F61" s="9" t="s">
        <v>746</v>
      </c>
      <c r="G61" s="9" t="s">
        <v>745</v>
      </c>
      <c r="H61" s="9" t="s">
        <v>952</v>
      </c>
      <c r="I61" s="16" t="s">
        <v>58</v>
      </c>
      <c r="J61" s="16"/>
      <c r="K61" s="9"/>
      <c r="L61" s="16"/>
      <c r="M61" s="16"/>
      <c r="N61" s="16"/>
      <c r="O61" s="9"/>
      <c r="P61" s="14"/>
      <c r="Q61" s="14"/>
      <c r="R61" s="9"/>
      <c r="S61" s="9"/>
      <c r="T61" s="21" t="str">
        <f t="shared" si="41"/>
        <v>4 calendar days</v>
      </c>
      <c r="U61" s="21">
        <f t="shared" si="42"/>
        <v>4</v>
      </c>
      <c r="V61" s="21" t="str">
        <f t="shared" si="43"/>
        <v/>
      </c>
      <c r="W61" s="21" t="str">
        <f t="shared" si="44"/>
        <v/>
      </c>
      <c r="X61" s="21" t="str">
        <f t="shared" si="45"/>
        <v>calendar days</v>
      </c>
      <c r="Y61" s="21" t="str">
        <f t="shared" si="46"/>
        <v>C2</v>
      </c>
      <c r="Z61" s="21" t="str">
        <f t="shared" si="47"/>
        <v>AFTER</v>
      </c>
      <c r="AA61" s="21" t="str">
        <f t="shared" si="48"/>
        <v/>
      </c>
      <c r="AB61" s="21" t="str">
        <f t="shared" si="49"/>
        <v/>
      </c>
      <c r="AC61" s="21" t="str">
        <f>IF(AQ61=1,"",MID(IF(BX61&lt;&gt;""," | "&amp;BX61&amp;": "&amp;SUBSTITUTE(IFERROR(INDEX(nMSG_Text,MATCH(BX61,nMSG_Code,0)),""),"[input]",BY61),"")&amp;IF(CI61=1," | W_TZ_UNKNOWN: "&amp;SUBSTITUTE(IFERROR(INDEX(nMSG_Text,MATCH("W_TZ_UNKNOWN",nMSG_Code,0)),""),"[input]",""),"")&amp;IF(CJ61=1," | W_SAME_DATE_ORDER_UNKNOWN: "&amp;SUBSTITUTE(IFERROR(INDEX(nMSG_Text,MATCH("W_SAME_DATE_ORDER_UNKNOWN",nMSG_Code,0)),""),"[input]",""),"")&amp;IF(CK61=1," | W_SEQUENCE_UNCERTAIN: "&amp;SUBSTITUTE(IFERROR(INDEX(nMSG_Text,MATCH("W_SEQUENCE_UNCERTAIN",nMSG_Code,0)),""),"[input]",""),"")&amp;IF(CL61=1," | W_ADMIN_SAME_DATE_AS_ONSET: "&amp;SUBSTITUTE(IFERROR(INDEX(nMSG_Text,MATCH("W_ADMIN_SAME_DATE_AS_ONSET",nMSG_Code,0)),""),"[input]",""),"")&amp;IF(CO61=1," | W_INTERVENTION_BEFORE_RECOVERY: "&amp;SUBSTITUTE(IFERROR(INDEX(nMSG_Text,MATCH("W_INTERVENTION_BEFORE_RECOVERY",nMSG_Code,0)),""),"[input]",""),"")&amp;IF(OR(CQ61="",CQ61="OVERLAP"),""," | "&amp;CQ61&amp;" (reported timing): "&amp;SUBSTITUTE(IFERROR(INDEX(nMSG_Text,MATCH(CQ61,nMSG_Code,0)),""),"[input]","numeric reported bounds and a reported unit"))&amp;IF(CM61=1," | I_TREATMENT_DAY_UNDEFINED: "&amp;SUBSTITUTE(IFERROR(INDEX(nMSG_Text,MATCH("I_TREATMENT_DAY_UNDEFINED",nMSG_Code,0)),""),"[input]",""),"")&amp;IF(CH61&lt;&gt;""," | "&amp;CH61&amp;" (constraint): "&amp;SUBSTITUTE(IFERROR(INDEX(nMSG_Text,MATCH(CH61,nMSG_Code,0)),""),"[input]","a source for the constraint"),""),4,9999))</f>
        <v/>
      </c>
      <c r="AD61" s="21" t="str">
        <f t="shared" si="50"/>
        <v/>
      </c>
      <c r="AE61" s="21" t="str">
        <f t="shared" si="51"/>
        <v/>
      </c>
      <c r="AF61" s="21" t="str">
        <f t="shared" si="52"/>
        <v/>
      </c>
      <c r="AG61" s="21" t="str">
        <f t="shared" si="53"/>
        <v>M-CR3</v>
      </c>
      <c r="AH61" s="21" t="str">
        <f>IF(BJ61=0,"",INDEX(nTP_ISO,BJ61))</f>
        <v>2026-07-01</v>
      </c>
      <c r="AI61" s="21" t="str">
        <f>IF(BJ61=0,"",INDEX(nTP_Display,BJ61))</f>
        <v>1 July 2026</v>
      </c>
      <c r="AJ61" s="21" t="str">
        <f>IF(AV61=0,"",INDEX(nTP_ISO,AV61))</f>
        <v>2026-07-05</v>
      </c>
      <c r="AK61" s="21" t="str">
        <f>IF(AV61=0,"",INDEX(nTP_Display,AV61))</f>
        <v>5 July 2026</v>
      </c>
      <c r="AL61" s="21" t="str">
        <f>IF(AU61=0,"",INDEX(nLNK_Exposure_Episode_ID,AU61)&amp;"")</f>
        <v>EX-DIG</v>
      </c>
      <c r="AM61" s="21" t="str">
        <f>IF(AU61=0,"",INDEX(nLNK_Event_Episode_ID,AU61)&amp;"")</f>
        <v>EV-1</v>
      </c>
      <c r="AN61" s="21" t="str">
        <f t="shared" si="54"/>
        <v>Calendar-date difference of the recorded local dates; not elapsed days.</v>
      </c>
      <c r="AO61" s="21" t="str">
        <f t="shared" si="55"/>
        <v/>
      </c>
      <c r="AP61" s="21" t="str">
        <f t="shared" si="56"/>
        <v>CALC-SPEC 1.0</v>
      </c>
      <c r="AQ61" s="22">
        <f t="shared" si="57"/>
        <v>0</v>
      </c>
      <c r="AR61" s="21" t="str">
        <f t="shared" si="58"/>
        <v>EX-C04|2</v>
      </c>
      <c r="AS61" s="21" t="str">
        <f t="shared" si="59"/>
        <v>EX-C04|2|I02</v>
      </c>
      <c r="AT61" s="22">
        <f>IF(AS61="",0,COUNTIF(nINT_Key,AS61))</f>
        <v>1</v>
      </c>
      <c r="AU61" s="22">
        <f>IF(D61="",0,IFERROR(MATCH(AR61&amp;"|"&amp;D61,nLNK_Key,0),0))</f>
        <v>25</v>
      </c>
      <c r="AV61" s="22">
        <f>IF(OR(AQ61=1,H61=""),0,IFERROR(MATCH(AR61&amp;"|"&amp;H61,nTP_Key,0),0))</f>
        <v>281</v>
      </c>
      <c r="AW61" s="21">
        <f>IF(AV61=0,0,INDEX(nTP_Dup,AV61))</f>
        <v>1</v>
      </c>
      <c r="AX61" s="21" t="str">
        <f>IF(AV61=0,"",INDEX(nTP_Record_Type,AV61))</f>
        <v>EVENT_ONSET</v>
      </c>
      <c r="AY61" s="21" t="str">
        <f>IF(AV61=0,"",INDEX(nTP_Precision,AV61))</f>
        <v>DATE</v>
      </c>
      <c r="AZ61" s="21" t="str">
        <f>IF(AV61=0,"",INDEX(nTP_Err,AV61))</f>
        <v/>
      </c>
      <c r="BA61" s="21">
        <f>IF(AV61=0,0,INDEX(nTP_HT,AV61))</f>
        <v>0</v>
      </c>
      <c r="BB61" s="21">
        <f>IF(AV61=0,0,INDEX(nTP_OK,AV61))</f>
        <v>0</v>
      </c>
      <c r="BC61" s="21" t="str">
        <f>IF(AV61=0,"",INDEX(nTP_Loc,AV61))</f>
        <v/>
      </c>
      <c r="BD61" s="21" t="str">
        <f>IF(AV61=0,"",INDEX(nTP_UTC,AV61))</f>
        <v/>
      </c>
      <c r="BE61" s="21">
        <f>IF(AV61=0,"",INDEX(nTP_Lo,AV61))</f>
        <v>46208</v>
      </c>
      <c r="BF61" s="21">
        <f>IF(AV61=0,"",INDEX(nTP_Hi,AV61))</f>
        <v>46208</v>
      </c>
      <c r="BG61" s="22">
        <f>IF(OR(AQ61=1,E61&lt;&gt;"LAST_DOSE_BEFORE_ONSET",AU61=0,AV61=0),0,IF(AZ61&lt;&gt;"",0,SUMPRODUCT(MAX((nADM_SelKey=AR61&amp;"|"&amp;AL61)*nADM_Valid*(nADM_A_HT*BA61*nADM_A_OK*BB61*(nADM_UTC_n&lt;=N(BD61))+nADM_A_HT*BA61*(1-nADM_A_OK*BB61)*(nADM_Loc_n&lt;=N(BC61))+(1-nADM_A_HT*BA61)*(nADM_Lo_n&lt;=N(BE61)))*nADM_Sort_n))))</f>
        <v>0</v>
      </c>
      <c r="BH61" s="22">
        <f>IF(BG61=0,0,MATCH(1,INDEX((nADM_SelKey=AR61&amp;"|"&amp;AL61)*nADM_Valid*(nADM_A_HT*BA61*nADM_A_OK*BB61*(nADM_UTC_n&lt;=N(BD61))+nADM_A_HT*BA61*(1-nADM_A_OK*BB61)*(nADM_Loc_n&lt;=N(BC61))+(1-nADM_A_HT*BA61)*(nADM_Lo_n&lt;=N(BE61)))*(nADM_Sort_n=BG61),0),0))</f>
        <v>0</v>
      </c>
      <c r="BI61" s="21" t="str">
        <f>IF(BH61=0,"",INDEX(nADM_Admin_ID,BH61)&amp;"")</f>
        <v/>
      </c>
      <c r="BJ61" s="22">
        <f>IF(OR(AQ61=1,AG61=""),0,IFERROR(MATCH(AR61&amp;"|"&amp;AG61,nTP_Key,0),0))</f>
        <v>386</v>
      </c>
      <c r="BK61" s="21">
        <f>IF(BJ61=0,0,INDEX(nTP_Dup,BJ61))</f>
        <v>1</v>
      </c>
      <c r="BL61" s="21" t="str">
        <f>IF(BJ61=0,"",INDEX(nTP_Record_Type,BJ61))</f>
        <v>MILESTONE:ORGAN_FUNCTION</v>
      </c>
      <c r="BM61" s="21" t="str">
        <f>IF(BJ61=0,"",INDEX(nTP_Precision,BJ61))</f>
        <v>DATE</v>
      </c>
      <c r="BN61" s="21" t="str">
        <f>IF(BJ61=0,"",INDEX(nTP_Err,BJ61))</f>
        <v/>
      </c>
      <c r="BO61" s="21">
        <f>IF(BJ61=0,0,INDEX(nTP_HT,BJ61))</f>
        <v>0</v>
      </c>
      <c r="BP61" s="21">
        <f>IF(BJ61=0,0,INDEX(nTP_OK,BJ61))</f>
        <v>0</v>
      </c>
      <c r="BQ61" s="21" t="str">
        <f>IF(BJ61=0,"",INDEX(nTP_Loc,BJ61))</f>
        <v/>
      </c>
      <c r="BR61" s="21" t="str">
        <f>IF(BJ61=0,"",INDEX(nTP_UTC,BJ61))</f>
        <v/>
      </c>
      <c r="BS61" s="21">
        <f>IF(BJ61=0,"",INDEX(nTP_Lo,BJ61))</f>
        <v>46204</v>
      </c>
      <c r="BT61" s="21">
        <f>IF(BJ61=0,"",INDEX(nTP_Hi,BJ61))</f>
        <v>46204</v>
      </c>
      <c r="BU61" s="22">
        <f>IF(OR(BJ61=0,AV61=0),0,SUMPRODUCT((nTP_Case_Key=AR61)*(nTP_Record_Type="MILESTONE:INTERVENTION")*(nTP_Err="")*(nTP_HT*BO61*BA61*(nTP_Loc_n&gt;=N(BQ61))*(nTP_Loc_n&lt;=N(BC61))+(1-nTP_HT*BO61*BA61)*(nTP_Lo_n&gt;=N(BS61))*(nTP_Hi_n&lt;=N(BF61))*(nTP_Lo_n&gt;0))))</f>
        <v>1</v>
      </c>
      <c r="BV61" s="21" t="str">
        <f t="shared" si="60"/>
        <v/>
      </c>
      <c r="BW61" s="21" t="str">
        <f t="shared" si="61"/>
        <v/>
      </c>
      <c r="BX61" s="21" t="str">
        <f t="shared" si="62"/>
        <v/>
      </c>
      <c r="BY61" s="21" t="str">
        <f t="shared" si="63"/>
        <v/>
      </c>
      <c r="BZ61" s="22">
        <f t="shared" si="64"/>
        <v>1</v>
      </c>
      <c r="CA61" s="21" t="str">
        <f t="shared" si="65"/>
        <v/>
      </c>
      <c r="CB61" s="21">
        <f t="shared" si="66"/>
        <v>4</v>
      </c>
      <c r="CC61" s="21" t="str">
        <f t="shared" si="67"/>
        <v/>
      </c>
      <c r="CD61" s="21" t="str">
        <f t="shared" si="68"/>
        <v/>
      </c>
      <c r="CE61" s="22">
        <f t="shared" si="69"/>
        <v>0</v>
      </c>
      <c r="CF61" s="28" t="str">
        <f t="shared" si="70"/>
        <v/>
      </c>
      <c r="CG61" s="28" t="str">
        <f t="shared" si="71"/>
        <v/>
      </c>
      <c r="CH61" s="21" t="str">
        <f t="shared" si="72"/>
        <v/>
      </c>
      <c r="CI61" s="22">
        <f t="shared" si="73"/>
        <v>0</v>
      </c>
      <c r="CJ61" s="22">
        <f t="shared" si="74"/>
        <v>0</v>
      </c>
      <c r="CK61" s="22">
        <f t="shared" si="75"/>
        <v>0</v>
      </c>
      <c r="CL61" s="22">
        <f t="shared" si="76"/>
        <v>0</v>
      </c>
      <c r="CM61" s="22">
        <f t="shared" si="77"/>
        <v>0</v>
      </c>
      <c r="CN61" s="22">
        <f t="shared" si="78"/>
        <v>0</v>
      </c>
      <c r="CO61" s="22">
        <f t="shared" si="79"/>
        <v>0</v>
      </c>
      <c r="CP61" s="22">
        <f t="shared" si="80"/>
        <v>0</v>
      </c>
      <c r="CQ61" s="21" t="str">
        <f t="shared" si="81"/>
        <v/>
      </c>
    </row>
    <row r="62" spans="1:95" x14ac:dyDescent="0.2">
      <c r="A62" s="9" t="s">
        <v>955</v>
      </c>
      <c r="B62" s="9" t="s">
        <v>295</v>
      </c>
      <c r="C62" s="11">
        <v>2</v>
      </c>
      <c r="D62" s="9" t="s">
        <v>803</v>
      </c>
      <c r="E62" s="16" t="s">
        <v>53</v>
      </c>
      <c r="F62" s="9" t="s">
        <v>984</v>
      </c>
      <c r="G62" s="9" t="s">
        <v>983</v>
      </c>
      <c r="H62" s="9" t="s">
        <v>952</v>
      </c>
      <c r="I62" s="16" t="s">
        <v>58</v>
      </c>
      <c r="J62" s="16"/>
      <c r="K62" s="9"/>
      <c r="L62" s="16"/>
      <c r="M62" s="16"/>
      <c r="N62" s="16"/>
      <c r="O62" s="9"/>
      <c r="P62" s="14"/>
      <c r="Q62" s="14"/>
      <c r="R62" s="9"/>
      <c r="S62" s="9"/>
      <c r="T62" s="21" t="str">
        <f t="shared" si="41"/>
        <v>9 calendar days</v>
      </c>
      <c r="U62" s="21">
        <f t="shared" si="42"/>
        <v>9</v>
      </c>
      <c r="V62" s="21" t="str">
        <f t="shared" si="43"/>
        <v/>
      </c>
      <c r="W62" s="21" t="str">
        <f t="shared" si="44"/>
        <v/>
      </c>
      <c r="X62" s="21" t="str">
        <f t="shared" si="45"/>
        <v>calendar days</v>
      </c>
      <c r="Y62" s="21" t="str">
        <f t="shared" si="46"/>
        <v>C2</v>
      </c>
      <c r="Z62" s="21" t="str">
        <f t="shared" si="47"/>
        <v>AFTER</v>
      </c>
      <c r="AA62" s="21" t="str">
        <f t="shared" si="48"/>
        <v/>
      </c>
      <c r="AB62" s="21" t="str">
        <f t="shared" si="49"/>
        <v/>
      </c>
      <c r="AC62" s="21" t="str">
        <f>IF(AQ62=1,"",MID(IF(BX62&lt;&gt;""," | "&amp;BX62&amp;": "&amp;SUBSTITUTE(IFERROR(INDEX(nMSG_Text,MATCH(BX62,nMSG_Code,0)),""),"[input]",BY62),"")&amp;IF(CI62=1," | W_TZ_UNKNOWN: "&amp;SUBSTITUTE(IFERROR(INDEX(nMSG_Text,MATCH("W_TZ_UNKNOWN",nMSG_Code,0)),""),"[input]",""),"")&amp;IF(CJ62=1," | W_SAME_DATE_ORDER_UNKNOWN: "&amp;SUBSTITUTE(IFERROR(INDEX(nMSG_Text,MATCH("W_SAME_DATE_ORDER_UNKNOWN",nMSG_Code,0)),""),"[input]",""),"")&amp;IF(CK62=1," | W_SEQUENCE_UNCERTAIN: "&amp;SUBSTITUTE(IFERROR(INDEX(nMSG_Text,MATCH("W_SEQUENCE_UNCERTAIN",nMSG_Code,0)),""),"[input]",""),"")&amp;IF(CL62=1," | W_ADMIN_SAME_DATE_AS_ONSET: "&amp;SUBSTITUTE(IFERROR(INDEX(nMSG_Text,MATCH("W_ADMIN_SAME_DATE_AS_ONSET",nMSG_Code,0)),""),"[input]",""),"")&amp;IF(CO62=1," | W_INTERVENTION_BEFORE_RECOVERY: "&amp;SUBSTITUTE(IFERROR(INDEX(nMSG_Text,MATCH("W_INTERVENTION_BEFORE_RECOVERY",nMSG_Code,0)),""),"[input]",""),"")&amp;IF(OR(CQ62="",CQ62="OVERLAP"),""," | "&amp;CQ62&amp;" (reported timing): "&amp;SUBSTITUTE(IFERROR(INDEX(nMSG_Text,MATCH(CQ62,nMSG_Code,0)),""),"[input]","numeric reported bounds and a reported unit"))&amp;IF(CM62=1," | I_TREATMENT_DAY_UNDEFINED: "&amp;SUBSTITUTE(IFERROR(INDEX(nMSG_Text,MATCH("I_TREATMENT_DAY_UNDEFINED",nMSG_Code,0)),""),"[input]",""),"")&amp;IF(CH62&lt;&gt;""," | "&amp;CH62&amp;" (constraint): "&amp;SUBSTITUTE(IFERROR(INDEX(nMSG_Text,MATCH(CH62,nMSG_Code,0)),""),"[input]","a source for the constraint"),""),4,9999))</f>
        <v/>
      </c>
      <c r="AD62" s="21" t="str">
        <f t="shared" si="50"/>
        <v/>
      </c>
      <c r="AE62" s="21" t="str">
        <f t="shared" si="51"/>
        <v/>
      </c>
      <c r="AF62" s="21" t="str">
        <f t="shared" si="52"/>
        <v/>
      </c>
      <c r="AG62" s="21" t="str">
        <f t="shared" si="53"/>
        <v>EX-IBU/START</v>
      </c>
      <c r="AH62" s="21" t="str">
        <f>IF(BJ62=0,"",INDEX(nTP_ISO,BJ62))</f>
        <v>2026-06-26</v>
      </c>
      <c r="AI62" s="21" t="str">
        <f>IF(BJ62=0,"",INDEX(nTP_Display,BJ62))</f>
        <v>26 June 2026</v>
      </c>
      <c r="AJ62" s="21" t="str">
        <f>IF(AV62=0,"",INDEX(nTP_ISO,AV62))</f>
        <v>2026-07-05</v>
      </c>
      <c r="AK62" s="21" t="str">
        <f>IF(AV62=0,"",INDEX(nTP_Display,AV62))</f>
        <v>5 July 2026</v>
      </c>
      <c r="AL62" s="21" t="str">
        <f>IF(AU62=0,"",INDEX(nLNK_Exposure_Episode_ID,AU62)&amp;"")</f>
        <v>EX-IBU</v>
      </c>
      <c r="AM62" s="21" t="str">
        <f>IF(AU62=0,"",INDEX(nLNK_Event_Episode_ID,AU62)&amp;"")</f>
        <v>EV-1</v>
      </c>
      <c r="AN62" s="21" t="str">
        <f t="shared" si="54"/>
        <v>Calendar-date difference of the recorded local dates; not elapsed days.</v>
      </c>
      <c r="AO62" s="21" t="str">
        <f t="shared" si="55"/>
        <v/>
      </c>
      <c r="AP62" s="21" t="str">
        <f t="shared" si="56"/>
        <v>CALC-SPEC 1.0</v>
      </c>
      <c r="AQ62" s="22">
        <f t="shared" si="57"/>
        <v>0</v>
      </c>
      <c r="AR62" s="21" t="str">
        <f t="shared" si="58"/>
        <v>EX-C04|2</v>
      </c>
      <c r="AS62" s="21" t="str">
        <f t="shared" si="59"/>
        <v>EX-C04|2|I03</v>
      </c>
      <c r="AT62" s="22">
        <f>IF(AS62="",0,COUNTIF(nINT_Key,AS62))</f>
        <v>1</v>
      </c>
      <c r="AU62" s="22">
        <f>IF(D62="",0,IFERROR(MATCH(AR62&amp;"|"&amp;D62,nLNK_Key,0),0))</f>
        <v>26</v>
      </c>
      <c r="AV62" s="22">
        <f>IF(OR(AQ62=1,H62=""),0,IFERROR(MATCH(AR62&amp;"|"&amp;H62,nTP_Key,0),0))</f>
        <v>281</v>
      </c>
      <c r="AW62" s="21">
        <f>IF(AV62=0,0,INDEX(nTP_Dup,AV62))</f>
        <v>1</v>
      </c>
      <c r="AX62" s="21" t="str">
        <f>IF(AV62=0,"",INDEX(nTP_Record_Type,AV62))</f>
        <v>EVENT_ONSET</v>
      </c>
      <c r="AY62" s="21" t="str">
        <f>IF(AV62=0,"",INDEX(nTP_Precision,AV62))</f>
        <v>DATE</v>
      </c>
      <c r="AZ62" s="21" t="str">
        <f>IF(AV62=0,"",INDEX(nTP_Err,AV62))</f>
        <v/>
      </c>
      <c r="BA62" s="21">
        <f>IF(AV62=0,0,INDEX(nTP_HT,AV62))</f>
        <v>0</v>
      </c>
      <c r="BB62" s="21">
        <f>IF(AV62=0,0,INDEX(nTP_OK,AV62))</f>
        <v>0</v>
      </c>
      <c r="BC62" s="21" t="str">
        <f>IF(AV62=0,"",INDEX(nTP_Loc,AV62))</f>
        <v/>
      </c>
      <c r="BD62" s="21" t="str">
        <f>IF(AV62=0,"",INDEX(nTP_UTC,AV62))</f>
        <v/>
      </c>
      <c r="BE62" s="21">
        <f>IF(AV62=0,"",INDEX(nTP_Lo,AV62))</f>
        <v>46208</v>
      </c>
      <c r="BF62" s="21">
        <f>IF(AV62=0,"",INDEX(nTP_Hi,AV62))</f>
        <v>46208</v>
      </c>
      <c r="BG62" s="22">
        <f>IF(OR(AQ62=1,E62&lt;&gt;"LAST_DOSE_BEFORE_ONSET",AU62=0,AV62=0),0,IF(AZ62&lt;&gt;"",0,SUMPRODUCT(MAX((nADM_SelKey=AR62&amp;"|"&amp;AL62)*nADM_Valid*(nADM_A_HT*BA62*nADM_A_OK*BB62*(nADM_UTC_n&lt;=N(BD62))+nADM_A_HT*BA62*(1-nADM_A_OK*BB62)*(nADM_Loc_n&lt;=N(BC62))+(1-nADM_A_HT*BA62)*(nADM_Lo_n&lt;=N(BE62)))*nADM_Sort_n))))</f>
        <v>0</v>
      </c>
      <c r="BH62" s="22">
        <f>IF(BG62=0,0,MATCH(1,INDEX((nADM_SelKey=AR62&amp;"|"&amp;AL62)*nADM_Valid*(nADM_A_HT*BA62*nADM_A_OK*BB62*(nADM_UTC_n&lt;=N(BD62))+nADM_A_HT*BA62*(1-nADM_A_OK*BB62)*(nADM_Loc_n&lt;=N(BC62))+(1-nADM_A_HT*BA62)*(nADM_Lo_n&lt;=N(BE62)))*(nADM_Sort_n=BG62),0),0))</f>
        <v>0</v>
      </c>
      <c r="BI62" s="21" t="str">
        <f>IF(BH62=0,"",INDEX(nADM_Admin_ID,BH62)&amp;"")</f>
        <v/>
      </c>
      <c r="BJ62" s="22">
        <f>IF(OR(AQ62=1,AG62=""),0,IFERROR(MATCH(AR62&amp;"|"&amp;AG62,nTP_Key,0),0))</f>
        <v>36</v>
      </c>
      <c r="BK62" s="21">
        <f>IF(BJ62=0,0,INDEX(nTP_Dup,BJ62))</f>
        <v>1</v>
      </c>
      <c r="BL62" s="21" t="str">
        <f>IF(BJ62=0,"",INDEX(nTP_Record_Type,BJ62))</f>
        <v>EXPOSURE_START</v>
      </c>
      <c r="BM62" s="21" t="str">
        <f>IF(BJ62=0,"",INDEX(nTP_Precision,BJ62))</f>
        <v>DATE</v>
      </c>
      <c r="BN62" s="21" t="str">
        <f>IF(BJ62=0,"",INDEX(nTP_Err,BJ62))</f>
        <v/>
      </c>
      <c r="BO62" s="21">
        <f>IF(BJ62=0,0,INDEX(nTP_HT,BJ62))</f>
        <v>0</v>
      </c>
      <c r="BP62" s="21">
        <f>IF(BJ62=0,0,INDEX(nTP_OK,BJ62))</f>
        <v>0</v>
      </c>
      <c r="BQ62" s="21" t="str">
        <f>IF(BJ62=0,"",INDEX(nTP_Loc,BJ62))</f>
        <v/>
      </c>
      <c r="BR62" s="21" t="str">
        <f>IF(BJ62=0,"",INDEX(nTP_UTC,BJ62))</f>
        <v/>
      </c>
      <c r="BS62" s="21">
        <f>IF(BJ62=0,"",INDEX(nTP_Lo,BJ62))</f>
        <v>46199</v>
      </c>
      <c r="BT62" s="21">
        <f>IF(BJ62=0,"",INDEX(nTP_Hi,BJ62))</f>
        <v>46199</v>
      </c>
      <c r="BU62" s="22">
        <f>IF(OR(BJ62=0,AV62=0),0,SUMPRODUCT((nTP_Case_Key=AR62)*(nTP_Record_Type="MILESTONE:INTERVENTION")*(nTP_Err="")*(nTP_HT*BO62*BA62*(nTP_Loc_n&gt;=N(BQ62))*(nTP_Loc_n&lt;=N(BC62))+(1-nTP_HT*BO62*BA62)*(nTP_Lo_n&gt;=N(BS62))*(nTP_Hi_n&lt;=N(BF62))*(nTP_Lo_n&gt;0))))</f>
        <v>1</v>
      </c>
      <c r="BV62" s="21" t="str">
        <f t="shared" si="60"/>
        <v/>
      </c>
      <c r="BW62" s="21" t="str">
        <f t="shared" si="61"/>
        <v/>
      </c>
      <c r="BX62" s="21" t="str">
        <f t="shared" si="62"/>
        <v/>
      </c>
      <c r="BY62" s="21" t="str">
        <f t="shared" si="63"/>
        <v/>
      </c>
      <c r="BZ62" s="22">
        <f t="shared" si="64"/>
        <v>1</v>
      </c>
      <c r="CA62" s="21" t="str">
        <f t="shared" si="65"/>
        <v/>
      </c>
      <c r="CB62" s="21">
        <f t="shared" si="66"/>
        <v>9</v>
      </c>
      <c r="CC62" s="21" t="str">
        <f t="shared" si="67"/>
        <v/>
      </c>
      <c r="CD62" s="21" t="str">
        <f t="shared" si="68"/>
        <v/>
      </c>
      <c r="CE62" s="22">
        <f t="shared" si="69"/>
        <v>0</v>
      </c>
      <c r="CF62" s="28" t="str">
        <f t="shared" si="70"/>
        <v/>
      </c>
      <c r="CG62" s="28" t="str">
        <f t="shared" si="71"/>
        <v/>
      </c>
      <c r="CH62" s="21" t="str">
        <f t="shared" si="72"/>
        <v/>
      </c>
      <c r="CI62" s="22">
        <f t="shared" si="73"/>
        <v>0</v>
      </c>
      <c r="CJ62" s="22">
        <f t="shared" si="74"/>
        <v>0</v>
      </c>
      <c r="CK62" s="22">
        <f t="shared" si="75"/>
        <v>0</v>
      </c>
      <c r="CL62" s="22">
        <f t="shared" si="76"/>
        <v>0</v>
      </c>
      <c r="CM62" s="22">
        <f t="shared" si="77"/>
        <v>0</v>
      </c>
      <c r="CN62" s="22">
        <f t="shared" si="78"/>
        <v>0</v>
      </c>
      <c r="CO62" s="22">
        <f t="shared" si="79"/>
        <v>0</v>
      </c>
      <c r="CP62" s="22">
        <f t="shared" si="80"/>
        <v>0</v>
      </c>
      <c r="CQ62" s="21" t="str">
        <f t="shared" si="81"/>
        <v/>
      </c>
    </row>
    <row r="63" spans="1:95" x14ac:dyDescent="0.2">
      <c r="A63" s="9" t="s">
        <v>958</v>
      </c>
      <c r="B63" s="9" t="s">
        <v>295</v>
      </c>
      <c r="C63" s="11">
        <v>2</v>
      </c>
      <c r="D63" s="9" t="s">
        <v>801</v>
      </c>
      <c r="E63" s="16" t="s">
        <v>50</v>
      </c>
      <c r="F63" s="9"/>
      <c r="G63" s="9"/>
      <c r="H63" s="9" t="s">
        <v>952</v>
      </c>
      <c r="I63" s="16" t="s">
        <v>58</v>
      </c>
      <c r="J63" s="16"/>
      <c r="K63" s="9"/>
      <c r="L63" s="16"/>
      <c r="M63" s="16"/>
      <c r="N63" s="16"/>
      <c r="O63" s="9"/>
      <c r="P63" s="14"/>
      <c r="Q63" s="14"/>
      <c r="R63" s="9"/>
      <c r="S63" s="9"/>
      <c r="T63" s="21" t="str">
        <f t="shared" si="41"/>
        <v>1 calendar days</v>
      </c>
      <c r="U63" s="21">
        <f t="shared" si="42"/>
        <v>1</v>
      </c>
      <c r="V63" s="21" t="str">
        <f t="shared" si="43"/>
        <v/>
      </c>
      <c r="W63" s="21" t="str">
        <f t="shared" si="44"/>
        <v/>
      </c>
      <c r="X63" s="21" t="str">
        <f t="shared" si="45"/>
        <v>calendar days</v>
      </c>
      <c r="Y63" s="21" t="str">
        <f t="shared" si="46"/>
        <v>C2</v>
      </c>
      <c r="Z63" s="21" t="str">
        <f t="shared" si="47"/>
        <v>AFTER</v>
      </c>
      <c r="AA63" s="21" t="str">
        <f t="shared" si="48"/>
        <v/>
      </c>
      <c r="AB63" s="21" t="str">
        <f t="shared" si="49"/>
        <v/>
      </c>
      <c r="AC63" s="21" t="str">
        <f>IF(AQ63=1,"",MID(IF(BX63&lt;&gt;""," | "&amp;BX63&amp;": "&amp;SUBSTITUTE(IFERROR(INDEX(nMSG_Text,MATCH(BX63,nMSG_Code,0)),""),"[input]",BY63),"")&amp;IF(CI63=1," | W_TZ_UNKNOWN: "&amp;SUBSTITUTE(IFERROR(INDEX(nMSG_Text,MATCH("W_TZ_UNKNOWN",nMSG_Code,0)),""),"[input]",""),"")&amp;IF(CJ63=1," | W_SAME_DATE_ORDER_UNKNOWN: "&amp;SUBSTITUTE(IFERROR(INDEX(nMSG_Text,MATCH("W_SAME_DATE_ORDER_UNKNOWN",nMSG_Code,0)),""),"[input]",""),"")&amp;IF(CK63=1," | W_SEQUENCE_UNCERTAIN: "&amp;SUBSTITUTE(IFERROR(INDEX(nMSG_Text,MATCH("W_SEQUENCE_UNCERTAIN",nMSG_Code,0)),""),"[input]",""),"")&amp;IF(CL63=1," | W_ADMIN_SAME_DATE_AS_ONSET: "&amp;SUBSTITUTE(IFERROR(INDEX(nMSG_Text,MATCH("W_ADMIN_SAME_DATE_AS_ONSET",nMSG_Code,0)),""),"[input]",""),"")&amp;IF(CO63=1," | W_INTERVENTION_BEFORE_RECOVERY: "&amp;SUBSTITUTE(IFERROR(INDEX(nMSG_Text,MATCH("W_INTERVENTION_BEFORE_RECOVERY",nMSG_Code,0)),""),"[input]",""),"")&amp;IF(OR(CQ63="",CQ63="OVERLAP"),""," | "&amp;CQ63&amp;" (reported timing): "&amp;SUBSTITUTE(IFERROR(INDEX(nMSG_Text,MATCH(CQ63,nMSG_Code,0)),""),"[input]","numeric reported bounds and a reported unit"))&amp;IF(CM63=1," | I_TREATMENT_DAY_UNDEFINED: "&amp;SUBSTITUTE(IFERROR(INDEX(nMSG_Text,MATCH("I_TREATMENT_DAY_UNDEFINED",nMSG_Code,0)),""),"[input]",""),"")&amp;IF(CH63&lt;&gt;""," | "&amp;CH63&amp;" (constraint): "&amp;SUBSTITUTE(IFERROR(INDEX(nMSG_Text,MATCH(CH63,nMSG_Code,0)),""),"[input]","a source for the constraint"),""),4,9999))</f>
        <v/>
      </c>
      <c r="AD63" s="21" t="str">
        <f t="shared" si="50"/>
        <v/>
      </c>
      <c r="AE63" s="21" t="str">
        <f t="shared" si="51"/>
        <v/>
      </c>
      <c r="AF63" s="21" t="str">
        <f t="shared" si="52"/>
        <v/>
      </c>
      <c r="AG63" s="21" t="str">
        <f t="shared" si="53"/>
        <v>ADM-DIG-LAST</v>
      </c>
      <c r="AH63" s="21" t="str">
        <f>IF(BJ63=0,"",INDEX(nTP_ISO,BJ63))</f>
        <v>2026-07-04T08:00</v>
      </c>
      <c r="AI63" s="21" t="str">
        <f>IF(BJ63=0,"",INDEX(nTP_Display,BJ63))</f>
        <v>4 July 2026 08:00 (offset unknown)</v>
      </c>
      <c r="AJ63" s="21" t="str">
        <f>IF(AV63=0,"",INDEX(nTP_ISO,AV63))</f>
        <v>2026-07-05</v>
      </c>
      <c r="AK63" s="21" t="str">
        <f>IF(AV63=0,"",INDEX(nTP_Display,AV63))</f>
        <v>5 July 2026</v>
      </c>
      <c r="AL63" s="21" t="str">
        <f>IF(AU63=0,"",INDEX(nLNK_Exposure_Episode_ID,AU63)&amp;"")</f>
        <v>EX-DIG</v>
      </c>
      <c r="AM63" s="21" t="str">
        <f>IF(AU63=0,"",INDEX(nLNK_Event_Episode_ID,AU63)&amp;"")</f>
        <v>EV-1</v>
      </c>
      <c r="AN63" s="21" t="str">
        <f t="shared" si="54"/>
        <v>Calendar-date difference of the recorded local dates; not elapsed days. Anchor selected by C5: latest administration at or before the end point (ADM-DIG-LAST).</v>
      </c>
      <c r="AO63" s="21" t="str">
        <f t="shared" si="55"/>
        <v/>
      </c>
      <c r="AP63" s="21" t="str">
        <f t="shared" si="56"/>
        <v>CALC-SPEC 1.0</v>
      </c>
      <c r="AQ63" s="22">
        <f t="shared" si="57"/>
        <v>0</v>
      </c>
      <c r="AR63" s="21" t="str">
        <f t="shared" si="58"/>
        <v>EX-C04|2</v>
      </c>
      <c r="AS63" s="21" t="str">
        <f t="shared" si="59"/>
        <v>EX-C04|2|I04</v>
      </c>
      <c r="AT63" s="22">
        <f>IF(AS63="",0,COUNTIF(nINT_Key,AS63))</f>
        <v>1</v>
      </c>
      <c r="AU63" s="22">
        <f>IF(D63="",0,IFERROR(MATCH(AR63&amp;"|"&amp;D63,nLNK_Key,0),0))</f>
        <v>25</v>
      </c>
      <c r="AV63" s="22">
        <f>IF(OR(AQ63=1,H63=""),0,IFERROR(MATCH(AR63&amp;"|"&amp;H63,nTP_Key,0),0))</f>
        <v>281</v>
      </c>
      <c r="AW63" s="21">
        <f>IF(AV63=0,0,INDEX(nTP_Dup,AV63))</f>
        <v>1</v>
      </c>
      <c r="AX63" s="21" t="str">
        <f>IF(AV63=0,"",INDEX(nTP_Record_Type,AV63))</f>
        <v>EVENT_ONSET</v>
      </c>
      <c r="AY63" s="21" t="str">
        <f>IF(AV63=0,"",INDEX(nTP_Precision,AV63))</f>
        <v>DATE</v>
      </c>
      <c r="AZ63" s="21" t="str">
        <f>IF(AV63=0,"",INDEX(nTP_Err,AV63))</f>
        <v/>
      </c>
      <c r="BA63" s="21">
        <f>IF(AV63=0,0,INDEX(nTP_HT,AV63))</f>
        <v>0</v>
      </c>
      <c r="BB63" s="21">
        <f>IF(AV63=0,0,INDEX(nTP_OK,AV63))</f>
        <v>0</v>
      </c>
      <c r="BC63" s="21" t="str">
        <f>IF(AV63=0,"",INDEX(nTP_Loc,AV63))</f>
        <v/>
      </c>
      <c r="BD63" s="21" t="str">
        <f>IF(AV63=0,"",INDEX(nTP_UTC,AV63))</f>
        <v/>
      </c>
      <c r="BE63" s="21">
        <f>IF(AV63=0,"",INDEX(nTP_Lo,AV63))</f>
        <v>46208</v>
      </c>
      <c r="BF63" s="21">
        <f>IF(AV63=0,"",INDEX(nTP_Hi,AV63))</f>
        <v>46208</v>
      </c>
      <c r="BG63" s="22">
        <f>IF(OR(AQ63=1,E63&lt;&gt;"LAST_DOSE_BEFORE_ONSET",AU63=0,AV63=0),0,IF(AZ63&lt;&gt;"",0,SUMPRODUCT(MAX((nADM_SelKey=AR63&amp;"|"&amp;AL63)*nADM_Valid*(nADM_A_HT*BA63*nADM_A_OK*BB63*(nADM_UTC_n&lt;=N(BD63))+nADM_A_HT*BA63*(1-nADM_A_OK*BB63)*(nADM_Loc_n&lt;=N(BC63))+(1-nADM_A_HT*BA63)*(nADM_Lo_n&lt;=N(BE63)))*nADM_Sort_n))))</f>
        <v>66538560</v>
      </c>
      <c r="BH63" s="22">
        <f>IF(BG63=0,0,MATCH(1,INDEX((nADM_SelKey=AR63&amp;"|"&amp;AL63)*nADM_Valid*(nADM_A_HT*BA63*nADM_A_OK*BB63*(nADM_UTC_n&lt;=N(BD63))+nADM_A_HT*BA63*(1-nADM_A_OK*BB63)*(nADM_Loc_n&lt;=N(BC63))+(1-nADM_A_HT*BA63)*(nADM_Lo_n&lt;=N(BE63)))*(nADM_Sort_n=BG63),0),0))</f>
        <v>63</v>
      </c>
      <c r="BI63" s="21" t="str">
        <f>IF(BH63=0,"",INDEX(nADM_Admin_ID,BH63)&amp;"")</f>
        <v>ADM-DIG-LAST</v>
      </c>
      <c r="BJ63" s="22">
        <f>IF(OR(AQ63=1,AG63=""),0,IFERROR(MATCH(AR63&amp;"|"&amp;AG63,nTP_Key,0),0))</f>
        <v>252</v>
      </c>
      <c r="BK63" s="21">
        <f>IF(BJ63=0,0,INDEX(nTP_Dup,BJ63))</f>
        <v>1</v>
      </c>
      <c r="BL63" s="21" t="str">
        <f>IF(BJ63=0,"",INDEX(nTP_Record_Type,BJ63))</f>
        <v>ADMINISTRATION</v>
      </c>
      <c r="BM63" s="21" t="str">
        <f>IF(BJ63=0,"",INDEX(nTP_Precision,BJ63))</f>
        <v>TIMESTAMP</v>
      </c>
      <c r="BN63" s="21" t="str">
        <f>IF(BJ63=0,"",INDEX(nTP_Err,BJ63))</f>
        <v/>
      </c>
      <c r="BO63" s="21">
        <f>IF(BJ63=0,0,INDEX(nTP_HT,BJ63))</f>
        <v>1</v>
      </c>
      <c r="BP63" s="21">
        <f>IF(BJ63=0,0,INDEX(nTP_OK,BJ63))</f>
        <v>0</v>
      </c>
      <c r="BQ63" s="21">
        <f>IF(BJ63=0,"",INDEX(nTP_Loc,BJ63))</f>
        <v>66538560</v>
      </c>
      <c r="BR63" s="21" t="str">
        <f>IF(BJ63=0,"",INDEX(nTP_UTC,BJ63))</f>
        <v/>
      </c>
      <c r="BS63" s="21">
        <f>IF(BJ63=0,"",INDEX(nTP_Lo,BJ63))</f>
        <v>46207</v>
      </c>
      <c r="BT63" s="21">
        <f>IF(BJ63=0,"",INDEX(nTP_Hi,BJ63))</f>
        <v>46207</v>
      </c>
      <c r="BU63" s="22">
        <f>IF(OR(BJ63=0,AV63=0),0,SUMPRODUCT((nTP_Case_Key=AR63)*(nTP_Record_Type="MILESTONE:INTERVENTION")*(nTP_Err="")*(nTP_HT*BO63*BA63*(nTP_Loc_n&gt;=N(BQ63))*(nTP_Loc_n&lt;=N(BC63))+(1-nTP_HT*BO63*BA63)*(nTP_Lo_n&gt;=N(BS63))*(nTP_Hi_n&lt;=N(BF63))*(nTP_Lo_n&gt;0))))</f>
        <v>1</v>
      </c>
      <c r="BV63" s="21" t="str">
        <f t="shared" si="60"/>
        <v/>
      </c>
      <c r="BW63" s="21" t="str">
        <f t="shared" si="61"/>
        <v/>
      </c>
      <c r="BX63" s="21" t="str">
        <f t="shared" si="62"/>
        <v/>
      </c>
      <c r="BY63" s="21" t="str">
        <f t="shared" si="63"/>
        <v/>
      </c>
      <c r="BZ63" s="22">
        <f t="shared" si="64"/>
        <v>1</v>
      </c>
      <c r="CA63" s="21" t="str">
        <f t="shared" si="65"/>
        <v/>
      </c>
      <c r="CB63" s="21">
        <f t="shared" si="66"/>
        <v>1</v>
      </c>
      <c r="CC63" s="21" t="str">
        <f t="shared" si="67"/>
        <v/>
      </c>
      <c r="CD63" s="21" t="str">
        <f t="shared" si="68"/>
        <v/>
      </c>
      <c r="CE63" s="22">
        <f t="shared" si="69"/>
        <v>0</v>
      </c>
      <c r="CF63" s="28" t="str">
        <f t="shared" si="70"/>
        <v/>
      </c>
      <c r="CG63" s="28" t="str">
        <f t="shared" si="71"/>
        <v/>
      </c>
      <c r="CH63" s="21" t="str">
        <f t="shared" si="72"/>
        <v/>
      </c>
      <c r="CI63" s="22">
        <f t="shared" si="73"/>
        <v>0</v>
      </c>
      <c r="CJ63" s="22">
        <f t="shared" si="74"/>
        <v>0</v>
      </c>
      <c r="CK63" s="22">
        <f t="shared" si="75"/>
        <v>0</v>
      </c>
      <c r="CL63" s="22">
        <f t="shared" si="76"/>
        <v>0</v>
      </c>
      <c r="CM63" s="22">
        <f t="shared" si="77"/>
        <v>0</v>
      </c>
      <c r="CN63" s="22">
        <f t="shared" si="78"/>
        <v>0</v>
      </c>
      <c r="CO63" s="22">
        <f t="shared" si="79"/>
        <v>0</v>
      </c>
      <c r="CP63" s="22">
        <f t="shared" si="80"/>
        <v>0</v>
      </c>
      <c r="CQ63" s="21" t="str">
        <f t="shared" si="81"/>
        <v/>
      </c>
    </row>
    <row r="64" spans="1:95" x14ac:dyDescent="0.2">
      <c r="A64" s="9" t="s">
        <v>961</v>
      </c>
      <c r="B64" s="9" t="s">
        <v>295</v>
      </c>
      <c r="C64" s="11">
        <v>2</v>
      </c>
      <c r="D64" s="9" t="s">
        <v>801</v>
      </c>
      <c r="E64" s="16" t="s">
        <v>55</v>
      </c>
      <c r="F64" s="9" t="s">
        <v>985</v>
      </c>
      <c r="G64" s="9" t="s">
        <v>598</v>
      </c>
      <c r="H64" s="9" t="s">
        <v>751</v>
      </c>
      <c r="I64" s="16" t="s">
        <v>57</v>
      </c>
      <c r="J64" s="16"/>
      <c r="K64" s="9"/>
      <c r="L64" s="16"/>
      <c r="M64" s="16"/>
      <c r="N64" s="16"/>
      <c r="O64" s="9"/>
      <c r="P64" s="14"/>
      <c r="Q64" s="14"/>
      <c r="R64" s="9"/>
      <c r="S64" s="9" t="s">
        <v>986</v>
      </c>
      <c r="T64" s="21" t="str">
        <f t="shared" si="41"/>
        <v>1,660 minutes (local clock) (27.7 hours)</v>
      </c>
      <c r="U64" s="21">
        <f t="shared" si="42"/>
        <v>1660</v>
      </c>
      <c r="V64" s="21" t="str">
        <f t="shared" si="43"/>
        <v/>
      </c>
      <c r="W64" s="21" t="str">
        <f t="shared" si="44"/>
        <v/>
      </c>
      <c r="X64" s="21" t="str">
        <f t="shared" si="45"/>
        <v>minutes (local clock)</v>
      </c>
      <c r="Y64" s="21" t="str">
        <f t="shared" si="46"/>
        <v>C1</v>
      </c>
      <c r="Z64" s="21" t="str">
        <f t="shared" si="47"/>
        <v>AFTER</v>
      </c>
      <c r="AA64" s="21" t="str">
        <f t="shared" si="48"/>
        <v/>
      </c>
      <c r="AB64" s="21" t="str">
        <f t="shared" si="49"/>
        <v>W_TZ_UNKNOWN</v>
      </c>
      <c r="AC64" s="21" t="str">
        <f>IF(AQ64=1,"",MID(IF(BX64&lt;&gt;""," | "&amp;BX64&amp;": "&amp;SUBSTITUTE(IFERROR(INDEX(nMSG_Text,MATCH(BX64,nMSG_Code,0)),""),"[input]",BY64),"")&amp;IF(CI64=1," | W_TZ_UNKNOWN: "&amp;SUBSTITUTE(IFERROR(INDEX(nMSG_Text,MATCH("W_TZ_UNKNOWN",nMSG_Code,0)),""),"[input]",""),"")&amp;IF(CJ64=1," | W_SAME_DATE_ORDER_UNKNOWN: "&amp;SUBSTITUTE(IFERROR(INDEX(nMSG_Text,MATCH("W_SAME_DATE_ORDER_UNKNOWN",nMSG_Code,0)),""),"[input]",""),"")&amp;IF(CK64=1," | W_SEQUENCE_UNCERTAIN: "&amp;SUBSTITUTE(IFERROR(INDEX(nMSG_Text,MATCH("W_SEQUENCE_UNCERTAIN",nMSG_Code,0)),""),"[input]",""),"")&amp;IF(CL64=1," | W_ADMIN_SAME_DATE_AS_ONSET: "&amp;SUBSTITUTE(IFERROR(INDEX(nMSG_Text,MATCH("W_ADMIN_SAME_DATE_AS_ONSET",nMSG_Code,0)),""),"[input]",""),"")&amp;IF(CO64=1," | W_INTERVENTION_BEFORE_RECOVERY: "&amp;SUBSTITUTE(IFERROR(INDEX(nMSG_Text,MATCH("W_INTERVENTION_BEFORE_RECOVERY",nMSG_Code,0)),""),"[input]",""),"")&amp;IF(OR(CQ64="",CQ64="OVERLAP"),""," | "&amp;CQ64&amp;" (reported timing): "&amp;SUBSTITUTE(IFERROR(INDEX(nMSG_Text,MATCH(CQ64,nMSG_Code,0)),""),"[input]","numeric reported bounds and a reported unit"))&amp;IF(CM64=1," | I_TREATMENT_DAY_UNDEFINED: "&amp;SUBSTITUTE(IFERROR(INDEX(nMSG_Text,MATCH("I_TREATMENT_DAY_UNDEFINED",nMSG_Code,0)),""),"[input]",""),"")&amp;IF(CH64&lt;&gt;""," | "&amp;CH64&amp;" (constraint): "&amp;SUBSTITUTE(IFERROR(INDEX(nMSG_Text,MATCH(CH64,nMSG_Code,0)),""),"[input]","a source for the constraint"),""),4,9999))</f>
        <v>W_TZ_UNKNOWN: Offset unknown: this interval uses local clock times and could be wrong across a clock change or time zone.</v>
      </c>
      <c r="AD64" s="21" t="str">
        <f t="shared" si="50"/>
        <v/>
      </c>
      <c r="AE64" s="21" t="str">
        <f t="shared" si="51"/>
        <v/>
      </c>
      <c r="AF64" s="21" t="str">
        <f t="shared" si="52"/>
        <v/>
      </c>
      <c r="AG64" s="21" t="str">
        <f t="shared" si="53"/>
        <v>ADM-DIG-LAST</v>
      </c>
      <c r="AH64" s="21" t="str">
        <f>IF(BJ64=0,"",INDEX(nTP_ISO,BJ64))</f>
        <v>2026-07-04T08:00</v>
      </c>
      <c r="AI64" s="21" t="str">
        <f>IF(BJ64=0,"",INDEX(nTP_Display,BJ64))</f>
        <v>4 July 2026 08:00 (offset unknown)</v>
      </c>
      <c r="AJ64" s="21" t="str">
        <f>IF(AV64=0,"",INDEX(nTP_ISO,AV64))</f>
        <v>2026-07-05T11:40</v>
      </c>
      <c r="AK64" s="21" t="str">
        <f>IF(AV64=0,"",INDEX(nTP_Display,AV64))</f>
        <v>5 July 2026 11:40 (offset unknown)</v>
      </c>
      <c r="AL64" s="21" t="str">
        <f>IF(AU64=0,"",INDEX(nLNK_Exposure_Episode_ID,AU64)&amp;"")</f>
        <v>EX-DIG</v>
      </c>
      <c r="AM64" s="21" t="str">
        <f>IF(AU64=0,"",INDEX(nLNK_Event_Episode_ID,AU64)&amp;"")</f>
        <v>EV-1</v>
      </c>
      <c r="AN64" s="21" t="str">
        <f t="shared" si="54"/>
        <v>Local clock times subtracted; the UTC offset of at least one time is unknown.</v>
      </c>
      <c r="AO64" s="21" t="str">
        <f t="shared" si="55"/>
        <v/>
      </c>
      <c r="AP64" s="21" t="str">
        <f t="shared" si="56"/>
        <v>CALC-SPEC 1.0</v>
      </c>
      <c r="AQ64" s="22">
        <f t="shared" si="57"/>
        <v>0</v>
      </c>
      <c r="AR64" s="21" t="str">
        <f t="shared" si="58"/>
        <v>EX-C04|2</v>
      </c>
      <c r="AS64" s="21" t="str">
        <f t="shared" si="59"/>
        <v>EX-C04|2|I05</v>
      </c>
      <c r="AT64" s="22">
        <f>IF(AS64="",0,COUNTIF(nINT_Key,AS64))</f>
        <v>1</v>
      </c>
      <c r="AU64" s="22">
        <f>IF(D64="",0,IFERROR(MATCH(AR64&amp;"|"&amp;D64,nLNK_Key,0),0))</f>
        <v>25</v>
      </c>
      <c r="AV64" s="22">
        <f>IF(OR(AQ64=1,H64=""),0,IFERROR(MATCH(AR64&amp;"|"&amp;H64,nTP_Key,0),0))</f>
        <v>388</v>
      </c>
      <c r="AW64" s="21">
        <f>IF(AV64=0,0,INDEX(nTP_Dup,AV64))</f>
        <v>1</v>
      </c>
      <c r="AX64" s="21" t="str">
        <f>IF(AV64=0,"",INDEX(nTP_Record_Type,AV64))</f>
        <v>MILESTONE:CONCENTRATION</v>
      </c>
      <c r="AY64" s="21" t="str">
        <f>IF(AV64=0,"",INDEX(nTP_Precision,AV64))</f>
        <v>TIMESTAMP</v>
      </c>
      <c r="AZ64" s="21" t="str">
        <f>IF(AV64=0,"",INDEX(nTP_Err,AV64))</f>
        <v/>
      </c>
      <c r="BA64" s="21">
        <f>IF(AV64=0,0,INDEX(nTP_HT,AV64))</f>
        <v>1</v>
      </c>
      <c r="BB64" s="21">
        <f>IF(AV64=0,0,INDEX(nTP_OK,AV64))</f>
        <v>0</v>
      </c>
      <c r="BC64" s="21">
        <f>IF(AV64=0,"",INDEX(nTP_Loc,AV64))</f>
        <v>66540220</v>
      </c>
      <c r="BD64" s="21" t="str">
        <f>IF(AV64=0,"",INDEX(nTP_UTC,AV64))</f>
        <v/>
      </c>
      <c r="BE64" s="21">
        <f>IF(AV64=0,"",INDEX(nTP_Lo,AV64))</f>
        <v>46208</v>
      </c>
      <c r="BF64" s="21">
        <f>IF(AV64=0,"",INDEX(nTP_Hi,AV64))</f>
        <v>46208</v>
      </c>
      <c r="BG64" s="22">
        <f>IF(OR(AQ64=1,E64&lt;&gt;"LAST_DOSE_BEFORE_ONSET",AU64=0,AV64=0),0,IF(AZ64&lt;&gt;"",0,SUMPRODUCT(MAX((nADM_SelKey=AR64&amp;"|"&amp;AL64)*nADM_Valid*(nADM_A_HT*BA64*nADM_A_OK*BB64*(nADM_UTC_n&lt;=N(BD64))+nADM_A_HT*BA64*(1-nADM_A_OK*BB64)*(nADM_Loc_n&lt;=N(BC64))+(1-nADM_A_HT*BA64)*(nADM_Lo_n&lt;=N(BE64)))*nADM_Sort_n))))</f>
        <v>0</v>
      </c>
      <c r="BH64" s="22">
        <f>IF(BG64=0,0,MATCH(1,INDEX((nADM_SelKey=AR64&amp;"|"&amp;AL64)*nADM_Valid*(nADM_A_HT*BA64*nADM_A_OK*BB64*(nADM_UTC_n&lt;=N(BD64))+nADM_A_HT*BA64*(1-nADM_A_OK*BB64)*(nADM_Loc_n&lt;=N(BC64))+(1-nADM_A_HT*BA64)*(nADM_Lo_n&lt;=N(BE64)))*(nADM_Sort_n=BG64),0),0))</f>
        <v>0</v>
      </c>
      <c r="BI64" s="21" t="str">
        <f>IF(BH64=0,"",INDEX(nADM_Admin_ID,BH64)&amp;"")</f>
        <v/>
      </c>
      <c r="BJ64" s="22">
        <f>IF(OR(AQ64=1,AG64=""),0,IFERROR(MATCH(AR64&amp;"|"&amp;AG64,nTP_Key,0),0))</f>
        <v>252</v>
      </c>
      <c r="BK64" s="21">
        <f>IF(BJ64=0,0,INDEX(nTP_Dup,BJ64))</f>
        <v>1</v>
      </c>
      <c r="BL64" s="21" t="str">
        <f>IF(BJ64=0,"",INDEX(nTP_Record_Type,BJ64))</f>
        <v>ADMINISTRATION</v>
      </c>
      <c r="BM64" s="21" t="str">
        <f>IF(BJ64=0,"",INDEX(nTP_Precision,BJ64))</f>
        <v>TIMESTAMP</v>
      </c>
      <c r="BN64" s="21" t="str">
        <f>IF(BJ64=0,"",INDEX(nTP_Err,BJ64))</f>
        <v/>
      </c>
      <c r="BO64" s="21">
        <f>IF(BJ64=0,0,INDEX(nTP_HT,BJ64))</f>
        <v>1</v>
      </c>
      <c r="BP64" s="21">
        <f>IF(BJ64=0,0,INDEX(nTP_OK,BJ64))</f>
        <v>0</v>
      </c>
      <c r="BQ64" s="21">
        <f>IF(BJ64=0,"",INDEX(nTP_Loc,BJ64))</f>
        <v>66538560</v>
      </c>
      <c r="BR64" s="21" t="str">
        <f>IF(BJ64=0,"",INDEX(nTP_UTC,BJ64))</f>
        <v/>
      </c>
      <c r="BS64" s="21">
        <f>IF(BJ64=0,"",INDEX(nTP_Lo,BJ64))</f>
        <v>46207</v>
      </c>
      <c r="BT64" s="21">
        <f>IF(BJ64=0,"",INDEX(nTP_Hi,BJ64))</f>
        <v>46207</v>
      </c>
      <c r="BU64" s="22">
        <f>IF(OR(BJ64=0,AV64=0),0,SUMPRODUCT((nTP_Case_Key=AR64)*(nTP_Record_Type="MILESTONE:INTERVENTION")*(nTP_Err="")*(nTP_HT*BO64*BA64*(nTP_Loc_n&gt;=N(BQ64))*(nTP_Loc_n&lt;=N(BC64))+(1-nTP_HT*BO64*BA64)*(nTP_Lo_n&gt;=N(BS64))*(nTP_Hi_n&lt;=N(BF64))*(nTP_Lo_n&gt;0))))</f>
        <v>1</v>
      </c>
      <c r="BV64" s="21" t="str">
        <f t="shared" si="60"/>
        <v/>
      </c>
      <c r="BW64" s="21" t="str">
        <f t="shared" si="61"/>
        <v/>
      </c>
      <c r="BX64" s="21" t="str">
        <f t="shared" si="62"/>
        <v/>
      </c>
      <c r="BY64" s="21" t="str">
        <f t="shared" si="63"/>
        <v/>
      </c>
      <c r="BZ64" s="22">
        <f t="shared" si="64"/>
        <v>1</v>
      </c>
      <c r="CA64" s="21">
        <f t="shared" si="65"/>
        <v>1660</v>
      </c>
      <c r="CB64" s="21" t="str">
        <f t="shared" si="66"/>
        <v/>
      </c>
      <c r="CC64" s="21" t="str">
        <f t="shared" si="67"/>
        <v/>
      </c>
      <c r="CD64" s="21" t="str">
        <f t="shared" si="68"/>
        <v/>
      </c>
      <c r="CE64" s="22">
        <f t="shared" si="69"/>
        <v>0</v>
      </c>
      <c r="CF64" s="28" t="str">
        <f t="shared" si="70"/>
        <v/>
      </c>
      <c r="CG64" s="28" t="str">
        <f t="shared" si="71"/>
        <v/>
      </c>
      <c r="CH64" s="21" t="str">
        <f t="shared" si="72"/>
        <v/>
      </c>
      <c r="CI64" s="22">
        <f t="shared" si="73"/>
        <v>1</v>
      </c>
      <c r="CJ64" s="22">
        <f t="shared" si="74"/>
        <v>0</v>
      </c>
      <c r="CK64" s="22">
        <f t="shared" si="75"/>
        <v>0</v>
      </c>
      <c r="CL64" s="22">
        <f t="shared" si="76"/>
        <v>0</v>
      </c>
      <c r="CM64" s="22">
        <f t="shared" si="77"/>
        <v>0</v>
      </c>
      <c r="CN64" s="22">
        <f t="shared" si="78"/>
        <v>0</v>
      </c>
      <c r="CO64" s="22">
        <f t="shared" si="79"/>
        <v>0</v>
      </c>
      <c r="CP64" s="22">
        <f t="shared" si="80"/>
        <v>0</v>
      </c>
      <c r="CQ64" s="21" t="str">
        <f t="shared" si="81"/>
        <v/>
      </c>
    </row>
    <row r="65" spans="1:95" x14ac:dyDescent="0.2">
      <c r="A65" s="9" t="s">
        <v>964</v>
      </c>
      <c r="B65" s="9" t="s">
        <v>295</v>
      </c>
      <c r="C65" s="11">
        <v>2</v>
      </c>
      <c r="D65" s="9" t="s">
        <v>801</v>
      </c>
      <c r="E65" s="16" t="s">
        <v>54</v>
      </c>
      <c r="F65" s="9"/>
      <c r="G65" s="9" t="s">
        <v>987</v>
      </c>
      <c r="H65" s="9" t="s">
        <v>729</v>
      </c>
      <c r="I65" s="16" t="s">
        <v>58</v>
      </c>
      <c r="J65" s="16"/>
      <c r="K65" s="9"/>
      <c r="L65" s="16"/>
      <c r="M65" s="16"/>
      <c r="N65" s="16"/>
      <c r="O65" s="9"/>
      <c r="P65" s="14"/>
      <c r="Q65" s="14"/>
      <c r="R65" s="9"/>
      <c r="S65" s="9" t="s">
        <v>988</v>
      </c>
      <c r="T65" s="21" t="str">
        <f t="shared" si="41"/>
        <v>3 calendar days</v>
      </c>
      <c r="U65" s="21">
        <f t="shared" si="42"/>
        <v>3</v>
      </c>
      <c r="V65" s="21" t="str">
        <f t="shared" si="43"/>
        <v/>
      </c>
      <c r="W65" s="21" t="str">
        <f t="shared" si="44"/>
        <v/>
      </c>
      <c r="X65" s="21" t="str">
        <f t="shared" si="45"/>
        <v>calendar days</v>
      </c>
      <c r="Y65" s="21" t="str">
        <f t="shared" si="46"/>
        <v>C7 (C2)</v>
      </c>
      <c r="Z65" s="21" t="str">
        <f t="shared" si="47"/>
        <v>AFTER</v>
      </c>
      <c r="AA65" s="21" t="str">
        <f t="shared" si="48"/>
        <v/>
      </c>
      <c r="AB65" s="21" t="str">
        <f t="shared" si="49"/>
        <v>W_INTERVENTION_BEFORE_RECOVERY</v>
      </c>
      <c r="AC65" s="21" t="str">
        <f>IF(AQ65=1,"",MID(IF(BX65&lt;&gt;""," | "&amp;BX65&amp;": "&amp;SUBSTITUTE(IFERROR(INDEX(nMSG_Text,MATCH(BX65,nMSG_Code,0)),""),"[input]",BY65),"")&amp;IF(CI65=1," | W_TZ_UNKNOWN: "&amp;SUBSTITUTE(IFERROR(INDEX(nMSG_Text,MATCH("W_TZ_UNKNOWN",nMSG_Code,0)),""),"[input]",""),"")&amp;IF(CJ65=1," | W_SAME_DATE_ORDER_UNKNOWN: "&amp;SUBSTITUTE(IFERROR(INDEX(nMSG_Text,MATCH("W_SAME_DATE_ORDER_UNKNOWN",nMSG_Code,0)),""),"[input]",""),"")&amp;IF(CK65=1," | W_SEQUENCE_UNCERTAIN: "&amp;SUBSTITUTE(IFERROR(INDEX(nMSG_Text,MATCH("W_SEQUENCE_UNCERTAIN",nMSG_Code,0)),""),"[input]",""),"")&amp;IF(CL65=1," | W_ADMIN_SAME_DATE_AS_ONSET: "&amp;SUBSTITUTE(IFERROR(INDEX(nMSG_Text,MATCH("W_ADMIN_SAME_DATE_AS_ONSET",nMSG_Code,0)),""),"[input]",""),"")&amp;IF(CO65=1," | W_INTERVENTION_BEFORE_RECOVERY: "&amp;SUBSTITUTE(IFERROR(INDEX(nMSG_Text,MATCH("W_INTERVENTION_BEFORE_RECOVERY",nMSG_Code,0)),""),"[input]",""),"")&amp;IF(OR(CQ65="",CQ65="OVERLAP"),""," | "&amp;CQ65&amp;" (reported timing): "&amp;SUBSTITUTE(IFERROR(INDEX(nMSG_Text,MATCH(CQ65,nMSG_Code,0)),""),"[input]","numeric reported bounds and a reported unit"))&amp;IF(CM65=1," | I_TREATMENT_DAY_UNDEFINED: "&amp;SUBSTITUTE(IFERROR(INDEX(nMSG_Text,MATCH("I_TREATMENT_DAY_UNDEFINED",nMSG_Code,0)),""),"[input]",""),"")&amp;IF(CH65&lt;&gt;""," | "&amp;CH65&amp;" (constraint): "&amp;SUBSTITUTE(IFERROR(INDEX(nMSG_Text,MATCH(CH65,nMSG_Code,0)),""),"[input]","a source for the constraint"),""),4,9999))</f>
        <v>W_INTERVENTION_BEFORE_RECOVERY: Treatment was given before recovery, so recovery cannot be attributed to withdrawal alone.</v>
      </c>
      <c r="AD65" s="21" t="str">
        <f t="shared" si="50"/>
        <v/>
      </c>
      <c r="AE65" s="21" t="str">
        <f t="shared" si="51"/>
        <v/>
      </c>
      <c r="AF65" s="21" t="str">
        <f t="shared" si="52"/>
        <v/>
      </c>
      <c r="AG65" s="21" t="str">
        <f t="shared" si="53"/>
        <v>EX-DIG/STOP</v>
      </c>
      <c r="AH65" s="21" t="str">
        <f>IF(BJ65=0,"",INDEX(nTP_ISO,BJ65))</f>
        <v>2026-07-05</v>
      </c>
      <c r="AI65" s="21" t="str">
        <f>IF(BJ65=0,"",INDEX(nTP_Display,BJ65))</f>
        <v>5 July 2026</v>
      </c>
      <c r="AJ65" s="21" t="str">
        <f>IF(AV65=0,"",INDEX(nTP_ISO,AV65))</f>
        <v>2026-07-08</v>
      </c>
      <c r="AK65" s="21" t="str">
        <f>IF(AV65=0,"",INDEX(nTP_Display,AV65))</f>
        <v>8 July 2026</v>
      </c>
      <c r="AL65" s="21" t="str">
        <f>IF(AU65=0,"",INDEX(nLNK_Exposure_Episode_ID,AU65)&amp;"")</f>
        <v>EX-DIG</v>
      </c>
      <c r="AM65" s="21" t="str">
        <f>IF(AU65=0,"",INDEX(nLNK_Event_Episode_ID,AU65)&amp;"")</f>
        <v>EV-1</v>
      </c>
      <c r="AN65" s="21" t="str">
        <f t="shared" si="54"/>
        <v>Calendar-date difference of the recorded local dates; not elapsed days.</v>
      </c>
      <c r="AO65" s="21" t="str">
        <f t="shared" si="55"/>
        <v/>
      </c>
      <c r="AP65" s="21" t="str">
        <f t="shared" si="56"/>
        <v>CALC-SPEC 1.0</v>
      </c>
      <c r="AQ65" s="22">
        <f t="shared" si="57"/>
        <v>0</v>
      </c>
      <c r="AR65" s="21" t="str">
        <f t="shared" si="58"/>
        <v>EX-C04|2</v>
      </c>
      <c r="AS65" s="21" t="str">
        <f t="shared" si="59"/>
        <v>EX-C04|2|I06</v>
      </c>
      <c r="AT65" s="22">
        <f>IF(AS65="",0,COUNTIF(nINT_Key,AS65))</f>
        <v>1</v>
      </c>
      <c r="AU65" s="22">
        <f>IF(D65="",0,IFERROR(MATCH(AR65&amp;"|"&amp;D65,nLNK_Key,0),0))</f>
        <v>25</v>
      </c>
      <c r="AV65" s="22">
        <f>IF(OR(AQ65=1,H65=""),0,IFERROR(MATCH(AR65&amp;"|"&amp;H65,nTP_Key,0),0))</f>
        <v>391</v>
      </c>
      <c r="AW65" s="21">
        <f>IF(AV65=0,0,INDEX(nTP_Dup,AV65))</f>
        <v>1</v>
      </c>
      <c r="AX65" s="21" t="str">
        <f>IF(AV65=0,"",INDEX(nTP_Record_Type,AV65))</f>
        <v>MILESTONE:RECOVERY</v>
      </c>
      <c r="AY65" s="21" t="str">
        <f>IF(AV65=0,"",INDEX(nTP_Precision,AV65))</f>
        <v>DATE</v>
      </c>
      <c r="AZ65" s="21" t="str">
        <f>IF(AV65=0,"",INDEX(nTP_Err,AV65))</f>
        <v/>
      </c>
      <c r="BA65" s="21">
        <f>IF(AV65=0,0,INDEX(nTP_HT,AV65))</f>
        <v>0</v>
      </c>
      <c r="BB65" s="21">
        <f>IF(AV65=0,0,INDEX(nTP_OK,AV65))</f>
        <v>0</v>
      </c>
      <c r="BC65" s="21" t="str">
        <f>IF(AV65=0,"",INDEX(nTP_Loc,AV65))</f>
        <v/>
      </c>
      <c r="BD65" s="21" t="str">
        <f>IF(AV65=0,"",INDEX(nTP_UTC,AV65))</f>
        <v/>
      </c>
      <c r="BE65" s="21">
        <f>IF(AV65=0,"",INDEX(nTP_Lo,AV65))</f>
        <v>46211</v>
      </c>
      <c r="BF65" s="21">
        <f>IF(AV65=0,"",INDEX(nTP_Hi,AV65))</f>
        <v>46211</v>
      </c>
      <c r="BG65" s="22">
        <f>IF(OR(AQ65=1,E65&lt;&gt;"LAST_DOSE_BEFORE_ONSET",AU65=0,AV65=0),0,IF(AZ65&lt;&gt;"",0,SUMPRODUCT(MAX((nADM_SelKey=AR65&amp;"|"&amp;AL65)*nADM_Valid*(nADM_A_HT*BA65*nADM_A_OK*BB65*(nADM_UTC_n&lt;=N(BD65))+nADM_A_HT*BA65*(1-nADM_A_OK*BB65)*(nADM_Loc_n&lt;=N(BC65))+(1-nADM_A_HT*BA65)*(nADM_Lo_n&lt;=N(BE65)))*nADM_Sort_n))))</f>
        <v>0</v>
      </c>
      <c r="BH65" s="22">
        <f>IF(BG65=0,0,MATCH(1,INDEX((nADM_SelKey=AR65&amp;"|"&amp;AL65)*nADM_Valid*(nADM_A_HT*BA65*nADM_A_OK*BB65*(nADM_UTC_n&lt;=N(BD65))+nADM_A_HT*BA65*(1-nADM_A_OK*BB65)*(nADM_Loc_n&lt;=N(BC65))+(1-nADM_A_HT*BA65)*(nADM_Lo_n&lt;=N(BE65)))*(nADM_Sort_n=BG65),0),0))</f>
        <v>0</v>
      </c>
      <c r="BI65" s="21" t="str">
        <f>IF(BH65=0,"",INDEX(nADM_Admin_ID,BH65)&amp;"")</f>
        <v/>
      </c>
      <c r="BJ65" s="22">
        <f>IF(OR(AQ65=1,AG65=""),0,IFERROR(MATCH(AR65&amp;"|"&amp;AG65,nTP_Key,0),0))</f>
        <v>98</v>
      </c>
      <c r="BK65" s="21">
        <f>IF(BJ65=0,0,INDEX(nTP_Dup,BJ65))</f>
        <v>1</v>
      </c>
      <c r="BL65" s="21" t="str">
        <f>IF(BJ65=0,"",INDEX(nTP_Record_Type,BJ65))</f>
        <v>EXPOSURE_STOP</v>
      </c>
      <c r="BM65" s="21" t="str">
        <f>IF(BJ65=0,"",INDEX(nTP_Precision,BJ65))</f>
        <v>DATE</v>
      </c>
      <c r="BN65" s="21" t="str">
        <f>IF(BJ65=0,"",INDEX(nTP_Err,BJ65))</f>
        <v/>
      </c>
      <c r="BO65" s="21">
        <f>IF(BJ65=0,0,INDEX(nTP_HT,BJ65))</f>
        <v>0</v>
      </c>
      <c r="BP65" s="21">
        <f>IF(BJ65=0,0,INDEX(nTP_OK,BJ65))</f>
        <v>0</v>
      </c>
      <c r="BQ65" s="21" t="str">
        <f>IF(BJ65=0,"",INDEX(nTP_Loc,BJ65))</f>
        <v/>
      </c>
      <c r="BR65" s="21" t="str">
        <f>IF(BJ65=0,"",INDEX(nTP_UTC,BJ65))</f>
        <v/>
      </c>
      <c r="BS65" s="21">
        <f>IF(BJ65=0,"",INDEX(nTP_Lo,BJ65))</f>
        <v>46208</v>
      </c>
      <c r="BT65" s="21">
        <f>IF(BJ65=0,"",INDEX(nTP_Hi,BJ65))</f>
        <v>46208</v>
      </c>
      <c r="BU65" s="22">
        <f>IF(OR(BJ65=0,AV65=0),0,SUMPRODUCT((nTP_Case_Key=AR65)*(nTP_Record_Type="MILESTONE:INTERVENTION")*(nTP_Err="")*(nTP_HT*BO65*BA65*(nTP_Loc_n&gt;=N(BQ65))*(nTP_Loc_n&lt;=N(BC65))+(1-nTP_HT*BO65*BA65)*(nTP_Lo_n&gt;=N(BS65))*(nTP_Hi_n&lt;=N(BF65))*(nTP_Lo_n&gt;0))))</f>
        <v>1</v>
      </c>
      <c r="BV65" s="21" t="str">
        <f t="shared" si="60"/>
        <v/>
      </c>
      <c r="BW65" s="21" t="str">
        <f t="shared" si="61"/>
        <v/>
      </c>
      <c r="BX65" s="21" t="str">
        <f t="shared" si="62"/>
        <v/>
      </c>
      <c r="BY65" s="21" t="str">
        <f t="shared" si="63"/>
        <v/>
      </c>
      <c r="BZ65" s="22">
        <f t="shared" si="64"/>
        <v>1</v>
      </c>
      <c r="CA65" s="21" t="str">
        <f t="shared" si="65"/>
        <v/>
      </c>
      <c r="CB65" s="21">
        <f t="shared" si="66"/>
        <v>3</v>
      </c>
      <c r="CC65" s="21" t="str">
        <f t="shared" si="67"/>
        <v/>
      </c>
      <c r="CD65" s="21" t="str">
        <f t="shared" si="68"/>
        <v/>
      </c>
      <c r="CE65" s="22">
        <f t="shared" si="69"/>
        <v>0</v>
      </c>
      <c r="CF65" s="28" t="str">
        <f t="shared" si="70"/>
        <v/>
      </c>
      <c r="CG65" s="28" t="str">
        <f t="shared" si="71"/>
        <v/>
      </c>
      <c r="CH65" s="21" t="str">
        <f t="shared" si="72"/>
        <v/>
      </c>
      <c r="CI65" s="22">
        <f t="shared" si="73"/>
        <v>0</v>
      </c>
      <c r="CJ65" s="22">
        <f t="shared" si="74"/>
        <v>0</v>
      </c>
      <c r="CK65" s="22">
        <f t="shared" si="75"/>
        <v>0</v>
      </c>
      <c r="CL65" s="22">
        <f t="shared" si="76"/>
        <v>0</v>
      </c>
      <c r="CM65" s="22">
        <f t="shared" si="77"/>
        <v>0</v>
      </c>
      <c r="CN65" s="22">
        <f t="shared" si="78"/>
        <v>1</v>
      </c>
      <c r="CO65" s="22">
        <f t="shared" si="79"/>
        <v>1</v>
      </c>
      <c r="CP65" s="22">
        <f t="shared" si="80"/>
        <v>0</v>
      </c>
      <c r="CQ65" s="21" t="str">
        <f t="shared" si="81"/>
        <v/>
      </c>
    </row>
    <row r="66" spans="1:95" x14ac:dyDescent="0.2">
      <c r="A66" s="9" t="s">
        <v>951</v>
      </c>
      <c r="B66" s="9" t="s">
        <v>299</v>
      </c>
      <c r="C66" s="11">
        <v>2</v>
      </c>
      <c r="D66" s="9" t="s">
        <v>801</v>
      </c>
      <c r="E66" s="16" t="s">
        <v>50</v>
      </c>
      <c r="F66" s="9"/>
      <c r="G66" s="9"/>
      <c r="H66" s="9" t="s">
        <v>989</v>
      </c>
      <c r="I66" s="16" t="s">
        <v>58</v>
      </c>
      <c r="J66" s="16"/>
      <c r="K66" s="9" t="s">
        <v>990</v>
      </c>
      <c r="L66" s="16"/>
      <c r="M66" s="16"/>
      <c r="N66" s="16"/>
      <c r="O66" s="9"/>
      <c r="P66" s="14"/>
      <c r="Q66" s="14"/>
      <c r="R66" s="9"/>
      <c r="S66" s="9" t="s">
        <v>991</v>
      </c>
      <c r="T66" s="21" t="str">
        <f t="shared" si="41"/>
        <v>435 calendar days</v>
      </c>
      <c r="U66" s="21">
        <f t="shared" si="42"/>
        <v>435</v>
      </c>
      <c r="V66" s="21" t="str">
        <f t="shared" si="43"/>
        <v/>
      </c>
      <c r="W66" s="21" t="str">
        <f t="shared" si="44"/>
        <v/>
      </c>
      <c r="X66" s="21" t="str">
        <f t="shared" si="45"/>
        <v>calendar days</v>
      </c>
      <c r="Y66" s="21" t="str">
        <f t="shared" si="46"/>
        <v>C2</v>
      </c>
      <c r="Z66" s="21" t="str">
        <f t="shared" si="47"/>
        <v>AFTER</v>
      </c>
      <c r="AA66" s="21" t="str">
        <f t="shared" si="48"/>
        <v/>
      </c>
      <c r="AB66" s="21" t="str">
        <f t="shared" si="49"/>
        <v>I_APPROXIMATE_NOT_COMPARED</v>
      </c>
      <c r="AC66" s="21" t="str">
        <f>IF(AQ66=1,"",MID(IF(BX66&lt;&gt;""," | "&amp;BX66&amp;": "&amp;SUBSTITUTE(IFERROR(INDEX(nMSG_Text,MATCH(BX66,nMSG_Code,0)),""),"[input]",BY66),"")&amp;IF(CI66=1," | W_TZ_UNKNOWN: "&amp;SUBSTITUTE(IFERROR(INDEX(nMSG_Text,MATCH("W_TZ_UNKNOWN",nMSG_Code,0)),""),"[input]",""),"")&amp;IF(CJ66=1," | W_SAME_DATE_ORDER_UNKNOWN: "&amp;SUBSTITUTE(IFERROR(INDEX(nMSG_Text,MATCH("W_SAME_DATE_ORDER_UNKNOWN",nMSG_Code,0)),""),"[input]",""),"")&amp;IF(CK66=1," | W_SEQUENCE_UNCERTAIN: "&amp;SUBSTITUTE(IFERROR(INDEX(nMSG_Text,MATCH("W_SEQUENCE_UNCERTAIN",nMSG_Code,0)),""),"[input]",""),"")&amp;IF(CL66=1," | W_ADMIN_SAME_DATE_AS_ONSET: "&amp;SUBSTITUTE(IFERROR(INDEX(nMSG_Text,MATCH("W_ADMIN_SAME_DATE_AS_ONSET",nMSG_Code,0)),""),"[input]",""),"")&amp;IF(CO66=1," | W_INTERVENTION_BEFORE_RECOVERY: "&amp;SUBSTITUTE(IFERROR(INDEX(nMSG_Text,MATCH("W_INTERVENTION_BEFORE_RECOVERY",nMSG_Code,0)),""),"[input]",""),"")&amp;IF(OR(CQ66="",CQ66="OVERLAP"),""," | "&amp;CQ66&amp;" (reported timing): "&amp;SUBSTITUTE(IFERROR(INDEX(nMSG_Text,MATCH(CQ66,nMSG_Code,0)),""),"[input]","numeric reported bounds and a reported unit"))&amp;IF(CM66=1," | I_TREATMENT_DAY_UNDEFINED: "&amp;SUBSTITUTE(IFERROR(INDEX(nMSG_Text,MATCH("I_TREATMENT_DAY_UNDEFINED",nMSG_Code,0)),""),"[input]",""),"")&amp;IF(CH66&lt;&gt;""," | "&amp;CH66&amp;" (constraint): "&amp;SUBSTITUTE(IFERROR(INDEX(nMSG_Text,MATCH(CH66,nMSG_Code,0)),""),"[input]","a source for the constraint"),""),4,9999))</f>
        <v>I_APPROXIMATE_NOT_COMPARED (reported timing): Approximate timing is kept as reported and not converted.</v>
      </c>
      <c r="AD66" s="21" t="str">
        <f t="shared" si="50"/>
        <v/>
      </c>
      <c r="AE66" s="21" t="str">
        <f t="shared" si="51"/>
        <v/>
      </c>
      <c r="AF66" s="21" t="str">
        <f t="shared" si="52"/>
        <v>Not compared. Reported: "fourteen months after the last dose"</v>
      </c>
      <c r="AG66" s="21" t="str">
        <f t="shared" si="53"/>
        <v>ADM-RTX-6</v>
      </c>
      <c r="AH66" s="21" t="str">
        <f>IF(BJ66=0,"",INDEX(nTP_ISO,BJ66))</f>
        <v>2025-03-03</v>
      </c>
      <c r="AI66" s="21" t="str">
        <f>IF(BJ66=0,"",INDEX(nTP_Display,BJ66))</f>
        <v>3 March 2025</v>
      </c>
      <c r="AJ66" s="21" t="str">
        <f>IF(AV66=0,"",INDEX(nTP_ISO,AV66))</f>
        <v>2026-05-12</v>
      </c>
      <c r="AK66" s="21" t="str">
        <f>IF(AV66=0,"",INDEX(nTP_Display,AV66))</f>
        <v>12 May 2026</v>
      </c>
      <c r="AL66" s="21" t="str">
        <f>IF(AU66=0,"",INDEX(nLNK_Exposure_Episode_ID,AU66)&amp;"")</f>
        <v>EX-RTX</v>
      </c>
      <c r="AM66" s="21" t="str">
        <f>IF(AU66=0,"",INDEX(nLNK_Event_Episode_ID,AU66)&amp;"")</f>
        <v>EV-HBV</v>
      </c>
      <c r="AN66" s="21" t="str">
        <f t="shared" si="54"/>
        <v>Calendar-date difference of the recorded local dates; not elapsed days. Anchor selected by C5: latest administration at or before the end point (ADM-RTX-6).</v>
      </c>
      <c r="AO66" s="21" t="str">
        <f t="shared" si="55"/>
        <v/>
      </c>
      <c r="AP66" s="21" t="str">
        <f t="shared" si="56"/>
        <v>CALC-SPEC 1.0</v>
      </c>
      <c r="AQ66" s="22">
        <f t="shared" si="57"/>
        <v>0</v>
      </c>
      <c r="AR66" s="21" t="str">
        <f t="shared" si="58"/>
        <v>EX-C28|2</v>
      </c>
      <c r="AS66" s="21" t="str">
        <f t="shared" si="59"/>
        <v>EX-C28|2|I01</v>
      </c>
      <c r="AT66" s="22">
        <f>IF(AS66="",0,COUNTIF(nINT_Key,AS66))</f>
        <v>1</v>
      </c>
      <c r="AU66" s="22">
        <f>IF(D66="",0,IFERROR(MATCH(AR66&amp;"|"&amp;D66,nLNK_Key,0),0))</f>
        <v>27</v>
      </c>
      <c r="AV66" s="22">
        <f>IF(OR(AQ66=1,H66=""),0,IFERROR(MATCH(AR66&amp;"|"&amp;H66,nTP_Key,0),0))</f>
        <v>319</v>
      </c>
      <c r="AW66" s="21">
        <f>IF(AV66=0,0,INDEX(nTP_Dup,AV66))</f>
        <v>1</v>
      </c>
      <c r="AX66" s="21" t="str">
        <f>IF(AV66=0,"",INDEX(nTP_Record_Type,AV66))</f>
        <v>EVENT_DETECTION</v>
      </c>
      <c r="AY66" s="21" t="str">
        <f>IF(AV66=0,"",INDEX(nTP_Precision,AV66))</f>
        <v>DATE</v>
      </c>
      <c r="AZ66" s="21" t="str">
        <f>IF(AV66=0,"",INDEX(nTP_Err,AV66))</f>
        <v/>
      </c>
      <c r="BA66" s="21">
        <f>IF(AV66=0,0,INDEX(nTP_HT,AV66))</f>
        <v>0</v>
      </c>
      <c r="BB66" s="21">
        <f>IF(AV66=0,0,INDEX(nTP_OK,AV66))</f>
        <v>0</v>
      </c>
      <c r="BC66" s="21" t="str">
        <f>IF(AV66=0,"",INDEX(nTP_Loc,AV66))</f>
        <v/>
      </c>
      <c r="BD66" s="21" t="str">
        <f>IF(AV66=0,"",INDEX(nTP_UTC,AV66))</f>
        <v/>
      </c>
      <c r="BE66" s="21">
        <f>IF(AV66=0,"",INDEX(nTP_Lo,AV66))</f>
        <v>46154</v>
      </c>
      <c r="BF66" s="21">
        <f>IF(AV66=0,"",INDEX(nTP_Hi,AV66))</f>
        <v>46154</v>
      </c>
      <c r="BG66" s="22">
        <f>IF(OR(AQ66=1,E66&lt;&gt;"LAST_DOSE_BEFORE_ONSET",AU66=0,AV66=0),0,IF(AZ66&lt;&gt;"",0,SUMPRODUCT(MAX((nADM_SelKey=AR66&amp;"|"&amp;AL66)*nADM_Valid*(nADM_A_HT*BA66*nADM_A_OK*BB66*(nADM_UTC_n&lt;=N(BD66))+nADM_A_HT*BA66*(1-nADM_A_OK*BB66)*(nADM_Loc_n&lt;=N(BC66))+(1-nADM_A_HT*BA66)*(nADM_Lo_n&lt;=N(BE66)))*nADM_Sort_n))))</f>
        <v>65835360</v>
      </c>
      <c r="BH66" s="22">
        <f>IF(BG66=0,0,MATCH(1,INDEX((nADM_SelKey=AR66&amp;"|"&amp;AL66)*nADM_Valid*(nADM_A_HT*BA66*nADM_A_OK*BB66*(nADM_UTC_n&lt;=N(BD66))+nADM_A_HT*BA66*(1-nADM_A_OK*BB66)*(nADM_Loc_n&lt;=N(BC66))+(1-nADM_A_HT*BA66)*(nADM_Lo_n&lt;=N(BE66)))*(nADM_Sort_n=BG66),0),0))</f>
        <v>65</v>
      </c>
      <c r="BI66" s="21" t="str">
        <f>IF(BH66=0,"",INDEX(nADM_Admin_ID,BH66)&amp;"")</f>
        <v>ADM-RTX-6</v>
      </c>
      <c r="BJ66" s="22">
        <f>IF(OR(AQ66=1,AG66=""),0,IFERROR(MATCH(AR66&amp;"|"&amp;AG66,nTP_Key,0),0))</f>
        <v>254</v>
      </c>
      <c r="BK66" s="21">
        <f>IF(BJ66=0,0,INDEX(nTP_Dup,BJ66))</f>
        <v>1</v>
      </c>
      <c r="BL66" s="21" t="str">
        <f>IF(BJ66=0,"",INDEX(nTP_Record_Type,BJ66))</f>
        <v>ADMINISTRATION</v>
      </c>
      <c r="BM66" s="21" t="str">
        <f>IF(BJ66=0,"",INDEX(nTP_Precision,BJ66))</f>
        <v>DATE</v>
      </c>
      <c r="BN66" s="21" t="str">
        <f>IF(BJ66=0,"",INDEX(nTP_Err,BJ66))</f>
        <v/>
      </c>
      <c r="BO66" s="21">
        <f>IF(BJ66=0,0,INDEX(nTP_HT,BJ66))</f>
        <v>0</v>
      </c>
      <c r="BP66" s="21">
        <f>IF(BJ66=0,0,INDEX(nTP_OK,BJ66))</f>
        <v>0</v>
      </c>
      <c r="BQ66" s="21" t="str">
        <f>IF(BJ66=0,"",INDEX(nTP_Loc,BJ66))</f>
        <v/>
      </c>
      <c r="BR66" s="21" t="str">
        <f>IF(BJ66=0,"",INDEX(nTP_UTC,BJ66))</f>
        <v/>
      </c>
      <c r="BS66" s="21">
        <f>IF(BJ66=0,"",INDEX(nTP_Lo,BJ66))</f>
        <v>45719</v>
      </c>
      <c r="BT66" s="21">
        <f>IF(BJ66=0,"",INDEX(nTP_Hi,BJ66))</f>
        <v>45719</v>
      </c>
      <c r="BU66" s="22">
        <f>IF(OR(BJ66=0,AV66=0),0,SUMPRODUCT((nTP_Case_Key=AR66)*(nTP_Record_Type="MILESTONE:INTERVENTION")*(nTP_Err="")*(nTP_HT*BO66*BA66*(nTP_Loc_n&gt;=N(BQ66))*(nTP_Loc_n&lt;=N(BC66))+(1-nTP_HT*BO66*BA66)*(nTP_Lo_n&gt;=N(BS66))*(nTP_Hi_n&lt;=N(BF66))*(nTP_Lo_n&gt;0))))</f>
        <v>0</v>
      </c>
      <c r="BV66" s="21" t="str">
        <f t="shared" si="60"/>
        <v/>
      </c>
      <c r="BW66" s="21" t="str">
        <f t="shared" si="61"/>
        <v/>
      </c>
      <c r="BX66" s="21" t="str">
        <f t="shared" si="62"/>
        <v/>
      </c>
      <c r="BY66" s="21" t="str">
        <f t="shared" si="63"/>
        <v/>
      </c>
      <c r="BZ66" s="22">
        <f t="shared" si="64"/>
        <v>1</v>
      </c>
      <c r="CA66" s="21" t="str">
        <f t="shared" si="65"/>
        <v/>
      </c>
      <c r="CB66" s="21">
        <f t="shared" si="66"/>
        <v>435</v>
      </c>
      <c r="CC66" s="21" t="str">
        <f t="shared" si="67"/>
        <v/>
      </c>
      <c r="CD66" s="21" t="str">
        <f t="shared" si="68"/>
        <v/>
      </c>
      <c r="CE66" s="22">
        <f t="shared" si="69"/>
        <v>0</v>
      </c>
      <c r="CF66" s="28" t="str">
        <f t="shared" si="70"/>
        <v/>
      </c>
      <c r="CG66" s="28" t="str">
        <f t="shared" si="71"/>
        <v/>
      </c>
      <c r="CH66" s="21" t="str">
        <f t="shared" si="72"/>
        <v/>
      </c>
      <c r="CI66" s="22">
        <f t="shared" si="73"/>
        <v>0</v>
      </c>
      <c r="CJ66" s="22">
        <f t="shared" si="74"/>
        <v>0</v>
      </c>
      <c r="CK66" s="22">
        <f t="shared" si="75"/>
        <v>0</v>
      </c>
      <c r="CL66" s="22">
        <f t="shared" si="76"/>
        <v>0</v>
      </c>
      <c r="CM66" s="22">
        <f t="shared" si="77"/>
        <v>0</v>
      </c>
      <c r="CN66" s="22">
        <f t="shared" si="78"/>
        <v>0</v>
      </c>
      <c r="CO66" s="22">
        <f t="shared" si="79"/>
        <v>0</v>
      </c>
      <c r="CP66" s="22">
        <f t="shared" si="80"/>
        <v>0</v>
      </c>
      <c r="CQ66" s="21" t="str">
        <f t="shared" si="81"/>
        <v>I_APPROXIMATE_NOT_COMPARED</v>
      </c>
    </row>
    <row r="67" spans="1:95" x14ac:dyDescent="0.2">
      <c r="A67" s="9" t="s">
        <v>953</v>
      </c>
      <c r="B67" s="9" t="s">
        <v>299</v>
      </c>
      <c r="C67" s="11">
        <v>2</v>
      </c>
      <c r="D67" s="9" t="s">
        <v>801</v>
      </c>
      <c r="E67" s="16" t="s">
        <v>50</v>
      </c>
      <c r="F67" s="9"/>
      <c r="G67" s="9"/>
      <c r="H67" s="9" t="s">
        <v>992</v>
      </c>
      <c r="I67" s="16" t="s">
        <v>59</v>
      </c>
      <c r="J67" s="16"/>
      <c r="K67" s="9"/>
      <c r="L67" s="16"/>
      <c r="M67" s="16"/>
      <c r="N67" s="16"/>
      <c r="O67" s="9"/>
      <c r="P67" s="14"/>
      <c r="Q67" s="14"/>
      <c r="R67" s="9"/>
      <c r="S67" s="9"/>
      <c r="T67" s="21" t="str">
        <f t="shared" si="41"/>
        <v>343 to 435 calendar days</v>
      </c>
      <c r="U67" s="21" t="str">
        <f t="shared" si="42"/>
        <v/>
      </c>
      <c r="V67" s="21">
        <f t="shared" si="43"/>
        <v>343</v>
      </c>
      <c r="W67" s="21">
        <f t="shared" si="44"/>
        <v>435</v>
      </c>
      <c r="X67" s="21" t="str">
        <f t="shared" si="45"/>
        <v>calendar days</v>
      </c>
      <c r="Y67" s="21" t="str">
        <f t="shared" si="46"/>
        <v>C4</v>
      </c>
      <c r="Z67" s="21" t="str">
        <f t="shared" si="47"/>
        <v>AFTER</v>
      </c>
      <c r="AA67" s="21" t="str">
        <f t="shared" si="48"/>
        <v/>
      </c>
      <c r="AB67" s="21" t="str">
        <f t="shared" si="49"/>
        <v/>
      </c>
      <c r="AC67" s="21" t="str">
        <f>IF(AQ67=1,"",MID(IF(BX67&lt;&gt;""," | "&amp;BX67&amp;": "&amp;SUBSTITUTE(IFERROR(INDEX(nMSG_Text,MATCH(BX67,nMSG_Code,0)),""),"[input]",BY67),"")&amp;IF(CI67=1," | W_TZ_UNKNOWN: "&amp;SUBSTITUTE(IFERROR(INDEX(nMSG_Text,MATCH("W_TZ_UNKNOWN",nMSG_Code,0)),""),"[input]",""),"")&amp;IF(CJ67=1," | W_SAME_DATE_ORDER_UNKNOWN: "&amp;SUBSTITUTE(IFERROR(INDEX(nMSG_Text,MATCH("W_SAME_DATE_ORDER_UNKNOWN",nMSG_Code,0)),""),"[input]",""),"")&amp;IF(CK67=1," | W_SEQUENCE_UNCERTAIN: "&amp;SUBSTITUTE(IFERROR(INDEX(nMSG_Text,MATCH("W_SEQUENCE_UNCERTAIN",nMSG_Code,0)),""),"[input]",""),"")&amp;IF(CL67=1," | W_ADMIN_SAME_DATE_AS_ONSET: "&amp;SUBSTITUTE(IFERROR(INDEX(nMSG_Text,MATCH("W_ADMIN_SAME_DATE_AS_ONSET",nMSG_Code,0)),""),"[input]",""),"")&amp;IF(CO67=1," | W_INTERVENTION_BEFORE_RECOVERY: "&amp;SUBSTITUTE(IFERROR(INDEX(nMSG_Text,MATCH("W_INTERVENTION_BEFORE_RECOVERY",nMSG_Code,0)),""),"[input]",""),"")&amp;IF(OR(CQ67="",CQ67="OVERLAP"),""," | "&amp;CQ67&amp;" (reported timing): "&amp;SUBSTITUTE(IFERROR(INDEX(nMSG_Text,MATCH(CQ67,nMSG_Code,0)),""),"[input]","numeric reported bounds and a reported unit"))&amp;IF(CM67=1," | I_TREATMENT_DAY_UNDEFINED: "&amp;SUBSTITUTE(IFERROR(INDEX(nMSG_Text,MATCH("I_TREATMENT_DAY_UNDEFINED",nMSG_Code,0)),""),"[input]",""),"")&amp;IF(CH67&lt;&gt;""," | "&amp;CH67&amp;" (constraint): "&amp;SUBSTITUTE(IFERROR(INDEX(nMSG_Text,MATCH(CH67,nMSG_Code,0)),""),"[input]","a source for the constraint"),""),4,9999))</f>
        <v/>
      </c>
      <c r="AD67" s="21" t="str">
        <f t="shared" si="50"/>
        <v/>
      </c>
      <c r="AE67" s="21" t="str">
        <f t="shared" si="51"/>
        <v/>
      </c>
      <c r="AF67" s="21" t="str">
        <f t="shared" si="52"/>
        <v/>
      </c>
      <c r="AG67" s="21" t="str">
        <f t="shared" si="53"/>
        <v>ADM-RTX-6</v>
      </c>
      <c r="AH67" s="21" t="str">
        <f>IF(BJ67=0,"",INDEX(nTP_ISO,BJ67))</f>
        <v>2025-03-03</v>
      </c>
      <c r="AI67" s="21" t="str">
        <f>IF(BJ67=0,"",INDEX(nTP_Display,BJ67))</f>
        <v>3 March 2025</v>
      </c>
      <c r="AJ67" s="21" t="str">
        <f>IF(AV67=0,"",INDEX(nTP_ISO,AV67))</f>
        <v>2026-02-09/2026-05-12</v>
      </c>
      <c r="AK67" s="21" t="str">
        <f>IF(AV67=0,"",INDEX(nTP_Display,AV67))</f>
        <v>9 February 2026 to 12 May 2026</v>
      </c>
      <c r="AL67" s="21" t="str">
        <f>IF(AU67=0,"",INDEX(nLNK_Exposure_Episode_ID,AU67)&amp;"")</f>
        <v>EX-RTX</v>
      </c>
      <c r="AM67" s="21" t="str">
        <f>IF(AU67=0,"",INDEX(nLNK_Event_Episode_ID,AU67)&amp;"")</f>
        <v>EV-HBV</v>
      </c>
      <c r="AN67" s="21" t="str">
        <f t="shared" si="54"/>
        <v>Bounded interval: minimum = end-point lower bound minus anchor upper bound; maximum = end-point upper bound minus anchor lower bound. No single date is imputed. Anchor selected by C5: latest administration at or before the end point (ADM-RTX-6).</v>
      </c>
      <c r="AO67" s="21" t="str">
        <f t="shared" si="55"/>
        <v/>
      </c>
      <c r="AP67" s="21" t="str">
        <f t="shared" si="56"/>
        <v>CALC-SPEC 1.0</v>
      </c>
      <c r="AQ67" s="22">
        <f t="shared" si="57"/>
        <v>0</v>
      </c>
      <c r="AR67" s="21" t="str">
        <f t="shared" si="58"/>
        <v>EX-C28|2</v>
      </c>
      <c r="AS67" s="21" t="str">
        <f t="shared" si="59"/>
        <v>EX-C28|2|I02</v>
      </c>
      <c r="AT67" s="22">
        <f>IF(AS67="",0,COUNTIF(nINT_Key,AS67))</f>
        <v>1</v>
      </c>
      <c r="AU67" s="22">
        <f>IF(D67="",0,IFERROR(MATCH(AR67&amp;"|"&amp;D67,nLNK_Key,0),0))</f>
        <v>27</v>
      </c>
      <c r="AV67" s="22">
        <f>IF(OR(AQ67=1,H67=""),0,IFERROR(MATCH(AR67&amp;"|"&amp;H67,nTP_Key,0),0))</f>
        <v>282</v>
      </c>
      <c r="AW67" s="21">
        <f>IF(AV67=0,0,INDEX(nTP_Dup,AV67))</f>
        <v>1</v>
      </c>
      <c r="AX67" s="21" t="str">
        <f>IF(AV67=0,"",INDEX(nTP_Record_Type,AV67))</f>
        <v>EVENT_ONSET</v>
      </c>
      <c r="AY67" s="21" t="str">
        <f>IF(AV67=0,"",INDEX(nTP_Precision,AV67))</f>
        <v>RANGE</v>
      </c>
      <c r="AZ67" s="21" t="str">
        <f>IF(AV67=0,"",INDEX(nTP_Err,AV67))</f>
        <v/>
      </c>
      <c r="BA67" s="21">
        <f>IF(AV67=0,0,INDEX(nTP_HT,AV67))</f>
        <v>0</v>
      </c>
      <c r="BB67" s="21">
        <f>IF(AV67=0,0,INDEX(nTP_OK,AV67))</f>
        <v>0</v>
      </c>
      <c r="BC67" s="21" t="str">
        <f>IF(AV67=0,"",INDEX(nTP_Loc,AV67))</f>
        <v/>
      </c>
      <c r="BD67" s="21" t="str">
        <f>IF(AV67=0,"",INDEX(nTP_UTC,AV67))</f>
        <v/>
      </c>
      <c r="BE67" s="21">
        <f>IF(AV67=0,"",INDEX(nTP_Lo,AV67))</f>
        <v>46062</v>
      </c>
      <c r="BF67" s="21">
        <f>IF(AV67=0,"",INDEX(nTP_Hi,AV67))</f>
        <v>46154</v>
      </c>
      <c r="BG67" s="22">
        <f>IF(OR(AQ67=1,E67&lt;&gt;"LAST_DOSE_BEFORE_ONSET",AU67=0,AV67=0),0,IF(AZ67&lt;&gt;"",0,SUMPRODUCT(MAX((nADM_SelKey=AR67&amp;"|"&amp;AL67)*nADM_Valid*(nADM_A_HT*BA67*nADM_A_OK*BB67*(nADM_UTC_n&lt;=N(BD67))+nADM_A_HT*BA67*(1-nADM_A_OK*BB67)*(nADM_Loc_n&lt;=N(BC67))+(1-nADM_A_HT*BA67)*(nADM_Lo_n&lt;=N(BE67)))*nADM_Sort_n))))</f>
        <v>65835360</v>
      </c>
      <c r="BH67" s="22">
        <f>IF(BG67=0,0,MATCH(1,INDEX((nADM_SelKey=AR67&amp;"|"&amp;AL67)*nADM_Valid*(nADM_A_HT*BA67*nADM_A_OK*BB67*(nADM_UTC_n&lt;=N(BD67))+nADM_A_HT*BA67*(1-nADM_A_OK*BB67)*(nADM_Loc_n&lt;=N(BC67))+(1-nADM_A_HT*BA67)*(nADM_Lo_n&lt;=N(BE67)))*(nADM_Sort_n=BG67),0),0))</f>
        <v>65</v>
      </c>
      <c r="BI67" s="21" t="str">
        <f>IF(BH67=0,"",INDEX(nADM_Admin_ID,BH67)&amp;"")</f>
        <v>ADM-RTX-6</v>
      </c>
      <c r="BJ67" s="22">
        <f>IF(OR(AQ67=1,AG67=""),0,IFERROR(MATCH(AR67&amp;"|"&amp;AG67,nTP_Key,0),0))</f>
        <v>254</v>
      </c>
      <c r="BK67" s="21">
        <f>IF(BJ67=0,0,INDEX(nTP_Dup,BJ67))</f>
        <v>1</v>
      </c>
      <c r="BL67" s="21" t="str">
        <f>IF(BJ67=0,"",INDEX(nTP_Record_Type,BJ67))</f>
        <v>ADMINISTRATION</v>
      </c>
      <c r="BM67" s="21" t="str">
        <f>IF(BJ67=0,"",INDEX(nTP_Precision,BJ67))</f>
        <v>DATE</v>
      </c>
      <c r="BN67" s="21" t="str">
        <f>IF(BJ67=0,"",INDEX(nTP_Err,BJ67))</f>
        <v/>
      </c>
      <c r="BO67" s="21">
        <f>IF(BJ67=0,0,INDEX(nTP_HT,BJ67))</f>
        <v>0</v>
      </c>
      <c r="BP67" s="21">
        <f>IF(BJ67=0,0,INDEX(nTP_OK,BJ67))</f>
        <v>0</v>
      </c>
      <c r="BQ67" s="21" t="str">
        <f>IF(BJ67=0,"",INDEX(nTP_Loc,BJ67))</f>
        <v/>
      </c>
      <c r="BR67" s="21" t="str">
        <f>IF(BJ67=0,"",INDEX(nTP_UTC,BJ67))</f>
        <v/>
      </c>
      <c r="BS67" s="21">
        <f>IF(BJ67=0,"",INDEX(nTP_Lo,BJ67))</f>
        <v>45719</v>
      </c>
      <c r="BT67" s="21">
        <f>IF(BJ67=0,"",INDEX(nTP_Hi,BJ67))</f>
        <v>45719</v>
      </c>
      <c r="BU67" s="22">
        <f>IF(OR(BJ67=0,AV67=0),0,SUMPRODUCT((nTP_Case_Key=AR67)*(nTP_Record_Type="MILESTONE:INTERVENTION")*(nTP_Err="")*(nTP_HT*BO67*BA67*(nTP_Loc_n&gt;=N(BQ67))*(nTP_Loc_n&lt;=N(BC67))+(1-nTP_HT*BO67*BA67)*(nTP_Lo_n&gt;=N(BS67))*(nTP_Hi_n&lt;=N(BF67))*(nTP_Lo_n&gt;0))))</f>
        <v>0</v>
      </c>
      <c r="BV67" s="21" t="str">
        <f t="shared" si="60"/>
        <v/>
      </c>
      <c r="BW67" s="21" t="str">
        <f t="shared" si="61"/>
        <v/>
      </c>
      <c r="BX67" s="21" t="str">
        <f t="shared" si="62"/>
        <v/>
      </c>
      <c r="BY67" s="21" t="str">
        <f t="shared" si="63"/>
        <v/>
      </c>
      <c r="BZ67" s="22">
        <f t="shared" si="64"/>
        <v>1</v>
      </c>
      <c r="CA67" s="21" t="str">
        <f t="shared" si="65"/>
        <v/>
      </c>
      <c r="CB67" s="21" t="str">
        <f t="shared" si="66"/>
        <v/>
      </c>
      <c r="CC67" s="21">
        <f t="shared" si="67"/>
        <v>343</v>
      </c>
      <c r="CD67" s="21">
        <f t="shared" si="68"/>
        <v>435</v>
      </c>
      <c r="CE67" s="22">
        <f t="shared" si="69"/>
        <v>0</v>
      </c>
      <c r="CF67" s="28" t="str">
        <f t="shared" si="70"/>
        <v/>
      </c>
      <c r="CG67" s="28" t="str">
        <f t="shared" si="71"/>
        <v/>
      </c>
      <c r="CH67" s="21" t="str">
        <f t="shared" si="72"/>
        <v/>
      </c>
      <c r="CI67" s="22">
        <f t="shared" si="73"/>
        <v>0</v>
      </c>
      <c r="CJ67" s="22">
        <f t="shared" si="74"/>
        <v>0</v>
      </c>
      <c r="CK67" s="22">
        <f t="shared" si="75"/>
        <v>0</v>
      </c>
      <c r="CL67" s="22">
        <f t="shared" si="76"/>
        <v>0</v>
      </c>
      <c r="CM67" s="22">
        <f t="shared" si="77"/>
        <v>0</v>
      </c>
      <c r="CN67" s="22">
        <f t="shared" si="78"/>
        <v>0</v>
      </c>
      <c r="CO67" s="22">
        <f t="shared" si="79"/>
        <v>0</v>
      </c>
      <c r="CP67" s="22">
        <f t="shared" si="80"/>
        <v>0</v>
      </c>
      <c r="CQ67" s="21" t="str">
        <f t="shared" si="81"/>
        <v/>
      </c>
    </row>
    <row r="68" spans="1:95" x14ac:dyDescent="0.2">
      <c r="A68" s="9" t="s">
        <v>955</v>
      </c>
      <c r="B68" s="9" t="s">
        <v>299</v>
      </c>
      <c r="C68" s="11">
        <v>2</v>
      </c>
      <c r="D68" s="9" t="s">
        <v>801</v>
      </c>
      <c r="E68" s="16" t="s">
        <v>49</v>
      </c>
      <c r="F68" s="9"/>
      <c r="G68" s="9" t="s">
        <v>993</v>
      </c>
      <c r="H68" s="9" t="s">
        <v>989</v>
      </c>
      <c r="I68" s="16" t="s">
        <v>58</v>
      </c>
      <c r="J68" s="16"/>
      <c r="K68" s="9"/>
      <c r="L68" s="16"/>
      <c r="M68" s="16"/>
      <c r="N68" s="16"/>
      <c r="O68" s="9"/>
      <c r="P68" s="14"/>
      <c r="Q68" s="14"/>
      <c r="R68" s="9"/>
      <c r="S68" s="9"/>
      <c r="T68" s="21" t="str">
        <f t="shared" si="41"/>
        <v>540 calendar days</v>
      </c>
      <c r="U68" s="21">
        <f t="shared" si="42"/>
        <v>540</v>
      </c>
      <c r="V68" s="21" t="str">
        <f t="shared" si="43"/>
        <v/>
      </c>
      <c r="W68" s="21" t="str">
        <f t="shared" si="44"/>
        <v/>
      </c>
      <c r="X68" s="21" t="str">
        <f t="shared" si="45"/>
        <v>calendar days</v>
      </c>
      <c r="Y68" s="21" t="str">
        <f t="shared" si="46"/>
        <v>C2</v>
      </c>
      <c r="Z68" s="21" t="str">
        <f t="shared" si="47"/>
        <v>AFTER</v>
      </c>
      <c r="AA68" s="21" t="str">
        <f t="shared" si="48"/>
        <v/>
      </c>
      <c r="AB68" s="21" t="str">
        <f t="shared" si="49"/>
        <v/>
      </c>
      <c r="AC68" s="21" t="str">
        <f>IF(AQ68=1,"",MID(IF(BX68&lt;&gt;""," | "&amp;BX68&amp;": "&amp;SUBSTITUTE(IFERROR(INDEX(nMSG_Text,MATCH(BX68,nMSG_Code,0)),""),"[input]",BY68),"")&amp;IF(CI68=1," | W_TZ_UNKNOWN: "&amp;SUBSTITUTE(IFERROR(INDEX(nMSG_Text,MATCH("W_TZ_UNKNOWN",nMSG_Code,0)),""),"[input]",""),"")&amp;IF(CJ68=1," | W_SAME_DATE_ORDER_UNKNOWN: "&amp;SUBSTITUTE(IFERROR(INDEX(nMSG_Text,MATCH("W_SAME_DATE_ORDER_UNKNOWN",nMSG_Code,0)),""),"[input]",""),"")&amp;IF(CK68=1," | W_SEQUENCE_UNCERTAIN: "&amp;SUBSTITUTE(IFERROR(INDEX(nMSG_Text,MATCH("W_SEQUENCE_UNCERTAIN",nMSG_Code,0)),""),"[input]",""),"")&amp;IF(CL68=1," | W_ADMIN_SAME_DATE_AS_ONSET: "&amp;SUBSTITUTE(IFERROR(INDEX(nMSG_Text,MATCH("W_ADMIN_SAME_DATE_AS_ONSET",nMSG_Code,0)),""),"[input]",""),"")&amp;IF(CO68=1," | W_INTERVENTION_BEFORE_RECOVERY: "&amp;SUBSTITUTE(IFERROR(INDEX(nMSG_Text,MATCH("W_INTERVENTION_BEFORE_RECOVERY",nMSG_Code,0)),""),"[input]",""),"")&amp;IF(OR(CQ68="",CQ68="OVERLAP"),""," | "&amp;CQ68&amp;" (reported timing): "&amp;SUBSTITUTE(IFERROR(INDEX(nMSG_Text,MATCH(CQ68,nMSG_Code,0)),""),"[input]","numeric reported bounds and a reported unit"))&amp;IF(CM68=1," | I_TREATMENT_DAY_UNDEFINED: "&amp;SUBSTITUTE(IFERROR(INDEX(nMSG_Text,MATCH("I_TREATMENT_DAY_UNDEFINED",nMSG_Code,0)),""),"[input]",""),"")&amp;IF(CH68&lt;&gt;""," | "&amp;CH68&amp;" (constraint): "&amp;SUBSTITUTE(IFERROR(INDEX(nMSG_Text,MATCH(CH68,nMSG_Code,0)),""),"[input]","a source for the constraint"),""),4,9999))</f>
        <v/>
      </c>
      <c r="AD68" s="21" t="str">
        <f t="shared" si="50"/>
        <v/>
      </c>
      <c r="AE68" s="21" t="str">
        <f t="shared" si="51"/>
        <v/>
      </c>
      <c r="AF68" s="21" t="str">
        <f t="shared" si="52"/>
        <v/>
      </c>
      <c r="AG68" s="21" t="str">
        <f t="shared" si="53"/>
        <v>EX-RTX/START</v>
      </c>
      <c r="AH68" s="21" t="str">
        <f>IF(BJ68=0,"",INDEX(nTP_ISO,BJ68))</f>
        <v>2024-11-18</v>
      </c>
      <c r="AI68" s="21" t="str">
        <f>IF(BJ68=0,"",INDEX(nTP_Display,BJ68))</f>
        <v>18 November 2024</v>
      </c>
      <c r="AJ68" s="21" t="str">
        <f>IF(AV68=0,"",INDEX(nTP_ISO,AV68))</f>
        <v>2026-05-12</v>
      </c>
      <c r="AK68" s="21" t="str">
        <f>IF(AV68=0,"",INDEX(nTP_Display,AV68))</f>
        <v>12 May 2026</v>
      </c>
      <c r="AL68" s="21" t="str">
        <f>IF(AU68=0,"",INDEX(nLNK_Exposure_Episode_ID,AU68)&amp;"")</f>
        <v>EX-RTX</v>
      </c>
      <c r="AM68" s="21" t="str">
        <f>IF(AU68=0,"",INDEX(nLNK_Event_Episode_ID,AU68)&amp;"")</f>
        <v>EV-HBV</v>
      </c>
      <c r="AN68" s="21" t="str">
        <f t="shared" si="54"/>
        <v>Calendar-date difference of the recorded local dates; not elapsed days.</v>
      </c>
      <c r="AO68" s="21" t="str">
        <f t="shared" si="55"/>
        <v/>
      </c>
      <c r="AP68" s="21" t="str">
        <f t="shared" si="56"/>
        <v>CALC-SPEC 1.0</v>
      </c>
      <c r="AQ68" s="22">
        <f t="shared" si="57"/>
        <v>0</v>
      </c>
      <c r="AR68" s="21" t="str">
        <f t="shared" si="58"/>
        <v>EX-C28|2</v>
      </c>
      <c r="AS68" s="21" t="str">
        <f t="shared" si="59"/>
        <v>EX-C28|2|I03</v>
      </c>
      <c r="AT68" s="22">
        <f>IF(AS68="",0,COUNTIF(nINT_Key,AS68))</f>
        <v>1</v>
      </c>
      <c r="AU68" s="22">
        <f>IF(D68="",0,IFERROR(MATCH(AR68&amp;"|"&amp;D68,nLNK_Key,0),0))</f>
        <v>27</v>
      </c>
      <c r="AV68" s="22">
        <f>IF(OR(AQ68=1,H68=""),0,IFERROR(MATCH(AR68&amp;"|"&amp;H68,nTP_Key,0),0))</f>
        <v>319</v>
      </c>
      <c r="AW68" s="21">
        <f>IF(AV68=0,0,INDEX(nTP_Dup,AV68))</f>
        <v>1</v>
      </c>
      <c r="AX68" s="21" t="str">
        <f>IF(AV68=0,"",INDEX(nTP_Record_Type,AV68))</f>
        <v>EVENT_DETECTION</v>
      </c>
      <c r="AY68" s="21" t="str">
        <f>IF(AV68=0,"",INDEX(nTP_Precision,AV68))</f>
        <v>DATE</v>
      </c>
      <c r="AZ68" s="21" t="str">
        <f>IF(AV68=0,"",INDEX(nTP_Err,AV68))</f>
        <v/>
      </c>
      <c r="BA68" s="21">
        <f>IF(AV68=0,0,INDEX(nTP_HT,AV68))</f>
        <v>0</v>
      </c>
      <c r="BB68" s="21">
        <f>IF(AV68=0,0,INDEX(nTP_OK,AV68))</f>
        <v>0</v>
      </c>
      <c r="BC68" s="21" t="str">
        <f>IF(AV68=0,"",INDEX(nTP_Loc,AV68))</f>
        <v/>
      </c>
      <c r="BD68" s="21" t="str">
        <f>IF(AV68=0,"",INDEX(nTP_UTC,AV68))</f>
        <v/>
      </c>
      <c r="BE68" s="21">
        <f>IF(AV68=0,"",INDEX(nTP_Lo,AV68))</f>
        <v>46154</v>
      </c>
      <c r="BF68" s="21">
        <f>IF(AV68=0,"",INDEX(nTP_Hi,AV68))</f>
        <v>46154</v>
      </c>
      <c r="BG68" s="22">
        <f>IF(OR(AQ68=1,E68&lt;&gt;"LAST_DOSE_BEFORE_ONSET",AU68=0,AV68=0),0,IF(AZ68&lt;&gt;"",0,SUMPRODUCT(MAX((nADM_SelKey=AR68&amp;"|"&amp;AL68)*nADM_Valid*(nADM_A_HT*BA68*nADM_A_OK*BB68*(nADM_UTC_n&lt;=N(BD68))+nADM_A_HT*BA68*(1-nADM_A_OK*BB68)*(nADM_Loc_n&lt;=N(BC68))+(1-nADM_A_HT*BA68)*(nADM_Lo_n&lt;=N(BE68)))*nADM_Sort_n))))</f>
        <v>0</v>
      </c>
      <c r="BH68" s="22">
        <f>IF(BG68=0,0,MATCH(1,INDEX((nADM_SelKey=AR68&amp;"|"&amp;AL68)*nADM_Valid*(nADM_A_HT*BA68*nADM_A_OK*BB68*(nADM_UTC_n&lt;=N(BD68))+nADM_A_HT*BA68*(1-nADM_A_OK*BB68)*(nADM_Loc_n&lt;=N(BC68))+(1-nADM_A_HT*BA68)*(nADM_Lo_n&lt;=N(BE68)))*(nADM_Sort_n=BG68),0),0))</f>
        <v>0</v>
      </c>
      <c r="BI68" s="21" t="str">
        <f>IF(BH68=0,"",INDEX(nADM_Admin_ID,BH68)&amp;"")</f>
        <v/>
      </c>
      <c r="BJ68" s="22">
        <f>IF(OR(AQ68=1,AG68=""),0,IFERROR(MATCH(AR68&amp;"|"&amp;AG68,nTP_Key,0),0))</f>
        <v>38</v>
      </c>
      <c r="BK68" s="21">
        <f>IF(BJ68=0,0,INDEX(nTP_Dup,BJ68))</f>
        <v>1</v>
      </c>
      <c r="BL68" s="21" t="str">
        <f>IF(BJ68=0,"",INDEX(nTP_Record_Type,BJ68))</f>
        <v>EXPOSURE_START</v>
      </c>
      <c r="BM68" s="21" t="str">
        <f>IF(BJ68=0,"",INDEX(nTP_Precision,BJ68))</f>
        <v>DATE</v>
      </c>
      <c r="BN68" s="21" t="str">
        <f>IF(BJ68=0,"",INDEX(nTP_Err,BJ68))</f>
        <v/>
      </c>
      <c r="BO68" s="21">
        <f>IF(BJ68=0,0,INDEX(nTP_HT,BJ68))</f>
        <v>0</v>
      </c>
      <c r="BP68" s="21">
        <f>IF(BJ68=0,0,INDEX(nTP_OK,BJ68))</f>
        <v>0</v>
      </c>
      <c r="BQ68" s="21" t="str">
        <f>IF(BJ68=0,"",INDEX(nTP_Loc,BJ68))</f>
        <v/>
      </c>
      <c r="BR68" s="21" t="str">
        <f>IF(BJ68=0,"",INDEX(nTP_UTC,BJ68))</f>
        <v/>
      </c>
      <c r="BS68" s="21">
        <f>IF(BJ68=0,"",INDEX(nTP_Lo,BJ68))</f>
        <v>45614</v>
      </c>
      <c r="BT68" s="21">
        <f>IF(BJ68=0,"",INDEX(nTP_Hi,BJ68))</f>
        <v>45614</v>
      </c>
      <c r="BU68" s="22">
        <f>IF(OR(BJ68=0,AV68=0),0,SUMPRODUCT((nTP_Case_Key=AR68)*(nTP_Record_Type="MILESTONE:INTERVENTION")*(nTP_Err="")*(nTP_HT*BO68*BA68*(nTP_Loc_n&gt;=N(BQ68))*(nTP_Loc_n&lt;=N(BC68))+(1-nTP_HT*BO68*BA68)*(nTP_Lo_n&gt;=N(BS68))*(nTP_Hi_n&lt;=N(BF68))*(nTP_Lo_n&gt;0))))</f>
        <v>0</v>
      </c>
      <c r="BV68" s="21" t="str">
        <f t="shared" si="60"/>
        <v/>
      </c>
      <c r="BW68" s="21" t="str">
        <f t="shared" si="61"/>
        <v/>
      </c>
      <c r="BX68" s="21" t="str">
        <f t="shared" si="62"/>
        <v/>
      </c>
      <c r="BY68" s="21" t="str">
        <f t="shared" si="63"/>
        <v/>
      </c>
      <c r="BZ68" s="22">
        <f t="shared" si="64"/>
        <v>1</v>
      </c>
      <c r="CA68" s="21" t="str">
        <f t="shared" si="65"/>
        <v/>
      </c>
      <c r="CB68" s="21">
        <f t="shared" si="66"/>
        <v>540</v>
      </c>
      <c r="CC68" s="21" t="str">
        <f t="shared" si="67"/>
        <v/>
      </c>
      <c r="CD68" s="21" t="str">
        <f t="shared" si="68"/>
        <v/>
      </c>
      <c r="CE68" s="22">
        <f t="shared" si="69"/>
        <v>0</v>
      </c>
      <c r="CF68" s="28" t="str">
        <f t="shared" si="70"/>
        <v/>
      </c>
      <c r="CG68" s="28" t="str">
        <f t="shared" si="71"/>
        <v/>
      </c>
      <c r="CH68" s="21" t="str">
        <f t="shared" si="72"/>
        <v/>
      </c>
      <c r="CI68" s="22">
        <f t="shared" si="73"/>
        <v>0</v>
      </c>
      <c r="CJ68" s="22">
        <f t="shared" si="74"/>
        <v>0</v>
      </c>
      <c r="CK68" s="22">
        <f t="shared" si="75"/>
        <v>0</v>
      </c>
      <c r="CL68" s="22">
        <f t="shared" si="76"/>
        <v>0</v>
      </c>
      <c r="CM68" s="22">
        <f t="shared" si="77"/>
        <v>0</v>
      </c>
      <c r="CN68" s="22">
        <f t="shared" si="78"/>
        <v>0</v>
      </c>
      <c r="CO68" s="22">
        <f t="shared" si="79"/>
        <v>0</v>
      </c>
      <c r="CP68" s="22">
        <f t="shared" si="80"/>
        <v>0</v>
      </c>
      <c r="CQ68" s="21" t="str">
        <f t="shared" si="81"/>
        <v/>
      </c>
    </row>
    <row r="69" spans="1:95" x14ac:dyDescent="0.2">
      <c r="A69" s="9" t="s">
        <v>958</v>
      </c>
      <c r="B69" s="9" t="s">
        <v>299</v>
      </c>
      <c r="C69" s="11">
        <v>2</v>
      </c>
      <c r="D69" s="9" t="s">
        <v>801</v>
      </c>
      <c r="E69" s="16" t="s">
        <v>49</v>
      </c>
      <c r="F69" s="9"/>
      <c r="G69" s="9" t="s">
        <v>993</v>
      </c>
      <c r="H69" s="9" t="s">
        <v>992</v>
      </c>
      <c r="I69" s="16" t="s">
        <v>59</v>
      </c>
      <c r="J69" s="16"/>
      <c r="K69" s="9"/>
      <c r="L69" s="16"/>
      <c r="M69" s="16"/>
      <c r="N69" s="16"/>
      <c r="O69" s="9"/>
      <c r="P69" s="14"/>
      <c r="Q69" s="14"/>
      <c r="R69" s="9"/>
      <c r="S69" s="9"/>
      <c r="T69" s="21" t="str">
        <f t="shared" si="41"/>
        <v>448 to 540 calendar days</v>
      </c>
      <c r="U69" s="21" t="str">
        <f t="shared" si="42"/>
        <v/>
      </c>
      <c r="V69" s="21">
        <f t="shared" si="43"/>
        <v>448</v>
      </c>
      <c r="W69" s="21">
        <f t="shared" si="44"/>
        <v>540</v>
      </c>
      <c r="X69" s="21" t="str">
        <f t="shared" si="45"/>
        <v>calendar days</v>
      </c>
      <c r="Y69" s="21" t="str">
        <f t="shared" si="46"/>
        <v>C4</v>
      </c>
      <c r="Z69" s="21" t="str">
        <f t="shared" si="47"/>
        <v>AFTER</v>
      </c>
      <c r="AA69" s="21" t="str">
        <f t="shared" si="48"/>
        <v/>
      </c>
      <c r="AB69" s="21" t="str">
        <f t="shared" si="49"/>
        <v/>
      </c>
      <c r="AC69" s="21" t="str">
        <f>IF(AQ69=1,"",MID(IF(BX69&lt;&gt;""," | "&amp;BX69&amp;": "&amp;SUBSTITUTE(IFERROR(INDEX(nMSG_Text,MATCH(BX69,nMSG_Code,0)),""),"[input]",BY69),"")&amp;IF(CI69=1," | W_TZ_UNKNOWN: "&amp;SUBSTITUTE(IFERROR(INDEX(nMSG_Text,MATCH("W_TZ_UNKNOWN",nMSG_Code,0)),""),"[input]",""),"")&amp;IF(CJ69=1," | W_SAME_DATE_ORDER_UNKNOWN: "&amp;SUBSTITUTE(IFERROR(INDEX(nMSG_Text,MATCH("W_SAME_DATE_ORDER_UNKNOWN",nMSG_Code,0)),""),"[input]",""),"")&amp;IF(CK69=1," | W_SEQUENCE_UNCERTAIN: "&amp;SUBSTITUTE(IFERROR(INDEX(nMSG_Text,MATCH("W_SEQUENCE_UNCERTAIN",nMSG_Code,0)),""),"[input]",""),"")&amp;IF(CL69=1," | W_ADMIN_SAME_DATE_AS_ONSET: "&amp;SUBSTITUTE(IFERROR(INDEX(nMSG_Text,MATCH("W_ADMIN_SAME_DATE_AS_ONSET",nMSG_Code,0)),""),"[input]",""),"")&amp;IF(CO69=1," | W_INTERVENTION_BEFORE_RECOVERY: "&amp;SUBSTITUTE(IFERROR(INDEX(nMSG_Text,MATCH("W_INTERVENTION_BEFORE_RECOVERY",nMSG_Code,0)),""),"[input]",""),"")&amp;IF(OR(CQ69="",CQ69="OVERLAP"),""," | "&amp;CQ69&amp;" (reported timing): "&amp;SUBSTITUTE(IFERROR(INDEX(nMSG_Text,MATCH(CQ69,nMSG_Code,0)),""),"[input]","numeric reported bounds and a reported unit"))&amp;IF(CM69=1," | I_TREATMENT_DAY_UNDEFINED: "&amp;SUBSTITUTE(IFERROR(INDEX(nMSG_Text,MATCH("I_TREATMENT_DAY_UNDEFINED",nMSG_Code,0)),""),"[input]",""),"")&amp;IF(CH69&lt;&gt;""," | "&amp;CH69&amp;" (constraint): "&amp;SUBSTITUTE(IFERROR(INDEX(nMSG_Text,MATCH(CH69,nMSG_Code,0)),""),"[input]","a source for the constraint"),""),4,9999))</f>
        <v/>
      </c>
      <c r="AD69" s="21" t="str">
        <f t="shared" si="50"/>
        <v/>
      </c>
      <c r="AE69" s="21" t="str">
        <f t="shared" si="51"/>
        <v/>
      </c>
      <c r="AF69" s="21" t="str">
        <f t="shared" si="52"/>
        <v/>
      </c>
      <c r="AG69" s="21" t="str">
        <f t="shared" si="53"/>
        <v>EX-RTX/START</v>
      </c>
      <c r="AH69" s="21" t="str">
        <f>IF(BJ69=0,"",INDEX(nTP_ISO,BJ69))</f>
        <v>2024-11-18</v>
      </c>
      <c r="AI69" s="21" t="str">
        <f>IF(BJ69=0,"",INDEX(nTP_Display,BJ69))</f>
        <v>18 November 2024</v>
      </c>
      <c r="AJ69" s="21" t="str">
        <f>IF(AV69=0,"",INDEX(nTP_ISO,AV69))</f>
        <v>2026-02-09/2026-05-12</v>
      </c>
      <c r="AK69" s="21" t="str">
        <f>IF(AV69=0,"",INDEX(nTP_Display,AV69))</f>
        <v>9 February 2026 to 12 May 2026</v>
      </c>
      <c r="AL69" s="21" t="str">
        <f>IF(AU69=0,"",INDEX(nLNK_Exposure_Episode_ID,AU69)&amp;"")</f>
        <v>EX-RTX</v>
      </c>
      <c r="AM69" s="21" t="str">
        <f>IF(AU69=0,"",INDEX(nLNK_Event_Episode_ID,AU69)&amp;"")</f>
        <v>EV-HBV</v>
      </c>
      <c r="AN69" s="21" t="str">
        <f t="shared" si="54"/>
        <v>Bounded interval: minimum = end-point lower bound minus anchor upper bound; maximum = end-point upper bound minus anchor lower bound. No single date is imputed.</v>
      </c>
      <c r="AO69" s="21" t="str">
        <f t="shared" si="55"/>
        <v/>
      </c>
      <c r="AP69" s="21" t="str">
        <f t="shared" si="56"/>
        <v>CALC-SPEC 1.0</v>
      </c>
      <c r="AQ69" s="22">
        <f t="shared" si="57"/>
        <v>0</v>
      </c>
      <c r="AR69" s="21" t="str">
        <f t="shared" si="58"/>
        <v>EX-C28|2</v>
      </c>
      <c r="AS69" s="21" t="str">
        <f t="shared" si="59"/>
        <v>EX-C28|2|I04</v>
      </c>
      <c r="AT69" s="22">
        <f>IF(AS69="",0,COUNTIF(nINT_Key,AS69))</f>
        <v>1</v>
      </c>
      <c r="AU69" s="22">
        <f>IF(D69="",0,IFERROR(MATCH(AR69&amp;"|"&amp;D69,nLNK_Key,0),0))</f>
        <v>27</v>
      </c>
      <c r="AV69" s="22">
        <f>IF(OR(AQ69=1,H69=""),0,IFERROR(MATCH(AR69&amp;"|"&amp;H69,nTP_Key,0),0))</f>
        <v>282</v>
      </c>
      <c r="AW69" s="21">
        <f>IF(AV69=0,0,INDEX(nTP_Dup,AV69))</f>
        <v>1</v>
      </c>
      <c r="AX69" s="21" t="str">
        <f>IF(AV69=0,"",INDEX(nTP_Record_Type,AV69))</f>
        <v>EVENT_ONSET</v>
      </c>
      <c r="AY69" s="21" t="str">
        <f>IF(AV69=0,"",INDEX(nTP_Precision,AV69))</f>
        <v>RANGE</v>
      </c>
      <c r="AZ69" s="21" t="str">
        <f>IF(AV69=0,"",INDEX(nTP_Err,AV69))</f>
        <v/>
      </c>
      <c r="BA69" s="21">
        <f>IF(AV69=0,0,INDEX(nTP_HT,AV69))</f>
        <v>0</v>
      </c>
      <c r="BB69" s="21">
        <f>IF(AV69=0,0,INDEX(nTP_OK,AV69))</f>
        <v>0</v>
      </c>
      <c r="BC69" s="21" t="str">
        <f>IF(AV69=0,"",INDEX(nTP_Loc,AV69))</f>
        <v/>
      </c>
      <c r="BD69" s="21" t="str">
        <f>IF(AV69=0,"",INDEX(nTP_UTC,AV69))</f>
        <v/>
      </c>
      <c r="BE69" s="21">
        <f>IF(AV69=0,"",INDEX(nTP_Lo,AV69))</f>
        <v>46062</v>
      </c>
      <c r="BF69" s="21">
        <f>IF(AV69=0,"",INDEX(nTP_Hi,AV69))</f>
        <v>46154</v>
      </c>
      <c r="BG69" s="22">
        <f>IF(OR(AQ69=1,E69&lt;&gt;"LAST_DOSE_BEFORE_ONSET",AU69=0,AV69=0),0,IF(AZ69&lt;&gt;"",0,SUMPRODUCT(MAX((nADM_SelKey=AR69&amp;"|"&amp;AL69)*nADM_Valid*(nADM_A_HT*BA69*nADM_A_OK*BB69*(nADM_UTC_n&lt;=N(BD69))+nADM_A_HT*BA69*(1-nADM_A_OK*BB69)*(nADM_Loc_n&lt;=N(BC69))+(1-nADM_A_HT*BA69)*(nADM_Lo_n&lt;=N(BE69)))*nADM_Sort_n))))</f>
        <v>0</v>
      </c>
      <c r="BH69" s="22">
        <f>IF(BG69=0,0,MATCH(1,INDEX((nADM_SelKey=AR69&amp;"|"&amp;AL69)*nADM_Valid*(nADM_A_HT*BA69*nADM_A_OK*BB69*(nADM_UTC_n&lt;=N(BD69))+nADM_A_HT*BA69*(1-nADM_A_OK*BB69)*(nADM_Loc_n&lt;=N(BC69))+(1-nADM_A_HT*BA69)*(nADM_Lo_n&lt;=N(BE69)))*(nADM_Sort_n=BG69),0),0))</f>
        <v>0</v>
      </c>
      <c r="BI69" s="21" t="str">
        <f>IF(BH69=0,"",INDEX(nADM_Admin_ID,BH69)&amp;"")</f>
        <v/>
      </c>
      <c r="BJ69" s="22">
        <f>IF(OR(AQ69=1,AG69=""),0,IFERROR(MATCH(AR69&amp;"|"&amp;AG69,nTP_Key,0),0))</f>
        <v>38</v>
      </c>
      <c r="BK69" s="21">
        <f>IF(BJ69=0,0,INDEX(nTP_Dup,BJ69))</f>
        <v>1</v>
      </c>
      <c r="BL69" s="21" t="str">
        <f>IF(BJ69=0,"",INDEX(nTP_Record_Type,BJ69))</f>
        <v>EXPOSURE_START</v>
      </c>
      <c r="BM69" s="21" t="str">
        <f>IF(BJ69=0,"",INDEX(nTP_Precision,BJ69))</f>
        <v>DATE</v>
      </c>
      <c r="BN69" s="21" t="str">
        <f>IF(BJ69=0,"",INDEX(nTP_Err,BJ69))</f>
        <v/>
      </c>
      <c r="BO69" s="21">
        <f>IF(BJ69=0,0,INDEX(nTP_HT,BJ69))</f>
        <v>0</v>
      </c>
      <c r="BP69" s="21">
        <f>IF(BJ69=0,0,INDEX(nTP_OK,BJ69))</f>
        <v>0</v>
      </c>
      <c r="BQ69" s="21" t="str">
        <f>IF(BJ69=0,"",INDEX(nTP_Loc,BJ69))</f>
        <v/>
      </c>
      <c r="BR69" s="21" t="str">
        <f>IF(BJ69=0,"",INDEX(nTP_UTC,BJ69))</f>
        <v/>
      </c>
      <c r="BS69" s="21">
        <f>IF(BJ69=0,"",INDEX(nTP_Lo,BJ69))</f>
        <v>45614</v>
      </c>
      <c r="BT69" s="21">
        <f>IF(BJ69=0,"",INDEX(nTP_Hi,BJ69))</f>
        <v>45614</v>
      </c>
      <c r="BU69" s="22">
        <f>IF(OR(BJ69=0,AV69=0),0,SUMPRODUCT((nTP_Case_Key=AR69)*(nTP_Record_Type="MILESTONE:INTERVENTION")*(nTP_Err="")*(nTP_HT*BO69*BA69*(nTP_Loc_n&gt;=N(BQ69))*(nTP_Loc_n&lt;=N(BC69))+(1-nTP_HT*BO69*BA69)*(nTP_Lo_n&gt;=N(BS69))*(nTP_Hi_n&lt;=N(BF69))*(nTP_Lo_n&gt;0))))</f>
        <v>0</v>
      </c>
      <c r="BV69" s="21" t="str">
        <f t="shared" si="60"/>
        <v/>
      </c>
      <c r="BW69" s="21" t="str">
        <f t="shared" si="61"/>
        <v/>
      </c>
      <c r="BX69" s="21" t="str">
        <f t="shared" si="62"/>
        <v/>
      </c>
      <c r="BY69" s="21" t="str">
        <f t="shared" si="63"/>
        <v/>
      </c>
      <c r="BZ69" s="22">
        <f t="shared" si="64"/>
        <v>1</v>
      </c>
      <c r="CA69" s="21" t="str">
        <f t="shared" si="65"/>
        <v/>
      </c>
      <c r="CB69" s="21" t="str">
        <f t="shared" si="66"/>
        <v/>
      </c>
      <c r="CC69" s="21">
        <f t="shared" si="67"/>
        <v>448</v>
      </c>
      <c r="CD69" s="21">
        <f t="shared" si="68"/>
        <v>540</v>
      </c>
      <c r="CE69" s="22">
        <f t="shared" si="69"/>
        <v>0</v>
      </c>
      <c r="CF69" s="28" t="str">
        <f t="shared" si="70"/>
        <v/>
      </c>
      <c r="CG69" s="28" t="str">
        <f t="shared" si="71"/>
        <v/>
      </c>
      <c r="CH69" s="21" t="str">
        <f t="shared" si="72"/>
        <v/>
      </c>
      <c r="CI69" s="22">
        <f t="shared" si="73"/>
        <v>0</v>
      </c>
      <c r="CJ69" s="22">
        <f t="shared" si="74"/>
        <v>0</v>
      </c>
      <c r="CK69" s="22">
        <f t="shared" si="75"/>
        <v>0</v>
      </c>
      <c r="CL69" s="22">
        <f t="shared" si="76"/>
        <v>0</v>
      </c>
      <c r="CM69" s="22">
        <f t="shared" si="77"/>
        <v>0</v>
      </c>
      <c r="CN69" s="22">
        <f t="shared" si="78"/>
        <v>0</v>
      </c>
      <c r="CO69" s="22">
        <f t="shared" si="79"/>
        <v>0</v>
      </c>
      <c r="CP69" s="22">
        <f t="shared" si="80"/>
        <v>0</v>
      </c>
      <c r="CQ69" s="21" t="str">
        <f t="shared" si="81"/>
        <v/>
      </c>
    </row>
    <row r="70" spans="1:95" x14ac:dyDescent="0.2">
      <c r="A70" s="9" t="s">
        <v>961</v>
      </c>
      <c r="B70" s="9" t="s">
        <v>299</v>
      </c>
      <c r="C70" s="11">
        <v>2</v>
      </c>
      <c r="D70" s="9" t="s">
        <v>803</v>
      </c>
      <c r="E70" s="16" t="s">
        <v>53</v>
      </c>
      <c r="F70" s="9" t="s">
        <v>995</v>
      </c>
      <c r="G70" s="9" t="s">
        <v>994</v>
      </c>
      <c r="H70" s="9" t="s">
        <v>989</v>
      </c>
      <c r="I70" s="16" t="s">
        <v>58</v>
      </c>
      <c r="J70" s="16"/>
      <c r="K70" s="9"/>
      <c r="L70" s="16"/>
      <c r="M70" s="16"/>
      <c r="N70" s="16"/>
      <c r="O70" s="9"/>
      <c r="P70" s="14"/>
      <c r="Q70" s="14"/>
      <c r="R70" s="9"/>
      <c r="S70" s="9"/>
      <c r="T70" s="21" t="str">
        <f t="shared" si="41"/>
        <v>251 calendar days</v>
      </c>
      <c r="U70" s="21">
        <f t="shared" si="42"/>
        <v>251</v>
      </c>
      <c r="V70" s="21" t="str">
        <f t="shared" si="43"/>
        <v/>
      </c>
      <c r="W70" s="21" t="str">
        <f t="shared" si="44"/>
        <v/>
      </c>
      <c r="X70" s="21" t="str">
        <f t="shared" si="45"/>
        <v>calendar days</v>
      </c>
      <c r="Y70" s="21" t="str">
        <f t="shared" si="46"/>
        <v>C2</v>
      </c>
      <c r="Z70" s="21" t="str">
        <f t="shared" si="47"/>
        <v>AFTER</v>
      </c>
      <c r="AA70" s="21" t="str">
        <f t="shared" si="48"/>
        <v/>
      </c>
      <c r="AB70" s="21" t="str">
        <f t="shared" si="49"/>
        <v/>
      </c>
      <c r="AC70" s="21" t="str">
        <f>IF(AQ70=1,"",MID(IF(BX70&lt;&gt;""," | "&amp;BX70&amp;": "&amp;SUBSTITUTE(IFERROR(INDEX(nMSG_Text,MATCH(BX70,nMSG_Code,0)),""),"[input]",BY70),"")&amp;IF(CI70=1," | W_TZ_UNKNOWN: "&amp;SUBSTITUTE(IFERROR(INDEX(nMSG_Text,MATCH("W_TZ_UNKNOWN",nMSG_Code,0)),""),"[input]",""),"")&amp;IF(CJ70=1," | W_SAME_DATE_ORDER_UNKNOWN: "&amp;SUBSTITUTE(IFERROR(INDEX(nMSG_Text,MATCH("W_SAME_DATE_ORDER_UNKNOWN",nMSG_Code,0)),""),"[input]",""),"")&amp;IF(CK70=1," | W_SEQUENCE_UNCERTAIN: "&amp;SUBSTITUTE(IFERROR(INDEX(nMSG_Text,MATCH("W_SEQUENCE_UNCERTAIN",nMSG_Code,0)),""),"[input]",""),"")&amp;IF(CL70=1," | W_ADMIN_SAME_DATE_AS_ONSET: "&amp;SUBSTITUTE(IFERROR(INDEX(nMSG_Text,MATCH("W_ADMIN_SAME_DATE_AS_ONSET",nMSG_Code,0)),""),"[input]",""),"")&amp;IF(CO70=1," | W_INTERVENTION_BEFORE_RECOVERY: "&amp;SUBSTITUTE(IFERROR(INDEX(nMSG_Text,MATCH("W_INTERVENTION_BEFORE_RECOVERY",nMSG_Code,0)),""),"[input]",""),"")&amp;IF(OR(CQ70="",CQ70="OVERLAP"),""," | "&amp;CQ70&amp;" (reported timing): "&amp;SUBSTITUTE(IFERROR(INDEX(nMSG_Text,MATCH(CQ70,nMSG_Code,0)),""),"[input]","numeric reported bounds and a reported unit"))&amp;IF(CM70=1," | I_TREATMENT_DAY_UNDEFINED: "&amp;SUBSTITUTE(IFERROR(INDEX(nMSG_Text,MATCH("I_TREATMENT_DAY_UNDEFINED",nMSG_Code,0)),""),"[input]",""),"")&amp;IF(CH70&lt;&gt;""," | "&amp;CH70&amp;" (constraint): "&amp;SUBSTITUTE(IFERROR(INDEX(nMSG_Text,MATCH(CH70,nMSG_Code,0)),""),"[input]","a source for the constraint"),""),4,9999))</f>
        <v/>
      </c>
      <c r="AD70" s="21" t="str">
        <f t="shared" si="50"/>
        <v/>
      </c>
      <c r="AE70" s="21" t="str">
        <f t="shared" si="51"/>
        <v/>
      </c>
      <c r="AF70" s="21" t="str">
        <f t="shared" si="52"/>
        <v/>
      </c>
      <c r="AG70" s="21" t="str">
        <f t="shared" si="53"/>
        <v>EX-AVA/STOP</v>
      </c>
      <c r="AH70" s="21" t="str">
        <f>IF(BJ70=0,"",INDEX(nTP_ISO,BJ70))</f>
        <v>2025-09-03</v>
      </c>
      <c r="AI70" s="21" t="str">
        <f>IF(BJ70=0,"",INDEX(nTP_Display,BJ70))</f>
        <v>3 September 2025</v>
      </c>
      <c r="AJ70" s="21" t="str">
        <f>IF(AV70=0,"",INDEX(nTP_ISO,AV70))</f>
        <v>2026-05-12</v>
      </c>
      <c r="AK70" s="21" t="str">
        <f>IF(AV70=0,"",INDEX(nTP_Display,AV70))</f>
        <v>12 May 2026</v>
      </c>
      <c r="AL70" s="21" t="str">
        <f>IF(AU70=0,"",INDEX(nLNK_Exposure_Episode_ID,AU70)&amp;"")</f>
        <v>EX-AVA</v>
      </c>
      <c r="AM70" s="21" t="str">
        <f>IF(AU70=0,"",INDEX(nLNK_Event_Episode_ID,AU70)&amp;"")</f>
        <v>EV-HBV</v>
      </c>
      <c r="AN70" s="21" t="str">
        <f t="shared" si="54"/>
        <v>Calendar-date difference of the recorded local dates; not elapsed days.</v>
      </c>
      <c r="AO70" s="21" t="str">
        <f t="shared" si="55"/>
        <v/>
      </c>
      <c r="AP70" s="21" t="str">
        <f t="shared" si="56"/>
        <v>CALC-SPEC 1.0</v>
      </c>
      <c r="AQ70" s="22">
        <f t="shared" si="57"/>
        <v>0</v>
      </c>
      <c r="AR70" s="21" t="str">
        <f t="shared" si="58"/>
        <v>EX-C28|2</v>
      </c>
      <c r="AS70" s="21" t="str">
        <f t="shared" si="59"/>
        <v>EX-C28|2|I05</v>
      </c>
      <c r="AT70" s="22">
        <f>IF(AS70="",0,COUNTIF(nINT_Key,AS70))</f>
        <v>1</v>
      </c>
      <c r="AU70" s="22">
        <f>IF(D70="",0,IFERROR(MATCH(AR70&amp;"|"&amp;D70,nLNK_Key,0),0))</f>
        <v>28</v>
      </c>
      <c r="AV70" s="22">
        <f>IF(OR(AQ70=1,H70=""),0,IFERROR(MATCH(AR70&amp;"|"&amp;H70,nTP_Key,0),0))</f>
        <v>319</v>
      </c>
      <c r="AW70" s="21">
        <f>IF(AV70=0,0,INDEX(nTP_Dup,AV70))</f>
        <v>1</v>
      </c>
      <c r="AX70" s="21" t="str">
        <f>IF(AV70=0,"",INDEX(nTP_Record_Type,AV70))</f>
        <v>EVENT_DETECTION</v>
      </c>
      <c r="AY70" s="21" t="str">
        <f>IF(AV70=0,"",INDEX(nTP_Precision,AV70))</f>
        <v>DATE</v>
      </c>
      <c r="AZ70" s="21" t="str">
        <f>IF(AV70=0,"",INDEX(nTP_Err,AV70))</f>
        <v/>
      </c>
      <c r="BA70" s="21">
        <f>IF(AV70=0,0,INDEX(nTP_HT,AV70))</f>
        <v>0</v>
      </c>
      <c r="BB70" s="21">
        <f>IF(AV70=0,0,INDEX(nTP_OK,AV70))</f>
        <v>0</v>
      </c>
      <c r="BC70" s="21" t="str">
        <f>IF(AV70=0,"",INDEX(nTP_Loc,AV70))</f>
        <v/>
      </c>
      <c r="BD70" s="21" t="str">
        <f>IF(AV70=0,"",INDEX(nTP_UTC,AV70))</f>
        <v/>
      </c>
      <c r="BE70" s="21">
        <f>IF(AV70=0,"",INDEX(nTP_Lo,AV70))</f>
        <v>46154</v>
      </c>
      <c r="BF70" s="21">
        <f>IF(AV70=0,"",INDEX(nTP_Hi,AV70))</f>
        <v>46154</v>
      </c>
      <c r="BG70" s="22">
        <f>IF(OR(AQ70=1,E70&lt;&gt;"LAST_DOSE_BEFORE_ONSET",AU70=0,AV70=0),0,IF(AZ70&lt;&gt;"",0,SUMPRODUCT(MAX((nADM_SelKey=AR70&amp;"|"&amp;AL70)*nADM_Valid*(nADM_A_HT*BA70*nADM_A_OK*BB70*(nADM_UTC_n&lt;=N(BD70))+nADM_A_HT*BA70*(1-nADM_A_OK*BB70)*(nADM_Loc_n&lt;=N(BC70))+(1-nADM_A_HT*BA70)*(nADM_Lo_n&lt;=N(BE70)))*nADM_Sort_n))))</f>
        <v>0</v>
      </c>
      <c r="BH70" s="22">
        <f>IF(BG70=0,0,MATCH(1,INDEX((nADM_SelKey=AR70&amp;"|"&amp;AL70)*nADM_Valid*(nADM_A_HT*BA70*nADM_A_OK*BB70*(nADM_UTC_n&lt;=N(BD70))+nADM_A_HT*BA70*(1-nADM_A_OK*BB70)*(nADM_Loc_n&lt;=N(BC70))+(1-nADM_A_HT*BA70)*(nADM_Lo_n&lt;=N(BE70)))*(nADM_Sort_n=BG70),0),0))</f>
        <v>0</v>
      </c>
      <c r="BI70" s="21" t="str">
        <f>IF(BH70=0,"",INDEX(nADM_Admin_ID,BH70)&amp;"")</f>
        <v/>
      </c>
      <c r="BJ70" s="22">
        <f>IF(OR(AQ70=1,AG70=""),0,IFERROR(MATCH(AR70&amp;"|"&amp;AG70,nTP_Key,0),0))</f>
        <v>103</v>
      </c>
      <c r="BK70" s="21">
        <f>IF(BJ70=0,0,INDEX(nTP_Dup,BJ70))</f>
        <v>1</v>
      </c>
      <c r="BL70" s="21" t="str">
        <f>IF(BJ70=0,"",INDEX(nTP_Record_Type,BJ70))</f>
        <v>EXPOSURE_STOP</v>
      </c>
      <c r="BM70" s="21" t="str">
        <f>IF(BJ70=0,"",INDEX(nTP_Precision,BJ70))</f>
        <v>DATE</v>
      </c>
      <c r="BN70" s="21" t="str">
        <f>IF(BJ70=0,"",INDEX(nTP_Err,BJ70))</f>
        <v/>
      </c>
      <c r="BO70" s="21">
        <f>IF(BJ70=0,0,INDEX(nTP_HT,BJ70))</f>
        <v>0</v>
      </c>
      <c r="BP70" s="21">
        <f>IF(BJ70=0,0,INDEX(nTP_OK,BJ70))</f>
        <v>0</v>
      </c>
      <c r="BQ70" s="21" t="str">
        <f>IF(BJ70=0,"",INDEX(nTP_Loc,BJ70))</f>
        <v/>
      </c>
      <c r="BR70" s="21" t="str">
        <f>IF(BJ70=0,"",INDEX(nTP_UTC,BJ70))</f>
        <v/>
      </c>
      <c r="BS70" s="21">
        <f>IF(BJ70=0,"",INDEX(nTP_Lo,BJ70))</f>
        <v>45903</v>
      </c>
      <c r="BT70" s="21">
        <f>IF(BJ70=0,"",INDEX(nTP_Hi,BJ70))</f>
        <v>45903</v>
      </c>
      <c r="BU70" s="22">
        <f>IF(OR(BJ70=0,AV70=0),0,SUMPRODUCT((nTP_Case_Key=AR70)*(nTP_Record_Type="MILESTONE:INTERVENTION")*(nTP_Err="")*(nTP_HT*BO70*BA70*(nTP_Loc_n&gt;=N(BQ70))*(nTP_Loc_n&lt;=N(BC70))+(1-nTP_HT*BO70*BA70)*(nTP_Lo_n&gt;=N(BS70))*(nTP_Hi_n&lt;=N(BF70))*(nTP_Lo_n&gt;0))))</f>
        <v>0</v>
      </c>
      <c r="BV70" s="21" t="str">
        <f t="shared" si="60"/>
        <v/>
      </c>
      <c r="BW70" s="21" t="str">
        <f t="shared" si="61"/>
        <v/>
      </c>
      <c r="BX70" s="21" t="str">
        <f t="shared" si="62"/>
        <v/>
      </c>
      <c r="BY70" s="21" t="str">
        <f t="shared" si="63"/>
        <v/>
      </c>
      <c r="BZ70" s="22">
        <f t="shared" si="64"/>
        <v>1</v>
      </c>
      <c r="CA70" s="21" t="str">
        <f t="shared" si="65"/>
        <v/>
      </c>
      <c r="CB70" s="21">
        <f t="shared" si="66"/>
        <v>251</v>
      </c>
      <c r="CC70" s="21" t="str">
        <f t="shared" si="67"/>
        <v/>
      </c>
      <c r="CD70" s="21" t="str">
        <f t="shared" si="68"/>
        <v/>
      </c>
      <c r="CE70" s="22">
        <f t="shared" si="69"/>
        <v>0</v>
      </c>
      <c r="CF70" s="28" t="str">
        <f t="shared" si="70"/>
        <v/>
      </c>
      <c r="CG70" s="28" t="str">
        <f t="shared" si="71"/>
        <v/>
      </c>
      <c r="CH70" s="21" t="str">
        <f t="shared" si="72"/>
        <v/>
      </c>
      <c r="CI70" s="22">
        <f t="shared" si="73"/>
        <v>0</v>
      </c>
      <c r="CJ70" s="22">
        <f t="shared" si="74"/>
        <v>0</v>
      </c>
      <c r="CK70" s="22">
        <f t="shared" si="75"/>
        <v>0</v>
      </c>
      <c r="CL70" s="22">
        <f t="shared" si="76"/>
        <v>0</v>
      </c>
      <c r="CM70" s="22">
        <f t="shared" si="77"/>
        <v>0</v>
      </c>
      <c r="CN70" s="22">
        <f t="shared" si="78"/>
        <v>0</v>
      </c>
      <c r="CO70" s="22">
        <f t="shared" si="79"/>
        <v>0</v>
      </c>
      <c r="CP70" s="22">
        <f t="shared" si="80"/>
        <v>0</v>
      </c>
      <c r="CQ70" s="21" t="str">
        <f t="shared" si="81"/>
        <v/>
      </c>
    </row>
    <row r="71" spans="1:95" x14ac:dyDescent="0.2">
      <c r="A71" s="9" t="s">
        <v>964</v>
      </c>
      <c r="B71" s="9" t="s">
        <v>299</v>
      </c>
      <c r="C71" s="11">
        <v>2</v>
      </c>
      <c r="D71" s="9" t="s">
        <v>803</v>
      </c>
      <c r="E71" s="16" t="s">
        <v>53</v>
      </c>
      <c r="F71" s="9" t="s">
        <v>995</v>
      </c>
      <c r="G71" s="9" t="s">
        <v>994</v>
      </c>
      <c r="H71" s="9" t="s">
        <v>992</v>
      </c>
      <c r="I71" s="16" t="s">
        <v>59</v>
      </c>
      <c r="J71" s="16"/>
      <c r="K71" s="9"/>
      <c r="L71" s="16"/>
      <c r="M71" s="16"/>
      <c r="N71" s="16"/>
      <c r="O71" s="9"/>
      <c r="P71" s="14"/>
      <c r="Q71" s="14"/>
      <c r="R71" s="9"/>
      <c r="S71" s="9"/>
      <c r="T71" s="21" t="str">
        <f t="shared" si="41"/>
        <v>159 to 251 calendar days</v>
      </c>
      <c r="U71" s="21" t="str">
        <f t="shared" si="42"/>
        <v/>
      </c>
      <c r="V71" s="21">
        <f t="shared" si="43"/>
        <v>159</v>
      </c>
      <c r="W71" s="21">
        <f t="shared" si="44"/>
        <v>251</v>
      </c>
      <c r="X71" s="21" t="str">
        <f t="shared" si="45"/>
        <v>calendar days</v>
      </c>
      <c r="Y71" s="21" t="str">
        <f t="shared" si="46"/>
        <v>C4</v>
      </c>
      <c r="Z71" s="21" t="str">
        <f t="shared" si="47"/>
        <v>AFTER</v>
      </c>
      <c r="AA71" s="21" t="str">
        <f t="shared" si="48"/>
        <v/>
      </c>
      <c r="AB71" s="21" t="str">
        <f t="shared" si="49"/>
        <v/>
      </c>
      <c r="AC71" s="21" t="str">
        <f>IF(AQ71=1,"",MID(IF(BX71&lt;&gt;""," | "&amp;BX71&amp;": "&amp;SUBSTITUTE(IFERROR(INDEX(nMSG_Text,MATCH(BX71,nMSG_Code,0)),""),"[input]",BY71),"")&amp;IF(CI71=1," | W_TZ_UNKNOWN: "&amp;SUBSTITUTE(IFERROR(INDEX(nMSG_Text,MATCH("W_TZ_UNKNOWN",nMSG_Code,0)),""),"[input]",""),"")&amp;IF(CJ71=1," | W_SAME_DATE_ORDER_UNKNOWN: "&amp;SUBSTITUTE(IFERROR(INDEX(nMSG_Text,MATCH("W_SAME_DATE_ORDER_UNKNOWN",nMSG_Code,0)),""),"[input]",""),"")&amp;IF(CK71=1," | W_SEQUENCE_UNCERTAIN: "&amp;SUBSTITUTE(IFERROR(INDEX(nMSG_Text,MATCH("W_SEQUENCE_UNCERTAIN",nMSG_Code,0)),""),"[input]",""),"")&amp;IF(CL71=1," | W_ADMIN_SAME_DATE_AS_ONSET: "&amp;SUBSTITUTE(IFERROR(INDEX(nMSG_Text,MATCH("W_ADMIN_SAME_DATE_AS_ONSET",nMSG_Code,0)),""),"[input]",""),"")&amp;IF(CO71=1," | W_INTERVENTION_BEFORE_RECOVERY: "&amp;SUBSTITUTE(IFERROR(INDEX(nMSG_Text,MATCH("W_INTERVENTION_BEFORE_RECOVERY",nMSG_Code,0)),""),"[input]",""),"")&amp;IF(OR(CQ71="",CQ71="OVERLAP"),""," | "&amp;CQ71&amp;" (reported timing): "&amp;SUBSTITUTE(IFERROR(INDEX(nMSG_Text,MATCH(CQ71,nMSG_Code,0)),""),"[input]","numeric reported bounds and a reported unit"))&amp;IF(CM71=1," | I_TREATMENT_DAY_UNDEFINED: "&amp;SUBSTITUTE(IFERROR(INDEX(nMSG_Text,MATCH("I_TREATMENT_DAY_UNDEFINED",nMSG_Code,0)),""),"[input]",""),"")&amp;IF(CH71&lt;&gt;""," | "&amp;CH71&amp;" (constraint): "&amp;SUBSTITUTE(IFERROR(INDEX(nMSG_Text,MATCH(CH71,nMSG_Code,0)),""),"[input]","a source for the constraint"),""),4,9999))</f>
        <v/>
      </c>
      <c r="AD71" s="21" t="str">
        <f t="shared" si="50"/>
        <v/>
      </c>
      <c r="AE71" s="21" t="str">
        <f t="shared" si="51"/>
        <v/>
      </c>
      <c r="AF71" s="21" t="str">
        <f t="shared" si="52"/>
        <v/>
      </c>
      <c r="AG71" s="21" t="str">
        <f t="shared" si="53"/>
        <v>EX-AVA/STOP</v>
      </c>
      <c r="AH71" s="21" t="str">
        <f>IF(BJ71=0,"",INDEX(nTP_ISO,BJ71))</f>
        <v>2025-09-03</v>
      </c>
      <c r="AI71" s="21" t="str">
        <f>IF(BJ71=0,"",INDEX(nTP_Display,BJ71))</f>
        <v>3 September 2025</v>
      </c>
      <c r="AJ71" s="21" t="str">
        <f>IF(AV71=0,"",INDEX(nTP_ISO,AV71))</f>
        <v>2026-02-09/2026-05-12</v>
      </c>
      <c r="AK71" s="21" t="str">
        <f>IF(AV71=0,"",INDEX(nTP_Display,AV71))</f>
        <v>9 February 2026 to 12 May 2026</v>
      </c>
      <c r="AL71" s="21" t="str">
        <f>IF(AU71=0,"",INDEX(nLNK_Exposure_Episode_ID,AU71)&amp;"")</f>
        <v>EX-AVA</v>
      </c>
      <c r="AM71" s="21" t="str">
        <f>IF(AU71=0,"",INDEX(nLNK_Event_Episode_ID,AU71)&amp;"")</f>
        <v>EV-HBV</v>
      </c>
      <c r="AN71" s="21" t="str">
        <f t="shared" si="54"/>
        <v>Bounded interval: minimum = end-point lower bound minus anchor upper bound; maximum = end-point upper bound minus anchor lower bound. No single date is imputed.</v>
      </c>
      <c r="AO71" s="21" t="str">
        <f t="shared" si="55"/>
        <v/>
      </c>
      <c r="AP71" s="21" t="str">
        <f t="shared" si="56"/>
        <v>CALC-SPEC 1.0</v>
      </c>
      <c r="AQ71" s="22">
        <f t="shared" si="57"/>
        <v>0</v>
      </c>
      <c r="AR71" s="21" t="str">
        <f t="shared" si="58"/>
        <v>EX-C28|2</v>
      </c>
      <c r="AS71" s="21" t="str">
        <f t="shared" si="59"/>
        <v>EX-C28|2|I06</v>
      </c>
      <c r="AT71" s="22">
        <f>IF(AS71="",0,COUNTIF(nINT_Key,AS71))</f>
        <v>1</v>
      </c>
      <c r="AU71" s="22">
        <f>IF(D71="",0,IFERROR(MATCH(AR71&amp;"|"&amp;D71,nLNK_Key,0),0))</f>
        <v>28</v>
      </c>
      <c r="AV71" s="22">
        <f>IF(OR(AQ71=1,H71=""),0,IFERROR(MATCH(AR71&amp;"|"&amp;H71,nTP_Key,0),0))</f>
        <v>282</v>
      </c>
      <c r="AW71" s="21">
        <f>IF(AV71=0,0,INDEX(nTP_Dup,AV71))</f>
        <v>1</v>
      </c>
      <c r="AX71" s="21" t="str">
        <f>IF(AV71=0,"",INDEX(nTP_Record_Type,AV71))</f>
        <v>EVENT_ONSET</v>
      </c>
      <c r="AY71" s="21" t="str">
        <f>IF(AV71=0,"",INDEX(nTP_Precision,AV71))</f>
        <v>RANGE</v>
      </c>
      <c r="AZ71" s="21" t="str">
        <f>IF(AV71=0,"",INDEX(nTP_Err,AV71))</f>
        <v/>
      </c>
      <c r="BA71" s="21">
        <f>IF(AV71=0,0,INDEX(nTP_HT,AV71))</f>
        <v>0</v>
      </c>
      <c r="BB71" s="21">
        <f>IF(AV71=0,0,INDEX(nTP_OK,AV71))</f>
        <v>0</v>
      </c>
      <c r="BC71" s="21" t="str">
        <f>IF(AV71=0,"",INDEX(nTP_Loc,AV71))</f>
        <v/>
      </c>
      <c r="BD71" s="21" t="str">
        <f>IF(AV71=0,"",INDEX(nTP_UTC,AV71))</f>
        <v/>
      </c>
      <c r="BE71" s="21">
        <f>IF(AV71=0,"",INDEX(nTP_Lo,AV71))</f>
        <v>46062</v>
      </c>
      <c r="BF71" s="21">
        <f>IF(AV71=0,"",INDEX(nTP_Hi,AV71))</f>
        <v>46154</v>
      </c>
      <c r="BG71" s="22">
        <f>IF(OR(AQ71=1,E71&lt;&gt;"LAST_DOSE_BEFORE_ONSET",AU71=0,AV71=0),0,IF(AZ71&lt;&gt;"",0,SUMPRODUCT(MAX((nADM_SelKey=AR71&amp;"|"&amp;AL71)*nADM_Valid*(nADM_A_HT*BA71*nADM_A_OK*BB71*(nADM_UTC_n&lt;=N(BD71))+nADM_A_HT*BA71*(1-nADM_A_OK*BB71)*(nADM_Loc_n&lt;=N(BC71))+(1-nADM_A_HT*BA71)*(nADM_Lo_n&lt;=N(BE71)))*nADM_Sort_n))))</f>
        <v>0</v>
      </c>
      <c r="BH71" s="22">
        <f>IF(BG71=0,0,MATCH(1,INDEX((nADM_SelKey=AR71&amp;"|"&amp;AL71)*nADM_Valid*(nADM_A_HT*BA71*nADM_A_OK*BB71*(nADM_UTC_n&lt;=N(BD71))+nADM_A_HT*BA71*(1-nADM_A_OK*BB71)*(nADM_Loc_n&lt;=N(BC71))+(1-nADM_A_HT*BA71)*(nADM_Lo_n&lt;=N(BE71)))*(nADM_Sort_n=BG71),0),0))</f>
        <v>0</v>
      </c>
      <c r="BI71" s="21" t="str">
        <f>IF(BH71=0,"",INDEX(nADM_Admin_ID,BH71)&amp;"")</f>
        <v/>
      </c>
      <c r="BJ71" s="22">
        <f>IF(OR(AQ71=1,AG71=""),0,IFERROR(MATCH(AR71&amp;"|"&amp;AG71,nTP_Key,0),0))</f>
        <v>103</v>
      </c>
      <c r="BK71" s="21">
        <f>IF(BJ71=0,0,INDEX(nTP_Dup,BJ71))</f>
        <v>1</v>
      </c>
      <c r="BL71" s="21" t="str">
        <f>IF(BJ71=0,"",INDEX(nTP_Record_Type,BJ71))</f>
        <v>EXPOSURE_STOP</v>
      </c>
      <c r="BM71" s="21" t="str">
        <f>IF(BJ71=0,"",INDEX(nTP_Precision,BJ71))</f>
        <v>DATE</v>
      </c>
      <c r="BN71" s="21" t="str">
        <f>IF(BJ71=0,"",INDEX(nTP_Err,BJ71))</f>
        <v/>
      </c>
      <c r="BO71" s="21">
        <f>IF(BJ71=0,0,INDEX(nTP_HT,BJ71))</f>
        <v>0</v>
      </c>
      <c r="BP71" s="21">
        <f>IF(BJ71=0,0,INDEX(nTP_OK,BJ71))</f>
        <v>0</v>
      </c>
      <c r="BQ71" s="21" t="str">
        <f>IF(BJ71=0,"",INDEX(nTP_Loc,BJ71))</f>
        <v/>
      </c>
      <c r="BR71" s="21" t="str">
        <f>IF(BJ71=0,"",INDEX(nTP_UTC,BJ71))</f>
        <v/>
      </c>
      <c r="BS71" s="21">
        <f>IF(BJ71=0,"",INDEX(nTP_Lo,BJ71))</f>
        <v>45903</v>
      </c>
      <c r="BT71" s="21">
        <f>IF(BJ71=0,"",INDEX(nTP_Hi,BJ71))</f>
        <v>45903</v>
      </c>
      <c r="BU71" s="22">
        <f>IF(OR(BJ71=0,AV71=0),0,SUMPRODUCT((nTP_Case_Key=AR71)*(nTP_Record_Type="MILESTONE:INTERVENTION")*(nTP_Err="")*(nTP_HT*BO71*BA71*(nTP_Loc_n&gt;=N(BQ71))*(nTP_Loc_n&lt;=N(BC71))+(1-nTP_HT*BO71*BA71)*(nTP_Lo_n&gt;=N(BS71))*(nTP_Hi_n&lt;=N(BF71))*(nTP_Lo_n&gt;0))))</f>
        <v>0</v>
      </c>
      <c r="BV71" s="21" t="str">
        <f t="shared" si="60"/>
        <v/>
      </c>
      <c r="BW71" s="21" t="str">
        <f t="shared" si="61"/>
        <v/>
      </c>
      <c r="BX71" s="21" t="str">
        <f t="shared" si="62"/>
        <v/>
      </c>
      <c r="BY71" s="21" t="str">
        <f t="shared" si="63"/>
        <v/>
      </c>
      <c r="BZ71" s="22">
        <f t="shared" si="64"/>
        <v>1</v>
      </c>
      <c r="CA71" s="21" t="str">
        <f t="shared" si="65"/>
        <v/>
      </c>
      <c r="CB71" s="21" t="str">
        <f t="shared" si="66"/>
        <v/>
      </c>
      <c r="CC71" s="21">
        <f t="shared" si="67"/>
        <v>159</v>
      </c>
      <c r="CD71" s="21">
        <f t="shared" si="68"/>
        <v>251</v>
      </c>
      <c r="CE71" s="22">
        <f t="shared" si="69"/>
        <v>0</v>
      </c>
      <c r="CF71" s="28" t="str">
        <f t="shared" si="70"/>
        <v/>
      </c>
      <c r="CG71" s="28" t="str">
        <f t="shared" si="71"/>
        <v/>
      </c>
      <c r="CH71" s="21" t="str">
        <f t="shared" si="72"/>
        <v/>
      </c>
      <c r="CI71" s="22">
        <f t="shared" si="73"/>
        <v>0</v>
      </c>
      <c r="CJ71" s="22">
        <f t="shared" si="74"/>
        <v>0</v>
      </c>
      <c r="CK71" s="22">
        <f t="shared" si="75"/>
        <v>0</v>
      </c>
      <c r="CL71" s="22">
        <f t="shared" si="76"/>
        <v>0</v>
      </c>
      <c r="CM71" s="22">
        <f t="shared" si="77"/>
        <v>0</v>
      </c>
      <c r="CN71" s="22">
        <f t="shared" si="78"/>
        <v>0</v>
      </c>
      <c r="CO71" s="22">
        <f t="shared" si="79"/>
        <v>0</v>
      </c>
      <c r="CP71" s="22">
        <f t="shared" si="80"/>
        <v>0</v>
      </c>
      <c r="CQ71" s="21" t="str">
        <f t="shared" si="81"/>
        <v/>
      </c>
    </row>
    <row r="72" spans="1:95" x14ac:dyDescent="0.2">
      <c r="A72" s="9" t="s">
        <v>966</v>
      </c>
      <c r="B72" s="9" t="s">
        <v>299</v>
      </c>
      <c r="C72" s="11">
        <v>2</v>
      </c>
      <c r="D72" s="9" t="s">
        <v>805</v>
      </c>
      <c r="E72" s="16" t="s">
        <v>53</v>
      </c>
      <c r="F72" s="9" t="s">
        <v>997</v>
      </c>
      <c r="G72" s="9" t="s">
        <v>996</v>
      </c>
      <c r="H72" s="9" t="s">
        <v>989</v>
      </c>
      <c r="I72" s="16" t="s">
        <v>58</v>
      </c>
      <c r="J72" s="16"/>
      <c r="K72" s="9"/>
      <c r="L72" s="16"/>
      <c r="M72" s="16"/>
      <c r="N72" s="16"/>
      <c r="O72" s="9"/>
      <c r="P72" s="14"/>
      <c r="Q72" s="14"/>
      <c r="R72" s="9"/>
      <c r="S72" s="9"/>
      <c r="T72" s="21" t="str">
        <f t="shared" si="41"/>
        <v>71 calendar days</v>
      </c>
      <c r="U72" s="21">
        <f t="shared" si="42"/>
        <v>71</v>
      </c>
      <c r="V72" s="21" t="str">
        <f t="shared" si="43"/>
        <v/>
      </c>
      <c r="W72" s="21" t="str">
        <f t="shared" si="44"/>
        <v/>
      </c>
      <c r="X72" s="21" t="str">
        <f t="shared" si="45"/>
        <v>calendar days</v>
      </c>
      <c r="Y72" s="21" t="str">
        <f t="shared" si="46"/>
        <v>C2</v>
      </c>
      <c r="Z72" s="21" t="str">
        <f t="shared" si="47"/>
        <v>AFTER</v>
      </c>
      <c r="AA72" s="21" t="str">
        <f t="shared" si="48"/>
        <v/>
      </c>
      <c r="AB72" s="21" t="str">
        <f t="shared" si="49"/>
        <v/>
      </c>
      <c r="AC72" s="21" t="str">
        <f>IF(AQ72=1,"",MID(IF(BX72&lt;&gt;""," | "&amp;BX72&amp;": "&amp;SUBSTITUTE(IFERROR(INDEX(nMSG_Text,MATCH(BX72,nMSG_Code,0)),""),"[input]",BY72),"")&amp;IF(CI72=1," | W_TZ_UNKNOWN: "&amp;SUBSTITUTE(IFERROR(INDEX(nMSG_Text,MATCH("W_TZ_UNKNOWN",nMSG_Code,0)),""),"[input]",""),"")&amp;IF(CJ72=1," | W_SAME_DATE_ORDER_UNKNOWN: "&amp;SUBSTITUTE(IFERROR(INDEX(nMSG_Text,MATCH("W_SAME_DATE_ORDER_UNKNOWN",nMSG_Code,0)),""),"[input]",""),"")&amp;IF(CK72=1," | W_SEQUENCE_UNCERTAIN: "&amp;SUBSTITUTE(IFERROR(INDEX(nMSG_Text,MATCH("W_SEQUENCE_UNCERTAIN",nMSG_Code,0)),""),"[input]",""),"")&amp;IF(CL72=1," | W_ADMIN_SAME_DATE_AS_ONSET: "&amp;SUBSTITUTE(IFERROR(INDEX(nMSG_Text,MATCH("W_ADMIN_SAME_DATE_AS_ONSET",nMSG_Code,0)),""),"[input]",""),"")&amp;IF(CO72=1," | W_INTERVENTION_BEFORE_RECOVERY: "&amp;SUBSTITUTE(IFERROR(INDEX(nMSG_Text,MATCH("W_INTERVENTION_BEFORE_RECOVERY",nMSG_Code,0)),""),"[input]",""),"")&amp;IF(OR(CQ72="",CQ72="OVERLAP"),""," | "&amp;CQ72&amp;" (reported timing): "&amp;SUBSTITUTE(IFERROR(INDEX(nMSG_Text,MATCH(CQ72,nMSG_Code,0)),""),"[input]","numeric reported bounds and a reported unit"))&amp;IF(CM72=1," | I_TREATMENT_DAY_UNDEFINED: "&amp;SUBSTITUTE(IFERROR(INDEX(nMSG_Text,MATCH("I_TREATMENT_DAY_UNDEFINED",nMSG_Code,0)),""),"[input]",""),"")&amp;IF(CH72&lt;&gt;""," | "&amp;CH72&amp;" (constraint): "&amp;SUBSTITUTE(IFERROR(INDEX(nMSG_Text,MATCH(CH72,nMSG_Code,0)),""),"[input]","a source for the constraint"),""),4,9999))</f>
        <v/>
      </c>
      <c r="AD72" s="21" t="str">
        <f t="shared" si="50"/>
        <v/>
      </c>
      <c r="AE72" s="21" t="str">
        <f t="shared" si="51"/>
        <v/>
      </c>
      <c r="AF72" s="21" t="str">
        <f t="shared" si="52"/>
        <v/>
      </c>
      <c r="AG72" s="21" t="str">
        <f t="shared" si="53"/>
        <v>EX-PRED/START</v>
      </c>
      <c r="AH72" s="21" t="str">
        <f>IF(BJ72=0,"",INDEX(nTP_ISO,BJ72))</f>
        <v>2026-03-02</v>
      </c>
      <c r="AI72" s="21" t="str">
        <f>IF(BJ72=0,"",INDEX(nTP_Display,BJ72))</f>
        <v>2 March 2026</v>
      </c>
      <c r="AJ72" s="21" t="str">
        <f>IF(AV72=0,"",INDEX(nTP_ISO,AV72))</f>
        <v>2026-05-12</v>
      </c>
      <c r="AK72" s="21" t="str">
        <f>IF(AV72=0,"",INDEX(nTP_Display,AV72))</f>
        <v>12 May 2026</v>
      </c>
      <c r="AL72" s="21" t="str">
        <f>IF(AU72=0,"",INDEX(nLNK_Exposure_Episode_ID,AU72)&amp;"")</f>
        <v>EX-PRED</v>
      </c>
      <c r="AM72" s="21" t="str">
        <f>IF(AU72=0,"",INDEX(nLNK_Event_Episode_ID,AU72)&amp;"")</f>
        <v>EV-HBV</v>
      </c>
      <c r="AN72" s="21" t="str">
        <f t="shared" si="54"/>
        <v>Calendar-date difference of the recorded local dates; not elapsed days.</v>
      </c>
      <c r="AO72" s="21" t="str">
        <f t="shared" si="55"/>
        <v/>
      </c>
      <c r="AP72" s="21" t="str">
        <f t="shared" si="56"/>
        <v>CALC-SPEC 1.0</v>
      </c>
      <c r="AQ72" s="22">
        <f t="shared" si="57"/>
        <v>0</v>
      </c>
      <c r="AR72" s="21" t="str">
        <f t="shared" si="58"/>
        <v>EX-C28|2</v>
      </c>
      <c r="AS72" s="21" t="str">
        <f t="shared" si="59"/>
        <v>EX-C28|2|I07</v>
      </c>
      <c r="AT72" s="22">
        <f>IF(AS72="",0,COUNTIF(nINT_Key,AS72))</f>
        <v>1</v>
      </c>
      <c r="AU72" s="22">
        <f>IF(D72="",0,IFERROR(MATCH(AR72&amp;"|"&amp;D72,nLNK_Key,0),0))</f>
        <v>29</v>
      </c>
      <c r="AV72" s="22">
        <f>IF(OR(AQ72=1,H72=""),0,IFERROR(MATCH(AR72&amp;"|"&amp;H72,nTP_Key,0),0))</f>
        <v>319</v>
      </c>
      <c r="AW72" s="21">
        <f>IF(AV72=0,0,INDEX(nTP_Dup,AV72))</f>
        <v>1</v>
      </c>
      <c r="AX72" s="21" t="str">
        <f>IF(AV72=0,"",INDEX(nTP_Record_Type,AV72))</f>
        <v>EVENT_DETECTION</v>
      </c>
      <c r="AY72" s="21" t="str">
        <f>IF(AV72=0,"",INDEX(nTP_Precision,AV72))</f>
        <v>DATE</v>
      </c>
      <c r="AZ72" s="21" t="str">
        <f>IF(AV72=0,"",INDEX(nTP_Err,AV72))</f>
        <v/>
      </c>
      <c r="BA72" s="21">
        <f>IF(AV72=0,0,INDEX(nTP_HT,AV72))</f>
        <v>0</v>
      </c>
      <c r="BB72" s="21">
        <f>IF(AV72=0,0,INDEX(nTP_OK,AV72))</f>
        <v>0</v>
      </c>
      <c r="BC72" s="21" t="str">
        <f>IF(AV72=0,"",INDEX(nTP_Loc,AV72))</f>
        <v/>
      </c>
      <c r="BD72" s="21" t="str">
        <f>IF(AV72=0,"",INDEX(nTP_UTC,AV72))</f>
        <v/>
      </c>
      <c r="BE72" s="21">
        <f>IF(AV72=0,"",INDEX(nTP_Lo,AV72))</f>
        <v>46154</v>
      </c>
      <c r="BF72" s="21">
        <f>IF(AV72=0,"",INDEX(nTP_Hi,AV72))</f>
        <v>46154</v>
      </c>
      <c r="BG72" s="22">
        <f>IF(OR(AQ72=1,E72&lt;&gt;"LAST_DOSE_BEFORE_ONSET",AU72=0,AV72=0),0,IF(AZ72&lt;&gt;"",0,SUMPRODUCT(MAX((nADM_SelKey=AR72&amp;"|"&amp;AL72)*nADM_Valid*(nADM_A_HT*BA72*nADM_A_OK*BB72*(nADM_UTC_n&lt;=N(BD72))+nADM_A_HT*BA72*(1-nADM_A_OK*BB72)*(nADM_Loc_n&lt;=N(BC72))+(1-nADM_A_HT*BA72)*(nADM_Lo_n&lt;=N(BE72)))*nADM_Sort_n))))</f>
        <v>0</v>
      </c>
      <c r="BH72" s="22">
        <f>IF(BG72=0,0,MATCH(1,INDEX((nADM_SelKey=AR72&amp;"|"&amp;AL72)*nADM_Valid*(nADM_A_HT*BA72*nADM_A_OK*BB72*(nADM_UTC_n&lt;=N(BD72))+nADM_A_HT*BA72*(1-nADM_A_OK*BB72)*(nADM_Loc_n&lt;=N(BC72))+(1-nADM_A_HT*BA72)*(nADM_Lo_n&lt;=N(BE72)))*(nADM_Sort_n=BG72),0),0))</f>
        <v>0</v>
      </c>
      <c r="BI72" s="21" t="str">
        <f>IF(BH72=0,"",INDEX(nADM_Admin_ID,BH72)&amp;"")</f>
        <v/>
      </c>
      <c r="BJ72" s="22">
        <f>IF(OR(AQ72=1,AG72=""),0,IFERROR(MATCH(AR72&amp;"|"&amp;AG72,nTP_Key,0),0))</f>
        <v>41</v>
      </c>
      <c r="BK72" s="21">
        <f>IF(BJ72=0,0,INDEX(nTP_Dup,BJ72))</f>
        <v>1</v>
      </c>
      <c r="BL72" s="21" t="str">
        <f>IF(BJ72=0,"",INDEX(nTP_Record_Type,BJ72))</f>
        <v>EXPOSURE_START</v>
      </c>
      <c r="BM72" s="21" t="str">
        <f>IF(BJ72=0,"",INDEX(nTP_Precision,BJ72))</f>
        <v>DATE</v>
      </c>
      <c r="BN72" s="21" t="str">
        <f>IF(BJ72=0,"",INDEX(nTP_Err,BJ72))</f>
        <v/>
      </c>
      <c r="BO72" s="21">
        <f>IF(BJ72=0,0,INDEX(nTP_HT,BJ72))</f>
        <v>0</v>
      </c>
      <c r="BP72" s="21">
        <f>IF(BJ72=0,0,INDEX(nTP_OK,BJ72))</f>
        <v>0</v>
      </c>
      <c r="BQ72" s="21" t="str">
        <f>IF(BJ72=0,"",INDEX(nTP_Loc,BJ72))</f>
        <v/>
      </c>
      <c r="BR72" s="21" t="str">
        <f>IF(BJ72=0,"",INDEX(nTP_UTC,BJ72))</f>
        <v/>
      </c>
      <c r="BS72" s="21">
        <f>IF(BJ72=0,"",INDEX(nTP_Lo,BJ72))</f>
        <v>46083</v>
      </c>
      <c r="BT72" s="21">
        <f>IF(BJ72=0,"",INDEX(nTP_Hi,BJ72))</f>
        <v>46083</v>
      </c>
      <c r="BU72" s="22">
        <f>IF(OR(BJ72=0,AV72=0),0,SUMPRODUCT((nTP_Case_Key=AR72)*(nTP_Record_Type="MILESTONE:INTERVENTION")*(nTP_Err="")*(nTP_HT*BO72*BA72*(nTP_Loc_n&gt;=N(BQ72))*(nTP_Loc_n&lt;=N(BC72))+(1-nTP_HT*BO72*BA72)*(nTP_Lo_n&gt;=N(BS72))*(nTP_Hi_n&lt;=N(BF72))*(nTP_Lo_n&gt;0))))</f>
        <v>0</v>
      </c>
      <c r="BV72" s="21" t="str">
        <f t="shared" si="60"/>
        <v/>
      </c>
      <c r="BW72" s="21" t="str">
        <f t="shared" si="61"/>
        <v/>
      </c>
      <c r="BX72" s="21" t="str">
        <f t="shared" si="62"/>
        <v/>
      </c>
      <c r="BY72" s="21" t="str">
        <f t="shared" si="63"/>
        <v/>
      </c>
      <c r="BZ72" s="22">
        <f t="shared" si="64"/>
        <v>1</v>
      </c>
      <c r="CA72" s="21" t="str">
        <f t="shared" si="65"/>
        <v/>
      </c>
      <c r="CB72" s="21">
        <f t="shared" si="66"/>
        <v>71</v>
      </c>
      <c r="CC72" s="21" t="str">
        <f t="shared" si="67"/>
        <v/>
      </c>
      <c r="CD72" s="21" t="str">
        <f t="shared" si="68"/>
        <v/>
      </c>
      <c r="CE72" s="22">
        <f t="shared" si="69"/>
        <v>0</v>
      </c>
      <c r="CF72" s="28" t="str">
        <f t="shared" si="70"/>
        <v/>
      </c>
      <c r="CG72" s="28" t="str">
        <f t="shared" si="71"/>
        <v/>
      </c>
      <c r="CH72" s="21" t="str">
        <f t="shared" si="72"/>
        <v/>
      </c>
      <c r="CI72" s="22">
        <f t="shared" si="73"/>
        <v>0</v>
      </c>
      <c r="CJ72" s="22">
        <f t="shared" si="74"/>
        <v>0</v>
      </c>
      <c r="CK72" s="22">
        <f t="shared" si="75"/>
        <v>0</v>
      </c>
      <c r="CL72" s="22">
        <f t="shared" si="76"/>
        <v>0</v>
      </c>
      <c r="CM72" s="22">
        <f t="shared" si="77"/>
        <v>0</v>
      </c>
      <c r="CN72" s="22">
        <f t="shared" si="78"/>
        <v>0</v>
      </c>
      <c r="CO72" s="22">
        <f t="shared" si="79"/>
        <v>0</v>
      </c>
      <c r="CP72" s="22">
        <f t="shared" si="80"/>
        <v>0</v>
      </c>
      <c r="CQ72" s="21" t="str">
        <f t="shared" si="81"/>
        <v/>
      </c>
    </row>
    <row r="73" spans="1:95" x14ac:dyDescent="0.2">
      <c r="A73" s="9" t="s">
        <v>969</v>
      </c>
      <c r="B73" s="9" t="s">
        <v>299</v>
      </c>
      <c r="C73" s="11">
        <v>2</v>
      </c>
      <c r="D73" s="9" t="s">
        <v>805</v>
      </c>
      <c r="E73" s="16" t="s">
        <v>53</v>
      </c>
      <c r="F73" s="9" t="s">
        <v>997</v>
      </c>
      <c r="G73" s="9" t="s">
        <v>996</v>
      </c>
      <c r="H73" s="9" t="s">
        <v>992</v>
      </c>
      <c r="I73" s="16" t="s">
        <v>59</v>
      </c>
      <c r="J73" s="16"/>
      <c r="K73" s="9"/>
      <c r="L73" s="16"/>
      <c r="M73" s="16"/>
      <c r="N73" s="16"/>
      <c r="O73" s="9"/>
      <c r="P73" s="14"/>
      <c r="Q73" s="14"/>
      <c r="R73" s="9"/>
      <c r="S73" s="9"/>
      <c r="T73" s="21" t="str">
        <f t="shared" si="41"/>
        <v>-21 to 71 calendar days</v>
      </c>
      <c r="U73" s="21" t="str">
        <f t="shared" si="42"/>
        <v/>
      </c>
      <c r="V73" s="21">
        <f t="shared" si="43"/>
        <v>-21</v>
      </c>
      <c r="W73" s="21">
        <f t="shared" si="44"/>
        <v>71</v>
      </c>
      <c r="X73" s="21" t="str">
        <f t="shared" si="45"/>
        <v>calendar days</v>
      </c>
      <c r="Y73" s="21" t="str">
        <f t="shared" si="46"/>
        <v>C4</v>
      </c>
      <c r="Z73" s="21" t="str">
        <f t="shared" si="47"/>
        <v>SEQUENCE_UNCERTAIN</v>
      </c>
      <c r="AA73" s="21" t="str">
        <f t="shared" si="48"/>
        <v/>
      </c>
      <c r="AB73" s="21" t="str">
        <f t="shared" si="49"/>
        <v>W_SEQUENCE_UNCERTAIN</v>
      </c>
      <c r="AC73" s="21" t="str">
        <f>IF(AQ73=1,"",MID(IF(BX73&lt;&gt;""," | "&amp;BX73&amp;": "&amp;SUBSTITUTE(IFERROR(INDEX(nMSG_Text,MATCH(BX73,nMSG_Code,0)),""),"[input]",BY73),"")&amp;IF(CI73=1," | W_TZ_UNKNOWN: "&amp;SUBSTITUTE(IFERROR(INDEX(nMSG_Text,MATCH("W_TZ_UNKNOWN",nMSG_Code,0)),""),"[input]",""),"")&amp;IF(CJ73=1," | W_SAME_DATE_ORDER_UNKNOWN: "&amp;SUBSTITUTE(IFERROR(INDEX(nMSG_Text,MATCH("W_SAME_DATE_ORDER_UNKNOWN",nMSG_Code,0)),""),"[input]",""),"")&amp;IF(CK73=1," | W_SEQUENCE_UNCERTAIN: "&amp;SUBSTITUTE(IFERROR(INDEX(nMSG_Text,MATCH("W_SEQUENCE_UNCERTAIN",nMSG_Code,0)),""),"[input]",""),"")&amp;IF(CL73=1," | W_ADMIN_SAME_DATE_AS_ONSET: "&amp;SUBSTITUTE(IFERROR(INDEX(nMSG_Text,MATCH("W_ADMIN_SAME_DATE_AS_ONSET",nMSG_Code,0)),""),"[input]",""),"")&amp;IF(CO73=1," | W_INTERVENTION_BEFORE_RECOVERY: "&amp;SUBSTITUTE(IFERROR(INDEX(nMSG_Text,MATCH("W_INTERVENTION_BEFORE_RECOVERY",nMSG_Code,0)),""),"[input]",""),"")&amp;IF(OR(CQ73="",CQ73="OVERLAP"),""," | "&amp;CQ73&amp;" (reported timing): "&amp;SUBSTITUTE(IFERROR(INDEX(nMSG_Text,MATCH(CQ73,nMSG_Code,0)),""),"[input]","numeric reported bounds and a reported unit"))&amp;IF(CM73=1," | I_TREATMENT_DAY_UNDEFINED: "&amp;SUBSTITUTE(IFERROR(INDEX(nMSG_Text,MATCH("I_TREATMENT_DAY_UNDEFINED",nMSG_Code,0)),""),"[input]",""),"")&amp;IF(CH73&lt;&gt;""," | "&amp;CH73&amp;" (constraint): "&amp;SUBSTITUTE(IFERROR(INDEX(nMSG_Text,MATCH(CH73,nMSG_Code,0)),""),"[input]","a source for the constraint"),""),4,9999))</f>
        <v>W_SEQUENCE_UNCERTAIN: The available dates allow onset before or after this anchor. Sequence is not established.</v>
      </c>
      <c r="AD73" s="21" t="str">
        <f t="shared" si="50"/>
        <v/>
      </c>
      <c r="AE73" s="21" t="str">
        <f t="shared" si="51"/>
        <v/>
      </c>
      <c r="AF73" s="21" t="str">
        <f t="shared" si="52"/>
        <v/>
      </c>
      <c r="AG73" s="21" t="str">
        <f t="shared" si="53"/>
        <v>EX-PRED/START</v>
      </c>
      <c r="AH73" s="21" t="str">
        <f>IF(BJ73=0,"",INDEX(nTP_ISO,BJ73))</f>
        <v>2026-03-02</v>
      </c>
      <c r="AI73" s="21" t="str">
        <f>IF(BJ73=0,"",INDEX(nTP_Display,BJ73))</f>
        <v>2 March 2026</v>
      </c>
      <c r="AJ73" s="21" t="str">
        <f>IF(AV73=0,"",INDEX(nTP_ISO,AV73))</f>
        <v>2026-02-09/2026-05-12</v>
      </c>
      <c r="AK73" s="21" t="str">
        <f>IF(AV73=0,"",INDEX(nTP_Display,AV73))</f>
        <v>9 February 2026 to 12 May 2026</v>
      </c>
      <c r="AL73" s="21" t="str">
        <f>IF(AU73=0,"",INDEX(nLNK_Exposure_Episode_ID,AU73)&amp;"")</f>
        <v>EX-PRED</v>
      </c>
      <c r="AM73" s="21" t="str">
        <f>IF(AU73=0,"",INDEX(nLNK_Event_Episode_ID,AU73)&amp;"")</f>
        <v>EV-HBV</v>
      </c>
      <c r="AN73" s="21" t="str">
        <f t="shared" si="54"/>
        <v>Bounded interval: minimum = end-point lower bound minus anchor upper bound; maximum = end-point upper bound minus anchor lower bound. No single date is imputed.</v>
      </c>
      <c r="AO73" s="21" t="str">
        <f t="shared" si="55"/>
        <v/>
      </c>
      <c r="AP73" s="21" t="str">
        <f t="shared" si="56"/>
        <v>CALC-SPEC 1.0</v>
      </c>
      <c r="AQ73" s="22">
        <f t="shared" si="57"/>
        <v>0</v>
      </c>
      <c r="AR73" s="21" t="str">
        <f t="shared" si="58"/>
        <v>EX-C28|2</v>
      </c>
      <c r="AS73" s="21" t="str">
        <f t="shared" si="59"/>
        <v>EX-C28|2|I08</v>
      </c>
      <c r="AT73" s="22">
        <f>IF(AS73="",0,COUNTIF(nINT_Key,AS73))</f>
        <v>1</v>
      </c>
      <c r="AU73" s="22">
        <f>IF(D73="",0,IFERROR(MATCH(AR73&amp;"|"&amp;D73,nLNK_Key,0),0))</f>
        <v>29</v>
      </c>
      <c r="AV73" s="22">
        <f>IF(OR(AQ73=1,H73=""),0,IFERROR(MATCH(AR73&amp;"|"&amp;H73,nTP_Key,0),0))</f>
        <v>282</v>
      </c>
      <c r="AW73" s="21">
        <f>IF(AV73=0,0,INDEX(nTP_Dup,AV73))</f>
        <v>1</v>
      </c>
      <c r="AX73" s="21" t="str">
        <f>IF(AV73=0,"",INDEX(nTP_Record_Type,AV73))</f>
        <v>EVENT_ONSET</v>
      </c>
      <c r="AY73" s="21" t="str">
        <f>IF(AV73=0,"",INDEX(nTP_Precision,AV73))</f>
        <v>RANGE</v>
      </c>
      <c r="AZ73" s="21" t="str">
        <f>IF(AV73=0,"",INDEX(nTP_Err,AV73))</f>
        <v/>
      </c>
      <c r="BA73" s="21">
        <f>IF(AV73=0,0,INDEX(nTP_HT,AV73))</f>
        <v>0</v>
      </c>
      <c r="BB73" s="21">
        <f>IF(AV73=0,0,INDEX(nTP_OK,AV73))</f>
        <v>0</v>
      </c>
      <c r="BC73" s="21" t="str">
        <f>IF(AV73=0,"",INDEX(nTP_Loc,AV73))</f>
        <v/>
      </c>
      <c r="BD73" s="21" t="str">
        <f>IF(AV73=0,"",INDEX(nTP_UTC,AV73))</f>
        <v/>
      </c>
      <c r="BE73" s="21">
        <f>IF(AV73=0,"",INDEX(nTP_Lo,AV73))</f>
        <v>46062</v>
      </c>
      <c r="BF73" s="21">
        <f>IF(AV73=0,"",INDEX(nTP_Hi,AV73))</f>
        <v>46154</v>
      </c>
      <c r="BG73" s="22">
        <f>IF(OR(AQ73=1,E73&lt;&gt;"LAST_DOSE_BEFORE_ONSET",AU73=0,AV73=0),0,IF(AZ73&lt;&gt;"",0,SUMPRODUCT(MAX((nADM_SelKey=AR73&amp;"|"&amp;AL73)*nADM_Valid*(nADM_A_HT*BA73*nADM_A_OK*BB73*(nADM_UTC_n&lt;=N(BD73))+nADM_A_HT*BA73*(1-nADM_A_OK*BB73)*(nADM_Loc_n&lt;=N(BC73))+(1-nADM_A_HT*BA73)*(nADM_Lo_n&lt;=N(BE73)))*nADM_Sort_n))))</f>
        <v>0</v>
      </c>
      <c r="BH73" s="22">
        <f>IF(BG73=0,0,MATCH(1,INDEX((nADM_SelKey=AR73&amp;"|"&amp;AL73)*nADM_Valid*(nADM_A_HT*BA73*nADM_A_OK*BB73*(nADM_UTC_n&lt;=N(BD73))+nADM_A_HT*BA73*(1-nADM_A_OK*BB73)*(nADM_Loc_n&lt;=N(BC73))+(1-nADM_A_HT*BA73)*(nADM_Lo_n&lt;=N(BE73)))*(nADM_Sort_n=BG73),0),0))</f>
        <v>0</v>
      </c>
      <c r="BI73" s="21" t="str">
        <f>IF(BH73=0,"",INDEX(nADM_Admin_ID,BH73)&amp;"")</f>
        <v/>
      </c>
      <c r="BJ73" s="22">
        <f>IF(OR(AQ73=1,AG73=""),0,IFERROR(MATCH(AR73&amp;"|"&amp;AG73,nTP_Key,0),0))</f>
        <v>41</v>
      </c>
      <c r="BK73" s="21">
        <f>IF(BJ73=0,0,INDEX(nTP_Dup,BJ73))</f>
        <v>1</v>
      </c>
      <c r="BL73" s="21" t="str">
        <f>IF(BJ73=0,"",INDEX(nTP_Record_Type,BJ73))</f>
        <v>EXPOSURE_START</v>
      </c>
      <c r="BM73" s="21" t="str">
        <f>IF(BJ73=0,"",INDEX(nTP_Precision,BJ73))</f>
        <v>DATE</v>
      </c>
      <c r="BN73" s="21" t="str">
        <f>IF(BJ73=0,"",INDEX(nTP_Err,BJ73))</f>
        <v/>
      </c>
      <c r="BO73" s="21">
        <f>IF(BJ73=0,0,INDEX(nTP_HT,BJ73))</f>
        <v>0</v>
      </c>
      <c r="BP73" s="21">
        <f>IF(BJ73=0,0,INDEX(nTP_OK,BJ73))</f>
        <v>0</v>
      </c>
      <c r="BQ73" s="21" t="str">
        <f>IF(BJ73=0,"",INDEX(nTP_Loc,BJ73))</f>
        <v/>
      </c>
      <c r="BR73" s="21" t="str">
        <f>IF(BJ73=0,"",INDEX(nTP_UTC,BJ73))</f>
        <v/>
      </c>
      <c r="BS73" s="21">
        <f>IF(BJ73=0,"",INDEX(nTP_Lo,BJ73))</f>
        <v>46083</v>
      </c>
      <c r="BT73" s="21">
        <f>IF(BJ73=0,"",INDEX(nTP_Hi,BJ73))</f>
        <v>46083</v>
      </c>
      <c r="BU73" s="22">
        <f>IF(OR(BJ73=0,AV73=0),0,SUMPRODUCT((nTP_Case_Key=AR73)*(nTP_Record_Type="MILESTONE:INTERVENTION")*(nTP_Err="")*(nTP_HT*BO73*BA73*(nTP_Loc_n&gt;=N(BQ73))*(nTP_Loc_n&lt;=N(BC73))+(1-nTP_HT*BO73*BA73)*(nTP_Lo_n&gt;=N(BS73))*(nTP_Hi_n&lt;=N(BF73))*(nTP_Lo_n&gt;0))))</f>
        <v>0</v>
      </c>
      <c r="BV73" s="21" t="str">
        <f t="shared" si="60"/>
        <v/>
      </c>
      <c r="BW73" s="21" t="str">
        <f t="shared" si="61"/>
        <v/>
      </c>
      <c r="BX73" s="21" t="str">
        <f t="shared" si="62"/>
        <v/>
      </c>
      <c r="BY73" s="21" t="str">
        <f t="shared" si="63"/>
        <v/>
      </c>
      <c r="BZ73" s="22">
        <f t="shared" si="64"/>
        <v>1</v>
      </c>
      <c r="CA73" s="21" t="str">
        <f t="shared" si="65"/>
        <v/>
      </c>
      <c r="CB73" s="21" t="str">
        <f t="shared" si="66"/>
        <v/>
      </c>
      <c r="CC73" s="21">
        <f t="shared" si="67"/>
        <v>-21</v>
      </c>
      <c r="CD73" s="21">
        <f t="shared" si="68"/>
        <v>71</v>
      </c>
      <c r="CE73" s="22">
        <f t="shared" si="69"/>
        <v>0</v>
      </c>
      <c r="CF73" s="28" t="str">
        <f t="shared" si="70"/>
        <v/>
      </c>
      <c r="CG73" s="28" t="str">
        <f t="shared" si="71"/>
        <v/>
      </c>
      <c r="CH73" s="21" t="str">
        <f t="shared" si="72"/>
        <v/>
      </c>
      <c r="CI73" s="22">
        <f t="shared" si="73"/>
        <v>0</v>
      </c>
      <c r="CJ73" s="22">
        <f t="shared" si="74"/>
        <v>0</v>
      </c>
      <c r="CK73" s="22">
        <f t="shared" si="75"/>
        <v>1</v>
      </c>
      <c r="CL73" s="22">
        <f t="shared" si="76"/>
        <v>0</v>
      </c>
      <c r="CM73" s="22">
        <f t="shared" si="77"/>
        <v>0</v>
      </c>
      <c r="CN73" s="22">
        <f t="shared" si="78"/>
        <v>0</v>
      </c>
      <c r="CO73" s="22">
        <f t="shared" si="79"/>
        <v>0</v>
      </c>
      <c r="CP73" s="22">
        <f t="shared" si="80"/>
        <v>0</v>
      </c>
      <c r="CQ73" s="21" t="str">
        <f t="shared" si="81"/>
        <v/>
      </c>
    </row>
    <row r="74" spans="1:95" x14ac:dyDescent="0.2">
      <c r="A74" s="9" t="s">
        <v>971</v>
      </c>
      <c r="B74" s="9" t="s">
        <v>299</v>
      </c>
      <c r="C74" s="11">
        <v>2</v>
      </c>
      <c r="D74" s="9" t="s">
        <v>801</v>
      </c>
      <c r="E74" s="16" t="s">
        <v>50</v>
      </c>
      <c r="F74" s="9"/>
      <c r="G74" s="9"/>
      <c r="H74" s="9" t="s">
        <v>784</v>
      </c>
      <c r="I74" s="16" t="s">
        <v>58</v>
      </c>
      <c r="J74" s="16"/>
      <c r="K74" s="9"/>
      <c r="L74" s="16"/>
      <c r="M74" s="16"/>
      <c r="N74" s="16"/>
      <c r="O74" s="9"/>
      <c r="P74" s="14"/>
      <c r="Q74" s="14"/>
      <c r="R74" s="9"/>
      <c r="S74" s="9" t="s">
        <v>998</v>
      </c>
      <c r="T74" s="21" t="str">
        <f t="shared" si="41"/>
        <v>449 calendar days</v>
      </c>
      <c r="U74" s="21">
        <f t="shared" si="42"/>
        <v>449</v>
      </c>
      <c r="V74" s="21" t="str">
        <f t="shared" si="43"/>
        <v/>
      </c>
      <c r="W74" s="21" t="str">
        <f t="shared" si="44"/>
        <v/>
      </c>
      <c r="X74" s="21" t="str">
        <f t="shared" si="45"/>
        <v>calendar days</v>
      </c>
      <c r="Y74" s="21" t="str">
        <f t="shared" si="46"/>
        <v>C2</v>
      </c>
      <c r="Z74" s="21" t="str">
        <f t="shared" si="47"/>
        <v>AFTER</v>
      </c>
      <c r="AA74" s="21" t="str">
        <f t="shared" si="48"/>
        <v/>
      </c>
      <c r="AB74" s="21" t="str">
        <f t="shared" si="49"/>
        <v/>
      </c>
      <c r="AC74" s="21" t="str">
        <f>IF(AQ74=1,"",MID(IF(BX74&lt;&gt;""," | "&amp;BX74&amp;": "&amp;SUBSTITUTE(IFERROR(INDEX(nMSG_Text,MATCH(BX74,nMSG_Code,0)),""),"[input]",BY74),"")&amp;IF(CI74=1," | W_TZ_UNKNOWN: "&amp;SUBSTITUTE(IFERROR(INDEX(nMSG_Text,MATCH("W_TZ_UNKNOWN",nMSG_Code,0)),""),"[input]",""),"")&amp;IF(CJ74=1," | W_SAME_DATE_ORDER_UNKNOWN: "&amp;SUBSTITUTE(IFERROR(INDEX(nMSG_Text,MATCH("W_SAME_DATE_ORDER_UNKNOWN",nMSG_Code,0)),""),"[input]",""),"")&amp;IF(CK74=1," | W_SEQUENCE_UNCERTAIN: "&amp;SUBSTITUTE(IFERROR(INDEX(nMSG_Text,MATCH("W_SEQUENCE_UNCERTAIN",nMSG_Code,0)),""),"[input]",""),"")&amp;IF(CL74=1," | W_ADMIN_SAME_DATE_AS_ONSET: "&amp;SUBSTITUTE(IFERROR(INDEX(nMSG_Text,MATCH("W_ADMIN_SAME_DATE_AS_ONSET",nMSG_Code,0)),""),"[input]",""),"")&amp;IF(CO74=1," | W_INTERVENTION_BEFORE_RECOVERY: "&amp;SUBSTITUTE(IFERROR(INDEX(nMSG_Text,MATCH("W_INTERVENTION_BEFORE_RECOVERY",nMSG_Code,0)),""),"[input]",""),"")&amp;IF(OR(CQ74="",CQ74="OVERLAP"),""," | "&amp;CQ74&amp;" (reported timing): "&amp;SUBSTITUTE(IFERROR(INDEX(nMSG_Text,MATCH(CQ74,nMSG_Code,0)),""),"[input]","numeric reported bounds and a reported unit"))&amp;IF(CM74=1," | I_TREATMENT_DAY_UNDEFINED: "&amp;SUBSTITUTE(IFERROR(INDEX(nMSG_Text,MATCH("I_TREATMENT_DAY_UNDEFINED",nMSG_Code,0)),""),"[input]",""),"")&amp;IF(CH74&lt;&gt;""," | "&amp;CH74&amp;" (constraint): "&amp;SUBSTITUTE(IFERROR(INDEX(nMSG_Text,MATCH(CH74,nMSG_Code,0)),""),"[input]","a source for the constraint"),""),4,9999))</f>
        <v/>
      </c>
      <c r="AD74" s="21" t="str">
        <f t="shared" si="50"/>
        <v/>
      </c>
      <c r="AE74" s="21" t="str">
        <f t="shared" si="51"/>
        <v/>
      </c>
      <c r="AF74" s="21" t="str">
        <f t="shared" si="52"/>
        <v/>
      </c>
      <c r="AG74" s="21" t="str">
        <f t="shared" si="53"/>
        <v>ADM-RTX-6</v>
      </c>
      <c r="AH74" s="21" t="str">
        <f>IF(BJ74=0,"",INDEX(nTP_ISO,BJ74))</f>
        <v>2025-03-03</v>
      </c>
      <c r="AI74" s="21" t="str">
        <f>IF(BJ74=0,"",INDEX(nTP_Display,BJ74))</f>
        <v>3 March 2025</v>
      </c>
      <c r="AJ74" s="21" t="str">
        <f>IF(AV74=0,"",INDEX(nTP_ISO,AV74))</f>
        <v>2026-05-26</v>
      </c>
      <c r="AK74" s="21" t="str">
        <f>IF(AV74=0,"",INDEX(nTP_Display,AV74))</f>
        <v>26 May 2026</v>
      </c>
      <c r="AL74" s="21" t="str">
        <f>IF(AU74=0,"",INDEX(nLNK_Exposure_Episode_ID,AU74)&amp;"")</f>
        <v>EX-RTX</v>
      </c>
      <c r="AM74" s="21" t="str">
        <f>IF(AU74=0,"",INDEX(nLNK_Event_Episode_ID,AU74)&amp;"")</f>
        <v>EV-HBV</v>
      </c>
      <c r="AN74" s="21" t="str">
        <f t="shared" si="54"/>
        <v>Calendar-date difference of the recorded local dates; not elapsed days. Anchor selected by C5: latest administration at or before the end point (ADM-RTX-6).</v>
      </c>
      <c r="AO74" s="21" t="str">
        <f t="shared" si="55"/>
        <v/>
      </c>
      <c r="AP74" s="21" t="str">
        <f t="shared" si="56"/>
        <v>CALC-SPEC 1.0</v>
      </c>
      <c r="AQ74" s="22">
        <f t="shared" si="57"/>
        <v>0</v>
      </c>
      <c r="AR74" s="21" t="str">
        <f t="shared" si="58"/>
        <v>EX-C28|2</v>
      </c>
      <c r="AS74" s="21" t="str">
        <f t="shared" si="59"/>
        <v>EX-C28|2|I09</v>
      </c>
      <c r="AT74" s="22">
        <f>IF(AS74="",0,COUNTIF(nINT_Key,AS74))</f>
        <v>1</v>
      </c>
      <c r="AU74" s="22">
        <f>IF(D74="",0,IFERROR(MATCH(AR74&amp;"|"&amp;D74,nLNK_Key,0),0))</f>
        <v>27</v>
      </c>
      <c r="AV74" s="22">
        <f>IF(OR(AQ74=1,H74=""),0,IFERROR(MATCH(AR74&amp;"|"&amp;H74,nTP_Key,0),0))</f>
        <v>398</v>
      </c>
      <c r="AW74" s="21">
        <f>IF(AV74=0,0,INDEX(nTP_Dup,AV74))</f>
        <v>1</v>
      </c>
      <c r="AX74" s="21" t="str">
        <f>IF(AV74=0,"",INDEX(nTP_Record_Type,AV74))</f>
        <v>MILESTONE:TEST</v>
      </c>
      <c r="AY74" s="21" t="str">
        <f>IF(AV74=0,"",INDEX(nTP_Precision,AV74))</f>
        <v>DATE</v>
      </c>
      <c r="AZ74" s="21" t="str">
        <f>IF(AV74=0,"",INDEX(nTP_Err,AV74))</f>
        <v/>
      </c>
      <c r="BA74" s="21">
        <f>IF(AV74=0,0,INDEX(nTP_HT,AV74))</f>
        <v>0</v>
      </c>
      <c r="BB74" s="21">
        <f>IF(AV74=0,0,INDEX(nTP_OK,AV74))</f>
        <v>0</v>
      </c>
      <c r="BC74" s="21" t="str">
        <f>IF(AV74=0,"",INDEX(nTP_Loc,AV74))</f>
        <v/>
      </c>
      <c r="BD74" s="21" t="str">
        <f>IF(AV74=0,"",INDEX(nTP_UTC,AV74))</f>
        <v/>
      </c>
      <c r="BE74" s="21">
        <f>IF(AV74=0,"",INDEX(nTP_Lo,AV74))</f>
        <v>46168</v>
      </c>
      <c r="BF74" s="21">
        <f>IF(AV74=0,"",INDEX(nTP_Hi,AV74))</f>
        <v>46168</v>
      </c>
      <c r="BG74" s="22">
        <f>IF(OR(AQ74=1,E74&lt;&gt;"LAST_DOSE_BEFORE_ONSET",AU74=0,AV74=0),0,IF(AZ74&lt;&gt;"",0,SUMPRODUCT(MAX((nADM_SelKey=AR74&amp;"|"&amp;AL74)*nADM_Valid*(nADM_A_HT*BA74*nADM_A_OK*BB74*(nADM_UTC_n&lt;=N(BD74))+nADM_A_HT*BA74*(1-nADM_A_OK*BB74)*(nADM_Loc_n&lt;=N(BC74))+(1-nADM_A_HT*BA74)*(nADM_Lo_n&lt;=N(BE74)))*nADM_Sort_n))))</f>
        <v>65835360</v>
      </c>
      <c r="BH74" s="22">
        <f>IF(BG74=0,0,MATCH(1,INDEX((nADM_SelKey=AR74&amp;"|"&amp;AL74)*nADM_Valid*(nADM_A_HT*BA74*nADM_A_OK*BB74*(nADM_UTC_n&lt;=N(BD74))+nADM_A_HT*BA74*(1-nADM_A_OK*BB74)*(nADM_Loc_n&lt;=N(BC74))+(1-nADM_A_HT*BA74)*(nADM_Lo_n&lt;=N(BE74)))*(nADM_Sort_n=BG74),0),0))</f>
        <v>65</v>
      </c>
      <c r="BI74" s="21" t="str">
        <f>IF(BH74=0,"",INDEX(nADM_Admin_ID,BH74)&amp;"")</f>
        <v>ADM-RTX-6</v>
      </c>
      <c r="BJ74" s="22">
        <f>IF(OR(AQ74=1,AG74=""),0,IFERROR(MATCH(AR74&amp;"|"&amp;AG74,nTP_Key,0),0))</f>
        <v>254</v>
      </c>
      <c r="BK74" s="21">
        <f>IF(BJ74=0,0,INDEX(nTP_Dup,BJ74))</f>
        <v>1</v>
      </c>
      <c r="BL74" s="21" t="str">
        <f>IF(BJ74=0,"",INDEX(nTP_Record_Type,BJ74))</f>
        <v>ADMINISTRATION</v>
      </c>
      <c r="BM74" s="21" t="str">
        <f>IF(BJ74=0,"",INDEX(nTP_Precision,BJ74))</f>
        <v>DATE</v>
      </c>
      <c r="BN74" s="21" t="str">
        <f>IF(BJ74=0,"",INDEX(nTP_Err,BJ74))</f>
        <v/>
      </c>
      <c r="BO74" s="21">
        <f>IF(BJ74=0,0,INDEX(nTP_HT,BJ74))</f>
        <v>0</v>
      </c>
      <c r="BP74" s="21">
        <f>IF(BJ74=0,0,INDEX(nTP_OK,BJ74))</f>
        <v>0</v>
      </c>
      <c r="BQ74" s="21" t="str">
        <f>IF(BJ74=0,"",INDEX(nTP_Loc,BJ74))</f>
        <v/>
      </c>
      <c r="BR74" s="21" t="str">
        <f>IF(BJ74=0,"",INDEX(nTP_UTC,BJ74))</f>
        <v/>
      </c>
      <c r="BS74" s="21">
        <f>IF(BJ74=0,"",INDEX(nTP_Lo,BJ74))</f>
        <v>45719</v>
      </c>
      <c r="BT74" s="21">
        <f>IF(BJ74=0,"",INDEX(nTP_Hi,BJ74))</f>
        <v>45719</v>
      </c>
      <c r="BU74" s="22">
        <f>IF(OR(BJ74=0,AV74=0),0,SUMPRODUCT((nTP_Case_Key=AR74)*(nTP_Record_Type="MILESTONE:INTERVENTION")*(nTP_Err="")*(nTP_HT*BO74*BA74*(nTP_Loc_n&gt;=N(BQ74))*(nTP_Loc_n&lt;=N(BC74))+(1-nTP_HT*BO74*BA74)*(nTP_Lo_n&gt;=N(BS74))*(nTP_Hi_n&lt;=N(BF74))*(nTP_Lo_n&gt;0))))</f>
        <v>0</v>
      </c>
      <c r="BV74" s="21" t="str">
        <f t="shared" si="60"/>
        <v/>
      </c>
      <c r="BW74" s="21" t="str">
        <f t="shared" si="61"/>
        <v/>
      </c>
      <c r="BX74" s="21" t="str">
        <f t="shared" si="62"/>
        <v/>
      </c>
      <c r="BY74" s="21" t="str">
        <f t="shared" si="63"/>
        <v/>
      </c>
      <c r="BZ74" s="22">
        <f t="shared" si="64"/>
        <v>1</v>
      </c>
      <c r="CA74" s="21" t="str">
        <f t="shared" si="65"/>
        <v/>
      </c>
      <c r="CB74" s="21">
        <f t="shared" si="66"/>
        <v>449</v>
      </c>
      <c r="CC74" s="21" t="str">
        <f t="shared" si="67"/>
        <v/>
      </c>
      <c r="CD74" s="21" t="str">
        <f t="shared" si="68"/>
        <v/>
      </c>
      <c r="CE74" s="22">
        <f t="shared" si="69"/>
        <v>0</v>
      </c>
      <c r="CF74" s="28" t="str">
        <f t="shared" si="70"/>
        <v/>
      </c>
      <c r="CG74" s="28" t="str">
        <f t="shared" si="71"/>
        <v/>
      </c>
      <c r="CH74" s="21" t="str">
        <f t="shared" si="72"/>
        <v/>
      </c>
      <c r="CI74" s="22">
        <f t="shared" si="73"/>
        <v>0</v>
      </c>
      <c r="CJ74" s="22">
        <f t="shared" si="74"/>
        <v>0</v>
      </c>
      <c r="CK74" s="22">
        <f t="shared" si="75"/>
        <v>0</v>
      </c>
      <c r="CL74" s="22">
        <f t="shared" si="76"/>
        <v>0</v>
      </c>
      <c r="CM74" s="22">
        <f t="shared" si="77"/>
        <v>0</v>
      </c>
      <c r="CN74" s="22">
        <f t="shared" si="78"/>
        <v>0</v>
      </c>
      <c r="CO74" s="22">
        <f t="shared" si="79"/>
        <v>0</v>
      </c>
      <c r="CP74" s="22">
        <f t="shared" si="80"/>
        <v>0</v>
      </c>
      <c r="CQ74" s="21" t="str">
        <f t="shared" si="81"/>
        <v/>
      </c>
    </row>
    <row r="75" spans="1:95" x14ac:dyDescent="0.2">
      <c r="A75" s="9" t="s">
        <v>973</v>
      </c>
      <c r="B75" s="9" t="s">
        <v>299</v>
      </c>
      <c r="C75" s="11">
        <v>2</v>
      </c>
      <c r="D75" s="9" t="s">
        <v>801</v>
      </c>
      <c r="E75" s="16" t="s">
        <v>55</v>
      </c>
      <c r="F75" s="9" t="s">
        <v>999</v>
      </c>
      <c r="G75" s="9" t="s">
        <v>774</v>
      </c>
      <c r="H75" s="9" t="s">
        <v>989</v>
      </c>
      <c r="I75" s="16" t="s">
        <v>58</v>
      </c>
      <c r="J75" s="16"/>
      <c r="K75" s="9"/>
      <c r="L75" s="16"/>
      <c r="M75" s="16"/>
      <c r="N75" s="16"/>
      <c r="O75" s="9"/>
      <c r="P75" s="14"/>
      <c r="Q75" s="14"/>
      <c r="R75" s="9"/>
      <c r="S75" s="9" t="s">
        <v>1000</v>
      </c>
      <c r="T75" s="21" t="str">
        <f t="shared" si="41"/>
        <v>92 calendar days</v>
      </c>
      <c r="U75" s="21">
        <f t="shared" si="42"/>
        <v>92</v>
      </c>
      <c r="V75" s="21" t="str">
        <f t="shared" si="43"/>
        <v/>
      </c>
      <c r="W75" s="21" t="str">
        <f t="shared" si="44"/>
        <v/>
      </c>
      <c r="X75" s="21" t="str">
        <f t="shared" si="45"/>
        <v>calendar days</v>
      </c>
      <c r="Y75" s="21" t="str">
        <f t="shared" si="46"/>
        <v>C2</v>
      </c>
      <c r="Z75" s="21" t="str">
        <f t="shared" si="47"/>
        <v>AFTER</v>
      </c>
      <c r="AA75" s="21" t="str">
        <f t="shared" si="48"/>
        <v/>
      </c>
      <c r="AB75" s="21" t="str">
        <f t="shared" si="49"/>
        <v/>
      </c>
      <c r="AC75" s="21" t="str">
        <f>IF(AQ75=1,"",MID(IF(BX75&lt;&gt;""," | "&amp;BX75&amp;": "&amp;SUBSTITUTE(IFERROR(INDEX(nMSG_Text,MATCH(BX75,nMSG_Code,0)),""),"[input]",BY75),"")&amp;IF(CI75=1," | W_TZ_UNKNOWN: "&amp;SUBSTITUTE(IFERROR(INDEX(nMSG_Text,MATCH("W_TZ_UNKNOWN",nMSG_Code,0)),""),"[input]",""),"")&amp;IF(CJ75=1," | W_SAME_DATE_ORDER_UNKNOWN: "&amp;SUBSTITUTE(IFERROR(INDEX(nMSG_Text,MATCH("W_SAME_DATE_ORDER_UNKNOWN",nMSG_Code,0)),""),"[input]",""),"")&amp;IF(CK75=1," | W_SEQUENCE_UNCERTAIN: "&amp;SUBSTITUTE(IFERROR(INDEX(nMSG_Text,MATCH("W_SEQUENCE_UNCERTAIN",nMSG_Code,0)),""),"[input]",""),"")&amp;IF(CL75=1," | W_ADMIN_SAME_DATE_AS_ONSET: "&amp;SUBSTITUTE(IFERROR(INDEX(nMSG_Text,MATCH("W_ADMIN_SAME_DATE_AS_ONSET",nMSG_Code,0)),""),"[input]",""),"")&amp;IF(CO75=1," | W_INTERVENTION_BEFORE_RECOVERY: "&amp;SUBSTITUTE(IFERROR(INDEX(nMSG_Text,MATCH("W_INTERVENTION_BEFORE_RECOVERY",nMSG_Code,0)),""),"[input]",""),"")&amp;IF(OR(CQ75="",CQ75="OVERLAP"),""," | "&amp;CQ75&amp;" (reported timing): "&amp;SUBSTITUTE(IFERROR(INDEX(nMSG_Text,MATCH(CQ75,nMSG_Code,0)),""),"[input]","numeric reported bounds and a reported unit"))&amp;IF(CM75=1," | I_TREATMENT_DAY_UNDEFINED: "&amp;SUBSTITUTE(IFERROR(INDEX(nMSG_Text,MATCH("I_TREATMENT_DAY_UNDEFINED",nMSG_Code,0)),""),"[input]",""),"")&amp;IF(CH75&lt;&gt;""," | "&amp;CH75&amp;" (constraint): "&amp;SUBSTITUTE(IFERROR(INDEX(nMSG_Text,MATCH(CH75,nMSG_Code,0)),""),"[input]","a source for the constraint"),""),4,9999))</f>
        <v/>
      </c>
      <c r="AD75" s="21" t="str">
        <f t="shared" si="50"/>
        <v/>
      </c>
      <c r="AE75" s="21" t="str">
        <f t="shared" si="51"/>
        <v/>
      </c>
      <c r="AF75" s="21" t="str">
        <f t="shared" si="52"/>
        <v/>
      </c>
      <c r="AG75" s="21" t="str">
        <f t="shared" si="53"/>
        <v>M-HBV3</v>
      </c>
      <c r="AH75" s="21" t="str">
        <f>IF(BJ75=0,"",INDEX(nTP_ISO,BJ75))</f>
        <v>2026-02-09</v>
      </c>
      <c r="AI75" s="21" t="str">
        <f>IF(BJ75=0,"",INDEX(nTP_Display,BJ75))</f>
        <v>9 February 2026</v>
      </c>
      <c r="AJ75" s="21" t="str">
        <f>IF(AV75=0,"",INDEX(nTP_ISO,AV75))</f>
        <v>2026-05-12</v>
      </c>
      <c r="AK75" s="21" t="str">
        <f>IF(AV75=0,"",INDEX(nTP_Display,AV75))</f>
        <v>12 May 2026</v>
      </c>
      <c r="AL75" s="21" t="str">
        <f>IF(AU75=0,"",INDEX(nLNK_Exposure_Episode_ID,AU75)&amp;"")</f>
        <v>EX-RTX</v>
      </c>
      <c r="AM75" s="21" t="str">
        <f>IF(AU75=0,"",INDEX(nLNK_Event_Episode_ID,AU75)&amp;"")</f>
        <v>EV-HBV</v>
      </c>
      <c r="AN75" s="21" t="str">
        <f t="shared" si="54"/>
        <v>Calendar-date difference of the recorded local dates; not elapsed days.</v>
      </c>
      <c r="AO75" s="21" t="str">
        <f t="shared" si="55"/>
        <v/>
      </c>
      <c r="AP75" s="21" t="str">
        <f t="shared" si="56"/>
        <v>CALC-SPEC 1.0</v>
      </c>
      <c r="AQ75" s="22">
        <f t="shared" si="57"/>
        <v>0</v>
      </c>
      <c r="AR75" s="21" t="str">
        <f t="shared" si="58"/>
        <v>EX-C28|2</v>
      </c>
      <c r="AS75" s="21" t="str">
        <f t="shared" si="59"/>
        <v>EX-C28|2|I10</v>
      </c>
      <c r="AT75" s="22">
        <f>IF(AS75="",0,COUNTIF(nINT_Key,AS75))</f>
        <v>1</v>
      </c>
      <c r="AU75" s="22">
        <f>IF(D75="",0,IFERROR(MATCH(AR75&amp;"|"&amp;D75,nLNK_Key,0),0))</f>
        <v>27</v>
      </c>
      <c r="AV75" s="22">
        <f>IF(OR(AQ75=1,H75=""),0,IFERROR(MATCH(AR75&amp;"|"&amp;H75,nTP_Key,0),0))</f>
        <v>319</v>
      </c>
      <c r="AW75" s="21">
        <f>IF(AV75=0,0,INDEX(nTP_Dup,AV75))</f>
        <v>1</v>
      </c>
      <c r="AX75" s="21" t="str">
        <f>IF(AV75=0,"",INDEX(nTP_Record_Type,AV75))</f>
        <v>EVENT_DETECTION</v>
      </c>
      <c r="AY75" s="21" t="str">
        <f>IF(AV75=0,"",INDEX(nTP_Precision,AV75))</f>
        <v>DATE</v>
      </c>
      <c r="AZ75" s="21" t="str">
        <f>IF(AV75=0,"",INDEX(nTP_Err,AV75))</f>
        <v/>
      </c>
      <c r="BA75" s="21">
        <f>IF(AV75=0,0,INDEX(nTP_HT,AV75))</f>
        <v>0</v>
      </c>
      <c r="BB75" s="21">
        <f>IF(AV75=0,0,INDEX(nTP_OK,AV75))</f>
        <v>0</v>
      </c>
      <c r="BC75" s="21" t="str">
        <f>IF(AV75=0,"",INDEX(nTP_Loc,AV75))</f>
        <v/>
      </c>
      <c r="BD75" s="21" t="str">
        <f>IF(AV75=0,"",INDEX(nTP_UTC,AV75))</f>
        <v/>
      </c>
      <c r="BE75" s="21">
        <f>IF(AV75=0,"",INDEX(nTP_Lo,AV75))</f>
        <v>46154</v>
      </c>
      <c r="BF75" s="21">
        <f>IF(AV75=0,"",INDEX(nTP_Hi,AV75))</f>
        <v>46154</v>
      </c>
      <c r="BG75" s="22">
        <f>IF(OR(AQ75=1,E75&lt;&gt;"LAST_DOSE_BEFORE_ONSET",AU75=0,AV75=0),0,IF(AZ75&lt;&gt;"",0,SUMPRODUCT(MAX((nADM_SelKey=AR75&amp;"|"&amp;AL75)*nADM_Valid*(nADM_A_HT*BA75*nADM_A_OK*BB75*(nADM_UTC_n&lt;=N(BD75))+nADM_A_HT*BA75*(1-nADM_A_OK*BB75)*(nADM_Loc_n&lt;=N(BC75))+(1-nADM_A_HT*BA75)*(nADM_Lo_n&lt;=N(BE75)))*nADM_Sort_n))))</f>
        <v>0</v>
      </c>
      <c r="BH75" s="22">
        <f>IF(BG75=0,0,MATCH(1,INDEX((nADM_SelKey=AR75&amp;"|"&amp;AL75)*nADM_Valid*(nADM_A_HT*BA75*nADM_A_OK*BB75*(nADM_UTC_n&lt;=N(BD75))+nADM_A_HT*BA75*(1-nADM_A_OK*BB75)*(nADM_Loc_n&lt;=N(BC75))+(1-nADM_A_HT*BA75)*(nADM_Lo_n&lt;=N(BE75)))*(nADM_Sort_n=BG75),0),0))</f>
        <v>0</v>
      </c>
      <c r="BI75" s="21" t="str">
        <f>IF(BH75=0,"",INDEX(nADM_Admin_ID,BH75)&amp;"")</f>
        <v/>
      </c>
      <c r="BJ75" s="22">
        <f>IF(OR(AQ75=1,AG75=""),0,IFERROR(MATCH(AR75&amp;"|"&amp;AG75,nTP_Key,0),0))</f>
        <v>395</v>
      </c>
      <c r="BK75" s="21">
        <f>IF(BJ75=0,0,INDEX(nTP_Dup,BJ75))</f>
        <v>1</v>
      </c>
      <c r="BL75" s="21" t="str">
        <f>IF(BJ75=0,"",INDEX(nTP_Record_Type,BJ75))</f>
        <v>MILESTONE:TEST</v>
      </c>
      <c r="BM75" s="21" t="str">
        <f>IF(BJ75=0,"",INDEX(nTP_Precision,BJ75))</f>
        <v>DATE</v>
      </c>
      <c r="BN75" s="21" t="str">
        <f>IF(BJ75=0,"",INDEX(nTP_Err,BJ75))</f>
        <v/>
      </c>
      <c r="BO75" s="21">
        <f>IF(BJ75=0,0,INDEX(nTP_HT,BJ75))</f>
        <v>0</v>
      </c>
      <c r="BP75" s="21">
        <f>IF(BJ75=0,0,INDEX(nTP_OK,BJ75))</f>
        <v>0</v>
      </c>
      <c r="BQ75" s="21" t="str">
        <f>IF(BJ75=0,"",INDEX(nTP_Loc,BJ75))</f>
        <v/>
      </c>
      <c r="BR75" s="21" t="str">
        <f>IF(BJ75=0,"",INDEX(nTP_UTC,BJ75))</f>
        <v/>
      </c>
      <c r="BS75" s="21">
        <f>IF(BJ75=0,"",INDEX(nTP_Lo,BJ75))</f>
        <v>46062</v>
      </c>
      <c r="BT75" s="21">
        <f>IF(BJ75=0,"",INDEX(nTP_Hi,BJ75))</f>
        <v>46062</v>
      </c>
      <c r="BU75" s="22">
        <f>IF(OR(BJ75=0,AV75=0),0,SUMPRODUCT((nTP_Case_Key=AR75)*(nTP_Record_Type="MILESTONE:INTERVENTION")*(nTP_Err="")*(nTP_HT*BO75*BA75*(nTP_Loc_n&gt;=N(BQ75))*(nTP_Loc_n&lt;=N(BC75))+(1-nTP_HT*BO75*BA75)*(nTP_Lo_n&gt;=N(BS75))*(nTP_Hi_n&lt;=N(BF75))*(nTP_Lo_n&gt;0))))</f>
        <v>0</v>
      </c>
      <c r="BV75" s="21" t="str">
        <f t="shared" si="60"/>
        <v/>
      </c>
      <c r="BW75" s="21" t="str">
        <f t="shared" si="61"/>
        <v/>
      </c>
      <c r="BX75" s="21" t="str">
        <f t="shared" si="62"/>
        <v/>
      </c>
      <c r="BY75" s="21" t="str">
        <f t="shared" si="63"/>
        <v/>
      </c>
      <c r="BZ75" s="22">
        <f t="shared" si="64"/>
        <v>1</v>
      </c>
      <c r="CA75" s="21" t="str">
        <f t="shared" si="65"/>
        <v/>
      </c>
      <c r="CB75" s="21">
        <f t="shared" si="66"/>
        <v>92</v>
      </c>
      <c r="CC75" s="21" t="str">
        <f t="shared" si="67"/>
        <v/>
      </c>
      <c r="CD75" s="21" t="str">
        <f t="shared" si="68"/>
        <v/>
      </c>
      <c r="CE75" s="22">
        <f t="shared" si="69"/>
        <v>0</v>
      </c>
      <c r="CF75" s="28" t="str">
        <f t="shared" si="70"/>
        <v/>
      </c>
      <c r="CG75" s="28" t="str">
        <f t="shared" si="71"/>
        <v/>
      </c>
      <c r="CH75" s="21" t="str">
        <f t="shared" si="72"/>
        <v/>
      </c>
      <c r="CI75" s="22">
        <f t="shared" si="73"/>
        <v>0</v>
      </c>
      <c r="CJ75" s="22">
        <f t="shared" si="74"/>
        <v>0</v>
      </c>
      <c r="CK75" s="22">
        <f t="shared" si="75"/>
        <v>0</v>
      </c>
      <c r="CL75" s="22">
        <f t="shared" si="76"/>
        <v>0</v>
      </c>
      <c r="CM75" s="22">
        <f t="shared" si="77"/>
        <v>0</v>
      </c>
      <c r="CN75" s="22">
        <f t="shared" si="78"/>
        <v>0</v>
      </c>
      <c r="CO75" s="22">
        <f t="shared" si="79"/>
        <v>0</v>
      </c>
      <c r="CP75" s="22">
        <f t="shared" si="80"/>
        <v>0</v>
      </c>
      <c r="CQ75" s="21" t="str">
        <f t="shared" si="81"/>
        <v/>
      </c>
    </row>
    <row r="76" spans="1:95" x14ac:dyDescent="0.2">
      <c r="A76" s="9" t="s">
        <v>975</v>
      </c>
      <c r="B76" s="9" t="s">
        <v>299</v>
      </c>
      <c r="C76" s="11">
        <v>2</v>
      </c>
      <c r="D76" s="9" t="s">
        <v>801</v>
      </c>
      <c r="E76" s="16" t="s">
        <v>55</v>
      </c>
      <c r="F76" s="9" t="s">
        <v>1001</v>
      </c>
      <c r="G76" s="9" t="s">
        <v>605</v>
      </c>
      <c r="H76" s="9" t="s">
        <v>994</v>
      </c>
      <c r="I76" s="16" t="s">
        <v>58</v>
      </c>
      <c r="J76" s="16"/>
      <c r="K76" s="9"/>
      <c r="L76" s="16"/>
      <c r="M76" s="16"/>
      <c r="N76" s="16"/>
      <c r="O76" s="9"/>
      <c r="P76" s="14"/>
      <c r="Q76" s="14"/>
      <c r="R76" s="9"/>
      <c r="S76" s="9" t="s">
        <v>1002</v>
      </c>
      <c r="T76" s="21" t="str">
        <f t="shared" si="41"/>
        <v>184 calendar days</v>
      </c>
      <c r="U76" s="21">
        <f t="shared" si="42"/>
        <v>184</v>
      </c>
      <c r="V76" s="21" t="str">
        <f t="shared" si="43"/>
        <v/>
      </c>
      <c r="W76" s="21" t="str">
        <f t="shared" si="44"/>
        <v/>
      </c>
      <c r="X76" s="21" t="str">
        <f t="shared" si="45"/>
        <v>calendar days</v>
      </c>
      <c r="Y76" s="21" t="str">
        <f t="shared" si="46"/>
        <v>C2</v>
      </c>
      <c r="Z76" s="21" t="str">
        <f t="shared" si="47"/>
        <v>AFTER</v>
      </c>
      <c r="AA76" s="21" t="str">
        <f t="shared" si="48"/>
        <v/>
      </c>
      <c r="AB76" s="21" t="str">
        <f t="shared" si="49"/>
        <v/>
      </c>
      <c r="AC76" s="21" t="str">
        <f>IF(AQ76=1,"",MID(IF(BX76&lt;&gt;""," | "&amp;BX76&amp;": "&amp;SUBSTITUTE(IFERROR(INDEX(nMSG_Text,MATCH(BX76,nMSG_Code,0)),""),"[input]",BY76),"")&amp;IF(CI76=1," | W_TZ_UNKNOWN: "&amp;SUBSTITUTE(IFERROR(INDEX(nMSG_Text,MATCH("W_TZ_UNKNOWN",nMSG_Code,0)),""),"[input]",""),"")&amp;IF(CJ76=1," | W_SAME_DATE_ORDER_UNKNOWN: "&amp;SUBSTITUTE(IFERROR(INDEX(nMSG_Text,MATCH("W_SAME_DATE_ORDER_UNKNOWN",nMSG_Code,0)),""),"[input]",""),"")&amp;IF(CK76=1," | W_SEQUENCE_UNCERTAIN: "&amp;SUBSTITUTE(IFERROR(INDEX(nMSG_Text,MATCH("W_SEQUENCE_UNCERTAIN",nMSG_Code,0)),""),"[input]",""),"")&amp;IF(CL76=1," | W_ADMIN_SAME_DATE_AS_ONSET: "&amp;SUBSTITUTE(IFERROR(INDEX(nMSG_Text,MATCH("W_ADMIN_SAME_DATE_AS_ONSET",nMSG_Code,0)),""),"[input]",""),"")&amp;IF(CO76=1," | W_INTERVENTION_BEFORE_RECOVERY: "&amp;SUBSTITUTE(IFERROR(INDEX(nMSG_Text,MATCH("W_INTERVENTION_BEFORE_RECOVERY",nMSG_Code,0)),""),"[input]",""),"")&amp;IF(OR(CQ76="",CQ76="OVERLAP"),""," | "&amp;CQ76&amp;" (reported timing): "&amp;SUBSTITUTE(IFERROR(INDEX(nMSG_Text,MATCH(CQ76,nMSG_Code,0)),""),"[input]","numeric reported bounds and a reported unit"))&amp;IF(CM76=1," | I_TREATMENT_DAY_UNDEFINED: "&amp;SUBSTITUTE(IFERROR(INDEX(nMSG_Text,MATCH("I_TREATMENT_DAY_UNDEFINED",nMSG_Code,0)),""),"[input]",""),"")&amp;IF(CH76&lt;&gt;""," | "&amp;CH76&amp;" (constraint): "&amp;SUBSTITUTE(IFERROR(INDEX(nMSG_Text,MATCH(CH76,nMSG_Code,0)),""),"[input]","a source for the constraint"),""),4,9999))</f>
        <v/>
      </c>
      <c r="AD76" s="21" t="str">
        <f t="shared" si="50"/>
        <v/>
      </c>
      <c r="AE76" s="21" t="str">
        <f t="shared" si="51"/>
        <v/>
      </c>
      <c r="AF76" s="21" t="str">
        <f t="shared" si="52"/>
        <v/>
      </c>
      <c r="AG76" s="21" t="str">
        <f t="shared" si="53"/>
        <v>ADM-RTX-6</v>
      </c>
      <c r="AH76" s="21" t="str">
        <f>IF(BJ76=0,"",INDEX(nTP_ISO,BJ76))</f>
        <v>2025-03-03</v>
      </c>
      <c r="AI76" s="21" t="str">
        <f>IF(BJ76=0,"",INDEX(nTP_Display,BJ76))</f>
        <v>3 March 2025</v>
      </c>
      <c r="AJ76" s="21" t="str">
        <f>IF(AV76=0,"",INDEX(nTP_ISO,AV76))</f>
        <v>2025-09-03</v>
      </c>
      <c r="AK76" s="21" t="str">
        <f>IF(AV76=0,"",INDEX(nTP_Display,AV76))</f>
        <v>3 September 2025</v>
      </c>
      <c r="AL76" s="21" t="str">
        <f>IF(AU76=0,"",INDEX(nLNK_Exposure_Episode_ID,AU76)&amp;"")</f>
        <v>EX-RTX</v>
      </c>
      <c r="AM76" s="21" t="str">
        <f>IF(AU76=0,"",INDEX(nLNK_Event_Episode_ID,AU76)&amp;"")</f>
        <v>EV-HBV</v>
      </c>
      <c r="AN76" s="21" t="str">
        <f t="shared" si="54"/>
        <v>Calendar-date difference of the recorded local dates; not elapsed days.</v>
      </c>
      <c r="AO76" s="21" t="str">
        <f t="shared" si="55"/>
        <v/>
      </c>
      <c r="AP76" s="21" t="str">
        <f t="shared" si="56"/>
        <v>CALC-SPEC 1.0</v>
      </c>
      <c r="AQ76" s="22">
        <f t="shared" si="57"/>
        <v>0</v>
      </c>
      <c r="AR76" s="21" t="str">
        <f t="shared" si="58"/>
        <v>EX-C28|2</v>
      </c>
      <c r="AS76" s="21" t="str">
        <f t="shared" si="59"/>
        <v>EX-C28|2|I11</v>
      </c>
      <c r="AT76" s="22">
        <f>IF(AS76="",0,COUNTIF(nINT_Key,AS76))</f>
        <v>1</v>
      </c>
      <c r="AU76" s="22">
        <f>IF(D76="",0,IFERROR(MATCH(AR76&amp;"|"&amp;D76,nLNK_Key,0),0))</f>
        <v>27</v>
      </c>
      <c r="AV76" s="22">
        <f>IF(OR(AQ76=1,H76=""),0,IFERROR(MATCH(AR76&amp;"|"&amp;H76,nTP_Key,0),0))</f>
        <v>103</v>
      </c>
      <c r="AW76" s="21">
        <f>IF(AV76=0,0,INDEX(nTP_Dup,AV76))</f>
        <v>1</v>
      </c>
      <c r="AX76" s="21" t="str">
        <f>IF(AV76=0,"",INDEX(nTP_Record_Type,AV76))</f>
        <v>EXPOSURE_STOP</v>
      </c>
      <c r="AY76" s="21" t="str">
        <f>IF(AV76=0,"",INDEX(nTP_Precision,AV76))</f>
        <v>DATE</v>
      </c>
      <c r="AZ76" s="21" t="str">
        <f>IF(AV76=0,"",INDEX(nTP_Err,AV76))</f>
        <v/>
      </c>
      <c r="BA76" s="21">
        <f>IF(AV76=0,0,INDEX(nTP_HT,AV76))</f>
        <v>0</v>
      </c>
      <c r="BB76" s="21">
        <f>IF(AV76=0,0,INDEX(nTP_OK,AV76))</f>
        <v>0</v>
      </c>
      <c r="BC76" s="21" t="str">
        <f>IF(AV76=0,"",INDEX(nTP_Loc,AV76))</f>
        <v/>
      </c>
      <c r="BD76" s="21" t="str">
        <f>IF(AV76=0,"",INDEX(nTP_UTC,AV76))</f>
        <v/>
      </c>
      <c r="BE76" s="21">
        <f>IF(AV76=0,"",INDEX(nTP_Lo,AV76))</f>
        <v>45903</v>
      </c>
      <c r="BF76" s="21">
        <f>IF(AV76=0,"",INDEX(nTP_Hi,AV76))</f>
        <v>45903</v>
      </c>
      <c r="BG76" s="22">
        <f>IF(OR(AQ76=1,E76&lt;&gt;"LAST_DOSE_BEFORE_ONSET",AU76=0,AV76=0),0,IF(AZ76&lt;&gt;"",0,SUMPRODUCT(MAX((nADM_SelKey=AR76&amp;"|"&amp;AL76)*nADM_Valid*(nADM_A_HT*BA76*nADM_A_OK*BB76*(nADM_UTC_n&lt;=N(BD76))+nADM_A_HT*BA76*(1-nADM_A_OK*BB76)*(nADM_Loc_n&lt;=N(BC76))+(1-nADM_A_HT*BA76)*(nADM_Lo_n&lt;=N(BE76)))*nADM_Sort_n))))</f>
        <v>0</v>
      </c>
      <c r="BH76" s="22">
        <f>IF(BG76=0,0,MATCH(1,INDEX((nADM_SelKey=AR76&amp;"|"&amp;AL76)*nADM_Valid*(nADM_A_HT*BA76*nADM_A_OK*BB76*(nADM_UTC_n&lt;=N(BD76))+nADM_A_HT*BA76*(1-nADM_A_OK*BB76)*(nADM_Loc_n&lt;=N(BC76))+(1-nADM_A_HT*BA76)*(nADM_Lo_n&lt;=N(BE76)))*(nADM_Sort_n=BG76),0),0))</f>
        <v>0</v>
      </c>
      <c r="BI76" s="21" t="str">
        <f>IF(BH76=0,"",INDEX(nADM_Admin_ID,BH76)&amp;"")</f>
        <v/>
      </c>
      <c r="BJ76" s="22">
        <f>IF(OR(AQ76=1,AG76=""),0,IFERROR(MATCH(AR76&amp;"|"&amp;AG76,nTP_Key,0),0))</f>
        <v>254</v>
      </c>
      <c r="BK76" s="21">
        <f>IF(BJ76=0,0,INDEX(nTP_Dup,BJ76))</f>
        <v>1</v>
      </c>
      <c r="BL76" s="21" t="str">
        <f>IF(BJ76=0,"",INDEX(nTP_Record_Type,BJ76))</f>
        <v>ADMINISTRATION</v>
      </c>
      <c r="BM76" s="21" t="str">
        <f>IF(BJ76=0,"",INDEX(nTP_Precision,BJ76))</f>
        <v>DATE</v>
      </c>
      <c r="BN76" s="21" t="str">
        <f>IF(BJ76=0,"",INDEX(nTP_Err,BJ76))</f>
        <v/>
      </c>
      <c r="BO76" s="21">
        <f>IF(BJ76=0,0,INDEX(nTP_HT,BJ76))</f>
        <v>0</v>
      </c>
      <c r="BP76" s="21">
        <f>IF(BJ76=0,0,INDEX(nTP_OK,BJ76))</f>
        <v>0</v>
      </c>
      <c r="BQ76" s="21" t="str">
        <f>IF(BJ76=0,"",INDEX(nTP_Loc,BJ76))</f>
        <v/>
      </c>
      <c r="BR76" s="21" t="str">
        <f>IF(BJ76=0,"",INDEX(nTP_UTC,BJ76))</f>
        <v/>
      </c>
      <c r="BS76" s="21">
        <f>IF(BJ76=0,"",INDEX(nTP_Lo,BJ76))</f>
        <v>45719</v>
      </c>
      <c r="BT76" s="21">
        <f>IF(BJ76=0,"",INDEX(nTP_Hi,BJ76))</f>
        <v>45719</v>
      </c>
      <c r="BU76" s="22">
        <f>IF(OR(BJ76=0,AV76=0),0,SUMPRODUCT((nTP_Case_Key=AR76)*(nTP_Record_Type="MILESTONE:INTERVENTION")*(nTP_Err="")*(nTP_HT*BO76*BA76*(nTP_Loc_n&gt;=N(BQ76))*(nTP_Loc_n&lt;=N(BC76))+(1-nTP_HT*BO76*BA76)*(nTP_Lo_n&gt;=N(BS76))*(nTP_Hi_n&lt;=N(BF76))*(nTP_Lo_n&gt;0))))</f>
        <v>0</v>
      </c>
      <c r="BV76" s="21" t="str">
        <f t="shared" si="60"/>
        <v/>
      </c>
      <c r="BW76" s="21" t="str">
        <f t="shared" si="61"/>
        <v/>
      </c>
      <c r="BX76" s="21" t="str">
        <f t="shared" si="62"/>
        <v/>
      </c>
      <c r="BY76" s="21" t="str">
        <f t="shared" si="63"/>
        <v/>
      </c>
      <c r="BZ76" s="22">
        <f t="shared" si="64"/>
        <v>1</v>
      </c>
      <c r="CA76" s="21" t="str">
        <f t="shared" si="65"/>
        <v/>
      </c>
      <c r="CB76" s="21">
        <f t="shared" si="66"/>
        <v>184</v>
      </c>
      <c r="CC76" s="21" t="str">
        <f t="shared" si="67"/>
        <v/>
      </c>
      <c r="CD76" s="21" t="str">
        <f t="shared" si="68"/>
        <v/>
      </c>
      <c r="CE76" s="22">
        <f t="shared" si="69"/>
        <v>0</v>
      </c>
      <c r="CF76" s="28" t="str">
        <f t="shared" si="70"/>
        <v/>
      </c>
      <c r="CG76" s="28" t="str">
        <f t="shared" si="71"/>
        <v/>
      </c>
      <c r="CH76" s="21" t="str">
        <f t="shared" si="72"/>
        <v/>
      </c>
      <c r="CI76" s="22">
        <f t="shared" si="73"/>
        <v>0</v>
      </c>
      <c r="CJ76" s="22">
        <f t="shared" si="74"/>
        <v>0</v>
      </c>
      <c r="CK76" s="22">
        <f t="shared" si="75"/>
        <v>0</v>
      </c>
      <c r="CL76" s="22">
        <f t="shared" si="76"/>
        <v>0</v>
      </c>
      <c r="CM76" s="22">
        <f t="shared" si="77"/>
        <v>0</v>
      </c>
      <c r="CN76" s="22">
        <f t="shared" si="78"/>
        <v>0</v>
      </c>
      <c r="CO76" s="22">
        <f t="shared" si="79"/>
        <v>0</v>
      </c>
      <c r="CP76" s="22">
        <f t="shared" si="80"/>
        <v>0</v>
      </c>
      <c r="CQ76" s="21" t="str">
        <f t="shared" si="81"/>
        <v/>
      </c>
    </row>
    <row r="77" spans="1:95" x14ac:dyDescent="0.2">
      <c r="A77" s="24" t="s">
        <v>289</v>
      </c>
      <c r="B77" s="23"/>
      <c r="C77" s="23"/>
      <c r="D77" s="23"/>
      <c r="E77" s="23"/>
      <c r="F77" s="23"/>
      <c r="G77" s="23"/>
      <c r="H77" s="23"/>
      <c r="I77" s="23"/>
      <c r="J77" s="23"/>
      <c r="K77" s="23"/>
      <c r="L77" s="23"/>
      <c r="M77" s="23"/>
      <c r="N77" s="23"/>
      <c r="O77" s="23"/>
      <c r="P77" s="23"/>
      <c r="Q77" s="23"/>
      <c r="R77" s="23"/>
      <c r="S77" s="23"/>
      <c r="T77" s="23"/>
      <c r="U77" s="23"/>
      <c r="V77" s="23"/>
      <c r="W77" s="23"/>
      <c r="X77" s="23"/>
      <c r="Y77" s="23"/>
      <c r="Z77" s="23"/>
      <c r="AA77" s="23"/>
      <c r="AB77" s="23"/>
      <c r="AC77" s="23"/>
      <c r="AD77" s="23"/>
      <c r="AE77" s="23"/>
      <c r="AF77" s="23"/>
      <c r="AG77" s="23"/>
      <c r="AH77" s="23"/>
      <c r="AI77" s="23"/>
      <c r="AJ77" s="23"/>
      <c r="AK77" s="23"/>
      <c r="AL77" s="23"/>
      <c r="AM77" s="23"/>
      <c r="AN77" s="23"/>
      <c r="AO77" s="23"/>
      <c r="AP77" s="23"/>
      <c r="AQ77" s="23"/>
      <c r="AR77" s="23"/>
      <c r="AS77" s="23"/>
      <c r="AT77" s="23"/>
      <c r="AU77" s="23"/>
      <c r="AV77" s="23"/>
      <c r="AW77" s="23"/>
      <c r="AX77" s="23"/>
      <c r="AY77" s="23"/>
      <c r="AZ77" s="23"/>
      <c r="BA77" s="23"/>
      <c r="BB77" s="23"/>
      <c r="BC77" s="23"/>
      <c r="BD77" s="23"/>
      <c r="BE77" s="23"/>
      <c r="BF77" s="23"/>
      <c r="BG77" s="23"/>
      <c r="BH77" s="23"/>
      <c r="BI77" s="23"/>
      <c r="BJ77" s="23"/>
      <c r="BK77" s="23"/>
      <c r="BL77" s="23"/>
      <c r="BM77" s="23"/>
      <c r="BN77" s="23"/>
      <c r="BO77" s="23"/>
      <c r="BP77" s="23"/>
      <c r="BQ77" s="23"/>
      <c r="BR77" s="23"/>
      <c r="BS77" s="23"/>
      <c r="BT77" s="23"/>
      <c r="BU77" s="23"/>
      <c r="BV77" s="23"/>
      <c r="BW77" s="23"/>
      <c r="BX77" s="23"/>
      <c r="BY77" s="23"/>
      <c r="BZ77" s="23"/>
      <c r="CA77" s="23"/>
      <c r="CB77" s="23"/>
      <c r="CC77" s="23"/>
      <c r="CD77" s="23"/>
      <c r="CE77" s="23"/>
      <c r="CF77" s="23"/>
      <c r="CG77" s="23"/>
      <c r="CH77" s="23"/>
      <c r="CI77" s="23"/>
      <c r="CJ77" s="23"/>
      <c r="CK77" s="23"/>
      <c r="CL77" s="23"/>
      <c r="CM77" s="23"/>
      <c r="CN77" s="23"/>
      <c r="CO77" s="23"/>
      <c r="CP77" s="23"/>
      <c r="CQ77" s="23"/>
    </row>
    <row r="78" spans="1:95" x14ac:dyDescent="0.2">
      <c r="A78" s="9" t="s">
        <v>1004</v>
      </c>
      <c r="B78" s="9" t="s">
        <v>302</v>
      </c>
      <c r="C78" s="11">
        <v>1</v>
      </c>
      <c r="D78" s="9" t="s">
        <v>801</v>
      </c>
      <c r="E78" s="16" t="s">
        <v>49</v>
      </c>
      <c r="F78" s="9"/>
      <c r="G78" s="9" t="s">
        <v>1003</v>
      </c>
      <c r="H78" s="9" t="s">
        <v>1005</v>
      </c>
      <c r="I78" s="16" t="s">
        <v>57</v>
      </c>
      <c r="J78" s="16"/>
      <c r="K78" s="9"/>
      <c r="L78" s="16"/>
      <c r="M78" s="16"/>
      <c r="N78" s="16"/>
      <c r="O78" s="9"/>
      <c r="P78" s="14"/>
      <c r="Q78" s="14"/>
      <c r="R78" s="9"/>
      <c r="S78" s="9"/>
      <c r="T78" s="21" t="str">
        <f t="shared" ref="T78:T96" si="82">IF(AQ78=1,"",IF(BX78&lt;&gt;"",BX78&amp;": no result is shown",IF(I78="C1",FIXED(CA78,0,FALSE)&amp;" "&amp;X78&amp;IF(ABS(CA78)&gt;=60," ("&amp;FIXED(CA78/60,1,FALSE)&amp;" hours)",""),IF(I78="C2",FIXED(CB78,0,FALSE)&amp;" calendar days"&amp;IF(AND(CB78=0,CA78&lt;&gt;"")," (order within the day from C1: "&amp;Z78&amp;")","")&amp;IF(AA78&lt;&gt;"","; treatment Day "&amp;AA78,""),FIXED(CC78,0,FALSE)&amp;" to "&amp;FIXED(CD78,0,FALSE)&amp;" calendar days"&amp;IF(AD78&lt;&gt;"","; with constraint "&amp;FIXED(AD78,0,FALSE)&amp;" to "&amp;FIXED(AE78,0,FALSE),"")))))</f>
        <v>15 minutes</v>
      </c>
      <c r="U78" s="21">
        <f t="shared" ref="U78:U96" si="83">IF(BX78&lt;&gt;"","",IF(I78="C1",CA78,IF(I78="C2",CB78,"")))</f>
        <v>15</v>
      </c>
      <c r="V78" s="21" t="str">
        <f t="shared" ref="V78:V96" si="84">IF(CC78="","",CC78)</f>
        <v/>
      </c>
      <c r="W78" s="21" t="str">
        <f t="shared" ref="W78:W96" si="85">IF(CD78="","",CD78)</f>
        <v/>
      </c>
      <c r="X78" s="21" t="str">
        <f t="shared" ref="X78:X96" si="86">IF(OR(AQ78=1,BX78&lt;&gt;""),"",IF(I78="C1",IF(BZ78=1,"minutes (local clock)","minutes"),"calendar days"))</f>
        <v>minutes</v>
      </c>
      <c r="Y78" s="21" t="str">
        <f t="shared" ref="Y78:Y96" si="87">IF(AQ78=1,"",IF(CN78=1,"C7 ("&amp;I78&amp;")",IF(AND(I78="C2",J78="inclusive"),"C2+C3",I78)))</f>
        <v>C1</v>
      </c>
      <c r="Z78" s="21" t="str">
        <f t="shared" ref="Z78:Z96" si="88">IF(OR(AQ78=1,BX78&lt;&gt;""),"",IF(I78="C1",IF(CA78&gt;0,"AFTER",IF(CA78&lt;0,"BEFORE","SIMULTANEOUS")),IF(I78="C2",IF(CB78&gt;0,"AFTER",IF(CB78&lt;0,"BEFORE",IF(CA78&lt;&gt;"",IF(CA78&gt;0,"AFTER",IF(CA78&lt;0,"BEFORE","SIMULTANEOUS")),"SAME_DATE_ORDER_UNKNOWN"))),IF(CC78&gt;0,"AFTER",IF(CD78&lt;0,"BEFORE",IF(AND(CC78=0,CD78=0),"SAME_DATE_ORDER_UNKNOWN","SEQUENCE_UNCERTAIN"))))))</f>
        <v>AFTER</v>
      </c>
      <c r="AA78" s="21" t="str">
        <f t="shared" ref="AA78:AA96" si="89">IF(AND(BX78="",I78="C2",J78="inclusive"),IF(CB78&gt;=0,CB78+1,""),"")</f>
        <v/>
      </c>
      <c r="AB78" s="21" t="str">
        <f t="shared" ref="AB78:AB96" si="90">IF(AQ78=1,"",IF(BX78&lt;&gt;"",BX78&amp;IF(CQ78="I_APPROXIMATE_NOT_COMPARED","; I_APPROXIMATE_NOT_COMPARED",""),MID(IF(CI78=1,"; W_TZ_UNKNOWN","")&amp;IF(CJ78=1,"; W_SAME_DATE_ORDER_UNKNOWN","")&amp;IF(CK78=1,"; W_SEQUENCE_UNCERTAIN","")&amp;IF(CL78=1,"; W_ADMIN_SAME_DATE_AS_ONSET","")&amp;IF(CO78=1,"; W_INTERVENTION_BEFORE_RECOVERY","")&amp;IF(OR(CQ78="",CQ78="OVERLAP"),"","; "&amp;CQ78)&amp;IF(CM78=1,"; I_TREATMENT_DAY_UNDEFINED","")&amp;IF(CH78&lt;&gt;"","; "&amp;CH78&amp;" (constraint)",""),3,999)))</f>
        <v/>
      </c>
      <c r="AC78" s="21" t="str">
        <f>IF(AQ78=1,"",MID(IF(BX78&lt;&gt;""," | "&amp;BX78&amp;": "&amp;SUBSTITUTE(IFERROR(INDEX(nMSG_Text,MATCH(BX78,nMSG_Code,0)),""),"[input]",BY78),"")&amp;IF(CI78=1," | W_TZ_UNKNOWN: "&amp;SUBSTITUTE(IFERROR(INDEX(nMSG_Text,MATCH("W_TZ_UNKNOWN",nMSG_Code,0)),""),"[input]",""),"")&amp;IF(CJ78=1," | W_SAME_DATE_ORDER_UNKNOWN: "&amp;SUBSTITUTE(IFERROR(INDEX(nMSG_Text,MATCH("W_SAME_DATE_ORDER_UNKNOWN",nMSG_Code,0)),""),"[input]",""),"")&amp;IF(CK78=1," | W_SEQUENCE_UNCERTAIN: "&amp;SUBSTITUTE(IFERROR(INDEX(nMSG_Text,MATCH("W_SEQUENCE_UNCERTAIN",nMSG_Code,0)),""),"[input]",""),"")&amp;IF(CL78=1," | W_ADMIN_SAME_DATE_AS_ONSET: "&amp;SUBSTITUTE(IFERROR(INDEX(nMSG_Text,MATCH("W_ADMIN_SAME_DATE_AS_ONSET",nMSG_Code,0)),""),"[input]",""),"")&amp;IF(CO78=1," | W_INTERVENTION_BEFORE_RECOVERY: "&amp;SUBSTITUTE(IFERROR(INDEX(nMSG_Text,MATCH("W_INTERVENTION_BEFORE_RECOVERY",nMSG_Code,0)),""),"[input]",""),"")&amp;IF(OR(CQ78="",CQ78="OVERLAP"),""," | "&amp;CQ78&amp;" (reported timing): "&amp;SUBSTITUTE(IFERROR(INDEX(nMSG_Text,MATCH(CQ78,nMSG_Code,0)),""),"[input]","numeric reported bounds and a reported unit"))&amp;IF(CM78=1," | I_TREATMENT_DAY_UNDEFINED: "&amp;SUBSTITUTE(IFERROR(INDEX(nMSG_Text,MATCH("I_TREATMENT_DAY_UNDEFINED",nMSG_Code,0)),""),"[input]",""),"")&amp;IF(CH78&lt;&gt;""," | "&amp;CH78&amp;" (constraint): "&amp;SUBSTITUTE(IFERROR(INDEX(nMSG_Text,MATCH(CH78,nMSG_Code,0)),""),"[input]","a source for the constraint"),""),4,9999))</f>
        <v/>
      </c>
      <c r="AD78" s="21" t="str">
        <f t="shared" ref="AD78:AD96" si="91">IF(OR(CF78="",CH78&lt;&gt;""),"",BE78-CG78)</f>
        <v/>
      </c>
      <c r="AE78" s="21" t="str">
        <f t="shared" ref="AE78:AE96" si="92">IF(OR(CF78="",CH78&lt;&gt;""),"",BF78-CF78)</f>
        <v/>
      </c>
      <c r="AF78" s="21" t="str">
        <f t="shared" ref="AF78:AF96" si="93">IF(CQ78="","",IF(CQ78="OVERLAP","Overlaps the computed interval. ",IF(CQ78="W_REPORTED_TIMING_CONFLICT","Conflicts with the computed interval; both kept. ",IF(CQ78="I_APPROXIMATE_NOT_COMPARED","Not compared. ",CQ78&amp;": not compared. ")))&amp;"Reported: "&amp;CHAR(34)&amp;K78&amp;CHAR(34)&amp;IF(AND(ISNUMBER(L78),ISNUMBER(M78))," ["&amp;L78&amp;" to "&amp;M78&amp;" "&amp;N78&amp;"]",""))</f>
        <v/>
      </c>
      <c r="AG78" s="21" t="str">
        <f t="shared" ref="AG78:AG96" si="94">IF(E78="LAST_DOSE_BEFORE_ONSET",BI78,G78&amp;"")</f>
        <v>EX1/START</v>
      </c>
      <c r="AH78" s="21" t="str">
        <f>IF(BJ78=0,"",INDEX(nTP_ISO,BJ78))</f>
        <v>2026-01-10T09:00-05:00</v>
      </c>
      <c r="AI78" s="21" t="str">
        <f>IF(BJ78=0,"",INDEX(nTP_Display,BJ78))</f>
        <v>10 January 2026 09:00 (UTC-05:00)</v>
      </c>
      <c r="AJ78" s="21" t="str">
        <f>IF(AV78=0,"",INDEX(nTP_ISO,AV78))</f>
        <v>2026-01-10T09:15-05:00</v>
      </c>
      <c r="AK78" s="21" t="str">
        <f>IF(AV78=0,"",INDEX(nTP_Display,AV78))</f>
        <v>10 January 2026 09:15 (UTC-05:00)</v>
      </c>
      <c r="AL78" s="21" t="str">
        <f>IF(AU78=0,"",INDEX(nLNK_Exposure_Episode_ID,AU78)&amp;"")</f>
        <v>EX1</v>
      </c>
      <c r="AM78" s="21" t="str">
        <f>IF(AU78=0,"",INDEX(nLNK_Event_Episode_ID,AU78)&amp;"")</f>
        <v>EV1</v>
      </c>
      <c r="AN78" s="21" t="str">
        <f t="shared" ref="AN78:AN96" si="95">IF(OR(AQ78=1,BX78&lt;&gt;""),"",IF(I78="C1",IF(BZ78=1,"Local clock times subtracted; the UTC offset of at least one time is unknown.","Both times converted to UTC with the recorded offsets."),IF(I78="C2","Calendar-date difference of the recorded local dates; not elapsed days."&amp;IF(J78="inclusive"," Treatment day uses the inclusive convention selected by the user; never written to E2B fields automatically.",""),"Bounded interval: minimum = end-point lower bound minus anchor upper bound; maximum = end-point upper bound minus anchor lower bound. No single date is imputed."))&amp;IF(E78="LAST_DOSE_BEFORE_ONSET"," Anchor selected by C5: latest administration at or before the end point ("&amp;AG78&amp;").",""))</f>
        <v>Both times converted to UTC with the recorded offsets.</v>
      </c>
      <c r="AO78" s="21" t="str">
        <f t="shared" ref="AO78:AO96" si="96">IF(AND(AQ78=0,CN78=1,BX78="",BU78=0),"No intervention is recorded between cessation and recovery. The absence of a record is not evidence that none was given; CALC-SPEC 1.0 has no code for interventions unknown.","")</f>
        <v/>
      </c>
      <c r="AP78" s="21" t="str">
        <f t="shared" ref="AP78:AP96" si="97">IF(AQ78=1,"","CALC-SPEC 1.0")</f>
        <v>CALC-SPEC 1.0</v>
      </c>
      <c r="AQ78" s="22">
        <f t="shared" ref="AQ78:AQ96" si="98">IF(AND(A78="",D78="",E78="",H78=""),1,0)</f>
        <v>0</v>
      </c>
      <c r="AR78" s="21" t="str">
        <f t="shared" ref="AR78:AR96" si="99">B78&amp;"|"&amp;C78</f>
        <v>VEC-V01|1</v>
      </c>
      <c r="AS78" s="21" t="str">
        <f t="shared" ref="AS78:AS96" si="100">IF(A78="","",AR78&amp;"|"&amp;A78)</f>
        <v>VEC-V01|1|I1</v>
      </c>
      <c r="AT78" s="22">
        <f>IF(AS78="",0,COUNTIF(nINT_Key,AS78))</f>
        <v>1</v>
      </c>
      <c r="AU78" s="22">
        <f>IF(D78="",0,IFERROR(MATCH(AR78&amp;"|"&amp;D78,nLNK_Key,0),0))</f>
        <v>32</v>
      </c>
      <c r="AV78" s="22">
        <f>IF(OR(AQ78=1,H78=""),0,IFERROR(MATCH(AR78&amp;"|"&amp;H78,nTP_Key,0),0))</f>
        <v>284</v>
      </c>
      <c r="AW78" s="21">
        <f>IF(AV78=0,0,INDEX(nTP_Dup,AV78))</f>
        <v>1</v>
      </c>
      <c r="AX78" s="21" t="str">
        <f>IF(AV78=0,"",INDEX(nTP_Record_Type,AV78))</f>
        <v>EVENT_ONSET</v>
      </c>
      <c r="AY78" s="21" t="str">
        <f>IF(AV78=0,"",INDEX(nTP_Precision,AV78))</f>
        <v>TIMESTAMP</v>
      </c>
      <c r="AZ78" s="21" t="str">
        <f>IF(AV78=0,"",INDEX(nTP_Err,AV78))</f>
        <v/>
      </c>
      <c r="BA78" s="21">
        <f>IF(AV78=0,0,INDEX(nTP_HT,AV78))</f>
        <v>1</v>
      </c>
      <c r="BB78" s="21">
        <f>IF(AV78=0,0,INDEX(nTP_OK,AV78))</f>
        <v>1</v>
      </c>
      <c r="BC78" s="21">
        <f>IF(AV78=0,"",INDEX(nTP_Loc,AV78))</f>
        <v>66286635</v>
      </c>
      <c r="BD78" s="21">
        <f>IF(AV78=0,"",INDEX(nTP_UTC,AV78))</f>
        <v>66286935</v>
      </c>
      <c r="BE78" s="21">
        <f>IF(AV78=0,"",INDEX(nTP_Lo,AV78))</f>
        <v>46032</v>
      </c>
      <c r="BF78" s="21">
        <f>IF(AV78=0,"",INDEX(nTP_Hi,AV78))</f>
        <v>46032</v>
      </c>
      <c r="BG78" s="22">
        <f>IF(OR(AQ78=1,E78&lt;&gt;"LAST_DOSE_BEFORE_ONSET",AU78=0,AV78=0),0,IF(AZ78&lt;&gt;"",0,SUMPRODUCT(MAX((nADM_SelKey=AR78&amp;"|"&amp;AL78)*nADM_Valid*(nADM_A_HT*BA78*nADM_A_OK*BB78*(nADM_UTC_n&lt;=N(BD78))+nADM_A_HT*BA78*(1-nADM_A_OK*BB78)*(nADM_Loc_n&lt;=N(BC78))+(1-nADM_A_HT*BA78)*(nADM_Lo_n&lt;=N(BE78)))*nADM_Sort_n))))</f>
        <v>0</v>
      </c>
      <c r="BH78" s="22">
        <f>IF(BG78=0,0,MATCH(1,INDEX((nADM_SelKey=AR78&amp;"|"&amp;AL78)*nADM_Valid*(nADM_A_HT*BA78*nADM_A_OK*BB78*(nADM_UTC_n&lt;=N(BD78))+nADM_A_HT*BA78*(1-nADM_A_OK*BB78)*(nADM_Loc_n&lt;=N(BC78))+(1-nADM_A_HT*BA78)*(nADM_Lo_n&lt;=N(BE78)))*(nADM_Sort_n=BG78),0),0))</f>
        <v>0</v>
      </c>
      <c r="BI78" s="21" t="str">
        <f>IF(BH78=0,"",INDEX(nADM_Admin_ID,BH78)&amp;"")</f>
        <v/>
      </c>
      <c r="BJ78" s="22">
        <f>IF(OR(AQ78=1,AG78=""),0,IFERROR(MATCH(AR78&amp;"|"&amp;AG78,nTP_Key,0),0))</f>
        <v>44</v>
      </c>
      <c r="BK78" s="21">
        <f>IF(BJ78=0,0,INDEX(nTP_Dup,BJ78))</f>
        <v>1</v>
      </c>
      <c r="BL78" s="21" t="str">
        <f>IF(BJ78=0,"",INDEX(nTP_Record_Type,BJ78))</f>
        <v>EXPOSURE_START</v>
      </c>
      <c r="BM78" s="21" t="str">
        <f>IF(BJ78=0,"",INDEX(nTP_Precision,BJ78))</f>
        <v>TIMESTAMP</v>
      </c>
      <c r="BN78" s="21" t="str">
        <f>IF(BJ78=0,"",INDEX(nTP_Err,BJ78))</f>
        <v/>
      </c>
      <c r="BO78" s="21">
        <f>IF(BJ78=0,0,INDEX(nTP_HT,BJ78))</f>
        <v>1</v>
      </c>
      <c r="BP78" s="21">
        <f>IF(BJ78=0,0,INDEX(nTP_OK,BJ78))</f>
        <v>1</v>
      </c>
      <c r="BQ78" s="21">
        <f>IF(BJ78=0,"",INDEX(nTP_Loc,BJ78))</f>
        <v>66286620</v>
      </c>
      <c r="BR78" s="21">
        <f>IF(BJ78=0,"",INDEX(nTP_UTC,BJ78))</f>
        <v>66286920</v>
      </c>
      <c r="BS78" s="21">
        <f>IF(BJ78=0,"",INDEX(nTP_Lo,BJ78))</f>
        <v>46032</v>
      </c>
      <c r="BT78" s="21">
        <f>IF(BJ78=0,"",INDEX(nTP_Hi,BJ78))</f>
        <v>46032</v>
      </c>
      <c r="BU78" s="22">
        <f>IF(OR(BJ78=0,AV78=0),0,SUMPRODUCT((nTP_Case_Key=AR78)*(nTP_Record_Type="MILESTONE:INTERVENTION")*(nTP_Err="")*(nTP_HT*BO78*BA78*(nTP_Loc_n&gt;=N(BQ78))*(nTP_Loc_n&lt;=N(BC78))+(1-nTP_HT*BO78*BA78)*(nTP_Lo_n&gt;=N(BS78))*(nTP_Hi_n&lt;=N(BF78))*(nTP_Lo_n&gt;0))))</f>
        <v>0</v>
      </c>
      <c r="BV78" s="21" t="str">
        <f t="shared" ref="BV78:BV96" si="101">IF(AQ78=1,"",IF(A78="","E_MISSING_INPUT",IF(AT78&gt;1,"E_DUPLICATE_ID",IF(AU78=0,"E_MISSING_LINK",IF(OR(E78="",AND(E78="OTHER",F78="")),"E_MISSING_INPUT",IF(AV78=0,"E_MISSING_INPUT",IF(BJ78=0,"E_MISSING_INPUT",IF(OR(BK78&gt;1,AW78&gt;1),"E_DUPLICATE_ID",""))))))))</f>
        <v/>
      </c>
      <c r="BW78" s="21" t="str">
        <f t="shared" ref="BW78:BW96" si="102">IF(BV78&lt;&gt;"E_MISSING_INPUT","",IF(A78="","an Interval_ID",IF(E78="","an Anchor_Type",IF(AND(E78="OTHER",F78=""),"a description of the OTHER anchor",IF(AV78=0,"the end-point record "&amp;IF(H78="","(End_Record_ID is blank)",H78),IF(E78="LAST_DOSE_BEFORE_ONSET","an administration of exposure episode "&amp;AL78&amp;" dated at or before the end point (C5)","the anchor record "&amp;IF(G78="","(Anchor_Record_ID is blank)",G78)))))))</f>
        <v/>
      </c>
      <c r="BX78" s="21" t="str">
        <f t="shared" ref="BX78:BX96" si="103">IF(AQ78=1,"",IF(BV78&lt;&gt;"",BV78,IF(BN78&lt;&gt;"",BN78,IF(AZ78&lt;&gt;"",AZ78,IF(AND(I78&lt;&gt;"C1",I78&lt;&gt;"C2",I78&lt;&gt;"C4"),"E_MISSING_INPUT",IF(OR(BS78="",BE78=""),"E_MISSING_INPUT",IF(AND(I78="C1",BO78*BA78=0),"E_MISSING_INPUT",IF(AND(I78="C2",OR(AND(BM78&lt;&gt;"TIMESTAMP",BM78&lt;&gt;"DATE"),AND(AY78&lt;&gt;"TIMESTAMP",AY78&lt;&gt;"DATE"))),"E_MISSING_INPUT",""))))))))</f>
        <v/>
      </c>
      <c r="BY78" s="21" t="str">
        <f t="shared" ref="BY78:BY96" si="104">IF(BX78&lt;&gt;"E_MISSING_INPUT","",IF(BV78="E_MISSING_INPUT",BW78,IF(BN78="E_MISSING_INPUT","the date fields required by the precision of anchor record "&amp;AG78,IF(AZ78="E_MISSING_INPUT","the date fields required by the precision of end-point record "&amp;H78,IF(AND(I78&lt;&gt;"C1",I78&lt;&gt;"C2",I78&lt;&gt;"C4"),"a calculation mode (C1, C2 or C4)",IF(OR(BS78="",BE78=""),"dated anchor and end-point records",IF(I78="C1","a time of day and UTC offset (or unknown) on both records; C1 needs two timestamps, so use C2 or C4 for dates","an exact date on both records; use C4 for partial dates and ranges")))))))</f>
        <v/>
      </c>
      <c r="BZ78" s="22">
        <f t="shared" ref="BZ78:BZ96" si="105">IF(BP78*BB78=1,0,1)</f>
        <v>0</v>
      </c>
      <c r="CA78" s="21">
        <f t="shared" ref="CA78:CA96" si="106">IF(AND(BX78="",BO78*BA78=1),IF(BZ78=0,BD78-BR78,BC78-BQ78),"")</f>
        <v>15</v>
      </c>
      <c r="CB78" s="21" t="str">
        <f t="shared" ref="CB78:CB96" si="107">IF(AND(BX78="",I78="C2"),BE78-BS78,"")</f>
        <v/>
      </c>
      <c r="CC78" s="21" t="str">
        <f t="shared" ref="CC78:CC96" si="108">IF(AND(BX78="",I78="C4"),BE78-BT78,"")</f>
        <v/>
      </c>
      <c r="CD78" s="21" t="str">
        <f t="shared" ref="CD78:CD96" si="109">IF(AND(BX78="",I78="C4"),BF78-BS78,"")</f>
        <v/>
      </c>
      <c r="CE78" s="22">
        <f t="shared" ref="CE78:CE96" si="110">IF(AND(I78="C4",OR(ISNUMBER(P78),ISNUMBER(Q78))),1,0)</f>
        <v>0</v>
      </c>
      <c r="CF78" s="28" t="str">
        <f t="shared" ref="CF78:CF96" si="111">IF(OR(BX78&lt;&gt;"",CE78=0),"",IF(ISNUMBER(P78),MAX(BS78,P78),BS78))</f>
        <v/>
      </c>
      <c r="CG78" s="28" t="str">
        <f t="shared" ref="CG78:CG96" si="112">IF(OR(BX78&lt;&gt;"",CE78=0),"",IF(ISNUMBER(Q78),MIN(BT78,Q78),BT78))</f>
        <v/>
      </c>
      <c r="CH78" s="21" t="str">
        <f t="shared" ref="CH78:CH96" si="113">IF(CF78="","",IF(CF78&gt;CG78,"E_REVERSED_BOUNDS",IF(R78="","E_MISSING_INPUT","")))</f>
        <v/>
      </c>
      <c r="CI78" s="22">
        <f t="shared" ref="CI78:CI96" si="114">IF(AND(BX78="",BZ78=1,CA78&lt;&gt;"",OR(I78="C1",AND(I78="C2",CB78=0))),1,0)</f>
        <v>0</v>
      </c>
      <c r="CJ78" s="22">
        <f t="shared" ref="CJ78:CJ96" si="115">IF(AND(BX78="",OR(AND(I78="C2",CB78=0,CA78=""),AND(I78="C4",CC78=0,CD78=0))),1,0)</f>
        <v>0</v>
      </c>
      <c r="CK78" s="22">
        <f t="shared" ref="CK78:CK96" si="116">IF(Z78="SEQUENCE_UNCERTAIN",1,0)</f>
        <v>0</v>
      </c>
      <c r="CL78" s="22">
        <f t="shared" ref="CL78:CL96" si="117">IF(AND(BX78="",E78="LAST_DOSE_BEFORE_ONSET",BO78*BA78=0,BS78=BE78),1,0)</f>
        <v>0</v>
      </c>
      <c r="CM78" s="22">
        <f t="shared" ref="CM78:CM96" si="118">IF(AND(BX78="",I78="C2",J78="inclusive",CB78&lt;0),1,0)</f>
        <v>0</v>
      </c>
      <c r="CN78" s="22">
        <f t="shared" ref="CN78:CN96" si="119">IF(AND(E78="CESSATION",AX78="MILESTONE:RECOVERY"),1,0)</f>
        <v>0</v>
      </c>
      <c r="CO78" s="22">
        <f t="shared" ref="CO78:CO96" si="120">IF(AND(BX78="",CN78=1,BU78&gt;0),1,0)</f>
        <v>0</v>
      </c>
      <c r="CP78" s="22">
        <f t="shared" ref="CP78:CP96" si="121">IF(I78="C1",IF(N78="minutes",1,IF(N78="hours",60,IF(N78="days",1440,0))),IF(OR(I78="C2",I78="C4"),IF(N78="calendar days",1,0),0))</f>
        <v>0</v>
      </c>
      <c r="CQ78" s="21" t="str">
        <f t="shared" ref="CQ78:CQ96" si="122">IF(COUNTA(K78:N78)=0,"",IF(OR(L78="",M78=""),"I_APPROXIMATE_NOT_COMPARED",IF(OR(NOT(ISNUMBER(L78)),NOT(ISNUMBER(M78))),"E_MISSING_INPUT",IF(L78&gt;M78,"E_REVERSED_BOUNDS",IF(OR(N78="weeks",N78="months",N78="years"),"I_APPROXIMATE_NOT_COMPARED",IF(N78="","E_MISSING_INPUT",IF(BX78&lt;&gt;"","",IF(CP78=0,"I_APPROXIMATE_NOT_COMPARED",IF(AND(L78*CP78&lt;=IF(I78="C4",CD78,U78),M78*CP78&gt;=IF(I78="C4",CC78,U78)),"OVERLAP","W_REPORTED_TIMING_CONFLICT")))))))))</f>
        <v/>
      </c>
    </row>
    <row r="79" spans="1:95" x14ac:dyDescent="0.2">
      <c r="A79" s="9" t="s">
        <v>1004</v>
      </c>
      <c r="B79" s="9" t="s">
        <v>305</v>
      </c>
      <c r="C79" s="11">
        <v>1</v>
      </c>
      <c r="D79" s="9" t="s">
        <v>801</v>
      </c>
      <c r="E79" s="16" t="s">
        <v>49</v>
      </c>
      <c r="F79" s="9"/>
      <c r="G79" s="9" t="s">
        <v>1003</v>
      </c>
      <c r="H79" s="9" t="s">
        <v>1005</v>
      </c>
      <c r="I79" s="16" t="s">
        <v>58</v>
      </c>
      <c r="J79" s="16" t="s">
        <v>61</v>
      </c>
      <c r="K79" s="9"/>
      <c r="L79" s="16"/>
      <c r="M79" s="16"/>
      <c r="N79" s="16"/>
      <c r="O79" s="9"/>
      <c r="P79" s="14"/>
      <c r="Q79" s="14"/>
      <c r="R79" s="9"/>
      <c r="S79" s="9"/>
      <c r="T79" s="21" t="str">
        <f t="shared" si="82"/>
        <v>5 calendar days; treatment Day 6</v>
      </c>
      <c r="U79" s="21">
        <f t="shared" si="83"/>
        <v>5</v>
      </c>
      <c r="V79" s="21" t="str">
        <f t="shared" si="84"/>
        <v/>
      </c>
      <c r="W79" s="21" t="str">
        <f t="shared" si="85"/>
        <v/>
      </c>
      <c r="X79" s="21" t="str">
        <f t="shared" si="86"/>
        <v>calendar days</v>
      </c>
      <c r="Y79" s="21" t="str">
        <f t="shared" si="87"/>
        <v>C2+C3</v>
      </c>
      <c r="Z79" s="21" t="str">
        <f t="shared" si="88"/>
        <v>AFTER</v>
      </c>
      <c r="AA79" s="21">
        <f t="shared" si="89"/>
        <v>6</v>
      </c>
      <c r="AB79" s="21" t="str">
        <f t="shared" si="90"/>
        <v/>
      </c>
      <c r="AC79" s="21" t="str">
        <f>IF(AQ79=1,"",MID(IF(BX79&lt;&gt;""," | "&amp;BX79&amp;": "&amp;SUBSTITUTE(IFERROR(INDEX(nMSG_Text,MATCH(BX79,nMSG_Code,0)),""),"[input]",BY79),"")&amp;IF(CI79=1," | W_TZ_UNKNOWN: "&amp;SUBSTITUTE(IFERROR(INDEX(nMSG_Text,MATCH("W_TZ_UNKNOWN",nMSG_Code,0)),""),"[input]",""),"")&amp;IF(CJ79=1," | W_SAME_DATE_ORDER_UNKNOWN: "&amp;SUBSTITUTE(IFERROR(INDEX(nMSG_Text,MATCH("W_SAME_DATE_ORDER_UNKNOWN",nMSG_Code,0)),""),"[input]",""),"")&amp;IF(CK79=1," | W_SEQUENCE_UNCERTAIN: "&amp;SUBSTITUTE(IFERROR(INDEX(nMSG_Text,MATCH("W_SEQUENCE_UNCERTAIN",nMSG_Code,0)),""),"[input]",""),"")&amp;IF(CL79=1," | W_ADMIN_SAME_DATE_AS_ONSET: "&amp;SUBSTITUTE(IFERROR(INDEX(nMSG_Text,MATCH("W_ADMIN_SAME_DATE_AS_ONSET",nMSG_Code,0)),""),"[input]",""),"")&amp;IF(CO79=1," | W_INTERVENTION_BEFORE_RECOVERY: "&amp;SUBSTITUTE(IFERROR(INDEX(nMSG_Text,MATCH("W_INTERVENTION_BEFORE_RECOVERY",nMSG_Code,0)),""),"[input]",""),"")&amp;IF(OR(CQ79="",CQ79="OVERLAP"),""," | "&amp;CQ79&amp;" (reported timing): "&amp;SUBSTITUTE(IFERROR(INDEX(nMSG_Text,MATCH(CQ79,nMSG_Code,0)),""),"[input]","numeric reported bounds and a reported unit"))&amp;IF(CM79=1," | I_TREATMENT_DAY_UNDEFINED: "&amp;SUBSTITUTE(IFERROR(INDEX(nMSG_Text,MATCH("I_TREATMENT_DAY_UNDEFINED",nMSG_Code,0)),""),"[input]",""),"")&amp;IF(CH79&lt;&gt;""," | "&amp;CH79&amp;" (constraint): "&amp;SUBSTITUTE(IFERROR(INDEX(nMSG_Text,MATCH(CH79,nMSG_Code,0)),""),"[input]","a source for the constraint"),""),4,9999))</f>
        <v/>
      </c>
      <c r="AD79" s="21" t="str">
        <f t="shared" si="91"/>
        <v/>
      </c>
      <c r="AE79" s="21" t="str">
        <f t="shared" si="92"/>
        <v/>
      </c>
      <c r="AF79" s="21" t="str">
        <f t="shared" si="93"/>
        <v/>
      </c>
      <c r="AG79" s="21" t="str">
        <f t="shared" si="94"/>
        <v>EX1/START</v>
      </c>
      <c r="AH79" s="21" t="str">
        <f>IF(BJ79=0,"",INDEX(nTP_ISO,BJ79))</f>
        <v>2026-01-01</v>
      </c>
      <c r="AI79" s="21" t="str">
        <f>IF(BJ79=0,"",INDEX(nTP_Display,BJ79))</f>
        <v>1 January 2026</v>
      </c>
      <c r="AJ79" s="21" t="str">
        <f>IF(AV79=0,"",INDEX(nTP_ISO,AV79))</f>
        <v>2026-01-06</v>
      </c>
      <c r="AK79" s="21" t="str">
        <f>IF(AV79=0,"",INDEX(nTP_Display,AV79))</f>
        <v>6 January 2026</v>
      </c>
      <c r="AL79" s="21" t="str">
        <f>IF(AU79=0,"",INDEX(nLNK_Exposure_Episode_ID,AU79)&amp;"")</f>
        <v>EX1</v>
      </c>
      <c r="AM79" s="21" t="str">
        <f>IF(AU79=0,"",INDEX(nLNK_Event_Episode_ID,AU79)&amp;"")</f>
        <v>EV1</v>
      </c>
      <c r="AN79" s="21" t="str">
        <f t="shared" si="95"/>
        <v>Calendar-date difference of the recorded local dates; not elapsed days. Treatment day uses the inclusive convention selected by the user; never written to E2B fields automatically.</v>
      </c>
      <c r="AO79" s="21" t="str">
        <f t="shared" si="96"/>
        <v/>
      </c>
      <c r="AP79" s="21" t="str">
        <f t="shared" si="97"/>
        <v>CALC-SPEC 1.0</v>
      </c>
      <c r="AQ79" s="22">
        <f t="shared" si="98"/>
        <v>0</v>
      </c>
      <c r="AR79" s="21" t="str">
        <f t="shared" si="99"/>
        <v>VEC-V02|1</v>
      </c>
      <c r="AS79" s="21" t="str">
        <f t="shared" si="100"/>
        <v>VEC-V02|1|I1</v>
      </c>
      <c r="AT79" s="22">
        <f>IF(AS79="",0,COUNTIF(nINT_Key,AS79))</f>
        <v>1</v>
      </c>
      <c r="AU79" s="22">
        <f>IF(D79="",0,IFERROR(MATCH(AR79&amp;"|"&amp;D79,nLNK_Key,0),0))</f>
        <v>33</v>
      </c>
      <c r="AV79" s="22">
        <f>IF(OR(AQ79=1,H79=""),0,IFERROR(MATCH(AR79&amp;"|"&amp;H79,nTP_Key,0),0))</f>
        <v>285</v>
      </c>
      <c r="AW79" s="21">
        <f>IF(AV79=0,0,INDEX(nTP_Dup,AV79))</f>
        <v>1</v>
      </c>
      <c r="AX79" s="21" t="str">
        <f>IF(AV79=0,"",INDEX(nTP_Record_Type,AV79))</f>
        <v>EVENT_ONSET</v>
      </c>
      <c r="AY79" s="21" t="str">
        <f>IF(AV79=0,"",INDEX(nTP_Precision,AV79))</f>
        <v>DATE</v>
      </c>
      <c r="AZ79" s="21" t="str">
        <f>IF(AV79=0,"",INDEX(nTP_Err,AV79))</f>
        <v/>
      </c>
      <c r="BA79" s="21">
        <f>IF(AV79=0,0,INDEX(nTP_HT,AV79))</f>
        <v>0</v>
      </c>
      <c r="BB79" s="21">
        <f>IF(AV79=0,0,INDEX(nTP_OK,AV79))</f>
        <v>0</v>
      </c>
      <c r="BC79" s="21" t="str">
        <f>IF(AV79=0,"",INDEX(nTP_Loc,AV79))</f>
        <v/>
      </c>
      <c r="BD79" s="21" t="str">
        <f>IF(AV79=0,"",INDEX(nTP_UTC,AV79))</f>
        <v/>
      </c>
      <c r="BE79" s="21">
        <f>IF(AV79=0,"",INDEX(nTP_Lo,AV79))</f>
        <v>46028</v>
      </c>
      <c r="BF79" s="21">
        <f>IF(AV79=0,"",INDEX(nTP_Hi,AV79))</f>
        <v>46028</v>
      </c>
      <c r="BG79" s="22">
        <f>IF(OR(AQ79=1,E79&lt;&gt;"LAST_DOSE_BEFORE_ONSET",AU79=0,AV79=0),0,IF(AZ79&lt;&gt;"",0,SUMPRODUCT(MAX((nADM_SelKey=AR79&amp;"|"&amp;AL79)*nADM_Valid*(nADM_A_HT*BA79*nADM_A_OK*BB79*(nADM_UTC_n&lt;=N(BD79))+nADM_A_HT*BA79*(1-nADM_A_OK*BB79)*(nADM_Loc_n&lt;=N(BC79))+(1-nADM_A_HT*BA79)*(nADM_Lo_n&lt;=N(BE79)))*nADM_Sort_n))))</f>
        <v>0</v>
      </c>
      <c r="BH79" s="22">
        <f>IF(BG79=0,0,MATCH(1,INDEX((nADM_SelKey=AR79&amp;"|"&amp;AL79)*nADM_Valid*(nADM_A_HT*BA79*nADM_A_OK*BB79*(nADM_UTC_n&lt;=N(BD79))+nADM_A_HT*BA79*(1-nADM_A_OK*BB79)*(nADM_Loc_n&lt;=N(BC79))+(1-nADM_A_HT*BA79)*(nADM_Lo_n&lt;=N(BE79)))*(nADM_Sort_n=BG79),0),0))</f>
        <v>0</v>
      </c>
      <c r="BI79" s="21" t="str">
        <f>IF(BH79=0,"",INDEX(nADM_Admin_ID,BH79)&amp;"")</f>
        <v/>
      </c>
      <c r="BJ79" s="22">
        <f>IF(OR(AQ79=1,AG79=""),0,IFERROR(MATCH(AR79&amp;"|"&amp;AG79,nTP_Key,0),0))</f>
        <v>45</v>
      </c>
      <c r="BK79" s="21">
        <f>IF(BJ79=0,0,INDEX(nTP_Dup,BJ79))</f>
        <v>1</v>
      </c>
      <c r="BL79" s="21" t="str">
        <f>IF(BJ79=0,"",INDEX(nTP_Record_Type,BJ79))</f>
        <v>EXPOSURE_START</v>
      </c>
      <c r="BM79" s="21" t="str">
        <f>IF(BJ79=0,"",INDEX(nTP_Precision,BJ79))</f>
        <v>DATE</v>
      </c>
      <c r="BN79" s="21" t="str">
        <f>IF(BJ79=0,"",INDEX(nTP_Err,BJ79))</f>
        <v/>
      </c>
      <c r="BO79" s="21">
        <f>IF(BJ79=0,0,INDEX(nTP_HT,BJ79))</f>
        <v>0</v>
      </c>
      <c r="BP79" s="21">
        <f>IF(BJ79=0,0,INDEX(nTP_OK,BJ79))</f>
        <v>0</v>
      </c>
      <c r="BQ79" s="21" t="str">
        <f>IF(BJ79=0,"",INDEX(nTP_Loc,BJ79))</f>
        <v/>
      </c>
      <c r="BR79" s="21" t="str">
        <f>IF(BJ79=0,"",INDEX(nTP_UTC,BJ79))</f>
        <v/>
      </c>
      <c r="BS79" s="21">
        <f>IF(BJ79=0,"",INDEX(nTP_Lo,BJ79))</f>
        <v>46023</v>
      </c>
      <c r="BT79" s="21">
        <f>IF(BJ79=0,"",INDEX(nTP_Hi,BJ79))</f>
        <v>46023</v>
      </c>
      <c r="BU79" s="22">
        <f>IF(OR(BJ79=0,AV79=0),0,SUMPRODUCT((nTP_Case_Key=AR79)*(nTP_Record_Type="MILESTONE:INTERVENTION")*(nTP_Err="")*(nTP_HT*BO79*BA79*(nTP_Loc_n&gt;=N(BQ79))*(nTP_Loc_n&lt;=N(BC79))+(1-nTP_HT*BO79*BA79)*(nTP_Lo_n&gt;=N(BS79))*(nTP_Hi_n&lt;=N(BF79))*(nTP_Lo_n&gt;0))))</f>
        <v>0</v>
      </c>
      <c r="BV79" s="21" t="str">
        <f t="shared" si="101"/>
        <v/>
      </c>
      <c r="BW79" s="21" t="str">
        <f t="shared" si="102"/>
        <v/>
      </c>
      <c r="BX79" s="21" t="str">
        <f t="shared" si="103"/>
        <v/>
      </c>
      <c r="BY79" s="21" t="str">
        <f t="shared" si="104"/>
        <v/>
      </c>
      <c r="BZ79" s="22">
        <f t="shared" si="105"/>
        <v>1</v>
      </c>
      <c r="CA79" s="21" t="str">
        <f t="shared" si="106"/>
        <v/>
      </c>
      <c r="CB79" s="21">
        <f t="shared" si="107"/>
        <v>5</v>
      </c>
      <c r="CC79" s="21" t="str">
        <f t="shared" si="108"/>
        <v/>
      </c>
      <c r="CD79" s="21" t="str">
        <f t="shared" si="109"/>
        <v/>
      </c>
      <c r="CE79" s="22">
        <f t="shared" si="110"/>
        <v>0</v>
      </c>
      <c r="CF79" s="28" t="str">
        <f t="shared" si="111"/>
        <v/>
      </c>
      <c r="CG79" s="28" t="str">
        <f t="shared" si="112"/>
        <v/>
      </c>
      <c r="CH79" s="21" t="str">
        <f t="shared" si="113"/>
        <v/>
      </c>
      <c r="CI79" s="22">
        <f t="shared" si="114"/>
        <v>0</v>
      </c>
      <c r="CJ79" s="22">
        <f t="shared" si="115"/>
        <v>0</v>
      </c>
      <c r="CK79" s="22">
        <f t="shared" si="116"/>
        <v>0</v>
      </c>
      <c r="CL79" s="22">
        <f t="shared" si="117"/>
        <v>0</v>
      </c>
      <c r="CM79" s="22">
        <f t="shared" si="118"/>
        <v>0</v>
      </c>
      <c r="CN79" s="22">
        <f t="shared" si="119"/>
        <v>0</v>
      </c>
      <c r="CO79" s="22">
        <f t="shared" si="120"/>
        <v>0</v>
      </c>
      <c r="CP79" s="22">
        <f t="shared" si="121"/>
        <v>0</v>
      </c>
      <c r="CQ79" s="21" t="str">
        <f t="shared" si="122"/>
        <v/>
      </c>
    </row>
    <row r="80" spans="1:95" x14ac:dyDescent="0.2">
      <c r="A80" s="9" t="s">
        <v>1004</v>
      </c>
      <c r="B80" s="9" t="s">
        <v>307</v>
      </c>
      <c r="C80" s="11">
        <v>1</v>
      </c>
      <c r="D80" s="9" t="s">
        <v>801</v>
      </c>
      <c r="E80" s="16" t="s">
        <v>49</v>
      </c>
      <c r="F80" s="9"/>
      <c r="G80" s="9" t="s">
        <v>1003</v>
      </c>
      <c r="H80" s="9" t="s">
        <v>1005</v>
      </c>
      <c r="I80" s="16" t="s">
        <v>58</v>
      </c>
      <c r="J80" s="16"/>
      <c r="K80" s="9"/>
      <c r="L80" s="16"/>
      <c r="M80" s="16"/>
      <c r="N80" s="16"/>
      <c r="O80" s="9"/>
      <c r="P80" s="14"/>
      <c r="Q80" s="14"/>
      <c r="R80" s="9"/>
      <c r="S80" s="9"/>
      <c r="T80" s="21" t="str">
        <f t="shared" si="82"/>
        <v>0 calendar days</v>
      </c>
      <c r="U80" s="21">
        <f t="shared" si="83"/>
        <v>0</v>
      </c>
      <c r="V80" s="21" t="str">
        <f t="shared" si="84"/>
        <v/>
      </c>
      <c r="W80" s="21" t="str">
        <f t="shared" si="85"/>
        <v/>
      </c>
      <c r="X80" s="21" t="str">
        <f t="shared" si="86"/>
        <v>calendar days</v>
      </c>
      <c r="Y80" s="21" t="str">
        <f t="shared" si="87"/>
        <v>C2</v>
      </c>
      <c r="Z80" s="21" t="str">
        <f t="shared" si="88"/>
        <v>SAME_DATE_ORDER_UNKNOWN</v>
      </c>
      <c r="AA80" s="21" t="str">
        <f t="shared" si="89"/>
        <v/>
      </c>
      <c r="AB80" s="21" t="str">
        <f t="shared" si="90"/>
        <v>W_SAME_DATE_ORDER_UNKNOWN</v>
      </c>
      <c r="AC80" s="21" t="str">
        <f>IF(AQ80=1,"",MID(IF(BX80&lt;&gt;""," | "&amp;BX80&amp;": "&amp;SUBSTITUTE(IFERROR(INDEX(nMSG_Text,MATCH(BX80,nMSG_Code,0)),""),"[input]",BY80),"")&amp;IF(CI80=1," | W_TZ_UNKNOWN: "&amp;SUBSTITUTE(IFERROR(INDEX(nMSG_Text,MATCH("W_TZ_UNKNOWN",nMSG_Code,0)),""),"[input]",""),"")&amp;IF(CJ80=1," | W_SAME_DATE_ORDER_UNKNOWN: "&amp;SUBSTITUTE(IFERROR(INDEX(nMSG_Text,MATCH("W_SAME_DATE_ORDER_UNKNOWN",nMSG_Code,0)),""),"[input]",""),"")&amp;IF(CK80=1," | W_SEQUENCE_UNCERTAIN: "&amp;SUBSTITUTE(IFERROR(INDEX(nMSG_Text,MATCH("W_SEQUENCE_UNCERTAIN",nMSG_Code,0)),""),"[input]",""),"")&amp;IF(CL80=1," | W_ADMIN_SAME_DATE_AS_ONSET: "&amp;SUBSTITUTE(IFERROR(INDEX(nMSG_Text,MATCH("W_ADMIN_SAME_DATE_AS_ONSET",nMSG_Code,0)),""),"[input]",""),"")&amp;IF(CO80=1," | W_INTERVENTION_BEFORE_RECOVERY: "&amp;SUBSTITUTE(IFERROR(INDEX(nMSG_Text,MATCH("W_INTERVENTION_BEFORE_RECOVERY",nMSG_Code,0)),""),"[input]",""),"")&amp;IF(OR(CQ80="",CQ80="OVERLAP"),""," | "&amp;CQ80&amp;" (reported timing): "&amp;SUBSTITUTE(IFERROR(INDEX(nMSG_Text,MATCH(CQ80,nMSG_Code,0)),""),"[input]","numeric reported bounds and a reported unit"))&amp;IF(CM80=1," | I_TREATMENT_DAY_UNDEFINED: "&amp;SUBSTITUTE(IFERROR(INDEX(nMSG_Text,MATCH("I_TREATMENT_DAY_UNDEFINED",nMSG_Code,0)),""),"[input]",""),"")&amp;IF(CH80&lt;&gt;""," | "&amp;CH80&amp;" (constraint): "&amp;SUBSTITUTE(IFERROR(INDEX(nMSG_Text,MATCH(CH80,nMSG_Code,0)),""),"[input]","a source for the constraint"),""),4,9999))</f>
        <v>W_SAME_DATE_ORDER_UNKNOWN: Same calendar date: the order within the day is unknown.</v>
      </c>
      <c r="AD80" s="21" t="str">
        <f t="shared" si="91"/>
        <v/>
      </c>
      <c r="AE80" s="21" t="str">
        <f t="shared" si="92"/>
        <v/>
      </c>
      <c r="AF80" s="21" t="str">
        <f t="shared" si="93"/>
        <v/>
      </c>
      <c r="AG80" s="21" t="str">
        <f t="shared" si="94"/>
        <v>EX1/START</v>
      </c>
      <c r="AH80" s="21" t="str">
        <f>IF(BJ80=0,"",INDEX(nTP_ISO,BJ80))</f>
        <v>2026-01-05</v>
      </c>
      <c r="AI80" s="21" t="str">
        <f>IF(BJ80=0,"",INDEX(nTP_Display,BJ80))</f>
        <v>5 January 2026</v>
      </c>
      <c r="AJ80" s="21" t="str">
        <f>IF(AV80=0,"",INDEX(nTP_ISO,AV80))</f>
        <v>2026-01-05</v>
      </c>
      <c r="AK80" s="21" t="str">
        <f>IF(AV80=0,"",INDEX(nTP_Display,AV80))</f>
        <v>5 January 2026</v>
      </c>
      <c r="AL80" s="21" t="str">
        <f>IF(AU80=0,"",INDEX(nLNK_Exposure_Episode_ID,AU80)&amp;"")</f>
        <v>EX1</v>
      </c>
      <c r="AM80" s="21" t="str">
        <f>IF(AU80=0,"",INDEX(nLNK_Event_Episode_ID,AU80)&amp;"")</f>
        <v>EV1</v>
      </c>
      <c r="AN80" s="21" t="str">
        <f t="shared" si="95"/>
        <v>Calendar-date difference of the recorded local dates; not elapsed days.</v>
      </c>
      <c r="AO80" s="21" t="str">
        <f t="shared" si="96"/>
        <v/>
      </c>
      <c r="AP80" s="21" t="str">
        <f t="shared" si="97"/>
        <v>CALC-SPEC 1.0</v>
      </c>
      <c r="AQ80" s="22">
        <f t="shared" si="98"/>
        <v>0</v>
      </c>
      <c r="AR80" s="21" t="str">
        <f t="shared" si="99"/>
        <v>VEC-V03|1</v>
      </c>
      <c r="AS80" s="21" t="str">
        <f t="shared" si="100"/>
        <v>VEC-V03|1|I1</v>
      </c>
      <c r="AT80" s="22">
        <f>IF(AS80="",0,COUNTIF(nINT_Key,AS80))</f>
        <v>1</v>
      </c>
      <c r="AU80" s="22">
        <f>IF(D80="",0,IFERROR(MATCH(AR80&amp;"|"&amp;D80,nLNK_Key,0),0))</f>
        <v>34</v>
      </c>
      <c r="AV80" s="22">
        <f>IF(OR(AQ80=1,H80=""),0,IFERROR(MATCH(AR80&amp;"|"&amp;H80,nTP_Key,0),0))</f>
        <v>286</v>
      </c>
      <c r="AW80" s="21">
        <f>IF(AV80=0,0,INDEX(nTP_Dup,AV80))</f>
        <v>1</v>
      </c>
      <c r="AX80" s="21" t="str">
        <f>IF(AV80=0,"",INDEX(nTP_Record_Type,AV80))</f>
        <v>EVENT_ONSET</v>
      </c>
      <c r="AY80" s="21" t="str">
        <f>IF(AV80=0,"",INDEX(nTP_Precision,AV80))</f>
        <v>DATE</v>
      </c>
      <c r="AZ80" s="21" t="str">
        <f>IF(AV80=0,"",INDEX(nTP_Err,AV80))</f>
        <v/>
      </c>
      <c r="BA80" s="21">
        <f>IF(AV80=0,0,INDEX(nTP_HT,AV80))</f>
        <v>0</v>
      </c>
      <c r="BB80" s="21">
        <f>IF(AV80=0,0,INDEX(nTP_OK,AV80))</f>
        <v>0</v>
      </c>
      <c r="BC80" s="21" t="str">
        <f>IF(AV80=0,"",INDEX(nTP_Loc,AV80))</f>
        <v/>
      </c>
      <c r="BD80" s="21" t="str">
        <f>IF(AV80=0,"",INDEX(nTP_UTC,AV80))</f>
        <v/>
      </c>
      <c r="BE80" s="21">
        <f>IF(AV80=0,"",INDEX(nTP_Lo,AV80))</f>
        <v>46027</v>
      </c>
      <c r="BF80" s="21">
        <f>IF(AV80=0,"",INDEX(nTP_Hi,AV80))</f>
        <v>46027</v>
      </c>
      <c r="BG80" s="22">
        <f>IF(OR(AQ80=1,E80&lt;&gt;"LAST_DOSE_BEFORE_ONSET",AU80=0,AV80=0),0,IF(AZ80&lt;&gt;"",0,SUMPRODUCT(MAX((nADM_SelKey=AR80&amp;"|"&amp;AL80)*nADM_Valid*(nADM_A_HT*BA80*nADM_A_OK*BB80*(nADM_UTC_n&lt;=N(BD80))+nADM_A_HT*BA80*(1-nADM_A_OK*BB80)*(nADM_Loc_n&lt;=N(BC80))+(1-nADM_A_HT*BA80)*(nADM_Lo_n&lt;=N(BE80)))*nADM_Sort_n))))</f>
        <v>0</v>
      </c>
      <c r="BH80" s="22">
        <f>IF(BG80=0,0,MATCH(1,INDEX((nADM_SelKey=AR80&amp;"|"&amp;AL80)*nADM_Valid*(nADM_A_HT*BA80*nADM_A_OK*BB80*(nADM_UTC_n&lt;=N(BD80))+nADM_A_HT*BA80*(1-nADM_A_OK*BB80)*(nADM_Loc_n&lt;=N(BC80))+(1-nADM_A_HT*BA80)*(nADM_Lo_n&lt;=N(BE80)))*(nADM_Sort_n=BG80),0),0))</f>
        <v>0</v>
      </c>
      <c r="BI80" s="21" t="str">
        <f>IF(BH80=0,"",INDEX(nADM_Admin_ID,BH80)&amp;"")</f>
        <v/>
      </c>
      <c r="BJ80" s="22">
        <f>IF(OR(AQ80=1,AG80=""),0,IFERROR(MATCH(AR80&amp;"|"&amp;AG80,nTP_Key,0),0))</f>
        <v>46</v>
      </c>
      <c r="BK80" s="21">
        <f>IF(BJ80=0,0,INDEX(nTP_Dup,BJ80))</f>
        <v>1</v>
      </c>
      <c r="BL80" s="21" t="str">
        <f>IF(BJ80=0,"",INDEX(nTP_Record_Type,BJ80))</f>
        <v>EXPOSURE_START</v>
      </c>
      <c r="BM80" s="21" t="str">
        <f>IF(BJ80=0,"",INDEX(nTP_Precision,BJ80))</f>
        <v>DATE</v>
      </c>
      <c r="BN80" s="21" t="str">
        <f>IF(BJ80=0,"",INDEX(nTP_Err,BJ80))</f>
        <v/>
      </c>
      <c r="BO80" s="21">
        <f>IF(BJ80=0,0,INDEX(nTP_HT,BJ80))</f>
        <v>0</v>
      </c>
      <c r="BP80" s="21">
        <f>IF(BJ80=0,0,INDEX(nTP_OK,BJ80))</f>
        <v>0</v>
      </c>
      <c r="BQ80" s="21" t="str">
        <f>IF(BJ80=0,"",INDEX(nTP_Loc,BJ80))</f>
        <v/>
      </c>
      <c r="BR80" s="21" t="str">
        <f>IF(BJ80=0,"",INDEX(nTP_UTC,BJ80))</f>
        <v/>
      </c>
      <c r="BS80" s="21">
        <f>IF(BJ80=0,"",INDEX(nTP_Lo,BJ80))</f>
        <v>46027</v>
      </c>
      <c r="BT80" s="21">
        <f>IF(BJ80=0,"",INDEX(nTP_Hi,BJ80))</f>
        <v>46027</v>
      </c>
      <c r="BU80" s="22">
        <f>IF(OR(BJ80=0,AV80=0),0,SUMPRODUCT((nTP_Case_Key=AR80)*(nTP_Record_Type="MILESTONE:INTERVENTION")*(nTP_Err="")*(nTP_HT*BO80*BA80*(nTP_Loc_n&gt;=N(BQ80))*(nTP_Loc_n&lt;=N(BC80))+(1-nTP_HT*BO80*BA80)*(nTP_Lo_n&gt;=N(BS80))*(nTP_Hi_n&lt;=N(BF80))*(nTP_Lo_n&gt;0))))</f>
        <v>0</v>
      </c>
      <c r="BV80" s="21" t="str">
        <f t="shared" si="101"/>
        <v/>
      </c>
      <c r="BW80" s="21" t="str">
        <f t="shared" si="102"/>
        <v/>
      </c>
      <c r="BX80" s="21" t="str">
        <f t="shared" si="103"/>
        <v/>
      </c>
      <c r="BY80" s="21" t="str">
        <f t="shared" si="104"/>
        <v/>
      </c>
      <c r="BZ80" s="22">
        <f t="shared" si="105"/>
        <v>1</v>
      </c>
      <c r="CA80" s="21" t="str">
        <f t="shared" si="106"/>
        <v/>
      </c>
      <c r="CB80" s="21">
        <f t="shared" si="107"/>
        <v>0</v>
      </c>
      <c r="CC80" s="21" t="str">
        <f t="shared" si="108"/>
        <v/>
      </c>
      <c r="CD80" s="21" t="str">
        <f t="shared" si="109"/>
        <v/>
      </c>
      <c r="CE80" s="22">
        <f t="shared" si="110"/>
        <v>0</v>
      </c>
      <c r="CF80" s="28" t="str">
        <f t="shared" si="111"/>
        <v/>
      </c>
      <c r="CG80" s="28" t="str">
        <f t="shared" si="112"/>
        <v/>
      </c>
      <c r="CH80" s="21" t="str">
        <f t="shared" si="113"/>
        <v/>
      </c>
      <c r="CI80" s="22">
        <f t="shared" si="114"/>
        <v>0</v>
      </c>
      <c r="CJ80" s="22">
        <f t="shared" si="115"/>
        <v>1</v>
      </c>
      <c r="CK80" s="22">
        <f t="shared" si="116"/>
        <v>0</v>
      </c>
      <c r="CL80" s="22">
        <f t="shared" si="117"/>
        <v>0</v>
      </c>
      <c r="CM80" s="22">
        <f t="shared" si="118"/>
        <v>0</v>
      </c>
      <c r="CN80" s="22">
        <f t="shared" si="119"/>
        <v>0</v>
      </c>
      <c r="CO80" s="22">
        <f t="shared" si="120"/>
        <v>0</v>
      </c>
      <c r="CP80" s="22">
        <f t="shared" si="121"/>
        <v>0</v>
      </c>
      <c r="CQ80" s="21" t="str">
        <f t="shared" si="122"/>
        <v/>
      </c>
    </row>
    <row r="81" spans="1:95" x14ac:dyDescent="0.2">
      <c r="A81" s="9" t="s">
        <v>1004</v>
      </c>
      <c r="B81" s="9" t="s">
        <v>309</v>
      </c>
      <c r="C81" s="11">
        <v>1</v>
      </c>
      <c r="D81" s="9" t="s">
        <v>801</v>
      </c>
      <c r="E81" s="16" t="s">
        <v>49</v>
      </c>
      <c r="F81" s="9"/>
      <c r="G81" s="9" t="s">
        <v>1003</v>
      </c>
      <c r="H81" s="9" t="s">
        <v>1005</v>
      </c>
      <c r="I81" s="16" t="s">
        <v>58</v>
      </c>
      <c r="J81" s="16"/>
      <c r="K81" s="9"/>
      <c r="L81" s="16"/>
      <c r="M81" s="16"/>
      <c r="N81" s="16"/>
      <c r="O81" s="9"/>
      <c r="P81" s="14"/>
      <c r="Q81" s="14"/>
      <c r="R81" s="9"/>
      <c r="S81" s="9"/>
      <c r="T81" s="21" t="str">
        <f t="shared" si="82"/>
        <v>2 calendar days</v>
      </c>
      <c r="U81" s="21">
        <f t="shared" si="83"/>
        <v>2</v>
      </c>
      <c r="V81" s="21" t="str">
        <f t="shared" si="84"/>
        <v/>
      </c>
      <c r="W81" s="21" t="str">
        <f t="shared" si="85"/>
        <v/>
      </c>
      <c r="X81" s="21" t="str">
        <f t="shared" si="86"/>
        <v>calendar days</v>
      </c>
      <c r="Y81" s="21" t="str">
        <f t="shared" si="87"/>
        <v>C2</v>
      </c>
      <c r="Z81" s="21" t="str">
        <f t="shared" si="88"/>
        <v>AFTER</v>
      </c>
      <c r="AA81" s="21" t="str">
        <f t="shared" si="89"/>
        <v/>
      </c>
      <c r="AB81" s="21" t="str">
        <f t="shared" si="90"/>
        <v/>
      </c>
      <c r="AC81" s="21" t="str">
        <f>IF(AQ81=1,"",MID(IF(BX81&lt;&gt;""," | "&amp;BX81&amp;": "&amp;SUBSTITUTE(IFERROR(INDEX(nMSG_Text,MATCH(BX81,nMSG_Code,0)),""),"[input]",BY81),"")&amp;IF(CI81=1," | W_TZ_UNKNOWN: "&amp;SUBSTITUTE(IFERROR(INDEX(nMSG_Text,MATCH("W_TZ_UNKNOWN",nMSG_Code,0)),""),"[input]",""),"")&amp;IF(CJ81=1," | W_SAME_DATE_ORDER_UNKNOWN: "&amp;SUBSTITUTE(IFERROR(INDEX(nMSG_Text,MATCH("W_SAME_DATE_ORDER_UNKNOWN",nMSG_Code,0)),""),"[input]",""),"")&amp;IF(CK81=1," | W_SEQUENCE_UNCERTAIN: "&amp;SUBSTITUTE(IFERROR(INDEX(nMSG_Text,MATCH("W_SEQUENCE_UNCERTAIN",nMSG_Code,0)),""),"[input]",""),"")&amp;IF(CL81=1," | W_ADMIN_SAME_DATE_AS_ONSET: "&amp;SUBSTITUTE(IFERROR(INDEX(nMSG_Text,MATCH("W_ADMIN_SAME_DATE_AS_ONSET",nMSG_Code,0)),""),"[input]",""),"")&amp;IF(CO81=1," | W_INTERVENTION_BEFORE_RECOVERY: "&amp;SUBSTITUTE(IFERROR(INDEX(nMSG_Text,MATCH("W_INTERVENTION_BEFORE_RECOVERY",nMSG_Code,0)),""),"[input]",""),"")&amp;IF(OR(CQ81="",CQ81="OVERLAP"),""," | "&amp;CQ81&amp;" (reported timing): "&amp;SUBSTITUTE(IFERROR(INDEX(nMSG_Text,MATCH(CQ81,nMSG_Code,0)),""),"[input]","numeric reported bounds and a reported unit"))&amp;IF(CM81=1," | I_TREATMENT_DAY_UNDEFINED: "&amp;SUBSTITUTE(IFERROR(INDEX(nMSG_Text,MATCH("I_TREATMENT_DAY_UNDEFINED",nMSG_Code,0)),""),"[input]",""),"")&amp;IF(CH81&lt;&gt;""," | "&amp;CH81&amp;" (constraint): "&amp;SUBSTITUTE(IFERROR(INDEX(nMSG_Text,MATCH(CH81,nMSG_Code,0)),""),"[input]","a source for the constraint"),""),4,9999))</f>
        <v/>
      </c>
      <c r="AD81" s="21" t="str">
        <f t="shared" si="91"/>
        <v/>
      </c>
      <c r="AE81" s="21" t="str">
        <f t="shared" si="92"/>
        <v/>
      </c>
      <c r="AF81" s="21" t="str">
        <f t="shared" si="93"/>
        <v/>
      </c>
      <c r="AG81" s="21" t="str">
        <f t="shared" si="94"/>
        <v>EX1/START</v>
      </c>
      <c r="AH81" s="21" t="str">
        <f>IF(BJ81=0,"",INDEX(nTP_ISO,BJ81))</f>
        <v>2024-02-28</v>
      </c>
      <c r="AI81" s="21" t="str">
        <f>IF(BJ81=0,"",INDEX(nTP_Display,BJ81))</f>
        <v>28 February 2024</v>
      </c>
      <c r="AJ81" s="21" t="str">
        <f>IF(AV81=0,"",INDEX(nTP_ISO,AV81))</f>
        <v>2024-03-01</v>
      </c>
      <c r="AK81" s="21" t="str">
        <f>IF(AV81=0,"",INDEX(nTP_Display,AV81))</f>
        <v>1 March 2024</v>
      </c>
      <c r="AL81" s="21" t="str">
        <f>IF(AU81=0,"",INDEX(nLNK_Exposure_Episode_ID,AU81)&amp;"")</f>
        <v>EX1</v>
      </c>
      <c r="AM81" s="21" t="str">
        <f>IF(AU81=0,"",INDEX(nLNK_Event_Episode_ID,AU81)&amp;"")</f>
        <v>EV1</v>
      </c>
      <c r="AN81" s="21" t="str">
        <f t="shared" si="95"/>
        <v>Calendar-date difference of the recorded local dates; not elapsed days.</v>
      </c>
      <c r="AO81" s="21" t="str">
        <f t="shared" si="96"/>
        <v/>
      </c>
      <c r="AP81" s="21" t="str">
        <f t="shared" si="97"/>
        <v>CALC-SPEC 1.0</v>
      </c>
      <c r="AQ81" s="22">
        <f t="shared" si="98"/>
        <v>0</v>
      </c>
      <c r="AR81" s="21" t="str">
        <f t="shared" si="99"/>
        <v>VEC-V04|1</v>
      </c>
      <c r="AS81" s="21" t="str">
        <f t="shared" si="100"/>
        <v>VEC-V04|1|I1</v>
      </c>
      <c r="AT81" s="22">
        <f>IF(AS81="",0,COUNTIF(nINT_Key,AS81))</f>
        <v>1</v>
      </c>
      <c r="AU81" s="22">
        <f>IF(D81="",0,IFERROR(MATCH(AR81&amp;"|"&amp;D81,nLNK_Key,0),0))</f>
        <v>35</v>
      </c>
      <c r="AV81" s="22">
        <f>IF(OR(AQ81=1,H81=""),0,IFERROR(MATCH(AR81&amp;"|"&amp;H81,nTP_Key,0),0))</f>
        <v>287</v>
      </c>
      <c r="AW81" s="21">
        <f>IF(AV81=0,0,INDEX(nTP_Dup,AV81))</f>
        <v>1</v>
      </c>
      <c r="AX81" s="21" t="str">
        <f>IF(AV81=0,"",INDEX(nTP_Record_Type,AV81))</f>
        <v>EVENT_ONSET</v>
      </c>
      <c r="AY81" s="21" t="str">
        <f>IF(AV81=0,"",INDEX(nTP_Precision,AV81))</f>
        <v>DATE</v>
      </c>
      <c r="AZ81" s="21" t="str">
        <f>IF(AV81=0,"",INDEX(nTP_Err,AV81))</f>
        <v/>
      </c>
      <c r="BA81" s="21">
        <f>IF(AV81=0,0,INDEX(nTP_HT,AV81))</f>
        <v>0</v>
      </c>
      <c r="BB81" s="21">
        <f>IF(AV81=0,0,INDEX(nTP_OK,AV81))</f>
        <v>0</v>
      </c>
      <c r="BC81" s="21" t="str">
        <f>IF(AV81=0,"",INDEX(nTP_Loc,AV81))</f>
        <v/>
      </c>
      <c r="BD81" s="21" t="str">
        <f>IF(AV81=0,"",INDEX(nTP_UTC,AV81))</f>
        <v/>
      </c>
      <c r="BE81" s="21">
        <f>IF(AV81=0,"",INDEX(nTP_Lo,AV81))</f>
        <v>45352</v>
      </c>
      <c r="BF81" s="21">
        <f>IF(AV81=0,"",INDEX(nTP_Hi,AV81))</f>
        <v>45352</v>
      </c>
      <c r="BG81" s="22">
        <f>IF(OR(AQ81=1,E81&lt;&gt;"LAST_DOSE_BEFORE_ONSET",AU81=0,AV81=0),0,IF(AZ81&lt;&gt;"",0,SUMPRODUCT(MAX((nADM_SelKey=AR81&amp;"|"&amp;AL81)*nADM_Valid*(nADM_A_HT*BA81*nADM_A_OK*BB81*(nADM_UTC_n&lt;=N(BD81))+nADM_A_HT*BA81*(1-nADM_A_OK*BB81)*(nADM_Loc_n&lt;=N(BC81))+(1-nADM_A_HT*BA81)*(nADM_Lo_n&lt;=N(BE81)))*nADM_Sort_n))))</f>
        <v>0</v>
      </c>
      <c r="BH81" s="22">
        <f>IF(BG81=0,0,MATCH(1,INDEX((nADM_SelKey=AR81&amp;"|"&amp;AL81)*nADM_Valid*(nADM_A_HT*BA81*nADM_A_OK*BB81*(nADM_UTC_n&lt;=N(BD81))+nADM_A_HT*BA81*(1-nADM_A_OK*BB81)*(nADM_Loc_n&lt;=N(BC81))+(1-nADM_A_HT*BA81)*(nADM_Lo_n&lt;=N(BE81)))*(nADM_Sort_n=BG81),0),0))</f>
        <v>0</v>
      </c>
      <c r="BI81" s="21" t="str">
        <f>IF(BH81=0,"",INDEX(nADM_Admin_ID,BH81)&amp;"")</f>
        <v/>
      </c>
      <c r="BJ81" s="22">
        <f>IF(OR(AQ81=1,AG81=""),0,IFERROR(MATCH(AR81&amp;"|"&amp;AG81,nTP_Key,0),0))</f>
        <v>47</v>
      </c>
      <c r="BK81" s="21">
        <f>IF(BJ81=0,0,INDEX(nTP_Dup,BJ81))</f>
        <v>1</v>
      </c>
      <c r="BL81" s="21" t="str">
        <f>IF(BJ81=0,"",INDEX(nTP_Record_Type,BJ81))</f>
        <v>EXPOSURE_START</v>
      </c>
      <c r="BM81" s="21" t="str">
        <f>IF(BJ81=0,"",INDEX(nTP_Precision,BJ81))</f>
        <v>DATE</v>
      </c>
      <c r="BN81" s="21" t="str">
        <f>IF(BJ81=0,"",INDEX(nTP_Err,BJ81))</f>
        <v/>
      </c>
      <c r="BO81" s="21">
        <f>IF(BJ81=0,0,INDEX(nTP_HT,BJ81))</f>
        <v>0</v>
      </c>
      <c r="BP81" s="21">
        <f>IF(BJ81=0,0,INDEX(nTP_OK,BJ81))</f>
        <v>0</v>
      </c>
      <c r="BQ81" s="21" t="str">
        <f>IF(BJ81=0,"",INDEX(nTP_Loc,BJ81))</f>
        <v/>
      </c>
      <c r="BR81" s="21" t="str">
        <f>IF(BJ81=0,"",INDEX(nTP_UTC,BJ81))</f>
        <v/>
      </c>
      <c r="BS81" s="21">
        <f>IF(BJ81=0,"",INDEX(nTP_Lo,BJ81))</f>
        <v>45350</v>
      </c>
      <c r="BT81" s="21">
        <f>IF(BJ81=0,"",INDEX(nTP_Hi,BJ81))</f>
        <v>45350</v>
      </c>
      <c r="BU81" s="22">
        <f>IF(OR(BJ81=0,AV81=0),0,SUMPRODUCT((nTP_Case_Key=AR81)*(nTP_Record_Type="MILESTONE:INTERVENTION")*(nTP_Err="")*(nTP_HT*BO81*BA81*(nTP_Loc_n&gt;=N(BQ81))*(nTP_Loc_n&lt;=N(BC81))+(1-nTP_HT*BO81*BA81)*(nTP_Lo_n&gt;=N(BS81))*(nTP_Hi_n&lt;=N(BF81))*(nTP_Lo_n&gt;0))))</f>
        <v>0</v>
      </c>
      <c r="BV81" s="21" t="str">
        <f t="shared" si="101"/>
        <v/>
      </c>
      <c r="BW81" s="21" t="str">
        <f t="shared" si="102"/>
        <v/>
      </c>
      <c r="BX81" s="21" t="str">
        <f t="shared" si="103"/>
        <v/>
      </c>
      <c r="BY81" s="21" t="str">
        <f t="shared" si="104"/>
        <v/>
      </c>
      <c r="BZ81" s="22">
        <f t="shared" si="105"/>
        <v>1</v>
      </c>
      <c r="CA81" s="21" t="str">
        <f t="shared" si="106"/>
        <v/>
      </c>
      <c r="CB81" s="21">
        <f t="shared" si="107"/>
        <v>2</v>
      </c>
      <c r="CC81" s="21" t="str">
        <f t="shared" si="108"/>
        <v/>
      </c>
      <c r="CD81" s="21" t="str">
        <f t="shared" si="109"/>
        <v/>
      </c>
      <c r="CE81" s="22">
        <f t="shared" si="110"/>
        <v>0</v>
      </c>
      <c r="CF81" s="28" t="str">
        <f t="shared" si="111"/>
        <v/>
      </c>
      <c r="CG81" s="28" t="str">
        <f t="shared" si="112"/>
        <v/>
      </c>
      <c r="CH81" s="21" t="str">
        <f t="shared" si="113"/>
        <v/>
      </c>
      <c r="CI81" s="22">
        <f t="shared" si="114"/>
        <v>0</v>
      </c>
      <c r="CJ81" s="22">
        <f t="shared" si="115"/>
        <v>0</v>
      </c>
      <c r="CK81" s="22">
        <f t="shared" si="116"/>
        <v>0</v>
      </c>
      <c r="CL81" s="22">
        <f t="shared" si="117"/>
        <v>0</v>
      </c>
      <c r="CM81" s="22">
        <f t="shared" si="118"/>
        <v>0</v>
      </c>
      <c r="CN81" s="22">
        <f t="shared" si="119"/>
        <v>0</v>
      </c>
      <c r="CO81" s="22">
        <f t="shared" si="120"/>
        <v>0</v>
      </c>
      <c r="CP81" s="22">
        <f t="shared" si="121"/>
        <v>0</v>
      </c>
      <c r="CQ81" s="21" t="str">
        <f t="shared" si="122"/>
        <v/>
      </c>
    </row>
    <row r="82" spans="1:95" x14ac:dyDescent="0.2">
      <c r="A82" s="9" t="s">
        <v>1004</v>
      </c>
      <c r="B82" s="9" t="s">
        <v>311</v>
      </c>
      <c r="C82" s="11">
        <v>1</v>
      </c>
      <c r="D82" s="9" t="s">
        <v>801</v>
      </c>
      <c r="E82" s="16" t="s">
        <v>49</v>
      </c>
      <c r="F82" s="9"/>
      <c r="G82" s="9" t="s">
        <v>1003</v>
      </c>
      <c r="H82" s="9" t="s">
        <v>1005</v>
      </c>
      <c r="I82" s="16" t="s">
        <v>59</v>
      </c>
      <c r="J82" s="16"/>
      <c r="K82" s="9"/>
      <c r="L82" s="16"/>
      <c r="M82" s="16"/>
      <c r="N82" s="16"/>
      <c r="O82" s="9"/>
      <c r="P82" s="14"/>
      <c r="Q82" s="14"/>
      <c r="R82" s="9"/>
      <c r="S82" s="9"/>
      <c r="T82" s="21" t="str">
        <f t="shared" si="82"/>
        <v>5 to 14 calendar days</v>
      </c>
      <c r="U82" s="21" t="str">
        <f t="shared" si="83"/>
        <v/>
      </c>
      <c r="V82" s="21">
        <f t="shared" si="84"/>
        <v>5</v>
      </c>
      <c r="W82" s="21">
        <f t="shared" si="85"/>
        <v>14</v>
      </c>
      <c r="X82" s="21" t="str">
        <f t="shared" si="86"/>
        <v>calendar days</v>
      </c>
      <c r="Y82" s="21" t="str">
        <f t="shared" si="87"/>
        <v>C4</v>
      </c>
      <c r="Z82" s="21" t="str">
        <f t="shared" si="88"/>
        <v>AFTER</v>
      </c>
      <c r="AA82" s="21" t="str">
        <f t="shared" si="89"/>
        <v/>
      </c>
      <c r="AB82" s="21" t="str">
        <f t="shared" si="90"/>
        <v/>
      </c>
      <c r="AC82" s="21" t="str">
        <f>IF(AQ82=1,"",MID(IF(BX82&lt;&gt;""," | "&amp;BX82&amp;": "&amp;SUBSTITUTE(IFERROR(INDEX(nMSG_Text,MATCH(BX82,nMSG_Code,0)),""),"[input]",BY82),"")&amp;IF(CI82=1," | W_TZ_UNKNOWN: "&amp;SUBSTITUTE(IFERROR(INDEX(nMSG_Text,MATCH("W_TZ_UNKNOWN",nMSG_Code,0)),""),"[input]",""),"")&amp;IF(CJ82=1," | W_SAME_DATE_ORDER_UNKNOWN: "&amp;SUBSTITUTE(IFERROR(INDEX(nMSG_Text,MATCH("W_SAME_DATE_ORDER_UNKNOWN",nMSG_Code,0)),""),"[input]",""),"")&amp;IF(CK82=1," | W_SEQUENCE_UNCERTAIN: "&amp;SUBSTITUTE(IFERROR(INDEX(nMSG_Text,MATCH("W_SEQUENCE_UNCERTAIN",nMSG_Code,0)),""),"[input]",""),"")&amp;IF(CL82=1," | W_ADMIN_SAME_DATE_AS_ONSET: "&amp;SUBSTITUTE(IFERROR(INDEX(nMSG_Text,MATCH("W_ADMIN_SAME_DATE_AS_ONSET",nMSG_Code,0)),""),"[input]",""),"")&amp;IF(CO82=1," | W_INTERVENTION_BEFORE_RECOVERY: "&amp;SUBSTITUTE(IFERROR(INDEX(nMSG_Text,MATCH("W_INTERVENTION_BEFORE_RECOVERY",nMSG_Code,0)),""),"[input]",""),"")&amp;IF(OR(CQ82="",CQ82="OVERLAP"),""," | "&amp;CQ82&amp;" (reported timing): "&amp;SUBSTITUTE(IFERROR(INDEX(nMSG_Text,MATCH(CQ82,nMSG_Code,0)),""),"[input]","numeric reported bounds and a reported unit"))&amp;IF(CM82=1," | I_TREATMENT_DAY_UNDEFINED: "&amp;SUBSTITUTE(IFERROR(INDEX(nMSG_Text,MATCH("I_TREATMENT_DAY_UNDEFINED",nMSG_Code,0)),""),"[input]",""),"")&amp;IF(CH82&lt;&gt;""," | "&amp;CH82&amp;" (constraint): "&amp;SUBSTITUTE(IFERROR(INDEX(nMSG_Text,MATCH(CH82,nMSG_Code,0)),""),"[input]","a source for the constraint"),""),4,9999))</f>
        <v/>
      </c>
      <c r="AD82" s="21" t="str">
        <f t="shared" si="91"/>
        <v/>
      </c>
      <c r="AE82" s="21" t="str">
        <f t="shared" si="92"/>
        <v/>
      </c>
      <c r="AF82" s="21" t="str">
        <f t="shared" si="93"/>
        <v/>
      </c>
      <c r="AG82" s="21" t="str">
        <f t="shared" si="94"/>
        <v>EX1/START</v>
      </c>
      <c r="AH82" s="21" t="str">
        <f>IF(BJ82=0,"",INDEX(nTP_ISO,BJ82))</f>
        <v>2026-01-01/2026-01-10</v>
      </c>
      <c r="AI82" s="21" t="str">
        <f>IF(BJ82=0,"",INDEX(nTP_Display,BJ82))</f>
        <v>1 January 2026 to 10 January 2026</v>
      </c>
      <c r="AJ82" s="21" t="str">
        <f>IF(AV82=0,"",INDEX(nTP_ISO,AV82))</f>
        <v>2026-01-15</v>
      </c>
      <c r="AK82" s="21" t="str">
        <f>IF(AV82=0,"",INDEX(nTP_Display,AV82))</f>
        <v>15 January 2026</v>
      </c>
      <c r="AL82" s="21" t="str">
        <f>IF(AU82=0,"",INDEX(nLNK_Exposure_Episode_ID,AU82)&amp;"")</f>
        <v>EX1</v>
      </c>
      <c r="AM82" s="21" t="str">
        <f>IF(AU82=0,"",INDEX(nLNK_Event_Episode_ID,AU82)&amp;"")</f>
        <v>EV1</v>
      </c>
      <c r="AN82" s="21" t="str">
        <f t="shared" si="95"/>
        <v>Bounded interval: minimum = end-point lower bound minus anchor upper bound; maximum = end-point upper bound minus anchor lower bound. No single date is imputed.</v>
      </c>
      <c r="AO82" s="21" t="str">
        <f t="shared" si="96"/>
        <v/>
      </c>
      <c r="AP82" s="21" t="str">
        <f t="shared" si="97"/>
        <v>CALC-SPEC 1.0</v>
      </c>
      <c r="AQ82" s="22">
        <f t="shared" si="98"/>
        <v>0</v>
      </c>
      <c r="AR82" s="21" t="str">
        <f t="shared" si="99"/>
        <v>VEC-V05|1</v>
      </c>
      <c r="AS82" s="21" t="str">
        <f t="shared" si="100"/>
        <v>VEC-V05|1|I1</v>
      </c>
      <c r="AT82" s="22">
        <f>IF(AS82="",0,COUNTIF(nINT_Key,AS82))</f>
        <v>1</v>
      </c>
      <c r="AU82" s="22">
        <f>IF(D82="",0,IFERROR(MATCH(AR82&amp;"|"&amp;D82,nLNK_Key,0),0))</f>
        <v>36</v>
      </c>
      <c r="AV82" s="22">
        <f>IF(OR(AQ82=1,H82=""),0,IFERROR(MATCH(AR82&amp;"|"&amp;H82,nTP_Key,0),0))</f>
        <v>288</v>
      </c>
      <c r="AW82" s="21">
        <f>IF(AV82=0,0,INDEX(nTP_Dup,AV82))</f>
        <v>1</v>
      </c>
      <c r="AX82" s="21" t="str">
        <f>IF(AV82=0,"",INDEX(nTP_Record_Type,AV82))</f>
        <v>EVENT_ONSET</v>
      </c>
      <c r="AY82" s="21" t="str">
        <f>IF(AV82=0,"",INDEX(nTP_Precision,AV82))</f>
        <v>DATE</v>
      </c>
      <c r="AZ82" s="21" t="str">
        <f>IF(AV82=0,"",INDEX(nTP_Err,AV82))</f>
        <v/>
      </c>
      <c r="BA82" s="21">
        <f>IF(AV82=0,0,INDEX(nTP_HT,AV82))</f>
        <v>0</v>
      </c>
      <c r="BB82" s="21">
        <f>IF(AV82=0,0,INDEX(nTP_OK,AV82))</f>
        <v>0</v>
      </c>
      <c r="BC82" s="21" t="str">
        <f>IF(AV82=0,"",INDEX(nTP_Loc,AV82))</f>
        <v/>
      </c>
      <c r="BD82" s="21" t="str">
        <f>IF(AV82=0,"",INDEX(nTP_UTC,AV82))</f>
        <v/>
      </c>
      <c r="BE82" s="21">
        <f>IF(AV82=0,"",INDEX(nTP_Lo,AV82))</f>
        <v>46037</v>
      </c>
      <c r="BF82" s="21">
        <f>IF(AV82=0,"",INDEX(nTP_Hi,AV82))</f>
        <v>46037</v>
      </c>
      <c r="BG82" s="22">
        <f>IF(OR(AQ82=1,E82&lt;&gt;"LAST_DOSE_BEFORE_ONSET",AU82=0,AV82=0),0,IF(AZ82&lt;&gt;"",0,SUMPRODUCT(MAX((nADM_SelKey=AR82&amp;"|"&amp;AL82)*nADM_Valid*(nADM_A_HT*BA82*nADM_A_OK*BB82*(nADM_UTC_n&lt;=N(BD82))+nADM_A_HT*BA82*(1-nADM_A_OK*BB82)*(nADM_Loc_n&lt;=N(BC82))+(1-nADM_A_HT*BA82)*(nADM_Lo_n&lt;=N(BE82)))*nADM_Sort_n))))</f>
        <v>0</v>
      </c>
      <c r="BH82" s="22">
        <f>IF(BG82=0,0,MATCH(1,INDEX((nADM_SelKey=AR82&amp;"|"&amp;AL82)*nADM_Valid*(nADM_A_HT*BA82*nADM_A_OK*BB82*(nADM_UTC_n&lt;=N(BD82))+nADM_A_HT*BA82*(1-nADM_A_OK*BB82)*(nADM_Loc_n&lt;=N(BC82))+(1-nADM_A_HT*BA82)*(nADM_Lo_n&lt;=N(BE82)))*(nADM_Sort_n=BG82),0),0))</f>
        <v>0</v>
      </c>
      <c r="BI82" s="21" t="str">
        <f>IF(BH82=0,"",INDEX(nADM_Admin_ID,BH82)&amp;"")</f>
        <v/>
      </c>
      <c r="BJ82" s="22">
        <f>IF(OR(AQ82=1,AG82=""),0,IFERROR(MATCH(AR82&amp;"|"&amp;AG82,nTP_Key,0),0))</f>
        <v>48</v>
      </c>
      <c r="BK82" s="21">
        <f>IF(BJ82=0,0,INDEX(nTP_Dup,BJ82))</f>
        <v>1</v>
      </c>
      <c r="BL82" s="21" t="str">
        <f>IF(BJ82=0,"",INDEX(nTP_Record_Type,BJ82))</f>
        <v>EXPOSURE_START</v>
      </c>
      <c r="BM82" s="21" t="str">
        <f>IF(BJ82=0,"",INDEX(nTP_Precision,BJ82))</f>
        <v>RANGE</v>
      </c>
      <c r="BN82" s="21" t="str">
        <f>IF(BJ82=0,"",INDEX(nTP_Err,BJ82))</f>
        <v/>
      </c>
      <c r="BO82" s="21">
        <f>IF(BJ82=0,0,INDEX(nTP_HT,BJ82))</f>
        <v>0</v>
      </c>
      <c r="BP82" s="21">
        <f>IF(BJ82=0,0,INDEX(nTP_OK,BJ82))</f>
        <v>0</v>
      </c>
      <c r="BQ82" s="21" t="str">
        <f>IF(BJ82=0,"",INDEX(nTP_Loc,BJ82))</f>
        <v/>
      </c>
      <c r="BR82" s="21" t="str">
        <f>IF(BJ82=0,"",INDEX(nTP_UTC,BJ82))</f>
        <v/>
      </c>
      <c r="BS82" s="21">
        <f>IF(BJ82=0,"",INDEX(nTP_Lo,BJ82))</f>
        <v>46023</v>
      </c>
      <c r="BT82" s="21">
        <f>IF(BJ82=0,"",INDEX(nTP_Hi,BJ82))</f>
        <v>46032</v>
      </c>
      <c r="BU82" s="22">
        <f>IF(OR(BJ82=0,AV82=0),0,SUMPRODUCT((nTP_Case_Key=AR82)*(nTP_Record_Type="MILESTONE:INTERVENTION")*(nTP_Err="")*(nTP_HT*BO82*BA82*(nTP_Loc_n&gt;=N(BQ82))*(nTP_Loc_n&lt;=N(BC82))+(1-nTP_HT*BO82*BA82)*(nTP_Lo_n&gt;=N(BS82))*(nTP_Hi_n&lt;=N(BF82))*(nTP_Lo_n&gt;0))))</f>
        <v>0</v>
      </c>
      <c r="BV82" s="21" t="str">
        <f t="shared" si="101"/>
        <v/>
      </c>
      <c r="BW82" s="21" t="str">
        <f t="shared" si="102"/>
        <v/>
      </c>
      <c r="BX82" s="21" t="str">
        <f t="shared" si="103"/>
        <v/>
      </c>
      <c r="BY82" s="21" t="str">
        <f t="shared" si="104"/>
        <v/>
      </c>
      <c r="BZ82" s="22">
        <f t="shared" si="105"/>
        <v>1</v>
      </c>
      <c r="CA82" s="21" t="str">
        <f t="shared" si="106"/>
        <v/>
      </c>
      <c r="CB82" s="21" t="str">
        <f t="shared" si="107"/>
        <v/>
      </c>
      <c r="CC82" s="21">
        <f t="shared" si="108"/>
        <v>5</v>
      </c>
      <c r="CD82" s="21">
        <f t="shared" si="109"/>
        <v>14</v>
      </c>
      <c r="CE82" s="22">
        <f t="shared" si="110"/>
        <v>0</v>
      </c>
      <c r="CF82" s="28" t="str">
        <f t="shared" si="111"/>
        <v/>
      </c>
      <c r="CG82" s="28" t="str">
        <f t="shared" si="112"/>
        <v/>
      </c>
      <c r="CH82" s="21" t="str">
        <f t="shared" si="113"/>
        <v/>
      </c>
      <c r="CI82" s="22">
        <f t="shared" si="114"/>
        <v>0</v>
      </c>
      <c r="CJ82" s="22">
        <f t="shared" si="115"/>
        <v>0</v>
      </c>
      <c r="CK82" s="22">
        <f t="shared" si="116"/>
        <v>0</v>
      </c>
      <c r="CL82" s="22">
        <f t="shared" si="117"/>
        <v>0</v>
      </c>
      <c r="CM82" s="22">
        <f t="shared" si="118"/>
        <v>0</v>
      </c>
      <c r="CN82" s="22">
        <f t="shared" si="119"/>
        <v>0</v>
      </c>
      <c r="CO82" s="22">
        <f t="shared" si="120"/>
        <v>0</v>
      </c>
      <c r="CP82" s="22">
        <f t="shared" si="121"/>
        <v>0</v>
      </c>
      <c r="CQ82" s="21" t="str">
        <f t="shared" si="122"/>
        <v/>
      </c>
    </row>
    <row r="83" spans="1:95" x14ac:dyDescent="0.2">
      <c r="A83" s="9" t="s">
        <v>1004</v>
      </c>
      <c r="B83" s="9" t="s">
        <v>313</v>
      </c>
      <c r="C83" s="11">
        <v>1</v>
      </c>
      <c r="D83" s="9" t="s">
        <v>801</v>
      </c>
      <c r="E83" s="16" t="s">
        <v>49</v>
      </c>
      <c r="F83" s="9"/>
      <c r="G83" s="9" t="s">
        <v>1003</v>
      </c>
      <c r="H83" s="9" t="s">
        <v>1005</v>
      </c>
      <c r="I83" s="16" t="s">
        <v>59</v>
      </c>
      <c r="J83" s="16"/>
      <c r="K83" s="9"/>
      <c r="L83" s="16"/>
      <c r="M83" s="16"/>
      <c r="N83" s="16"/>
      <c r="O83" s="9"/>
      <c r="P83" s="14"/>
      <c r="Q83" s="14"/>
      <c r="R83" s="9"/>
      <c r="S83" s="9"/>
      <c r="T83" s="21" t="str">
        <f t="shared" si="82"/>
        <v>-5 to 4 calendar days</v>
      </c>
      <c r="U83" s="21" t="str">
        <f t="shared" si="83"/>
        <v/>
      </c>
      <c r="V83" s="21">
        <f t="shared" si="84"/>
        <v>-5</v>
      </c>
      <c r="W83" s="21">
        <f t="shared" si="85"/>
        <v>4</v>
      </c>
      <c r="X83" s="21" t="str">
        <f t="shared" si="86"/>
        <v>calendar days</v>
      </c>
      <c r="Y83" s="21" t="str">
        <f t="shared" si="87"/>
        <v>C4</v>
      </c>
      <c r="Z83" s="21" t="str">
        <f t="shared" si="88"/>
        <v>SEQUENCE_UNCERTAIN</v>
      </c>
      <c r="AA83" s="21" t="str">
        <f t="shared" si="89"/>
        <v/>
      </c>
      <c r="AB83" s="21" t="str">
        <f t="shared" si="90"/>
        <v>W_SEQUENCE_UNCERTAIN</v>
      </c>
      <c r="AC83" s="21" t="str">
        <f>IF(AQ83=1,"",MID(IF(BX83&lt;&gt;""," | "&amp;BX83&amp;": "&amp;SUBSTITUTE(IFERROR(INDEX(nMSG_Text,MATCH(BX83,nMSG_Code,0)),""),"[input]",BY83),"")&amp;IF(CI83=1," | W_TZ_UNKNOWN: "&amp;SUBSTITUTE(IFERROR(INDEX(nMSG_Text,MATCH("W_TZ_UNKNOWN",nMSG_Code,0)),""),"[input]",""),"")&amp;IF(CJ83=1," | W_SAME_DATE_ORDER_UNKNOWN: "&amp;SUBSTITUTE(IFERROR(INDEX(nMSG_Text,MATCH("W_SAME_DATE_ORDER_UNKNOWN",nMSG_Code,0)),""),"[input]",""),"")&amp;IF(CK83=1," | W_SEQUENCE_UNCERTAIN: "&amp;SUBSTITUTE(IFERROR(INDEX(nMSG_Text,MATCH("W_SEQUENCE_UNCERTAIN",nMSG_Code,0)),""),"[input]",""),"")&amp;IF(CL83=1," | W_ADMIN_SAME_DATE_AS_ONSET: "&amp;SUBSTITUTE(IFERROR(INDEX(nMSG_Text,MATCH("W_ADMIN_SAME_DATE_AS_ONSET",nMSG_Code,0)),""),"[input]",""),"")&amp;IF(CO83=1," | W_INTERVENTION_BEFORE_RECOVERY: "&amp;SUBSTITUTE(IFERROR(INDEX(nMSG_Text,MATCH("W_INTERVENTION_BEFORE_RECOVERY",nMSG_Code,0)),""),"[input]",""),"")&amp;IF(OR(CQ83="",CQ83="OVERLAP"),""," | "&amp;CQ83&amp;" (reported timing): "&amp;SUBSTITUTE(IFERROR(INDEX(nMSG_Text,MATCH(CQ83,nMSG_Code,0)),""),"[input]","numeric reported bounds and a reported unit"))&amp;IF(CM83=1," | I_TREATMENT_DAY_UNDEFINED: "&amp;SUBSTITUTE(IFERROR(INDEX(nMSG_Text,MATCH("I_TREATMENT_DAY_UNDEFINED",nMSG_Code,0)),""),"[input]",""),"")&amp;IF(CH83&lt;&gt;""," | "&amp;CH83&amp;" (constraint): "&amp;SUBSTITUTE(IFERROR(INDEX(nMSG_Text,MATCH(CH83,nMSG_Code,0)),""),"[input]","a source for the constraint"),""),4,9999))</f>
        <v>W_SEQUENCE_UNCERTAIN: The available dates allow onset before or after this anchor. Sequence is not established.</v>
      </c>
      <c r="AD83" s="21" t="str">
        <f t="shared" si="91"/>
        <v/>
      </c>
      <c r="AE83" s="21" t="str">
        <f t="shared" si="92"/>
        <v/>
      </c>
      <c r="AF83" s="21" t="str">
        <f t="shared" si="93"/>
        <v/>
      </c>
      <c r="AG83" s="21" t="str">
        <f t="shared" si="94"/>
        <v>EX1/START</v>
      </c>
      <c r="AH83" s="21" t="str">
        <f>IF(BJ83=0,"",INDEX(nTP_ISO,BJ83))</f>
        <v>2026-01-01/2026-01-10</v>
      </c>
      <c r="AI83" s="21" t="str">
        <f>IF(BJ83=0,"",INDEX(nTP_Display,BJ83))</f>
        <v>1 January 2026 to 10 January 2026</v>
      </c>
      <c r="AJ83" s="21" t="str">
        <f>IF(AV83=0,"",INDEX(nTP_ISO,AV83))</f>
        <v>2026-01-05</v>
      </c>
      <c r="AK83" s="21" t="str">
        <f>IF(AV83=0,"",INDEX(nTP_Display,AV83))</f>
        <v>5 January 2026</v>
      </c>
      <c r="AL83" s="21" t="str">
        <f>IF(AU83=0,"",INDEX(nLNK_Exposure_Episode_ID,AU83)&amp;"")</f>
        <v>EX1</v>
      </c>
      <c r="AM83" s="21" t="str">
        <f>IF(AU83=0,"",INDEX(nLNK_Event_Episode_ID,AU83)&amp;"")</f>
        <v>EV1</v>
      </c>
      <c r="AN83" s="21" t="str">
        <f t="shared" si="95"/>
        <v>Bounded interval: minimum = end-point lower bound minus anchor upper bound; maximum = end-point upper bound minus anchor lower bound. No single date is imputed.</v>
      </c>
      <c r="AO83" s="21" t="str">
        <f t="shared" si="96"/>
        <v/>
      </c>
      <c r="AP83" s="21" t="str">
        <f t="shared" si="97"/>
        <v>CALC-SPEC 1.0</v>
      </c>
      <c r="AQ83" s="22">
        <f t="shared" si="98"/>
        <v>0</v>
      </c>
      <c r="AR83" s="21" t="str">
        <f t="shared" si="99"/>
        <v>VEC-V06|1</v>
      </c>
      <c r="AS83" s="21" t="str">
        <f t="shared" si="100"/>
        <v>VEC-V06|1|I1</v>
      </c>
      <c r="AT83" s="22">
        <f>IF(AS83="",0,COUNTIF(nINT_Key,AS83))</f>
        <v>1</v>
      </c>
      <c r="AU83" s="22">
        <f>IF(D83="",0,IFERROR(MATCH(AR83&amp;"|"&amp;D83,nLNK_Key,0),0))</f>
        <v>37</v>
      </c>
      <c r="AV83" s="22">
        <f>IF(OR(AQ83=1,H83=""),0,IFERROR(MATCH(AR83&amp;"|"&amp;H83,nTP_Key,0),0))</f>
        <v>289</v>
      </c>
      <c r="AW83" s="21">
        <f>IF(AV83=0,0,INDEX(nTP_Dup,AV83))</f>
        <v>1</v>
      </c>
      <c r="AX83" s="21" t="str">
        <f>IF(AV83=0,"",INDEX(nTP_Record_Type,AV83))</f>
        <v>EVENT_ONSET</v>
      </c>
      <c r="AY83" s="21" t="str">
        <f>IF(AV83=0,"",INDEX(nTP_Precision,AV83))</f>
        <v>DATE</v>
      </c>
      <c r="AZ83" s="21" t="str">
        <f>IF(AV83=0,"",INDEX(nTP_Err,AV83))</f>
        <v/>
      </c>
      <c r="BA83" s="21">
        <f>IF(AV83=0,0,INDEX(nTP_HT,AV83))</f>
        <v>0</v>
      </c>
      <c r="BB83" s="21">
        <f>IF(AV83=0,0,INDEX(nTP_OK,AV83))</f>
        <v>0</v>
      </c>
      <c r="BC83" s="21" t="str">
        <f>IF(AV83=0,"",INDEX(nTP_Loc,AV83))</f>
        <v/>
      </c>
      <c r="BD83" s="21" t="str">
        <f>IF(AV83=0,"",INDEX(nTP_UTC,AV83))</f>
        <v/>
      </c>
      <c r="BE83" s="21">
        <f>IF(AV83=0,"",INDEX(nTP_Lo,AV83))</f>
        <v>46027</v>
      </c>
      <c r="BF83" s="21">
        <f>IF(AV83=0,"",INDEX(nTP_Hi,AV83))</f>
        <v>46027</v>
      </c>
      <c r="BG83" s="22">
        <f>IF(OR(AQ83=1,E83&lt;&gt;"LAST_DOSE_BEFORE_ONSET",AU83=0,AV83=0),0,IF(AZ83&lt;&gt;"",0,SUMPRODUCT(MAX((nADM_SelKey=AR83&amp;"|"&amp;AL83)*nADM_Valid*(nADM_A_HT*BA83*nADM_A_OK*BB83*(nADM_UTC_n&lt;=N(BD83))+nADM_A_HT*BA83*(1-nADM_A_OK*BB83)*(nADM_Loc_n&lt;=N(BC83))+(1-nADM_A_HT*BA83)*(nADM_Lo_n&lt;=N(BE83)))*nADM_Sort_n))))</f>
        <v>0</v>
      </c>
      <c r="BH83" s="22">
        <f>IF(BG83=0,0,MATCH(1,INDEX((nADM_SelKey=AR83&amp;"|"&amp;AL83)*nADM_Valid*(nADM_A_HT*BA83*nADM_A_OK*BB83*(nADM_UTC_n&lt;=N(BD83))+nADM_A_HT*BA83*(1-nADM_A_OK*BB83)*(nADM_Loc_n&lt;=N(BC83))+(1-nADM_A_HT*BA83)*(nADM_Lo_n&lt;=N(BE83)))*(nADM_Sort_n=BG83),0),0))</f>
        <v>0</v>
      </c>
      <c r="BI83" s="21" t="str">
        <f>IF(BH83=0,"",INDEX(nADM_Admin_ID,BH83)&amp;"")</f>
        <v/>
      </c>
      <c r="BJ83" s="22">
        <f>IF(OR(AQ83=1,AG83=""),0,IFERROR(MATCH(AR83&amp;"|"&amp;AG83,nTP_Key,0),0))</f>
        <v>49</v>
      </c>
      <c r="BK83" s="21">
        <f>IF(BJ83=0,0,INDEX(nTP_Dup,BJ83))</f>
        <v>1</v>
      </c>
      <c r="BL83" s="21" t="str">
        <f>IF(BJ83=0,"",INDEX(nTP_Record_Type,BJ83))</f>
        <v>EXPOSURE_START</v>
      </c>
      <c r="BM83" s="21" t="str">
        <f>IF(BJ83=0,"",INDEX(nTP_Precision,BJ83))</f>
        <v>RANGE</v>
      </c>
      <c r="BN83" s="21" t="str">
        <f>IF(BJ83=0,"",INDEX(nTP_Err,BJ83))</f>
        <v/>
      </c>
      <c r="BO83" s="21">
        <f>IF(BJ83=0,0,INDEX(nTP_HT,BJ83))</f>
        <v>0</v>
      </c>
      <c r="BP83" s="21">
        <f>IF(BJ83=0,0,INDEX(nTP_OK,BJ83))</f>
        <v>0</v>
      </c>
      <c r="BQ83" s="21" t="str">
        <f>IF(BJ83=0,"",INDEX(nTP_Loc,BJ83))</f>
        <v/>
      </c>
      <c r="BR83" s="21" t="str">
        <f>IF(BJ83=0,"",INDEX(nTP_UTC,BJ83))</f>
        <v/>
      </c>
      <c r="BS83" s="21">
        <f>IF(BJ83=0,"",INDEX(nTP_Lo,BJ83))</f>
        <v>46023</v>
      </c>
      <c r="BT83" s="21">
        <f>IF(BJ83=0,"",INDEX(nTP_Hi,BJ83))</f>
        <v>46032</v>
      </c>
      <c r="BU83" s="22">
        <f>IF(OR(BJ83=0,AV83=0),0,SUMPRODUCT((nTP_Case_Key=AR83)*(nTP_Record_Type="MILESTONE:INTERVENTION")*(nTP_Err="")*(nTP_HT*BO83*BA83*(nTP_Loc_n&gt;=N(BQ83))*(nTP_Loc_n&lt;=N(BC83))+(1-nTP_HT*BO83*BA83)*(nTP_Lo_n&gt;=N(BS83))*(nTP_Hi_n&lt;=N(BF83))*(nTP_Lo_n&gt;0))))</f>
        <v>0</v>
      </c>
      <c r="BV83" s="21" t="str">
        <f t="shared" si="101"/>
        <v/>
      </c>
      <c r="BW83" s="21" t="str">
        <f t="shared" si="102"/>
        <v/>
      </c>
      <c r="BX83" s="21" t="str">
        <f t="shared" si="103"/>
        <v/>
      </c>
      <c r="BY83" s="21" t="str">
        <f t="shared" si="104"/>
        <v/>
      </c>
      <c r="BZ83" s="22">
        <f t="shared" si="105"/>
        <v>1</v>
      </c>
      <c r="CA83" s="21" t="str">
        <f t="shared" si="106"/>
        <v/>
      </c>
      <c r="CB83" s="21" t="str">
        <f t="shared" si="107"/>
        <v/>
      </c>
      <c r="CC83" s="21">
        <f t="shared" si="108"/>
        <v>-5</v>
      </c>
      <c r="CD83" s="21">
        <f t="shared" si="109"/>
        <v>4</v>
      </c>
      <c r="CE83" s="22">
        <f t="shared" si="110"/>
        <v>0</v>
      </c>
      <c r="CF83" s="28" t="str">
        <f t="shared" si="111"/>
        <v/>
      </c>
      <c r="CG83" s="28" t="str">
        <f t="shared" si="112"/>
        <v/>
      </c>
      <c r="CH83" s="21" t="str">
        <f t="shared" si="113"/>
        <v/>
      </c>
      <c r="CI83" s="22">
        <f t="shared" si="114"/>
        <v>0</v>
      </c>
      <c r="CJ83" s="22">
        <f t="shared" si="115"/>
        <v>0</v>
      </c>
      <c r="CK83" s="22">
        <f t="shared" si="116"/>
        <v>1</v>
      </c>
      <c r="CL83" s="22">
        <f t="shared" si="117"/>
        <v>0</v>
      </c>
      <c r="CM83" s="22">
        <f t="shared" si="118"/>
        <v>0</v>
      </c>
      <c r="CN83" s="22">
        <f t="shared" si="119"/>
        <v>0</v>
      </c>
      <c r="CO83" s="22">
        <f t="shared" si="120"/>
        <v>0</v>
      </c>
      <c r="CP83" s="22">
        <f t="shared" si="121"/>
        <v>0</v>
      </c>
      <c r="CQ83" s="21" t="str">
        <f t="shared" si="122"/>
        <v/>
      </c>
    </row>
    <row r="84" spans="1:95" x14ac:dyDescent="0.2">
      <c r="A84" s="9" t="s">
        <v>1004</v>
      </c>
      <c r="B84" s="9" t="s">
        <v>315</v>
      </c>
      <c r="C84" s="11">
        <v>1</v>
      </c>
      <c r="D84" s="9" t="s">
        <v>801</v>
      </c>
      <c r="E84" s="16" t="s">
        <v>50</v>
      </c>
      <c r="F84" s="9"/>
      <c r="G84" s="9"/>
      <c r="H84" s="9" t="s">
        <v>1005</v>
      </c>
      <c r="I84" s="16" t="s">
        <v>57</v>
      </c>
      <c r="J84" s="16"/>
      <c r="K84" s="9"/>
      <c r="L84" s="16"/>
      <c r="M84" s="16"/>
      <c r="N84" s="16"/>
      <c r="O84" s="9"/>
      <c r="P84" s="14"/>
      <c r="Q84" s="14"/>
      <c r="R84" s="9"/>
      <c r="S84" s="9"/>
      <c r="T84" s="21" t="str">
        <f t="shared" si="82"/>
        <v>720 minutes (12.0 hours)</v>
      </c>
      <c r="U84" s="21">
        <f t="shared" si="83"/>
        <v>720</v>
      </c>
      <c r="V84" s="21" t="str">
        <f t="shared" si="84"/>
        <v/>
      </c>
      <c r="W84" s="21" t="str">
        <f t="shared" si="85"/>
        <v/>
      </c>
      <c r="X84" s="21" t="str">
        <f t="shared" si="86"/>
        <v>minutes</v>
      </c>
      <c r="Y84" s="21" t="str">
        <f t="shared" si="87"/>
        <v>C1</v>
      </c>
      <c r="Z84" s="21" t="str">
        <f t="shared" si="88"/>
        <v>AFTER</v>
      </c>
      <c r="AA84" s="21" t="str">
        <f t="shared" si="89"/>
        <v/>
      </c>
      <c r="AB84" s="21" t="str">
        <f t="shared" si="90"/>
        <v/>
      </c>
      <c r="AC84" s="21" t="str">
        <f>IF(AQ84=1,"",MID(IF(BX84&lt;&gt;""," | "&amp;BX84&amp;": "&amp;SUBSTITUTE(IFERROR(INDEX(nMSG_Text,MATCH(BX84,nMSG_Code,0)),""),"[input]",BY84),"")&amp;IF(CI84=1," | W_TZ_UNKNOWN: "&amp;SUBSTITUTE(IFERROR(INDEX(nMSG_Text,MATCH("W_TZ_UNKNOWN",nMSG_Code,0)),""),"[input]",""),"")&amp;IF(CJ84=1," | W_SAME_DATE_ORDER_UNKNOWN: "&amp;SUBSTITUTE(IFERROR(INDEX(nMSG_Text,MATCH("W_SAME_DATE_ORDER_UNKNOWN",nMSG_Code,0)),""),"[input]",""),"")&amp;IF(CK84=1," | W_SEQUENCE_UNCERTAIN: "&amp;SUBSTITUTE(IFERROR(INDEX(nMSG_Text,MATCH("W_SEQUENCE_UNCERTAIN",nMSG_Code,0)),""),"[input]",""),"")&amp;IF(CL84=1," | W_ADMIN_SAME_DATE_AS_ONSET: "&amp;SUBSTITUTE(IFERROR(INDEX(nMSG_Text,MATCH("W_ADMIN_SAME_DATE_AS_ONSET",nMSG_Code,0)),""),"[input]",""),"")&amp;IF(CO84=1," | W_INTERVENTION_BEFORE_RECOVERY: "&amp;SUBSTITUTE(IFERROR(INDEX(nMSG_Text,MATCH("W_INTERVENTION_BEFORE_RECOVERY",nMSG_Code,0)),""),"[input]",""),"")&amp;IF(OR(CQ84="",CQ84="OVERLAP"),""," | "&amp;CQ84&amp;" (reported timing): "&amp;SUBSTITUTE(IFERROR(INDEX(nMSG_Text,MATCH(CQ84,nMSG_Code,0)),""),"[input]","numeric reported bounds and a reported unit"))&amp;IF(CM84=1," | I_TREATMENT_DAY_UNDEFINED: "&amp;SUBSTITUTE(IFERROR(INDEX(nMSG_Text,MATCH("I_TREATMENT_DAY_UNDEFINED",nMSG_Code,0)),""),"[input]",""),"")&amp;IF(CH84&lt;&gt;""," | "&amp;CH84&amp;" (constraint): "&amp;SUBSTITUTE(IFERROR(INDEX(nMSG_Text,MATCH(CH84,nMSG_Code,0)),""),"[input]","a source for the constraint"),""),4,9999))</f>
        <v/>
      </c>
      <c r="AD84" s="21" t="str">
        <f t="shared" si="91"/>
        <v/>
      </c>
      <c r="AE84" s="21" t="str">
        <f t="shared" si="92"/>
        <v/>
      </c>
      <c r="AF84" s="21" t="str">
        <f t="shared" si="93"/>
        <v/>
      </c>
      <c r="AG84" s="21" t="str">
        <f t="shared" si="94"/>
        <v>A2</v>
      </c>
      <c r="AH84" s="21" t="str">
        <f>IF(BJ84=0,"",INDEX(nTP_ISO,BJ84))</f>
        <v>2026-03-02T08:00-05:00</v>
      </c>
      <c r="AI84" s="21" t="str">
        <f>IF(BJ84=0,"",INDEX(nTP_Display,BJ84))</f>
        <v>2 March 2026 08:00 (UTC-05:00)</v>
      </c>
      <c r="AJ84" s="21" t="str">
        <f>IF(AV84=0,"",INDEX(nTP_ISO,AV84))</f>
        <v>2026-03-02T20:00-05:00</v>
      </c>
      <c r="AK84" s="21" t="str">
        <f>IF(AV84=0,"",INDEX(nTP_Display,AV84))</f>
        <v>2 March 2026 20:00 (UTC-05:00)</v>
      </c>
      <c r="AL84" s="21" t="str">
        <f>IF(AU84=0,"",INDEX(nLNK_Exposure_Episode_ID,AU84)&amp;"")</f>
        <v>EX1</v>
      </c>
      <c r="AM84" s="21" t="str">
        <f>IF(AU84=0,"",INDEX(nLNK_Event_Episode_ID,AU84)&amp;"")</f>
        <v>EV1</v>
      </c>
      <c r="AN84" s="21" t="str">
        <f t="shared" si="95"/>
        <v>Both times converted to UTC with the recorded offsets. Anchor selected by C5: latest administration at or before the end point (A2).</v>
      </c>
      <c r="AO84" s="21" t="str">
        <f t="shared" si="96"/>
        <v/>
      </c>
      <c r="AP84" s="21" t="str">
        <f t="shared" si="97"/>
        <v>CALC-SPEC 1.0</v>
      </c>
      <c r="AQ84" s="22">
        <f t="shared" si="98"/>
        <v>0</v>
      </c>
      <c r="AR84" s="21" t="str">
        <f t="shared" si="99"/>
        <v>VEC-V07|1</v>
      </c>
      <c r="AS84" s="21" t="str">
        <f t="shared" si="100"/>
        <v>VEC-V07|1|I1</v>
      </c>
      <c r="AT84" s="22">
        <f>IF(AS84="",0,COUNTIF(nINT_Key,AS84))</f>
        <v>1</v>
      </c>
      <c r="AU84" s="22">
        <f>IF(D84="",0,IFERROR(MATCH(AR84&amp;"|"&amp;D84,nLNK_Key,0),0))</f>
        <v>38</v>
      </c>
      <c r="AV84" s="22">
        <f>IF(OR(AQ84=1,H84=""),0,IFERROR(MATCH(AR84&amp;"|"&amp;H84,nTP_Key,0),0))</f>
        <v>290</v>
      </c>
      <c r="AW84" s="21">
        <f>IF(AV84=0,0,INDEX(nTP_Dup,AV84))</f>
        <v>1</v>
      </c>
      <c r="AX84" s="21" t="str">
        <f>IF(AV84=0,"",INDEX(nTP_Record_Type,AV84))</f>
        <v>EVENT_ONSET</v>
      </c>
      <c r="AY84" s="21" t="str">
        <f>IF(AV84=0,"",INDEX(nTP_Precision,AV84))</f>
        <v>TIMESTAMP</v>
      </c>
      <c r="AZ84" s="21" t="str">
        <f>IF(AV84=0,"",INDEX(nTP_Err,AV84))</f>
        <v/>
      </c>
      <c r="BA84" s="21">
        <f>IF(AV84=0,0,INDEX(nTP_HT,AV84))</f>
        <v>1</v>
      </c>
      <c r="BB84" s="21">
        <f>IF(AV84=0,0,INDEX(nTP_OK,AV84))</f>
        <v>1</v>
      </c>
      <c r="BC84" s="21">
        <f>IF(AV84=0,"",INDEX(nTP_Loc,AV84))</f>
        <v>66360720</v>
      </c>
      <c r="BD84" s="21">
        <f>IF(AV84=0,"",INDEX(nTP_UTC,AV84))</f>
        <v>66361020</v>
      </c>
      <c r="BE84" s="21">
        <f>IF(AV84=0,"",INDEX(nTP_Lo,AV84))</f>
        <v>46083</v>
      </c>
      <c r="BF84" s="21">
        <f>IF(AV84=0,"",INDEX(nTP_Hi,AV84))</f>
        <v>46083</v>
      </c>
      <c r="BG84" s="22">
        <f>IF(OR(AQ84=1,E84&lt;&gt;"LAST_DOSE_BEFORE_ONSET",AU84=0,AV84=0),0,IF(AZ84&lt;&gt;"",0,SUMPRODUCT(MAX((nADM_SelKey=AR84&amp;"|"&amp;AL84)*nADM_Valid*(nADM_A_HT*BA84*nADM_A_OK*BB84*(nADM_UTC_n&lt;=N(BD84))+nADM_A_HT*BA84*(1-nADM_A_OK*BB84)*(nADM_Loc_n&lt;=N(BC84))+(1-nADM_A_HT*BA84)*(nADM_Lo_n&lt;=N(BE84)))*nADM_Sort_n))))</f>
        <v>66360300</v>
      </c>
      <c r="BH84" s="22">
        <f>IF(BG84=0,0,MATCH(1,INDEX((nADM_SelKey=AR84&amp;"|"&amp;AL84)*nADM_Valid*(nADM_A_HT*BA84*nADM_A_OK*BB84*(nADM_UTC_n&lt;=N(BD84))+nADM_A_HT*BA84*(1-nADM_A_OK*BB84)*(nADM_Loc_n&lt;=N(BC84))+(1-nADM_A_HT*BA84)*(nADM_Lo_n&lt;=N(BE84)))*(nADM_Sort_n=BG84),0),0))</f>
        <v>68</v>
      </c>
      <c r="BI84" s="21" t="str">
        <f>IF(BH84=0,"",INDEX(nADM_Admin_ID,BH84)&amp;"")</f>
        <v>A2</v>
      </c>
      <c r="BJ84" s="22">
        <f>IF(OR(AQ84=1,AG84=""),0,IFERROR(MATCH(AR84&amp;"|"&amp;AG84,nTP_Key,0),0))</f>
        <v>257</v>
      </c>
      <c r="BK84" s="21">
        <f>IF(BJ84=0,0,INDEX(nTP_Dup,BJ84))</f>
        <v>1</v>
      </c>
      <c r="BL84" s="21" t="str">
        <f>IF(BJ84=0,"",INDEX(nTP_Record_Type,BJ84))</f>
        <v>ADMINISTRATION</v>
      </c>
      <c r="BM84" s="21" t="str">
        <f>IF(BJ84=0,"",INDEX(nTP_Precision,BJ84))</f>
        <v>TIMESTAMP</v>
      </c>
      <c r="BN84" s="21" t="str">
        <f>IF(BJ84=0,"",INDEX(nTP_Err,BJ84))</f>
        <v/>
      </c>
      <c r="BO84" s="21">
        <f>IF(BJ84=0,0,INDEX(nTP_HT,BJ84))</f>
        <v>1</v>
      </c>
      <c r="BP84" s="21">
        <f>IF(BJ84=0,0,INDEX(nTP_OK,BJ84))</f>
        <v>1</v>
      </c>
      <c r="BQ84" s="21">
        <f>IF(BJ84=0,"",INDEX(nTP_Loc,BJ84))</f>
        <v>66360000</v>
      </c>
      <c r="BR84" s="21">
        <f>IF(BJ84=0,"",INDEX(nTP_UTC,BJ84))</f>
        <v>66360300</v>
      </c>
      <c r="BS84" s="21">
        <f>IF(BJ84=0,"",INDEX(nTP_Lo,BJ84))</f>
        <v>46083</v>
      </c>
      <c r="BT84" s="21">
        <f>IF(BJ84=0,"",INDEX(nTP_Hi,BJ84))</f>
        <v>46083</v>
      </c>
      <c r="BU84" s="22">
        <f>IF(OR(BJ84=0,AV84=0),0,SUMPRODUCT((nTP_Case_Key=AR84)*(nTP_Record_Type="MILESTONE:INTERVENTION")*(nTP_Err="")*(nTP_HT*BO84*BA84*(nTP_Loc_n&gt;=N(BQ84))*(nTP_Loc_n&lt;=N(BC84))+(1-nTP_HT*BO84*BA84)*(nTP_Lo_n&gt;=N(BS84))*(nTP_Hi_n&lt;=N(BF84))*(nTP_Lo_n&gt;0))))</f>
        <v>0</v>
      </c>
      <c r="BV84" s="21" t="str">
        <f t="shared" si="101"/>
        <v/>
      </c>
      <c r="BW84" s="21" t="str">
        <f t="shared" si="102"/>
        <v/>
      </c>
      <c r="BX84" s="21" t="str">
        <f t="shared" si="103"/>
        <v/>
      </c>
      <c r="BY84" s="21" t="str">
        <f t="shared" si="104"/>
        <v/>
      </c>
      <c r="BZ84" s="22">
        <f t="shared" si="105"/>
        <v>0</v>
      </c>
      <c r="CA84" s="21">
        <f t="shared" si="106"/>
        <v>720</v>
      </c>
      <c r="CB84" s="21" t="str">
        <f t="shared" si="107"/>
        <v/>
      </c>
      <c r="CC84" s="21" t="str">
        <f t="shared" si="108"/>
        <v/>
      </c>
      <c r="CD84" s="21" t="str">
        <f t="shared" si="109"/>
        <v/>
      </c>
      <c r="CE84" s="22">
        <f t="shared" si="110"/>
        <v>0</v>
      </c>
      <c r="CF84" s="28" t="str">
        <f t="shared" si="111"/>
        <v/>
      </c>
      <c r="CG84" s="28" t="str">
        <f t="shared" si="112"/>
        <v/>
      </c>
      <c r="CH84" s="21" t="str">
        <f t="shared" si="113"/>
        <v/>
      </c>
      <c r="CI84" s="22">
        <f t="shared" si="114"/>
        <v>0</v>
      </c>
      <c r="CJ84" s="22">
        <f t="shared" si="115"/>
        <v>0</v>
      </c>
      <c r="CK84" s="22">
        <f t="shared" si="116"/>
        <v>0</v>
      </c>
      <c r="CL84" s="22">
        <f t="shared" si="117"/>
        <v>0</v>
      </c>
      <c r="CM84" s="22">
        <f t="shared" si="118"/>
        <v>0</v>
      </c>
      <c r="CN84" s="22">
        <f t="shared" si="119"/>
        <v>0</v>
      </c>
      <c r="CO84" s="22">
        <f t="shared" si="120"/>
        <v>0</v>
      </c>
      <c r="CP84" s="22">
        <f t="shared" si="121"/>
        <v>0</v>
      </c>
      <c r="CQ84" s="21" t="str">
        <f t="shared" si="122"/>
        <v/>
      </c>
    </row>
    <row r="85" spans="1:95" x14ac:dyDescent="0.2">
      <c r="A85" s="9" t="s">
        <v>1004</v>
      </c>
      <c r="B85" s="9" t="s">
        <v>317</v>
      </c>
      <c r="C85" s="11">
        <v>1</v>
      </c>
      <c r="D85" s="9" t="s">
        <v>801</v>
      </c>
      <c r="E85" s="16" t="s">
        <v>49</v>
      </c>
      <c r="F85" s="9"/>
      <c r="G85" s="9" t="s">
        <v>1003</v>
      </c>
      <c r="H85" s="9" t="s">
        <v>1005</v>
      </c>
      <c r="I85" s="16" t="s">
        <v>58</v>
      </c>
      <c r="J85" s="16"/>
      <c r="K85" s="9"/>
      <c r="L85" s="16"/>
      <c r="M85" s="16"/>
      <c r="N85" s="16"/>
      <c r="O85" s="9"/>
      <c r="P85" s="14"/>
      <c r="Q85" s="14"/>
      <c r="R85" s="9"/>
      <c r="S85" s="9"/>
      <c r="T85" s="21" t="str">
        <f t="shared" si="82"/>
        <v>44 calendar days</v>
      </c>
      <c r="U85" s="21">
        <f t="shared" si="83"/>
        <v>44</v>
      </c>
      <c r="V85" s="21" t="str">
        <f t="shared" si="84"/>
        <v/>
      </c>
      <c r="W85" s="21" t="str">
        <f t="shared" si="85"/>
        <v/>
      </c>
      <c r="X85" s="21" t="str">
        <f t="shared" si="86"/>
        <v>calendar days</v>
      </c>
      <c r="Y85" s="21" t="str">
        <f t="shared" si="87"/>
        <v>C2</v>
      </c>
      <c r="Z85" s="21" t="str">
        <f t="shared" si="88"/>
        <v>AFTER</v>
      </c>
      <c r="AA85" s="21" t="str">
        <f t="shared" si="89"/>
        <v/>
      </c>
      <c r="AB85" s="21" t="str">
        <f t="shared" si="90"/>
        <v/>
      </c>
      <c r="AC85" s="21" t="str">
        <f>IF(AQ85=1,"",MID(IF(BX85&lt;&gt;""," | "&amp;BX85&amp;": "&amp;SUBSTITUTE(IFERROR(INDEX(nMSG_Text,MATCH(BX85,nMSG_Code,0)),""),"[input]",BY85),"")&amp;IF(CI85=1," | W_TZ_UNKNOWN: "&amp;SUBSTITUTE(IFERROR(INDEX(nMSG_Text,MATCH("W_TZ_UNKNOWN",nMSG_Code,0)),""),"[input]",""),"")&amp;IF(CJ85=1," | W_SAME_DATE_ORDER_UNKNOWN: "&amp;SUBSTITUTE(IFERROR(INDEX(nMSG_Text,MATCH("W_SAME_DATE_ORDER_UNKNOWN",nMSG_Code,0)),""),"[input]",""),"")&amp;IF(CK85=1," | W_SEQUENCE_UNCERTAIN: "&amp;SUBSTITUTE(IFERROR(INDEX(nMSG_Text,MATCH("W_SEQUENCE_UNCERTAIN",nMSG_Code,0)),""),"[input]",""),"")&amp;IF(CL85=1," | W_ADMIN_SAME_DATE_AS_ONSET: "&amp;SUBSTITUTE(IFERROR(INDEX(nMSG_Text,MATCH("W_ADMIN_SAME_DATE_AS_ONSET",nMSG_Code,0)),""),"[input]",""),"")&amp;IF(CO85=1," | W_INTERVENTION_BEFORE_RECOVERY: "&amp;SUBSTITUTE(IFERROR(INDEX(nMSG_Text,MATCH("W_INTERVENTION_BEFORE_RECOVERY",nMSG_Code,0)),""),"[input]",""),"")&amp;IF(OR(CQ85="",CQ85="OVERLAP"),""," | "&amp;CQ85&amp;" (reported timing): "&amp;SUBSTITUTE(IFERROR(INDEX(nMSG_Text,MATCH(CQ85,nMSG_Code,0)),""),"[input]","numeric reported bounds and a reported unit"))&amp;IF(CM85=1," | I_TREATMENT_DAY_UNDEFINED: "&amp;SUBSTITUTE(IFERROR(INDEX(nMSG_Text,MATCH("I_TREATMENT_DAY_UNDEFINED",nMSG_Code,0)),""),"[input]",""),"")&amp;IF(CH85&lt;&gt;""," | "&amp;CH85&amp;" (constraint): "&amp;SUBSTITUTE(IFERROR(INDEX(nMSG_Text,MATCH(CH85,nMSG_Code,0)),""),"[input]","a source for the constraint"),""),4,9999))</f>
        <v/>
      </c>
      <c r="AD85" s="21" t="str">
        <f t="shared" si="91"/>
        <v/>
      </c>
      <c r="AE85" s="21" t="str">
        <f t="shared" si="92"/>
        <v/>
      </c>
      <c r="AF85" s="21" t="str">
        <f t="shared" si="93"/>
        <v/>
      </c>
      <c r="AG85" s="21" t="str">
        <f t="shared" si="94"/>
        <v>EX1/START</v>
      </c>
      <c r="AH85" s="21" t="str">
        <f>IF(BJ85=0,"",INDEX(nTP_ISO,BJ85))</f>
        <v>2026-01-01</v>
      </c>
      <c r="AI85" s="21" t="str">
        <f>IF(BJ85=0,"",INDEX(nTP_Display,BJ85))</f>
        <v>1 January 2026</v>
      </c>
      <c r="AJ85" s="21" t="str">
        <f>IF(AV85=0,"",INDEX(nTP_ISO,AV85))</f>
        <v>2026-02-14</v>
      </c>
      <c r="AK85" s="21" t="str">
        <f>IF(AV85=0,"",INDEX(nTP_Display,AV85))</f>
        <v>14 February 2026</v>
      </c>
      <c r="AL85" s="21" t="str">
        <f>IF(AU85=0,"",INDEX(nLNK_Exposure_Episode_ID,AU85)&amp;"")</f>
        <v>EX1</v>
      </c>
      <c r="AM85" s="21" t="str">
        <f>IF(AU85=0,"",INDEX(nLNK_Event_Episode_ID,AU85)&amp;"")</f>
        <v>EV1</v>
      </c>
      <c r="AN85" s="21" t="str">
        <f t="shared" si="95"/>
        <v>Calendar-date difference of the recorded local dates; not elapsed days.</v>
      </c>
      <c r="AO85" s="21" t="str">
        <f t="shared" si="96"/>
        <v/>
      </c>
      <c r="AP85" s="21" t="str">
        <f t="shared" si="97"/>
        <v>CALC-SPEC 1.0</v>
      </c>
      <c r="AQ85" s="22">
        <f t="shared" si="98"/>
        <v>0</v>
      </c>
      <c r="AR85" s="21" t="str">
        <f t="shared" si="99"/>
        <v>VEC-V08|1</v>
      </c>
      <c r="AS85" s="21" t="str">
        <f t="shared" si="100"/>
        <v>VEC-V08|1|I1</v>
      </c>
      <c r="AT85" s="22">
        <f>IF(AS85="",0,COUNTIF(nINT_Key,AS85))</f>
        <v>1</v>
      </c>
      <c r="AU85" s="22">
        <f>IF(D85="",0,IFERROR(MATCH(AR85&amp;"|"&amp;D85,nLNK_Key,0),0))</f>
        <v>39</v>
      </c>
      <c r="AV85" s="22">
        <f>IF(OR(AQ85=1,H85=""),0,IFERROR(MATCH(AR85&amp;"|"&amp;H85,nTP_Key,0),0))</f>
        <v>291</v>
      </c>
      <c r="AW85" s="21">
        <f>IF(AV85=0,0,INDEX(nTP_Dup,AV85))</f>
        <v>1</v>
      </c>
      <c r="AX85" s="21" t="str">
        <f>IF(AV85=0,"",INDEX(nTP_Record_Type,AV85))</f>
        <v>EVENT_ONSET</v>
      </c>
      <c r="AY85" s="21" t="str">
        <f>IF(AV85=0,"",INDEX(nTP_Precision,AV85))</f>
        <v>DATE</v>
      </c>
      <c r="AZ85" s="21" t="str">
        <f>IF(AV85=0,"",INDEX(nTP_Err,AV85))</f>
        <v/>
      </c>
      <c r="BA85" s="21">
        <f>IF(AV85=0,0,INDEX(nTP_HT,AV85))</f>
        <v>0</v>
      </c>
      <c r="BB85" s="21">
        <f>IF(AV85=0,0,INDEX(nTP_OK,AV85))</f>
        <v>0</v>
      </c>
      <c r="BC85" s="21" t="str">
        <f>IF(AV85=0,"",INDEX(nTP_Loc,AV85))</f>
        <v/>
      </c>
      <c r="BD85" s="21" t="str">
        <f>IF(AV85=0,"",INDEX(nTP_UTC,AV85))</f>
        <v/>
      </c>
      <c r="BE85" s="21">
        <f>IF(AV85=0,"",INDEX(nTP_Lo,AV85))</f>
        <v>46067</v>
      </c>
      <c r="BF85" s="21">
        <f>IF(AV85=0,"",INDEX(nTP_Hi,AV85))</f>
        <v>46067</v>
      </c>
      <c r="BG85" s="22">
        <f>IF(OR(AQ85=1,E85&lt;&gt;"LAST_DOSE_BEFORE_ONSET",AU85=0,AV85=0),0,IF(AZ85&lt;&gt;"",0,SUMPRODUCT(MAX((nADM_SelKey=AR85&amp;"|"&amp;AL85)*nADM_Valid*(nADM_A_HT*BA85*nADM_A_OK*BB85*(nADM_UTC_n&lt;=N(BD85))+nADM_A_HT*BA85*(1-nADM_A_OK*BB85)*(nADM_Loc_n&lt;=N(BC85))+(1-nADM_A_HT*BA85)*(nADM_Lo_n&lt;=N(BE85)))*nADM_Sort_n))))</f>
        <v>0</v>
      </c>
      <c r="BH85" s="22">
        <f>IF(BG85=0,0,MATCH(1,INDEX((nADM_SelKey=AR85&amp;"|"&amp;AL85)*nADM_Valid*(nADM_A_HT*BA85*nADM_A_OK*BB85*(nADM_UTC_n&lt;=N(BD85))+nADM_A_HT*BA85*(1-nADM_A_OK*BB85)*(nADM_Loc_n&lt;=N(BC85))+(1-nADM_A_HT*BA85)*(nADM_Lo_n&lt;=N(BE85)))*(nADM_Sort_n=BG85),0),0))</f>
        <v>0</v>
      </c>
      <c r="BI85" s="21" t="str">
        <f>IF(BH85=0,"",INDEX(nADM_Admin_ID,BH85)&amp;"")</f>
        <v/>
      </c>
      <c r="BJ85" s="22">
        <f>IF(OR(AQ85=1,AG85=""),0,IFERROR(MATCH(AR85&amp;"|"&amp;AG85,nTP_Key,0),0))</f>
        <v>51</v>
      </c>
      <c r="BK85" s="21">
        <f>IF(BJ85=0,0,INDEX(nTP_Dup,BJ85))</f>
        <v>1</v>
      </c>
      <c r="BL85" s="21" t="str">
        <f>IF(BJ85=0,"",INDEX(nTP_Record_Type,BJ85))</f>
        <v>EXPOSURE_START</v>
      </c>
      <c r="BM85" s="21" t="str">
        <f>IF(BJ85=0,"",INDEX(nTP_Precision,BJ85))</f>
        <v>DATE</v>
      </c>
      <c r="BN85" s="21" t="str">
        <f>IF(BJ85=0,"",INDEX(nTP_Err,BJ85))</f>
        <v/>
      </c>
      <c r="BO85" s="21">
        <f>IF(BJ85=0,0,INDEX(nTP_HT,BJ85))</f>
        <v>0</v>
      </c>
      <c r="BP85" s="21">
        <f>IF(BJ85=0,0,INDEX(nTP_OK,BJ85))</f>
        <v>0</v>
      </c>
      <c r="BQ85" s="21" t="str">
        <f>IF(BJ85=0,"",INDEX(nTP_Loc,BJ85))</f>
        <v/>
      </c>
      <c r="BR85" s="21" t="str">
        <f>IF(BJ85=0,"",INDEX(nTP_UTC,BJ85))</f>
        <v/>
      </c>
      <c r="BS85" s="21">
        <f>IF(BJ85=0,"",INDEX(nTP_Lo,BJ85))</f>
        <v>46023</v>
      </c>
      <c r="BT85" s="21">
        <f>IF(BJ85=0,"",INDEX(nTP_Hi,BJ85))</f>
        <v>46023</v>
      </c>
      <c r="BU85" s="22">
        <f>IF(OR(BJ85=0,AV85=0),0,SUMPRODUCT((nTP_Case_Key=AR85)*(nTP_Record_Type="MILESTONE:INTERVENTION")*(nTP_Err="")*(nTP_HT*BO85*BA85*(nTP_Loc_n&gt;=N(BQ85))*(nTP_Loc_n&lt;=N(BC85))+(1-nTP_HT*BO85*BA85)*(nTP_Lo_n&gt;=N(BS85))*(nTP_Hi_n&lt;=N(BF85))*(nTP_Lo_n&gt;0))))</f>
        <v>0</v>
      </c>
      <c r="BV85" s="21" t="str">
        <f t="shared" si="101"/>
        <v/>
      </c>
      <c r="BW85" s="21" t="str">
        <f t="shared" si="102"/>
        <v/>
      </c>
      <c r="BX85" s="21" t="str">
        <f t="shared" si="103"/>
        <v/>
      </c>
      <c r="BY85" s="21" t="str">
        <f t="shared" si="104"/>
        <v/>
      </c>
      <c r="BZ85" s="22">
        <f t="shared" si="105"/>
        <v>1</v>
      </c>
      <c r="CA85" s="21" t="str">
        <f t="shared" si="106"/>
        <v/>
      </c>
      <c r="CB85" s="21">
        <f t="shared" si="107"/>
        <v>44</v>
      </c>
      <c r="CC85" s="21" t="str">
        <f t="shared" si="108"/>
        <v/>
      </c>
      <c r="CD85" s="21" t="str">
        <f t="shared" si="109"/>
        <v/>
      </c>
      <c r="CE85" s="22">
        <f t="shared" si="110"/>
        <v>0</v>
      </c>
      <c r="CF85" s="28" t="str">
        <f t="shared" si="111"/>
        <v/>
      </c>
      <c r="CG85" s="28" t="str">
        <f t="shared" si="112"/>
        <v/>
      </c>
      <c r="CH85" s="21" t="str">
        <f t="shared" si="113"/>
        <v/>
      </c>
      <c r="CI85" s="22">
        <f t="shared" si="114"/>
        <v>0</v>
      </c>
      <c r="CJ85" s="22">
        <f t="shared" si="115"/>
        <v>0</v>
      </c>
      <c r="CK85" s="22">
        <f t="shared" si="116"/>
        <v>0</v>
      </c>
      <c r="CL85" s="22">
        <f t="shared" si="117"/>
        <v>0</v>
      </c>
      <c r="CM85" s="22">
        <f t="shared" si="118"/>
        <v>0</v>
      </c>
      <c r="CN85" s="22">
        <f t="shared" si="119"/>
        <v>0</v>
      </c>
      <c r="CO85" s="22">
        <f t="shared" si="120"/>
        <v>0</v>
      </c>
      <c r="CP85" s="22">
        <f t="shared" si="121"/>
        <v>0</v>
      </c>
      <c r="CQ85" s="21" t="str">
        <f t="shared" si="122"/>
        <v/>
      </c>
    </row>
    <row r="86" spans="1:95" x14ac:dyDescent="0.2">
      <c r="A86" s="9" t="s">
        <v>1007</v>
      </c>
      <c r="B86" s="9" t="s">
        <v>317</v>
      </c>
      <c r="C86" s="11">
        <v>1</v>
      </c>
      <c r="D86" s="9" t="s">
        <v>801</v>
      </c>
      <c r="E86" s="16" t="s">
        <v>52</v>
      </c>
      <c r="F86" s="9"/>
      <c r="G86" s="9" t="s">
        <v>1006</v>
      </c>
      <c r="H86" s="9" t="s">
        <v>1005</v>
      </c>
      <c r="I86" s="16" t="s">
        <v>58</v>
      </c>
      <c r="J86" s="16"/>
      <c r="K86" s="9"/>
      <c r="L86" s="16"/>
      <c r="M86" s="16"/>
      <c r="N86" s="16"/>
      <c r="O86" s="9"/>
      <c r="P86" s="14"/>
      <c r="Q86" s="14"/>
      <c r="R86" s="9"/>
      <c r="S86" s="9"/>
      <c r="T86" s="21" t="str">
        <f t="shared" si="82"/>
        <v>4 calendar days</v>
      </c>
      <c r="U86" s="21">
        <f t="shared" si="83"/>
        <v>4</v>
      </c>
      <c r="V86" s="21" t="str">
        <f t="shared" si="84"/>
        <v/>
      </c>
      <c r="W86" s="21" t="str">
        <f t="shared" si="85"/>
        <v/>
      </c>
      <c r="X86" s="21" t="str">
        <f t="shared" si="86"/>
        <v>calendar days</v>
      </c>
      <c r="Y86" s="21" t="str">
        <f t="shared" si="87"/>
        <v>C2</v>
      </c>
      <c r="Z86" s="21" t="str">
        <f t="shared" si="88"/>
        <v>AFTER</v>
      </c>
      <c r="AA86" s="21" t="str">
        <f t="shared" si="89"/>
        <v/>
      </c>
      <c r="AB86" s="21" t="str">
        <f t="shared" si="90"/>
        <v/>
      </c>
      <c r="AC86" s="21" t="str">
        <f>IF(AQ86=1,"",MID(IF(BX86&lt;&gt;""," | "&amp;BX86&amp;": "&amp;SUBSTITUTE(IFERROR(INDEX(nMSG_Text,MATCH(BX86,nMSG_Code,0)),""),"[input]",BY86),"")&amp;IF(CI86=1," | W_TZ_UNKNOWN: "&amp;SUBSTITUTE(IFERROR(INDEX(nMSG_Text,MATCH("W_TZ_UNKNOWN",nMSG_Code,0)),""),"[input]",""),"")&amp;IF(CJ86=1," | W_SAME_DATE_ORDER_UNKNOWN: "&amp;SUBSTITUTE(IFERROR(INDEX(nMSG_Text,MATCH("W_SAME_DATE_ORDER_UNKNOWN",nMSG_Code,0)),""),"[input]",""),"")&amp;IF(CK86=1," | W_SEQUENCE_UNCERTAIN: "&amp;SUBSTITUTE(IFERROR(INDEX(nMSG_Text,MATCH("W_SEQUENCE_UNCERTAIN",nMSG_Code,0)),""),"[input]",""),"")&amp;IF(CL86=1," | W_ADMIN_SAME_DATE_AS_ONSET: "&amp;SUBSTITUTE(IFERROR(INDEX(nMSG_Text,MATCH("W_ADMIN_SAME_DATE_AS_ONSET",nMSG_Code,0)),""),"[input]",""),"")&amp;IF(CO86=1," | W_INTERVENTION_BEFORE_RECOVERY: "&amp;SUBSTITUTE(IFERROR(INDEX(nMSG_Text,MATCH("W_INTERVENTION_BEFORE_RECOVERY",nMSG_Code,0)),""),"[input]",""),"")&amp;IF(OR(CQ86="",CQ86="OVERLAP"),""," | "&amp;CQ86&amp;" (reported timing): "&amp;SUBSTITUTE(IFERROR(INDEX(nMSG_Text,MATCH(CQ86,nMSG_Code,0)),""),"[input]","numeric reported bounds and a reported unit"))&amp;IF(CM86=1," | I_TREATMENT_DAY_UNDEFINED: "&amp;SUBSTITUTE(IFERROR(INDEX(nMSG_Text,MATCH("I_TREATMENT_DAY_UNDEFINED",nMSG_Code,0)),""),"[input]",""),"")&amp;IF(CH86&lt;&gt;""," | "&amp;CH86&amp;" (constraint): "&amp;SUBSTITUTE(IFERROR(INDEX(nMSG_Text,MATCH(CH86,nMSG_Code,0)),""),"[input]","a source for the constraint"),""),4,9999))</f>
        <v/>
      </c>
      <c r="AD86" s="21" t="str">
        <f t="shared" si="91"/>
        <v/>
      </c>
      <c r="AE86" s="21" t="str">
        <f t="shared" si="92"/>
        <v/>
      </c>
      <c r="AF86" s="21" t="str">
        <f t="shared" si="93"/>
        <v/>
      </c>
      <c r="AG86" s="21" t="str">
        <f t="shared" si="94"/>
        <v>EX1/RESTART</v>
      </c>
      <c r="AH86" s="21" t="str">
        <f>IF(BJ86=0,"",INDEX(nTP_ISO,BJ86))</f>
        <v>2026-02-10</v>
      </c>
      <c r="AI86" s="21" t="str">
        <f>IF(BJ86=0,"",INDEX(nTP_Display,BJ86))</f>
        <v>10 February 2026</v>
      </c>
      <c r="AJ86" s="21" t="str">
        <f>IF(AV86=0,"",INDEX(nTP_ISO,AV86))</f>
        <v>2026-02-14</v>
      </c>
      <c r="AK86" s="21" t="str">
        <f>IF(AV86=0,"",INDEX(nTP_Display,AV86))</f>
        <v>14 February 2026</v>
      </c>
      <c r="AL86" s="21" t="str">
        <f>IF(AU86=0,"",INDEX(nLNK_Exposure_Episode_ID,AU86)&amp;"")</f>
        <v>EX1</v>
      </c>
      <c r="AM86" s="21" t="str">
        <f>IF(AU86=0,"",INDEX(nLNK_Event_Episode_ID,AU86)&amp;"")</f>
        <v>EV1</v>
      </c>
      <c r="AN86" s="21" t="str">
        <f t="shared" si="95"/>
        <v>Calendar-date difference of the recorded local dates; not elapsed days.</v>
      </c>
      <c r="AO86" s="21" t="str">
        <f t="shared" si="96"/>
        <v/>
      </c>
      <c r="AP86" s="21" t="str">
        <f t="shared" si="97"/>
        <v>CALC-SPEC 1.0</v>
      </c>
      <c r="AQ86" s="22">
        <f t="shared" si="98"/>
        <v>0</v>
      </c>
      <c r="AR86" s="21" t="str">
        <f t="shared" si="99"/>
        <v>VEC-V08|1</v>
      </c>
      <c r="AS86" s="21" t="str">
        <f t="shared" si="100"/>
        <v>VEC-V08|1|I2</v>
      </c>
      <c r="AT86" s="22">
        <f>IF(AS86="",0,COUNTIF(nINT_Key,AS86))</f>
        <v>1</v>
      </c>
      <c r="AU86" s="22">
        <f>IF(D86="",0,IFERROR(MATCH(AR86&amp;"|"&amp;D86,nLNK_Key,0),0))</f>
        <v>39</v>
      </c>
      <c r="AV86" s="22">
        <f>IF(OR(AQ86=1,H86=""),0,IFERROR(MATCH(AR86&amp;"|"&amp;H86,nTP_Key,0),0))</f>
        <v>291</v>
      </c>
      <c r="AW86" s="21">
        <f>IF(AV86=0,0,INDEX(nTP_Dup,AV86))</f>
        <v>1</v>
      </c>
      <c r="AX86" s="21" t="str">
        <f>IF(AV86=0,"",INDEX(nTP_Record_Type,AV86))</f>
        <v>EVENT_ONSET</v>
      </c>
      <c r="AY86" s="21" t="str">
        <f>IF(AV86=0,"",INDEX(nTP_Precision,AV86))</f>
        <v>DATE</v>
      </c>
      <c r="AZ86" s="21" t="str">
        <f>IF(AV86=0,"",INDEX(nTP_Err,AV86))</f>
        <v/>
      </c>
      <c r="BA86" s="21">
        <f>IF(AV86=0,0,INDEX(nTP_HT,AV86))</f>
        <v>0</v>
      </c>
      <c r="BB86" s="21">
        <f>IF(AV86=0,0,INDEX(nTP_OK,AV86))</f>
        <v>0</v>
      </c>
      <c r="BC86" s="21" t="str">
        <f>IF(AV86=0,"",INDEX(nTP_Loc,AV86))</f>
        <v/>
      </c>
      <c r="BD86" s="21" t="str">
        <f>IF(AV86=0,"",INDEX(nTP_UTC,AV86))</f>
        <v/>
      </c>
      <c r="BE86" s="21">
        <f>IF(AV86=0,"",INDEX(nTP_Lo,AV86))</f>
        <v>46067</v>
      </c>
      <c r="BF86" s="21">
        <f>IF(AV86=0,"",INDEX(nTP_Hi,AV86))</f>
        <v>46067</v>
      </c>
      <c r="BG86" s="22">
        <f>IF(OR(AQ86=1,E86&lt;&gt;"LAST_DOSE_BEFORE_ONSET",AU86=0,AV86=0),0,IF(AZ86&lt;&gt;"",0,SUMPRODUCT(MAX((nADM_SelKey=AR86&amp;"|"&amp;AL86)*nADM_Valid*(nADM_A_HT*BA86*nADM_A_OK*BB86*(nADM_UTC_n&lt;=N(BD86))+nADM_A_HT*BA86*(1-nADM_A_OK*BB86)*(nADM_Loc_n&lt;=N(BC86))+(1-nADM_A_HT*BA86)*(nADM_Lo_n&lt;=N(BE86)))*nADM_Sort_n))))</f>
        <v>0</v>
      </c>
      <c r="BH86" s="22">
        <f>IF(BG86=0,0,MATCH(1,INDEX((nADM_SelKey=AR86&amp;"|"&amp;AL86)*nADM_Valid*(nADM_A_HT*BA86*nADM_A_OK*BB86*(nADM_UTC_n&lt;=N(BD86))+nADM_A_HT*BA86*(1-nADM_A_OK*BB86)*(nADM_Loc_n&lt;=N(BC86))+(1-nADM_A_HT*BA86)*(nADM_Lo_n&lt;=N(BE86)))*(nADM_Sort_n=BG86),0),0))</f>
        <v>0</v>
      </c>
      <c r="BI86" s="21" t="str">
        <f>IF(BH86=0,"",INDEX(nADM_Admin_ID,BH86)&amp;"")</f>
        <v/>
      </c>
      <c r="BJ86" s="22">
        <f>IF(OR(AQ86=1,AG86=""),0,IFERROR(MATCH(AR86&amp;"|"&amp;AG86,nTP_Key,0),0))</f>
        <v>177</v>
      </c>
      <c r="BK86" s="21">
        <f>IF(BJ86=0,0,INDEX(nTP_Dup,BJ86))</f>
        <v>1</v>
      </c>
      <c r="BL86" s="21" t="str">
        <f>IF(BJ86=0,"",INDEX(nTP_Record_Type,BJ86))</f>
        <v>EXPOSURE_RESTART</v>
      </c>
      <c r="BM86" s="21" t="str">
        <f>IF(BJ86=0,"",INDEX(nTP_Precision,BJ86))</f>
        <v>DATE</v>
      </c>
      <c r="BN86" s="21" t="str">
        <f>IF(BJ86=0,"",INDEX(nTP_Err,BJ86))</f>
        <v/>
      </c>
      <c r="BO86" s="21">
        <f>IF(BJ86=0,0,INDEX(nTP_HT,BJ86))</f>
        <v>0</v>
      </c>
      <c r="BP86" s="21">
        <f>IF(BJ86=0,0,INDEX(nTP_OK,BJ86))</f>
        <v>0</v>
      </c>
      <c r="BQ86" s="21" t="str">
        <f>IF(BJ86=0,"",INDEX(nTP_Loc,BJ86))</f>
        <v/>
      </c>
      <c r="BR86" s="21" t="str">
        <f>IF(BJ86=0,"",INDEX(nTP_UTC,BJ86))</f>
        <v/>
      </c>
      <c r="BS86" s="21">
        <f>IF(BJ86=0,"",INDEX(nTP_Lo,BJ86))</f>
        <v>46063</v>
      </c>
      <c r="BT86" s="21">
        <f>IF(BJ86=0,"",INDEX(nTP_Hi,BJ86))</f>
        <v>46063</v>
      </c>
      <c r="BU86" s="22">
        <f>IF(OR(BJ86=0,AV86=0),0,SUMPRODUCT((nTP_Case_Key=AR86)*(nTP_Record_Type="MILESTONE:INTERVENTION")*(nTP_Err="")*(nTP_HT*BO86*BA86*(nTP_Loc_n&gt;=N(BQ86))*(nTP_Loc_n&lt;=N(BC86))+(1-nTP_HT*BO86*BA86)*(nTP_Lo_n&gt;=N(BS86))*(nTP_Hi_n&lt;=N(BF86))*(nTP_Lo_n&gt;0))))</f>
        <v>0</v>
      </c>
      <c r="BV86" s="21" t="str">
        <f t="shared" si="101"/>
        <v/>
      </c>
      <c r="BW86" s="21" t="str">
        <f t="shared" si="102"/>
        <v/>
      </c>
      <c r="BX86" s="21" t="str">
        <f t="shared" si="103"/>
        <v/>
      </c>
      <c r="BY86" s="21" t="str">
        <f t="shared" si="104"/>
        <v/>
      </c>
      <c r="BZ86" s="22">
        <f t="shared" si="105"/>
        <v>1</v>
      </c>
      <c r="CA86" s="21" t="str">
        <f t="shared" si="106"/>
        <v/>
      </c>
      <c r="CB86" s="21">
        <f t="shared" si="107"/>
        <v>4</v>
      </c>
      <c r="CC86" s="21" t="str">
        <f t="shared" si="108"/>
        <v/>
      </c>
      <c r="CD86" s="21" t="str">
        <f t="shared" si="109"/>
        <v/>
      </c>
      <c r="CE86" s="22">
        <f t="shared" si="110"/>
        <v>0</v>
      </c>
      <c r="CF86" s="28" t="str">
        <f t="shared" si="111"/>
        <v/>
      </c>
      <c r="CG86" s="28" t="str">
        <f t="shared" si="112"/>
        <v/>
      </c>
      <c r="CH86" s="21" t="str">
        <f t="shared" si="113"/>
        <v/>
      </c>
      <c r="CI86" s="22">
        <f t="shared" si="114"/>
        <v>0</v>
      </c>
      <c r="CJ86" s="22">
        <f t="shared" si="115"/>
        <v>0</v>
      </c>
      <c r="CK86" s="22">
        <f t="shared" si="116"/>
        <v>0</v>
      </c>
      <c r="CL86" s="22">
        <f t="shared" si="117"/>
        <v>0</v>
      </c>
      <c r="CM86" s="22">
        <f t="shared" si="118"/>
        <v>0</v>
      </c>
      <c r="CN86" s="22">
        <f t="shared" si="119"/>
        <v>0</v>
      </c>
      <c r="CO86" s="22">
        <f t="shared" si="120"/>
        <v>0</v>
      </c>
      <c r="CP86" s="22">
        <f t="shared" si="121"/>
        <v>0</v>
      </c>
      <c r="CQ86" s="21" t="str">
        <f t="shared" si="122"/>
        <v/>
      </c>
    </row>
    <row r="87" spans="1:95" x14ac:dyDescent="0.2">
      <c r="A87" s="9" t="s">
        <v>1004</v>
      </c>
      <c r="B87" s="9" t="s">
        <v>319</v>
      </c>
      <c r="C87" s="11">
        <v>1</v>
      </c>
      <c r="D87" s="9" t="s">
        <v>801</v>
      </c>
      <c r="E87" s="16" t="s">
        <v>49</v>
      </c>
      <c r="F87" s="9"/>
      <c r="G87" s="9" t="s">
        <v>1003</v>
      </c>
      <c r="H87" s="9" t="s">
        <v>1005</v>
      </c>
      <c r="I87" s="16" t="s">
        <v>57</v>
      </c>
      <c r="J87" s="16"/>
      <c r="K87" s="9"/>
      <c r="L87" s="16"/>
      <c r="M87" s="16"/>
      <c r="N87" s="16"/>
      <c r="O87" s="9"/>
      <c r="P87" s="14"/>
      <c r="Q87" s="14"/>
      <c r="R87" s="9"/>
      <c r="S87" s="9"/>
      <c r="T87" s="21" t="str">
        <f t="shared" si="82"/>
        <v>60 minutes (1.0 hours)</v>
      </c>
      <c r="U87" s="21">
        <f t="shared" si="83"/>
        <v>60</v>
      </c>
      <c r="V87" s="21" t="str">
        <f t="shared" si="84"/>
        <v/>
      </c>
      <c r="W87" s="21" t="str">
        <f t="shared" si="85"/>
        <v/>
      </c>
      <c r="X87" s="21" t="str">
        <f t="shared" si="86"/>
        <v>minutes</v>
      </c>
      <c r="Y87" s="21" t="str">
        <f t="shared" si="87"/>
        <v>C1</v>
      </c>
      <c r="Z87" s="21" t="str">
        <f t="shared" si="88"/>
        <v>AFTER</v>
      </c>
      <c r="AA87" s="21" t="str">
        <f t="shared" si="89"/>
        <v/>
      </c>
      <c r="AB87" s="21" t="str">
        <f t="shared" si="90"/>
        <v/>
      </c>
      <c r="AC87" s="21" t="str">
        <f>IF(AQ87=1,"",MID(IF(BX87&lt;&gt;""," | "&amp;BX87&amp;": "&amp;SUBSTITUTE(IFERROR(INDEX(nMSG_Text,MATCH(BX87,nMSG_Code,0)),""),"[input]",BY87),"")&amp;IF(CI87=1," | W_TZ_UNKNOWN: "&amp;SUBSTITUTE(IFERROR(INDEX(nMSG_Text,MATCH("W_TZ_UNKNOWN",nMSG_Code,0)),""),"[input]",""),"")&amp;IF(CJ87=1," | W_SAME_DATE_ORDER_UNKNOWN: "&amp;SUBSTITUTE(IFERROR(INDEX(nMSG_Text,MATCH("W_SAME_DATE_ORDER_UNKNOWN",nMSG_Code,0)),""),"[input]",""),"")&amp;IF(CK87=1," | W_SEQUENCE_UNCERTAIN: "&amp;SUBSTITUTE(IFERROR(INDEX(nMSG_Text,MATCH("W_SEQUENCE_UNCERTAIN",nMSG_Code,0)),""),"[input]",""),"")&amp;IF(CL87=1," | W_ADMIN_SAME_DATE_AS_ONSET: "&amp;SUBSTITUTE(IFERROR(INDEX(nMSG_Text,MATCH("W_ADMIN_SAME_DATE_AS_ONSET",nMSG_Code,0)),""),"[input]",""),"")&amp;IF(CO87=1," | W_INTERVENTION_BEFORE_RECOVERY: "&amp;SUBSTITUTE(IFERROR(INDEX(nMSG_Text,MATCH("W_INTERVENTION_BEFORE_RECOVERY",nMSG_Code,0)),""),"[input]",""),"")&amp;IF(OR(CQ87="",CQ87="OVERLAP"),""," | "&amp;CQ87&amp;" (reported timing): "&amp;SUBSTITUTE(IFERROR(INDEX(nMSG_Text,MATCH(CQ87,nMSG_Code,0)),""),"[input]","numeric reported bounds and a reported unit"))&amp;IF(CM87=1," | I_TREATMENT_DAY_UNDEFINED: "&amp;SUBSTITUTE(IFERROR(INDEX(nMSG_Text,MATCH("I_TREATMENT_DAY_UNDEFINED",nMSG_Code,0)),""),"[input]",""),"")&amp;IF(CH87&lt;&gt;""," | "&amp;CH87&amp;" (constraint): "&amp;SUBSTITUTE(IFERROR(INDEX(nMSG_Text,MATCH(CH87,nMSG_Code,0)),""),"[input]","a source for the constraint"),""),4,9999))</f>
        <v/>
      </c>
      <c r="AD87" s="21" t="str">
        <f t="shared" si="91"/>
        <v/>
      </c>
      <c r="AE87" s="21" t="str">
        <f t="shared" si="92"/>
        <v/>
      </c>
      <c r="AF87" s="21" t="str">
        <f t="shared" si="93"/>
        <v/>
      </c>
      <c r="AG87" s="21" t="str">
        <f t="shared" si="94"/>
        <v>EX1/START</v>
      </c>
      <c r="AH87" s="21" t="str">
        <f>IF(BJ87=0,"",INDEX(nTP_ISO,BJ87))</f>
        <v>2026-11-01T01:30-04:00</v>
      </c>
      <c r="AI87" s="21" t="str">
        <f>IF(BJ87=0,"",INDEX(nTP_Display,BJ87))</f>
        <v>1 November 2026 01:30 (UTC-04:00)</v>
      </c>
      <c r="AJ87" s="21" t="str">
        <f>IF(AV87=0,"",INDEX(nTP_ISO,AV87))</f>
        <v>2026-11-01T01:30-05:00</v>
      </c>
      <c r="AK87" s="21" t="str">
        <f>IF(AV87=0,"",INDEX(nTP_Display,AV87))</f>
        <v>1 November 2026 01:30 (UTC-05:00)</v>
      </c>
      <c r="AL87" s="21" t="str">
        <f>IF(AU87=0,"",INDEX(nLNK_Exposure_Episode_ID,AU87)&amp;"")</f>
        <v>EX1</v>
      </c>
      <c r="AM87" s="21" t="str">
        <f>IF(AU87=0,"",INDEX(nLNK_Event_Episode_ID,AU87)&amp;"")</f>
        <v>EV1</v>
      </c>
      <c r="AN87" s="21" t="str">
        <f t="shared" si="95"/>
        <v>Both times converted to UTC with the recorded offsets.</v>
      </c>
      <c r="AO87" s="21" t="str">
        <f t="shared" si="96"/>
        <v/>
      </c>
      <c r="AP87" s="21" t="str">
        <f t="shared" si="97"/>
        <v>CALC-SPEC 1.0</v>
      </c>
      <c r="AQ87" s="22">
        <f t="shared" si="98"/>
        <v>0</v>
      </c>
      <c r="AR87" s="21" t="str">
        <f t="shared" si="99"/>
        <v>VEC-V09|1</v>
      </c>
      <c r="AS87" s="21" t="str">
        <f t="shared" si="100"/>
        <v>VEC-V09|1|I1</v>
      </c>
      <c r="AT87" s="22">
        <f>IF(AS87="",0,COUNTIF(nINT_Key,AS87))</f>
        <v>1</v>
      </c>
      <c r="AU87" s="22">
        <f>IF(D87="",0,IFERROR(MATCH(AR87&amp;"|"&amp;D87,nLNK_Key,0),0))</f>
        <v>40</v>
      </c>
      <c r="AV87" s="22">
        <f>IF(OR(AQ87=1,H87=""),0,IFERROR(MATCH(AR87&amp;"|"&amp;H87,nTP_Key,0),0))</f>
        <v>292</v>
      </c>
      <c r="AW87" s="21">
        <f>IF(AV87=0,0,INDEX(nTP_Dup,AV87))</f>
        <v>1</v>
      </c>
      <c r="AX87" s="21" t="str">
        <f>IF(AV87=0,"",INDEX(nTP_Record_Type,AV87))</f>
        <v>EVENT_ONSET</v>
      </c>
      <c r="AY87" s="21" t="str">
        <f>IF(AV87=0,"",INDEX(nTP_Precision,AV87))</f>
        <v>TIMESTAMP</v>
      </c>
      <c r="AZ87" s="21" t="str">
        <f>IF(AV87=0,"",INDEX(nTP_Err,AV87))</f>
        <v/>
      </c>
      <c r="BA87" s="21">
        <f>IF(AV87=0,0,INDEX(nTP_HT,AV87))</f>
        <v>1</v>
      </c>
      <c r="BB87" s="21">
        <f>IF(AV87=0,0,INDEX(nTP_OK,AV87))</f>
        <v>1</v>
      </c>
      <c r="BC87" s="21">
        <f>IF(AV87=0,"",INDEX(nTP_Loc,AV87))</f>
        <v>66710970</v>
      </c>
      <c r="BD87" s="21">
        <f>IF(AV87=0,"",INDEX(nTP_UTC,AV87))</f>
        <v>66711270</v>
      </c>
      <c r="BE87" s="21">
        <f>IF(AV87=0,"",INDEX(nTP_Lo,AV87))</f>
        <v>46327</v>
      </c>
      <c r="BF87" s="21">
        <f>IF(AV87=0,"",INDEX(nTP_Hi,AV87))</f>
        <v>46327</v>
      </c>
      <c r="BG87" s="22">
        <f>IF(OR(AQ87=1,E87&lt;&gt;"LAST_DOSE_BEFORE_ONSET",AU87=0,AV87=0),0,IF(AZ87&lt;&gt;"",0,SUMPRODUCT(MAX((nADM_SelKey=AR87&amp;"|"&amp;AL87)*nADM_Valid*(nADM_A_HT*BA87*nADM_A_OK*BB87*(nADM_UTC_n&lt;=N(BD87))+nADM_A_HT*BA87*(1-nADM_A_OK*BB87)*(nADM_Loc_n&lt;=N(BC87))+(1-nADM_A_HT*BA87)*(nADM_Lo_n&lt;=N(BE87)))*nADM_Sort_n))))</f>
        <v>0</v>
      </c>
      <c r="BH87" s="22">
        <f>IF(BG87=0,0,MATCH(1,INDEX((nADM_SelKey=AR87&amp;"|"&amp;AL87)*nADM_Valid*(nADM_A_HT*BA87*nADM_A_OK*BB87*(nADM_UTC_n&lt;=N(BD87))+nADM_A_HT*BA87*(1-nADM_A_OK*BB87)*(nADM_Loc_n&lt;=N(BC87))+(1-nADM_A_HT*BA87)*(nADM_Lo_n&lt;=N(BE87)))*(nADM_Sort_n=BG87),0),0))</f>
        <v>0</v>
      </c>
      <c r="BI87" s="21" t="str">
        <f>IF(BH87=0,"",INDEX(nADM_Admin_ID,BH87)&amp;"")</f>
        <v/>
      </c>
      <c r="BJ87" s="22">
        <f>IF(OR(AQ87=1,AG87=""),0,IFERROR(MATCH(AR87&amp;"|"&amp;AG87,nTP_Key,0),0))</f>
        <v>52</v>
      </c>
      <c r="BK87" s="21">
        <f>IF(BJ87=0,0,INDEX(nTP_Dup,BJ87))</f>
        <v>1</v>
      </c>
      <c r="BL87" s="21" t="str">
        <f>IF(BJ87=0,"",INDEX(nTP_Record_Type,BJ87))</f>
        <v>EXPOSURE_START</v>
      </c>
      <c r="BM87" s="21" t="str">
        <f>IF(BJ87=0,"",INDEX(nTP_Precision,BJ87))</f>
        <v>TIMESTAMP</v>
      </c>
      <c r="BN87" s="21" t="str">
        <f>IF(BJ87=0,"",INDEX(nTP_Err,BJ87))</f>
        <v/>
      </c>
      <c r="BO87" s="21">
        <f>IF(BJ87=0,0,INDEX(nTP_HT,BJ87))</f>
        <v>1</v>
      </c>
      <c r="BP87" s="21">
        <f>IF(BJ87=0,0,INDEX(nTP_OK,BJ87))</f>
        <v>1</v>
      </c>
      <c r="BQ87" s="21">
        <f>IF(BJ87=0,"",INDEX(nTP_Loc,BJ87))</f>
        <v>66710970</v>
      </c>
      <c r="BR87" s="21">
        <f>IF(BJ87=0,"",INDEX(nTP_UTC,BJ87))</f>
        <v>66711210</v>
      </c>
      <c r="BS87" s="21">
        <f>IF(BJ87=0,"",INDEX(nTP_Lo,BJ87))</f>
        <v>46327</v>
      </c>
      <c r="BT87" s="21">
        <f>IF(BJ87=0,"",INDEX(nTP_Hi,BJ87))</f>
        <v>46327</v>
      </c>
      <c r="BU87" s="22">
        <f>IF(OR(BJ87=0,AV87=0),0,SUMPRODUCT((nTP_Case_Key=AR87)*(nTP_Record_Type="MILESTONE:INTERVENTION")*(nTP_Err="")*(nTP_HT*BO87*BA87*(nTP_Loc_n&gt;=N(BQ87))*(nTP_Loc_n&lt;=N(BC87))+(1-nTP_HT*BO87*BA87)*(nTP_Lo_n&gt;=N(BS87))*(nTP_Hi_n&lt;=N(BF87))*(nTP_Lo_n&gt;0))))</f>
        <v>0</v>
      </c>
      <c r="BV87" s="21" t="str">
        <f t="shared" si="101"/>
        <v/>
      </c>
      <c r="BW87" s="21" t="str">
        <f t="shared" si="102"/>
        <v/>
      </c>
      <c r="BX87" s="21" t="str">
        <f t="shared" si="103"/>
        <v/>
      </c>
      <c r="BY87" s="21" t="str">
        <f t="shared" si="104"/>
        <v/>
      </c>
      <c r="BZ87" s="22">
        <f t="shared" si="105"/>
        <v>0</v>
      </c>
      <c r="CA87" s="21">
        <f t="shared" si="106"/>
        <v>60</v>
      </c>
      <c r="CB87" s="21" t="str">
        <f t="shared" si="107"/>
        <v/>
      </c>
      <c r="CC87" s="21" t="str">
        <f t="shared" si="108"/>
        <v/>
      </c>
      <c r="CD87" s="21" t="str">
        <f t="shared" si="109"/>
        <v/>
      </c>
      <c r="CE87" s="22">
        <f t="shared" si="110"/>
        <v>0</v>
      </c>
      <c r="CF87" s="28" t="str">
        <f t="shared" si="111"/>
        <v/>
      </c>
      <c r="CG87" s="28" t="str">
        <f t="shared" si="112"/>
        <v/>
      </c>
      <c r="CH87" s="21" t="str">
        <f t="shared" si="113"/>
        <v/>
      </c>
      <c r="CI87" s="22">
        <f t="shared" si="114"/>
        <v>0</v>
      </c>
      <c r="CJ87" s="22">
        <f t="shared" si="115"/>
        <v>0</v>
      </c>
      <c r="CK87" s="22">
        <f t="shared" si="116"/>
        <v>0</v>
      </c>
      <c r="CL87" s="22">
        <f t="shared" si="117"/>
        <v>0</v>
      </c>
      <c r="CM87" s="22">
        <f t="shared" si="118"/>
        <v>0</v>
      </c>
      <c r="CN87" s="22">
        <f t="shared" si="119"/>
        <v>0</v>
      </c>
      <c r="CO87" s="22">
        <f t="shared" si="120"/>
        <v>0</v>
      </c>
      <c r="CP87" s="22">
        <f t="shared" si="121"/>
        <v>0</v>
      </c>
      <c r="CQ87" s="21" t="str">
        <f t="shared" si="122"/>
        <v/>
      </c>
    </row>
    <row r="88" spans="1:95" x14ac:dyDescent="0.2">
      <c r="A88" s="9" t="s">
        <v>1004</v>
      </c>
      <c r="B88" s="9" t="s">
        <v>321</v>
      </c>
      <c r="C88" s="11">
        <v>1</v>
      </c>
      <c r="D88" s="9" t="s">
        <v>801</v>
      </c>
      <c r="E88" s="16" t="s">
        <v>49</v>
      </c>
      <c r="F88" s="9"/>
      <c r="G88" s="9" t="s">
        <v>1003</v>
      </c>
      <c r="H88" s="9" t="s">
        <v>1005</v>
      </c>
      <c r="I88" s="16" t="s">
        <v>57</v>
      </c>
      <c r="J88" s="16"/>
      <c r="K88" s="9"/>
      <c r="L88" s="16"/>
      <c r="M88" s="16"/>
      <c r="N88" s="16"/>
      <c r="O88" s="9"/>
      <c r="P88" s="14"/>
      <c r="Q88" s="14"/>
      <c r="R88" s="9"/>
      <c r="S88" s="9"/>
      <c r="T88" s="21" t="str">
        <f t="shared" si="82"/>
        <v>120 minutes (local clock) (2.0 hours)</v>
      </c>
      <c r="U88" s="21">
        <f t="shared" si="83"/>
        <v>120</v>
      </c>
      <c r="V88" s="21" t="str">
        <f t="shared" si="84"/>
        <v/>
      </c>
      <c r="W88" s="21" t="str">
        <f t="shared" si="85"/>
        <v/>
      </c>
      <c r="X88" s="21" t="str">
        <f t="shared" si="86"/>
        <v>minutes (local clock)</v>
      </c>
      <c r="Y88" s="21" t="str">
        <f t="shared" si="87"/>
        <v>C1</v>
      </c>
      <c r="Z88" s="21" t="str">
        <f t="shared" si="88"/>
        <v>AFTER</v>
      </c>
      <c r="AA88" s="21" t="str">
        <f t="shared" si="89"/>
        <v/>
      </c>
      <c r="AB88" s="21" t="str">
        <f t="shared" si="90"/>
        <v>W_TZ_UNKNOWN</v>
      </c>
      <c r="AC88" s="21" t="str">
        <f>IF(AQ88=1,"",MID(IF(BX88&lt;&gt;""," | "&amp;BX88&amp;": "&amp;SUBSTITUTE(IFERROR(INDEX(nMSG_Text,MATCH(BX88,nMSG_Code,0)),""),"[input]",BY88),"")&amp;IF(CI88=1," | W_TZ_UNKNOWN: "&amp;SUBSTITUTE(IFERROR(INDEX(nMSG_Text,MATCH("W_TZ_UNKNOWN",nMSG_Code,0)),""),"[input]",""),"")&amp;IF(CJ88=1," | W_SAME_DATE_ORDER_UNKNOWN: "&amp;SUBSTITUTE(IFERROR(INDEX(nMSG_Text,MATCH("W_SAME_DATE_ORDER_UNKNOWN",nMSG_Code,0)),""),"[input]",""),"")&amp;IF(CK88=1," | W_SEQUENCE_UNCERTAIN: "&amp;SUBSTITUTE(IFERROR(INDEX(nMSG_Text,MATCH("W_SEQUENCE_UNCERTAIN",nMSG_Code,0)),""),"[input]",""),"")&amp;IF(CL88=1," | W_ADMIN_SAME_DATE_AS_ONSET: "&amp;SUBSTITUTE(IFERROR(INDEX(nMSG_Text,MATCH("W_ADMIN_SAME_DATE_AS_ONSET",nMSG_Code,0)),""),"[input]",""),"")&amp;IF(CO88=1," | W_INTERVENTION_BEFORE_RECOVERY: "&amp;SUBSTITUTE(IFERROR(INDEX(nMSG_Text,MATCH("W_INTERVENTION_BEFORE_RECOVERY",nMSG_Code,0)),""),"[input]",""),"")&amp;IF(OR(CQ88="",CQ88="OVERLAP"),""," | "&amp;CQ88&amp;" (reported timing): "&amp;SUBSTITUTE(IFERROR(INDEX(nMSG_Text,MATCH(CQ88,nMSG_Code,0)),""),"[input]","numeric reported bounds and a reported unit"))&amp;IF(CM88=1," | I_TREATMENT_DAY_UNDEFINED: "&amp;SUBSTITUTE(IFERROR(INDEX(nMSG_Text,MATCH("I_TREATMENT_DAY_UNDEFINED",nMSG_Code,0)),""),"[input]",""),"")&amp;IF(CH88&lt;&gt;""," | "&amp;CH88&amp;" (constraint): "&amp;SUBSTITUTE(IFERROR(INDEX(nMSG_Text,MATCH(CH88,nMSG_Code,0)),""),"[input]","a source for the constraint"),""),4,9999))</f>
        <v>W_TZ_UNKNOWN: Offset unknown: this interval uses local clock times and could be wrong across a clock change or time zone.</v>
      </c>
      <c r="AD88" s="21" t="str">
        <f t="shared" si="91"/>
        <v/>
      </c>
      <c r="AE88" s="21" t="str">
        <f t="shared" si="92"/>
        <v/>
      </c>
      <c r="AF88" s="21" t="str">
        <f t="shared" si="93"/>
        <v/>
      </c>
      <c r="AG88" s="21" t="str">
        <f t="shared" si="94"/>
        <v>EX1/START</v>
      </c>
      <c r="AH88" s="21" t="str">
        <f>IF(BJ88=0,"",INDEX(nTP_ISO,BJ88))</f>
        <v>2026-03-08T01:30</v>
      </c>
      <c r="AI88" s="21" t="str">
        <f>IF(BJ88=0,"",INDEX(nTP_Display,BJ88))</f>
        <v>8 March 2026 01:30 (offset unknown)</v>
      </c>
      <c r="AJ88" s="21" t="str">
        <f>IF(AV88=0,"",INDEX(nTP_ISO,AV88))</f>
        <v>2026-03-08T03:30</v>
      </c>
      <c r="AK88" s="21" t="str">
        <f>IF(AV88=0,"",INDEX(nTP_Display,AV88))</f>
        <v>8 March 2026 03:30 (offset unknown)</v>
      </c>
      <c r="AL88" s="21" t="str">
        <f>IF(AU88=0,"",INDEX(nLNK_Exposure_Episode_ID,AU88)&amp;"")</f>
        <v>EX1</v>
      </c>
      <c r="AM88" s="21" t="str">
        <f>IF(AU88=0,"",INDEX(nLNK_Event_Episode_ID,AU88)&amp;"")</f>
        <v>EV1</v>
      </c>
      <c r="AN88" s="21" t="str">
        <f t="shared" si="95"/>
        <v>Local clock times subtracted; the UTC offset of at least one time is unknown.</v>
      </c>
      <c r="AO88" s="21" t="str">
        <f t="shared" si="96"/>
        <v/>
      </c>
      <c r="AP88" s="21" t="str">
        <f t="shared" si="97"/>
        <v>CALC-SPEC 1.0</v>
      </c>
      <c r="AQ88" s="22">
        <f t="shared" si="98"/>
        <v>0</v>
      </c>
      <c r="AR88" s="21" t="str">
        <f t="shared" si="99"/>
        <v>VEC-V10|1</v>
      </c>
      <c r="AS88" s="21" t="str">
        <f t="shared" si="100"/>
        <v>VEC-V10|1|I1</v>
      </c>
      <c r="AT88" s="22">
        <f>IF(AS88="",0,COUNTIF(nINT_Key,AS88))</f>
        <v>1</v>
      </c>
      <c r="AU88" s="22">
        <f>IF(D88="",0,IFERROR(MATCH(AR88&amp;"|"&amp;D88,nLNK_Key,0),0))</f>
        <v>41</v>
      </c>
      <c r="AV88" s="22">
        <f>IF(OR(AQ88=1,H88=""),0,IFERROR(MATCH(AR88&amp;"|"&amp;H88,nTP_Key,0),0))</f>
        <v>293</v>
      </c>
      <c r="AW88" s="21">
        <f>IF(AV88=0,0,INDEX(nTP_Dup,AV88))</f>
        <v>1</v>
      </c>
      <c r="AX88" s="21" t="str">
        <f>IF(AV88=0,"",INDEX(nTP_Record_Type,AV88))</f>
        <v>EVENT_ONSET</v>
      </c>
      <c r="AY88" s="21" t="str">
        <f>IF(AV88=0,"",INDEX(nTP_Precision,AV88))</f>
        <v>TIMESTAMP</v>
      </c>
      <c r="AZ88" s="21" t="str">
        <f>IF(AV88=0,"",INDEX(nTP_Err,AV88))</f>
        <v/>
      </c>
      <c r="BA88" s="21">
        <f>IF(AV88=0,0,INDEX(nTP_HT,AV88))</f>
        <v>1</v>
      </c>
      <c r="BB88" s="21">
        <f>IF(AV88=0,0,INDEX(nTP_OK,AV88))</f>
        <v>0</v>
      </c>
      <c r="BC88" s="21">
        <f>IF(AV88=0,"",INDEX(nTP_Loc,AV88))</f>
        <v>66368370</v>
      </c>
      <c r="BD88" s="21" t="str">
        <f>IF(AV88=0,"",INDEX(nTP_UTC,AV88))</f>
        <v/>
      </c>
      <c r="BE88" s="21">
        <f>IF(AV88=0,"",INDEX(nTP_Lo,AV88))</f>
        <v>46089</v>
      </c>
      <c r="BF88" s="21">
        <f>IF(AV88=0,"",INDEX(nTP_Hi,AV88))</f>
        <v>46089</v>
      </c>
      <c r="BG88" s="22">
        <f>IF(OR(AQ88=1,E88&lt;&gt;"LAST_DOSE_BEFORE_ONSET",AU88=0,AV88=0),0,IF(AZ88&lt;&gt;"",0,SUMPRODUCT(MAX((nADM_SelKey=AR88&amp;"|"&amp;AL88)*nADM_Valid*(nADM_A_HT*BA88*nADM_A_OK*BB88*(nADM_UTC_n&lt;=N(BD88))+nADM_A_HT*BA88*(1-nADM_A_OK*BB88)*(nADM_Loc_n&lt;=N(BC88))+(1-nADM_A_HT*BA88)*(nADM_Lo_n&lt;=N(BE88)))*nADM_Sort_n))))</f>
        <v>0</v>
      </c>
      <c r="BH88" s="22">
        <f>IF(BG88=0,0,MATCH(1,INDEX((nADM_SelKey=AR88&amp;"|"&amp;AL88)*nADM_Valid*(nADM_A_HT*BA88*nADM_A_OK*BB88*(nADM_UTC_n&lt;=N(BD88))+nADM_A_HT*BA88*(1-nADM_A_OK*BB88)*(nADM_Loc_n&lt;=N(BC88))+(1-nADM_A_HT*BA88)*(nADM_Lo_n&lt;=N(BE88)))*(nADM_Sort_n=BG88),0),0))</f>
        <v>0</v>
      </c>
      <c r="BI88" s="21" t="str">
        <f>IF(BH88=0,"",INDEX(nADM_Admin_ID,BH88)&amp;"")</f>
        <v/>
      </c>
      <c r="BJ88" s="22">
        <f>IF(OR(AQ88=1,AG88=""),0,IFERROR(MATCH(AR88&amp;"|"&amp;AG88,nTP_Key,0),0))</f>
        <v>53</v>
      </c>
      <c r="BK88" s="21">
        <f>IF(BJ88=0,0,INDEX(nTP_Dup,BJ88))</f>
        <v>1</v>
      </c>
      <c r="BL88" s="21" t="str">
        <f>IF(BJ88=0,"",INDEX(nTP_Record_Type,BJ88))</f>
        <v>EXPOSURE_START</v>
      </c>
      <c r="BM88" s="21" t="str">
        <f>IF(BJ88=0,"",INDEX(nTP_Precision,BJ88))</f>
        <v>TIMESTAMP</v>
      </c>
      <c r="BN88" s="21" t="str">
        <f>IF(BJ88=0,"",INDEX(nTP_Err,BJ88))</f>
        <v/>
      </c>
      <c r="BO88" s="21">
        <f>IF(BJ88=0,0,INDEX(nTP_HT,BJ88))</f>
        <v>1</v>
      </c>
      <c r="BP88" s="21">
        <f>IF(BJ88=0,0,INDEX(nTP_OK,BJ88))</f>
        <v>0</v>
      </c>
      <c r="BQ88" s="21">
        <f>IF(BJ88=0,"",INDEX(nTP_Loc,BJ88))</f>
        <v>66368250</v>
      </c>
      <c r="BR88" s="21" t="str">
        <f>IF(BJ88=0,"",INDEX(nTP_UTC,BJ88))</f>
        <v/>
      </c>
      <c r="BS88" s="21">
        <f>IF(BJ88=0,"",INDEX(nTP_Lo,BJ88))</f>
        <v>46089</v>
      </c>
      <c r="BT88" s="21">
        <f>IF(BJ88=0,"",INDEX(nTP_Hi,BJ88))</f>
        <v>46089</v>
      </c>
      <c r="BU88" s="22">
        <f>IF(OR(BJ88=0,AV88=0),0,SUMPRODUCT((nTP_Case_Key=AR88)*(nTP_Record_Type="MILESTONE:INTERVENTION")*(nTP_Err="")*(nTP_HT*BO88*BA88*(nTP_Loc_n&gt;=N(BQ88))*(nTP_Loc_n&lt;=N(BC88))+(1-nTP_HT*BO88*BA88)*(nTP_Lo_n&gt;=N(BS88))*(nTP_Hi_n&lt;=N(BF88))*(nTP_Lo_n&gt;0))))</f>
        <v>0</v>
      </c>
      <c r="BV88" s="21" t="str">
        <f t="shared" si="101"/>
        <v/>
      </c>
      <c r="BW88" s="21" t="str">
        <f t="shared" si="102"/>
        <v/>
      </c>
      <c r="BX88" s="21" t="str">
        <f t="shared" si="103"/>
        <v/>
      </c>
      <c r="BY88" s="21" t="str">
        <f t="shared" si="104"/>
        <v/>
      </c>
      <c r="BZ88" s="22">
        <f t="shared" si="105"/>
        <v>1</v>
      </c>
      <c r="CA88" s="21">
        <f t="shared" si="106"/>
        <v>120</v>
      </c>
      <c r="CB88" s="21" t="str">
        <f t="shared" si="107"/>
        <v/>
      </c>
      <c r="CC88" s="21" t="str">
        <f t="shared" si="108"/>
        <v/>
      </c>
      <c r="CD88" s="21" t="str">
        <f t="shared" si="109"/>
        <v/>
      </c>
      <c r="CE88" s="22">
        <f t="shared" si="110"/>
        <v>0</v>
      </c>
      <c r="CF88" s="28" t="str">
        <f t="shared" si="111"/>
        <v/>
      </c>
      <c r="CG88" s="28" t="str">
        <f t="shared" si="112"/>
        <v/>
      </c>
      <c r="CH88" s="21" t="str">
        <f t="shared" si="113"/>
        <v/>
      </c>
      <c r="CI88" s="22">
        <f t="shared" si="114"/>
        <v>1</v>
      </c>
      <c r="CJ88" s="22">
        <f t="shared" si="115"/>
        <v>0</v>
      </c>
      <c r="CK88" s="22">
        <f t="shared" si="116"/>
        <v>0</v>
      </c>
      <c r="CL88" s="22">
        <f t="shared" si="117"/>
        <v>0</v>
      </c>
      <c r="CM88" s="22">
        <f t="shared" si="118"/>
        <v>0</v>
      </c>
      <c r="CN88" s="22">
        <f t="shared" si="119"/>
        <v>0</v>
      </c>
      <c r="CO88" s="22">
        <f t="shared" si="120"/>
        <v>0</v>
      </c>
      <c r="CP88" s="22">
        <f t="shared" si="121"/>
        <v>0</v>
      </c>
      <c r="CQ88" s="21" t="str">
        <f t="shared" si="122"/>
        <v/>
      </c>
    </row>
    <row r="89" spans="1:95" x14ac:dyDescent="0.2">
      <c r="A89" s="9" t="s">
        <v>1004</v>
      </c>
      <c r="B89" s="9" t="s">
        <v>323</v>
      </c>
      <c r="C89" s="11">
        <v>1</v>
      </c>
      <c r="D89" s="9" t="s">
        <v>801</v>
      </c>
      <c r="E89" s="16" t="s">
        <v>49</v>
      </c>
      <c r="F89" s="9"/>
      <c r="G89" s="9" t="s">
        <v>1003</v>
      </c>
      <c r="H89" s="9" t="s">
        <v>1005</v>
      </c>
      <c r="I89" s="16" t="s">
        <v>57</v>
      </c>
      <c r="J89" s="16"/>
      <c r="K89" s="9" t="s">
        <v>1009</v>
      </c>
      <c r="L89" s="16">
        <v>120</v>
      </c>
      <c r="M89" s="16">
        <v>120</v>
      </c>
      <c r="N89" s="16" t="s">
        <v>64</v>
      </c>
      <c r="O89" s="9" t="s">
        <v>1008</v>
      </c>
      <c r="P89" s="14"/>
      <c r="Q89" s="14"/>
      <c r="R89" s="9"/>
      <c r="S89" s="9"/>
      <c r="T89" s="21" t="str">
        <f t="shared" si="82"/>
        <v>360 minutes (6.0 hours)</v>
      </c>
      <c r="U89" s="21">
        <f t="shared" si="83"/>
        <v>360</v>
      </c>
      <c r="V89" s="21" t="str">
        <f t="shared" si="84"/>
        <v/>
      </c>
      <c r="W89" s="21" t="str">
        <f t="shared" si="85"/>
        <v/>
      </c>
      <c r="X89" s="21" t="str">
        <f t="shared" si="86"/>
        <v>minutes</v>
      </c>
      <c r="Y89" s="21" t="str">
        <f t="shared" si="87"/>
        <v>C1</v>
      </c>
      <c r="Z89" s="21" t="str">
        <f t="shared" si="88"/>
        <v>AFTER</v>
      </c>
      <c r="AA89" s="21" t="str">
        <f t="shared" si="89"/>
        <v/>
      </c>
      <c r="AB89" s="21" t="str">
        <f t="shared" si="90"/>
        <v>W_REPORTED_TIMING_CONFLICT</v>
      </c>
      <c r="AC89" s="21" t="str">
        <f>IF(AQ89=1,"",MID(IF(BX89&lt;&gt;""," | "&amp;BX89&amp;": "&amp;SUBSTITUTE(IFERROR(INDEX(nMSG_Text,MATCH(BX89,nMSG_Code,0)),""),"[input]",BY89),"")&amp;IF(CI89=1," | W_TZ_UNKNOWN: "&amp;SUBSTITUTE(IFERROR(INDEX(nMSG_Text,MATCH("W_TZ_UNKNOWN",nMSG_Code,0)),""),"[input]",""),"")&amp;IF(CJ89=1," | W_SAME_DATE_ORDER_UNKNOWN: "&amp;SUBSTITUTE(IFERROR(INDEX(nMSG_Text,MATCH("W_SAME_DATE_ORDER_UNKNOWN",nMSG_Code,0)),""),"[input]",""),"")&amp;IF(CK89=1," | W_SEQUENCE_UNCERTAIN: "&amp;SUBSTITUTE(IFERROR(INDEX(nMSG_Text,MATCH("W_SEQUENCE_UNCERTAIN",nMSG_Code,0)),""),"[input]",""),"")&amp;IF(CL89=1," | W_ADMIN_SAME_DATE_AS_ONSET: "&amp;SUBSTITUTE(IFERROR(INDEX(nMSG_Text,MATCH("W_ADMIN_SAME_DATE_AS_ONSET",nMSG_Code,0)),""),"[input]",""),"")&amp;IF(CO89=1," | W_INTERVENTION_BEFORE_RECOVERY: "&amp;SUBSTITUTE(IFERROR(INDEX(nMSG_Text,MATCH("W_INTERVENTION_BEFORE_RECOVERY",nMSG_Code,0)),""),"[input]",""),"")&amp;IF(OR(CQ89="",CQ89="OVERLAP"),""," | "&amp;CQ89&amp;" (reported timing): "&amp;SUBSTITUTE(IFERROR(INDEX(nMSG_Text,MATCH(CQ89,nMSG_Code,0)),""),"[input]","numeric reported bounds and a reported unit"))&amp;IF(CM89=1," | I_TREATMENT_DAY_UNDEFINED: "&amp;SUBSTITUTE(IFERROR(INDEX(nMSG_Text,MATCH("I_TREATMENT_DAY_UNDEFINED",nMSG_Code,0)),""),"[input]",""),"")&amp;IF(CH89&lt;&gt;""," | "&amp;CH89&amp;" (constraint): "&amp;SUBSTITUTE(IFERROR(INDEX(nMSG_Text,MATCH(CH89,nMSG_Code,0)),""),"[input]","a source for the constraint"),""),4,9999))</f>
        <v>W_REPORTED_TIMING_CONFLICT (reported timing): The reported timing conflicts with the recorded dates. Both are kept; query the source.</v>
      </c>
      <c r="AD89" s="21" t="str">
        <f t="shared" si="91"/>
        <v/>
      </c>
      <c r="AE89" s="21" t="str">
        <f t="shared" si="92"/>
        <v/>
      </c>
      <c r="AF89" s="21" t="str">
        <f t="shared" si="93"/>
        <v>Conflicts with the computed interval; both kept. Reported: "two hours after the dose" [120 to 120 minutes]</v>
      </c>
      <c r="AG89" s="21" t="str">
        <f t="shared" si="94"/>
        <v>EX1/START</v>
      </c>
      <c r="AH89" s="21" t="str">
        <f>IF(BJ89=0,"",INDEX(nTP_ISO,BJ89))</f>
        <v>2026-04-01T08:00-05:00</v>
      </c>
      <c r="AI89" s="21" t="str">
        <f>IF(BJ89=0,"",INDEX(nTP_Display,BJ89))</f>
        <v>1 April 2026 08:00 (UTC-05:00)</v>
      </c>
      <c r="AJ89" s="21" t="str">
        <f>IF(AV89=0,"",INDEX(nTP_ISO,AV89))</f>
        <v>2026-04-01T14:00-05:00</v>
      </c>
      <c r="AK89" s="21" t="str">
        <f>IF(AV89=0,"",INDEX(nTP_Display,AV89))</f>
        <v>1 April 2026 14:00 (UTC-05:00)</v>
      </c>
      <c r="AL89" s="21" t="str">
        <f>IF(AU89=0,"",INDEX(nLNK_Exposure_Episode_ID,AU89)&amp;"")</f>
        <v>EX1</v>
      </c>
      <c r="AM89" s="21" t="str">
        <f>IF(AU89=0,"",INDEX(nLNK_Event_Episode_ID,AU89)&amp;"")</f>
        <v>EV1</v>
      </c>
      <c r="AN89" s="21" t="str">
        <f t="shared" si="95"/>
        <v>Both times converted to UTC with the recorded offsets.</v>
      </c>
      <c r="AO89" s="21" t="str">
        <f t="shared" si="96"/>
        <v/>
      </c>
      <c r="AP89" s="21" t="str">
        <f t="shared" si="97"/>
        <v>CALC-SPEC 1.0</v>
      </c>
      <c r="AQ89" s="22">
        <f t="shared" si="98"/>
        <v>0</v>
      </c>
      <c r="AR89" s="21" t="str">
        <f t="shared" si="99"/>
        <v>VEC-V11|1</v>
      </c>
      <c r="AS89" s="21" t="str">
        <f t="shared" si="100"/>
        <v>VEC-V11|1|I1</v>
      </c>
      <c r="AT89" s="22">
        <f>IF(AS89="",0,COUNTIF(nINT_Key,AS89))</f>
        <v>1</v>
      </c>
      <c r="AU89" s="22">
        <f>IF(D89="",0,IFERROR(MATCH(AR89&amp;"|"&amp;D89,nLNK_Key,0),0))</f>
        <v>42</v>
      </c>
      <c r="AV89" s="22">
        <f>IF(OR(AQ89=1,H89=""),0,IFERROR(MATCH(AR89&amp;"|"&amp;H89,nTP_Key,0),0))</f>
        <v>294</v>
      </c>
      <c r="AW89" s="21">
        <f>IF(AV89=0,0,INDEX(nTP_Dup,AV89))</f>
        <v>1</v>
      </c>
      <c r="AX89" s="21" t="str">
        <f>IF(AV89=0,"",INDEX(nTP_Record_Type,AV89))</f>
        <v>EVENT_ONSET</v>
      </c>
      <c r="AY89" s="21" t="str">
        <f>IF(AV89=0,"",INDEX(nTP_Precision,AV89))</f>
        <v>TIMESTAMP</v>
      </c>
      <c r="AZ89" s="21" t="str">
        <f>IF(AV89=0,"",INDEX(nTP_Err,AV89))</f>
        <v/>
      </c>
      <c r="BA89" s="21">
        <f>IF(AV89=0,0,INDEX(nTP_HT,AV89))</f>
        <v>1</v>
      </c>
      <c r="BB89" s="21">
        <f>IF(AV89=0,0,INDEX(nTP_OK,AV89))</f>
        <v>1</v>
      </c>
      <c r="BC89" s="21">
        <f>IF(AV89=0,"",INDEX(nTP_Loc,AV89))</f>
        <v>66403560</v>
      </c>
      <c r="BD89" s="21">
        <f>IF(AV89=0,"",INDEX(nTP_UTC,AV89))</f>
        <v>66403860</v>
      </c>
      <c r="BE89" s="21">
        <f>IF(AV89=0,"",INDEX(nTP_Lo,AV89))</f>
        <v>46113</v>
      </c>
      <c r="BF89" s="21">
        <f>IF(AV89=0,"",INDEX(nTP_Hi,AV89))</f>
        <v>46113</v>
      </c>
      <c r="BG89" s="22">
        <f>IF(OR(AQ89=1,E89&lt;&gt;"LAST_DOSE_BEFORE_ONSET",AU89=0,AV89=0),0,IF(AZ89&lt;&gt;"",0,SUMPRODUCT(MAX((nADM_SelKey=AR89&amp;"|"&amp;AL89)*nADM_Valid*(nADM_A_HT*BA89*nADM_A_OK*BB89*(nADM_UTC_n&lt;=N(BD89))+nADM_A_HT*BA89*(1-nADM_A_OK*BB89)*(nADM_Loc_n&lt;=N(BC89))+(1-nADM_A_HT*BA89)*(nADM_Lo_n&lt;=N(BE89)))*nADM_Sort_n))))</f>
        <v>0</v>
      </c>
      <c r="BH89" s="22">
        <f>IF(BG89=0,0,MATCH(1,INDEX((nADM_SelKey=AR89&amp;"|"&amp;AL89)*nADM_Valid*(nADM_A_HT*BA89*nADM_A_OK*BB89*(nADM_UTC_n&lt;=N(BD89))+nADM_A_HT*BA89*(1-nADM_A_OK*BB89)*(nADM_Loc_n&lt;=N(BC89))+(1-nADM_A_HT*BA89)*(nADM_Lo_n&lt;=N(BE89)))*(nADM_Sort_n=BG89),0),0))</f>
        <v>0</v>
      </c>
      <c r="BI89" s="21" t="str">
        <f>IF(BH89=0,"",INDEX(nADM_Admin_ID,BH89)&amp;"")</f>
        <v/>
      </c>
      <c r="BJ89" s="22">
        <f>IF(OR(AQ89=1,AG89=""),0,IFERROR(MATCH(AR89&amp;"|"&amp;AG89,nTP_Key,0),0))</f>
        <v>54</v>
      </c>
      <c r="BK89" s="21">
        <f>IF(BJ89=0,0,INDEX(nTP_Dup,BJ89))</f>
        <v>1</v>
      </c>
      <c r="BL89" s="21" t="str">
        <f>IF(BJ89=0,"",INDEX(nTP_Record_Type,BJ89))</f>
        <v>EXPOSURE_START</v>
      </c>
      <c r="BM89" s="21" t="str">
        <f>IF(BJ89=0,"",INDEX(nTP_Precision,BJ89))</f>
        <v>TIMESTAMP</v>
      </c>
      <c r="BN89" s="21" t="str">
        <f>IF(BJ89=0,"",INDEX(nTP_Err,BJ89))</f>
        <v/>
      </c>
      <c r="BO89" s="21">
        <f>IF(BJ89=0,0,INDEX(nTP_HT,BJ89))</f>
        <v>1</v>
      </c>
      <c r="BP89" s="21">
        <f>IF(BJ89=0,0,INDEX(nTP_OK,BJ89))</f>
        <v>1</v>
      </c>
      <c r="BQ89" s="21">
        <f>IF(BJ89=0,"",INDEX(nTP_Loc,BJ89))</f>
        <v>66403200</v>
      </c>
      <c r="BR89" s="21">
        <f>IF(BJ89=0,"",INDEX(nTP_UTC,BJ89))</f>
        <v>66403500</v>
      </c>
      <c r="BS89" s="21">
        <f>IF(BJ89=0,"",INDEX(nTP_Lo,BJ89))</f>
        <v>46113</v>
      </c>
      <c r="BT89" s="21">
        <f>IF(BJ89=0,"",INDEX(nTP_Hi,BJ89))</f>
        <v>46113</v>
      </c>
      <c r="BU89" s="22">
        <f>IF(OR(BJ89=0,AV89=0),0,SUMPRODUCT((nTP_Case_Key=AR89)*(nTP_Record_Type="MILESTONE:INTERVENTION")*(nTP_Err="")*(nTP_HT*BO89*BA89*(nTP_Loc_n&gt;=N(BQ89))*(nTP_Loc_n&lt;=N(BC89))+(1-nTP_HT*BO89*BA89)*(nTP_Lo_n&gt;=N(BS89))*(nTP_Hi_n&lt;=N(BF89))*(nTP_Lo_n&gt;0))))</f>
        <v>0</v>
      </c>
      <c r="BV89" s="21" t="str">
        <f t="shared" si="101"/>
        <v/>
      </c>
      <c r="BW89" s="21" t="str">
        <f t="shared" si="102"/>
        <v/>
      </c>
      <c r="BX89" s="21" t="str">
        <f t="shared" si="103"/>
        <v/>
      </c>
      <c r="BY89" s="21" t="str">
        <f t="shared" si="104"/>
        <v/>
      </c>
      <c r="BZ89" s="22">
        <f t="shared" si="105"/>
        <v>0</v>
      </c>
      <c r="CA89" s="21">
        <f t="shared" si="106"/>
        <v>360</v>
      </c>
      <c r="CB89" s="21" t="str">
        <f t="shared" si="107"/>
        <v/>
      </c>
      <c r="CC89" s="21" t="str">
        <f t="shared" si="108"/>
        <v/>
      </c>
      <c r="CD89" s="21" t="str">
        <f t="shared" si="109"/>
        <v/>
      </c>
      <c r="CE89" s="22">
        <f t="shared" si="110"/>
        <v>0</v>
      </c>
      <c r="CF89" s="28" t="str">
        <f t="shared" si="111"/>
        <v/>
      </c>
      <c r="CG89" s="28" t="str">
        <f t="shared" si="112"/>
        <v/>
      </c>
      <c r="CH89" s="21" t="str">
        <f t="shared" si="113"/>
        <v/>
      </c>
      <c r="CI89" s="22">
        <f t="shared" si="114"/>
        <v>0</v>
      </c>
      <c r="CJ89" s="22">
        <f t="shared" si="115"/>
        <v>0</v>
      </c>
      <c r="CK89" s="22">
        <f t="shared" si="116"/>
        <v>0</v>
      </c>
      <c r="CL89" s="22">
        <f t="shared" si="117"/>
        <v>0</v>
      </c>
      <c r="CM89" s="22">
        <f t="shared" si="118"/>
        <v>0</v>
      </c>
      <c r="CN89" s="22">
        <f t="shared" si="119"/>
        <v>0</v>
      </c>
      <c r="CO89" s="22">
        <f t="shared" si="120"/>
        <v>0</v>
      </c>
      <c r="CP89" s="22">
        <f t="shared" si="121"/>
        <v>1</v>
      </c>
      <c r="CQ89" s="21" t="str">
        <f t="shared" si="122"/>
        <v>W_REPORTED_TIMING_CONFLICT</v>
      </c>
    </row>
    <row r="90" spans="1:95" x14ac:dyDescent="0.2">
      <c r="A90" s="9" t="s">
        <v>1004</v>
      </c>
      <c r="B90" s="9" t="s">
        <v>325</v>
      </c>
      <c r="C90" s="11">
        <v>1</v>
      </c>
      <c r="D90" s="9" t="s">
        <v>801</v>
      </c>
      <c r="E90" s="16" t="s">
        <v>49</v>
      </c>
      <c r="F90" s="9"/>
      <c r="G90" s="9" t="s">
        <v>1003</v>
      </c>
      <c r="H90" s="9" t="s">
        <v>1005</v>
      </c>
      <c r="I90" s="16" t="s">
        <v>58</v>
      </c>
      <c r="J90" s="16"/>
      <c r="K90" s="9"/>
      <c r="L90" s="16"/>
      <c r="M90" s="16"/>
      <c r="N90" s="16"/>
      <c r="O90" s="9"/>
      <c r="P90" s="14"/>
      <c r="Q90" s="14"/>
      <c r="R90" s="9"/>
      <c r="S90" s="9"/>
      <c r="T90" s="21" t="str">
        <f t="shared" si="82"/>
        <v>9 calendar days</v>
      </c>
      <c r="U90" s="21">
        <f t="shared" si="83"/>
        <v>9</v>
      </c>
      <c r="V90" s="21" t="str">
        <f t="shared" si="84"/>
        <v/>
      </c>
      <c r="W90" s="21" t="str">
        <f t="shared" si="85"/>
        <v/>
      </c>
      <c r="X90" s="21" t="str">
        <f t="shared" si="86"/>
        <v>calendar days</v>
      </c>
      <c r="Y90" s="21" t="str">
        <f t="shared" si="87"/>
        <v>C2</v>
      </c>
      <c r="Z90" s="21" t="str">
        <f t="shared" si="88"/>
        <v>AFTER</v>
      </c>
      <c r="AA90" s="21" t="str">
        <f t="shared" si="89"/>
        <v/>
      </c>
      <c r="AB90" s="21" t="str">
        <f t="shared" si="90"/>
        <v/>
      </c>
      <c r="AC90" s="21" t="str">
        <f>IF(AQ90=1,"",MID(IF(BX90&lt;&gt;""," | "&amp;BX90&amp;": "&amp;SUBSTITUTE(IFERROR(INDEX(nMSG_Text,MATCH(BX90,nMSG_Code,0)),""),"[input]",BY90),"")&amp;IF(CI90=1," | W_TZ_UNKNOWN: "&amp;SUBSTITUTE(IFERROR(INDEX(nMSG_Text,MATCH("W_TZ_UNKNOWN",nMSG_Code,0)),""),"[input]",""),"")&amp;IF(CJ90=1," | W_SAME_DATE_ORDER_UNKNOWN: "&amp;SUBSTITUTE(IFERROR(INDEX(nMSG_Text,MATCH("W_SAME_DATE_ORDER_UNKNOWN",nMSG_Code,0)),""),"[input]",""),"")&amp;IF(CK90=1," | W_SEQUENCE_UNCERTAIN: "&amp;SUBSTITUTE(IFERROR(INDEX(nMSG_Text,MATCH("W_SEQUENCE_UNCERTAIN",nMSG_Code,0)),""),"[input]",""),"")&amp;IF(CL90=1," | W_ADMIN_SAME_DATE_AS_ONSET: "&amp;SUBSTITUTE(IFERROR(INDEX(nMSG_Text,MATCH("W_ADMIN_SAME_DATE_AS_ONSET",nMSG_Code,0)),""),"[input]",""),"")&amp;IF(CO90=1," | W_INTERVENTION_BEFORE_RECOVERY: "&amp;SUBSTITUTE(IFERROR(INDEX(nMSG_Text,MATCH("W_INTERVENTION_BEFORE_RECOVERY",nMSG_Code,0)),""),"[input]",""),"")&amp;IF(OR(CQ90="",CQ90="OVERLAP"),""," | "&amp;CQ90&amp;" (reported timing): "&amp;SUBSTITUTE(IFERROR(INDEX(nMSG_Text,MATCH(CQ90,nMSG_Code,0)),""),"[input]","numeric reported bounds and a reported unit"))&amp;IF(CM90=1," | I_TREATMENT_DAY_UNDEFINED: "&amp;SUBSTITUTE(IFERROR(INDEX(nMSG_Text,MATCH("I_TREATMENT_DAY_UNDEFINED",nMSG_Code,0)),""),"[input]",""),"")&amp;IF(CH90&lt;&gt;""," | "&amp;CH90&amp;" (constraint): "&amp;SUBSTITUTE(IFERROR(INDEX(nMSG_Text,MATCH(CH90,nMSG_Code,0)),""),"[input]","a source for the constraint"),""),4,9999))</f>
        <v/>
      </c>
      <c r="AD90" s="21" t="str">
        <f t="shared" si="91"/>
        <v/>
      </c>
      <c r="AE90" s="21" t="str">
        <f t="shared" si="92"/>
        <v/>
      </c>
      <c r="AF90" s="21" t="str">
        <f t="shared" si="93"/>
        <v/>
      </c>
      <c r="AG90" s="21" t="str">
        <f t="shared" si="94"/>
        <v>EX1/START</v>
      </c>
      <c r="AH90" s="21" t="str">
        <f>IF(BJ90=0,"",INDEX(nTP_ISO,BJ90))</f>
        <v>2026-05-01</v>
      </c>
      <c r="AI90" s="21" t="str">
        <f>IF(BJ90=0,"",INDEX(nTP_Display,BJ90))</f>
        <v>1 May 2026</v>
      </c>
      <c r="AJ90" s="21" t="str">
        <f>IF(AV90=0,"",INDEX(nTP_ISO,AV90))</f>
        <v>2026-05-10</v>
      </c>
      <c r="AK90" s="21" t="str">
        <f>IF(AV90=0,"",INDEX(nTP_Display,AV90))</f>
        <v>10 May 2026</v>
      </c>
      <c r="AL90" s="21" t="str">
        <f>IF(AU90=0,"",INDEX(nLNK_Exposure_Episode_ID,AU90)&amp;"")</f>
        <v>EX1</v>
      </c>
      <c r="AM90" s="21" t="str">
        <f>IF(AU90=0,"",INDEX(nLNK_Event_Episode_ID,AU90)&amp;"")</f>
        <v>EV1</v>
      </c>
      <c r="AN90" s="21" t="str">
        <f t="shared" si="95"/>
        <v>Calendar-date difference of the recorded local dates; not elapsed days.</v>
      </c>
      <c r="AO90" s="21" t="str">
        <f t="shared" si="96"/>
        <v/>
      </c>
      <c r="AP90" s="21" t="str">
        <f t="shared" si="97"/>
        <v>CALC-SPEC 1.0</v>
      </c>
      <c r="AQ90" s="22">
        <f t="shared" si="98"/>
        <v>0</v>
      </c>
      <c r="AR90" s="21" t="str">
        <f t="shared" si="99"/>
        <v>VEC-V12|1</v>
      </c>
      <c r="AS90" s="21" t="str">
        <f t="shared" si="100"/>
        <v>VEC-V12|1|I1</v>
      </c>
      <c r="AT90" s="22">
        <f>IF(AS90="",0,COUNTIF(nINT_Key,AS90))</f>
        <v>1</v>
      </c>
      <c r="AU90" s="22">
        <f>IF(D90="",0,IFERROR(MATCH(AR90&amp;"|"&amp;D90,nLNK_Key,0),0))</f>
        <v>44</v>
      </c>
      <c r="AV90" s="22">
        <f>IF(OR(AQ90=1,H90=""),0,IFERROR(MATCH(AR90&amp;"|"&amp;H90,nTP_Key,0),0))</f>
        <v>295</v>
      </c>
      <c r="AW90" s="21">
        <f>IF(AV90=0,0,INDEX(nTP_Dup,AV90))</f>
        <v>1</v>
      </c>
      <c r="AX90" s="21" t="str">
        <f>IF(AV90=0,"",INDEX(nTP_Record_Type,AV90))</f>
        <v>EVENT_ONSET</v>
      </c>
      <c r="AY90" s="21" t="str">
        <f>IF(AV90=0,"",INDEX(nTP_Precision,AV90))</f>
        <v>DATE</v>
      </c>
      <c r="AZ90" s="21" t="str">
        <f>IF(AV90=0,"",INDEX(nTP_Err,AV90))</f>
        <v/>
      </c>
      <c r="BA90" s="21">
        <f>IF(AV90=0,0,INDEX(nTP_HT,AV90))</f>
        <v>0</v>
      </c>
      <c r="BB90" s="21">
        <f>IF(AV90=0,0,INDEX(nTP_OK,AV90))</f>
        <v>0</v>
      </c>
      <c r="BC90" s="21" t="str">
        <f>IF(AV90=0,"",INDEX(nTP_Loc,AV90))</f>
        <v/>
      </c>
      <c r="BD90" s="21" t="str">
        <f>IF(AV90=0,"",INDEX(nTP_UTC,AV90))</f>
        <v/>
      </c>
      <c r="BE90" s="21">
        <f>IF(AV90=0,"",INDEX(nTP_Lo,AV90))</f>
        <v>46152</v>
      </c>
      <c r="BF90" s="21">
        <f>IF(AV90=0,"",INDEX(nTP_Hi,AV90))</f>
        <v>46152</v>
      </c>
      <c r="BG90" s="22">
        <f>IF(OR(AQ90=1,E90&lt;&gt;"LAST_DOSE_BEFORE_ONSET",AU90=0,AV90=0),0,IF(AZ90&lt;&gt;"",0,SUMPRODUCT(MAX((nADM_SelKey=AR90&amp;"|"&amp;AL90)*nADM_Valid*(nADM_A_HT*BA90*nADM_A_OK*BB90*(nADM_UTC_n&lt;=N(BD90))+nADM_A_HT*BA90*(1-nADM_A_OK*BB90)*(nADM_Loc_n&lt;=N(BC90))+(1-nADM_A_HT*BA90)*(nADM_Lo_n&lt;=N(BE90)))*nADM_Sort_n))))</f>
        <v>0</v>
      </c>
      <c r="BH90" s="22">
        <f>IF(BG90=0,0,MATCH(1,INDEX((nADM_SelKey=AR90&amp;"|"&amp;AL90)*nADM_Valid*(nADM_A_HT*BA90*nADM_A_OK*BB90*(nADM_UTC_n&lt;=N(BD90))+nADM_A_HT*BA90*(1-nADM_A_OK*BB90)*(nADM_Loc_n&lt;=N(BC90))+(1-nADM_A_HT*BA90)*(nADM_Lo_n&lt;=N(BE90)))*(nADM_Sort_n=BG90),0),0))</f>
        <v>0</v>
      </c>
      <c r="BI90" s="21" t="str">
        <f>IF(BH90=0,"",INDEX(nADM_Admin_ID,BH90)&amp;"")</f>
        <v/>
      </c>
      <c r="BJ90" s="22">
        <f>IF(OR(AQ90=1,AG90=""),0,IFERROR(MATCH(AR90&amp;"|"&amp;AG90,nTP_Key,0),0))</f>
        <v>55</v>
      </c>
      <c r="BK90" s="21">
        <f>IF(BJ90=0,0,INDEX(nTP_Dup,BJ90))</f>
        <v>1</v>
      </c>
      <c r="BL90" s="21" t="str">
        <f>IF(BJ90=0,"",INDEX(nTP_Record_Type,BJ90))</f>
        <v>EXPOSURE_START</v>
      </c>
      <c r="BM90" s="21" t="str">
        <f>IF(BJ90=0,"",INDEX(nTP_Precision,BJ90))</f>
        <v>DATE</v>
      </c>
      <c r="BN90" s="21" t="str">
        <f>IF(BJ90=0,"",INDEX(nTP_Err,BJ90))</f>
        <v/>
      </c>
      <c r="BO90" s="21">
        <f>IF(BJ90=0,0,INDEX(nTP_HT,BJ90))</f>
        <v>0</v>
      </c>
      <c r="BP90" s="21">
        <f>IF(BJ90=0,0,INDEX(nTP_OK,BJ90))</f>
        <v>0</v>
      </c>
      <c r="BQ90" s="21" t="str">
        <f>IF(BJ90=0,"",INDEX(nTP_Loc,BJ90))</f>
        <v/>
      </c>
      <c r="BR90" s="21" t="str">
        <f>IF(BJ90=0,"",INDEX(nTP_UTC,BJ90))</f>
        <v/>
      </c>
      <c r="BS90" s="21">
        <f>IF(BJ90=0,"",INDEX(nTP_Lo,BJ90))</f>
        <v>46143</v>
      </c>
      <c r="BT90" s="21">
        <f>IF(BJ90=0,"",INDEX(nTP_Hi,BJ90))</f>
        <v>46143</v>
      </c>
      <c r="BU90" s="22">
        <f>IF(OR(BJ90=0,AV90=0),0,SUMPRODUCT((nTP_Case_Key=AR90)*(nTP_Record_Type="MILESTONE:INTERVENTION")*(nTP_Err="")*(nTP_HT*BO90*BA90*(nTP_Loc_n&gt;=N(BQ90))*(nTP_Loc_n&lt;=N(BC90))+(1-nTP_HT*BO90*BA90)*(nTP_Lo_n&gt;=N(BS90))*(nTP_Hi_n&lt;=N(BF90))*(nTP_Lo_n&gt;0))))</f>
        <v>0</v>
      </c>
      <c r="BV90" s="21" t="str">
        <f t="shared" si="101"/>
        <v/>
      </c>
      <c r="BW90" s="21" t="str">
        <f t="shared" si="102"/>
        <v/>
      </c>
      <c r="BX90" s="21" t="str">
        <f t="shared" si="103"/>
        <v/>
      </c>
      <c r="BY90" s="21" t="str">
        <f t="shared" si="104"/>
        <v/>
      </c>
      <c r="BZ90" s="22">
        <f t="shared" si="105"/>
        <v>1</v>
      </c>
      <c r="CA90" s="21" t="str">
        <f t="shared" si="106"/>
        <v/>
      </c>
      <c r="CB90" s="21">
        <f t="shared" si="107"/>
        <v>9</v>
      </c>
      <c r="CC90" s="21" t="str">
        <f t="shared" si="108"/>
        <v/>
      </c>
      <c r="CD90" s="21" t="str">
        <f t="shared" si="109"/>
        <v/>
      </c>
      <c r="CE90" s="22">
        <f t="shared" si="110"/>
        <v>0</v>
      </c>
      <c r="CF90" s="28" t="str">
        <f t="shared" si="111"/>
        <v/>
      </c>
      <c r="CG90" s="28" t="str">
        <f t="shared" si="112"/>
        <v/>
      </c>
      <c r="CH90" s="21" t="str">
        <f t="shared" si="113"/>
        <v/>
      </c>
      <c r="CI90" s="22">
        <f t="shared" si="114"/>
        <v>0</v>
      </c>
      <c r="CJ90" s="22">
        <f t="shared" si="115"/>
        <v>0</v>
      </c>
      <c r="CK90" s="22">
        <f t="shared" si="116"/>
        <v>0</v>
      </c>
      <c r="CL90" s="22">
        <f t="shared" si="117"/>
        <v>0</v>
      </c>
      <c r="CM90" s="22">
        <f t="shared" si="118"/>
        <v>0</v>
      </c>
      <c r="CN90" s="22">
        <f t="shared" si="119"/>
        <v>0</v>
      </c>
      <c r="CO90" s="22">
        <f t="shared" si="120"/>
        <v>0</v>
      </c>
      <c r="CP90" s="22">
        <f t="shared" si="121"/>
        <v>0</v>
      </c>
      <c r="CQ90" s="21" t="str">
        <f t="shared" si="122"/>
        <v/>
      </c>
    </row>
    <row r="91" spans="1:95" x14ac:dyDescent="0.2">
      <c r="A91" s="9" t="s">
        <v>1004</v>
      </c>
      <c r="B91" s="9" t="s">
        <v>325</v>
      </c>
      <c r="C91" s="11">
        <v>2</v>
      </c>
      <c r="D91" s="9" t="s">
        <v>801</v>
      </c>
      <c r="E91" s="16" t="s">
        <v>49</v>
      </c>
      <c r="F91" s="9"/>
      <c r="G91" s="9" t="s">
        <v>1003</v>
      </c>
      <c r="H91" s="9" t="s">
        <v>1005</v>
      </c>
      <c r="I91" s="16" t="s">
        <v>58</v>
      </c>
      <c r="J91" s="16"/>
      <c r="K91" s="9"/>
      <c r="L91" s="16"/>
      <c r="M91" s="16"/>
      <c r="N91" s="16"/>
      <c r="O91" s="9"/>
      <c r="P91" s="14"/>
      <c r="Q91" s="14"/>
      <c r="R91" s="9"/>
      <c r="S91" s="9"/>
      <c r="T91" s="21" t="str">
        <f t="shared" si="82"/>
        <v>7 calendar days</v>
      </c>
      <c r="U91" s="21">
        <f t="shared" si="83"/>
        <v>7</v>
      </c>
      <c r="V91" s="21" t="str">
        <f t="shared" si="84"/>
        <v/>
      </c>
      <c r="W91" s="21" t="str">
        <f t="shared" si="85"/>
        <v/>
      </c>
      <c r="X91" s="21" t="str">
        <f t="shared" si="86"/>
        <v>calendar days</v>
      </c>
      <c r="Y91" s="21" t="str">
        <f t="shared" si="87"/>
        <v>C2</v>
      </c>
      <c r="Z91" s="21" t="str">
        <f t="shared" si="88"/>
        <v>AFTER</v>
      </c>
      <c r="AA91" s="21" t="str">
        <f t="shared" si="89"/>
        <v/>
      </c>
      <c r="AB91" s="21" t="str">
        <f t="shared" si="90"/>
        <v/>
      </c>
      <c r="AC91" s="21" t="str">
        <f>IF(AQ91=1,"",MID(IF(BX91&lt;&gt;""," | "&amp;BX91&amp;": "&amp;SUBSTITUTE(IFERROR(INDEX(nMSG_Text,MATCH(BX91,nMSG_Code,0)),""),"[input]",BY91),"")&amp;IF(CI91=1," | W_TZ_UNKNOWN: "&amp;SUBSTITUTE(IFERROR(INDEX(nMSG_Text,MATCH("W_TZ_UNKNOWN",nMSG_Code,0)),""),"[input]",""),"")&amp;IF(CJ91=1," | W_SAME_DATE_ORDER_UNKNOWN: "&amp;SUBSTITUTE(IFERROR(INDEX(nMSG_Text,MATCH("W_SAME_DATE_ORDER_UNKNOWN",nMSG_Code,0)),""),"[input]",""),"")&amp;IF(CK91=1," | W_SEQUENCE_UNCERTAIN: "&amp;SUBSTITUTE(IFERROR(INDEX(nMSG_Text,MATCH("W_SEQUENCE_UNCERTAIN",nMSG_Code,0)),""),"[input]",""),"")&amp;IF(CL91=1," | W_ADMIN_SAME_DATE_AS_ONSET: "&amp;SUBSTITUTE(IFERROR(INDEX(nMSG_Text,MATCH("W_ADMIN_SAME_DATE_AS_ONSET",nMSG_Code,0)),""),"[input]",""),"")&amp;IF(CO91=1," | W_INTERVENTION_BEFORE_RECOVERY: "&amp;SUBSTITUTE(IFERROR(INDEX(nMSG_Text,MATCH("W_INTERVENTION_BEFORE_RECOVERY",nMSG_Code,0)),""),"[input]",""),"")&amp;IF(OR(CQ91="",CQ91="OVERLAP"),""," | "&amp;CQ91&amp;" (reported timing): "&amp;SUBSTITUTE(IFERROR(INDEX(nMSG_Text,MATCH(CQ91,nMSG_Code,0)),""),"[input]","numeric reported bounds and a reported unit"))&amp;IF(CM91=1," | I_TREATMENT_DAY_UNDEFINED: "&amp;SUBSTITUTE(IFERROR(INDEX(nMSG_Text,MATCH("I_TREATMENT_DAY_UNDEFINED",nMSG_Code,0)),""),"[input]",""),"")&amp;IF(CH91&lt;&gt;""," | "&amp;CH91&amp;" (constraint): "&amp;SUBSTITUTE(IFERROR(INDEX(nMSG_Text,MATCH(CH91,nMSG_Code,0)),""),"[input]","a source for the constraint"),""),4,9999))</f>
        <v/>
      </c>
      <c r="AD91" s="21" t="str">
        <f t="shared" si="91"/>
        <v/>
      </c>
      <c r="AE91" s="21" t="str">
        <f t="shared" si="92"/>
        <v/>
      </c>
      <c r="AF91" s="21" t="str">
        <f t="shared" si="93"/>
        <v/>
      </c>
      <c r="AG91" s="21" t="str">
        <f t="shared" si="94"/>
        <v>EX1/START</v>
      </c>
      <c r="AH91" s="21" t="str">
        <f>IF(BJ91=0,"",INDEX(nTP_ISO,BJ91))</f>
        <v>2026-05-01</v>
      </c>
      <c r="AI91" s="21" t="str">
        <f>IF(BJ91=0,"",INDEX(nTP_Display,BJ91))</f>
        <v>1 May 2026</v>
      </c>
      <c r="AJ91" s="21" t="str">
        <f>IF(AV91=0,"",INDEX(nTP_ISO,AV91))</f>
        <v>2026-05-08</v>
      </c>
      <c r="AK91" s="21" t="str">
        <f>IF(AV91=0,"",INDEX(nTP_Display,AV91))</f>
        <v>8 May 2026</v>
      </c>
      <c r="AL91" s="21" t="str">
        <f>IF(AU91=0,"",INDEX(nLNK_Exposure_Episode_ID,AU91)&amp;"")</f>
        <v>EX1</v>
      </c>
      <c r="AM91" s="21" t="str">
        <f>IF(AU91=0,"",INDEX(nLNK_Event_Episode_ID,AU91)&amp;"")</f>
        <v>EV1</v>
      </c>
      <c r="AN91" s="21" t="str">
        <f t="shared" si="95"/>
        <v>Calendar-date difference of the recorded local dates; not elapsed days.</v>
      </c>
      <c r="AO91" s="21" t="str">
        <f t="shared" si="96"/>
        <v/>
      </c>
      <c r="AP91" s="21" t="str">
        <f t="shared" si="97"/>
        <v>CALC-SPEC 1.0</v>
      </c>
      <c r="AQ91" s="22">
        <f t="shared" si="98"/>
        <v>0</v>
      </c>
      <c r="AR91" s="21" t="str">
        <f t="shared" si="99"/>
        <v>VEC-V12|2</v>
      </c>
      <c r="AS91" s="21" t="str">
        <f t="shared" si="100"/>
        <v>VEC-V12|2|I1</v>
      </c>
      <c r="AT91" s="22">
        <f>IF(AS91="",0,COUNTIF(nINT_Key,AS91))</f>
        <v>1</v>
      </c>
      <c r="AU91" s="22">
        <f>IF(D91="",0,IFERROR(MATCH(AR91&amp;"|"&amp;D91,nLNK_Key,0),0))</f>
        <v>45</v>
      </c>
      <c r="AV91" s="22">
        <f>IF(OR(AQ91=1,H91=""),0,IFERROR(MATCH(AR91&amp;"|"&amp;H91,nTP_Key,0),0))</f>
        <v>296</v>
      </c>
      <c r="AW91" s="21">
        <f>IF(AV91=0,0,INDEX(nTP_Dup,AV91))</f>
        <v>1</v>
      </c>
      <c r="AX91" s="21" t="str">
        <f>IF(AV91=0,"",INDEX(nTP_Record_Type,AV91))</f>
        <v>EVENT_ONSET</v>
      </c>
      <c r="AY91" s="21" t="str">
        <f>IF(AV91=0,"",INDEX(nTP_Precision,AV91))</f>
        <v>DATE</v>
      </c>
      <c r="AZ91" s="21" t="str">
        <f>IF(AV91=0,"",INDEX(nTP_Err,AV91))</f>
        <v/>
      </c>
      <c r="BA91" s="21">
        <f>IF(AV91=0,0,INDEX(nTP_HT,AV91))</f>
        <v>0</v>
      </c>
      <c r="BB91" s="21">
        <f>IF(AV91=0,0,INDEX(nTP_OK,AV91))</f>
        <v>0</v>
      </c>
      <c r="BC91" s="21" t="str">
        <f>IF(AV91=0,"",INDEX(nTP_Loc,AV91))</f>
        <v/>
      </c>
      <c r="BD91" s="21" t="str">
        <f>IF(AV91=0,"",INDEX(nTP_UTC,AV91))</f>
        <v/>
      </c>
      <c r="BE91" s="21">
        <f>IF(AV91=0,"",INDEX(nTP_Lo,AV91))</f>
        <v>46150</v>
      </c>
      <c r="BF91" s="21">
        <f>IF(AV91=0,"",INDEX(nTP_Hi,AV91))</f>
        <v>46150</v>
      </c>
      <c r="BG91" s="22">
        <f>IF(OR(AQ91=1,E91&lt;&gt;"LAST_DOSE_BEFORE_ONSET",AU91=0,AV91=0),0,IF(AZ91&lt;&gt;"",0,SUMPRODUCT(MAX((nADM_SelKey=AR91&amp;"|"&amp;AL91)*nADM_Valid*(nADM_A_HT*BA91*nADM_A_OK*BB91*(nADM_UTC_n&lt;=N(BD91))+nADM_A_HT*BA91*(1-nADM_A_OK*BB91)*(nADM_Loc_n&lt;=N(BC91))+(1-nADM_A_HT*BA91)*(nADM_Lo_n&lt;=N(BE91)))*nADM_Sort_n))))</f>
        <v>0</v>
      </c>
      <c r="BH91" s="22">
        <f>IF(BG91=0,0,MATCH(1,INDEX((nADM_SelKey=AR91&amp;"|"&amp;AL91)*nADM_Valid*(nADM_A_HT*BA91*nADM_A_OK*BB91*(nADM_UTC_n&lt;=N(BD91))+nADM_A_HT*BA91*(1-nADM_A_OK*BB91)*(nADM_Loc_n&lt;=N(BC91))+(1-nADM_A_HT*BA91)*(nADM_Lo_n&lt;=N(BE91)))*(nADM_Sort_n=BG91),0),0))</f>
        <v>0</v>
      </c>
      <c r="BI91" s="21" t="str">
        <f>IF(BH91=0,"",INDEX(nADM_Admin_ID,BH91)&amp;"")</f>
        <v/>
      </c>
      <c r="BJ91" s="22">
        <f>IF(OR(AQ91=1,AG91=""),0,IFERROR(MATCH(AR91&amp;"|"&amp;AG91,nTP_Key,0),0))</f>
        <v>56</v>
      </c>
      <c r="BK91" s="21">
        <f>IF(BJ91=0,0,INDEX(nTP_Dup,BJ91))</f>
        <v>1</v>
      </c>
      <c r="BL91" s="21" t="str">
        <f>IF(BJ91=0,"",INDEX(nTP_Record_Type,BJ91))</f>
        <v>EXPOSURE_START</v>
      </c>
      <c r="BM91" s="21" t="str">
        <f>IF(BJ91=0,"",INDEX(nTP_Precision,BJ91))</f>
        <v>DATE</v>
      </c>
      <c r="BN91" s="21" t="str">
        <f>IF(BJ91=0,"",INDEX(nTP_Err,BJ91))</f>
        <v/>
      </c>
      <c r="BO91" s="21">
        <f>IF(BJ91=0,0,INDEX(nTP_HT,BJ91))</f>
        <v>0</v>
      </c>
      <c r="BP91" s="21">
        <f>IF(BJ91=0,0,INDEX(nTP_OK,BJ91))</f>
        <v>0</v>
      </c>
      <c r="BQ91" s="21" t="str">
        <f>IF(BJ91=0,"",INDEX(nTP_Loc,BJ91))</f>
        <v/>
      </c>
      <c r="BR91" s="21" t="str">
        <f>IF(BJ91=0,"",INDEX(nTP_UTC,BJ91))</f>
        <v/>
      </c>
      <c r="BS91" s="21">
        <f>IF(BJ91=0,"",INDEX(nTP_Lo,BJ91))</f>
        <v>46143</v>
      </c>
      <c r="BT91" s="21">
        <f>IF(BJ91=0,"",INDEX(nTP_Hi,BJ91))</f>
        <v>46143</v>
      </c>
      <c r="BU91" s="22">
        <f>IF(OR(BJ91=0,AV91=0),0,SUMPRODUCT((nTP_Case_Key=AR91)*(nTP_Record_Type="MILESTONE:INTERVENTION")*(nTP_Err="")*(nTP_HT*BO91*BA91*(nTP_Loc_n&gt;=N(BQ91))*(nTP_Loc_n&lt;=N(BC91))+(1-nTP_HT*BO91*BA91)*(nTP_Lo_n&gt;=N(BS91))*(nTP_Hi_n&lt;=N(BF91))*(nTP_Lo_n&gt;0))))</f>
        <v>0</v>
      </c>
      <c r="BV91" s="21" t="str">
        <f t="shared" si="101"/>
        <v/>
      </c>
      <c r="BW91" s="21" t="str">
        <f t="shared" si="102"/>
        <v/>
      </c>
      <c r="BX91" s="21" t="str">
        <f t="shared" si="103"/>
        <v/>
      </c>
      <c r="BY91" s="21" t="str">
        <f t="shared" si="104"/>
        <v/>
      </c>
      <c r="BZ91" s="22">
        <f t="shared" si="105"/>
        <v>1</v>
      </c>
      <c r="CA91" s="21" t="str">
        <f t="shared" si="106"/>
        <v/>
      </c>
      <c r="CB91" s="21">
        <f t="shared" si="107"/>
        <v>7</v>
      </c>
      <c r="CC91" s="21" t="str">
        <f t="shared" si="108"/>
        <v/>
      </c>
      <c r="CD91" s="21" t="str">
        <f t="shared" si="109"/>
        <v/>
      </c>
      <c r="CE91" s="22">
        <f t="shared" si="110"/>
        <v>0</v>
      </c>
      <c r="CF91" s="28" t="str">
        <f t="shared" si="111"/>
        <v/>
      </c>
      <c r="CG91" s="28" t="str">
        <f t="shared" si="112"/>
        <v/>
      </c>
      <c r="CH91" s="21" t="str">
        <f t="shared" si="113"/>
        <v/>
      </c>
      <c r="CI91" s="22">
        <f t="shared" si="114"/>
        <v>0</v>
      </c>
      <c r="CJ91" s="22">
        <f t="shared" si="115"/>
        <v>0</v>
      </c>
      <c r="CK91" s="22">
        <f t="shared" si="116"/>
        <v>0</v>
      </c>
      <c r="CL91" s="22">
        <f t="shared" si="117"/>
        <v>0</v>
      </c>
      <c r="CM91" s="22">
        <f t="shared" si="118"/>
        <v>0</v>
      </c>
      <c r="CN91" s="22">
        <f t="shared" si="119"/>
        <v>0</v>
      </c>
      <c r="CO91" s="22">
        <f t="shared" si="120"/>
        <v>0</v>
      </c>
      <c r="CP91" s="22">
        <f t="shared" si="121"/>
        <v>0</v>
      </c>
      <c r="CQ91" s="21" t="str">
        <f t="shared" si="122"/>
        <v/>
      </c>
    </row>
    <row r="92" spans="1:95" x14ac:dyDescent="0.2">
      <c r="A92" s="9" t="s">
        <v>1011</v>
      </c>
      <c r="B92" s="9" t="s">
        <v>329</v>
      </c>
      <c r="C92" s="11">
        <v>1</v>
      </c>
      <c r="D92" s="9" t="s">
        <v>805</v>
      </c>
      <c r="E92" s="16" t="s">
        <v>49</v>
      </c>
      <c r="F92" s="9"/>
      <c r="G92" s="9" t="s">
        <v>1010</v>
      </c>
      <c r="H92" s="9" t="s">
        <v>1005</v>
      </c>
      <c r="I92" s="16" t="s">
        <v>58</v>
      </c>
      <c r="J92" s="16"/>
      <c r="K92" s="9"/>
      <c r="L92" s="16"/>
      <c r="M92" s="16"/>
      <c r="N92" s="16"/>
      <c r="O92" s="9"/>
      <c r="P92" s="14"/>
      <c r="Q92" s="14"/>
      <c r="R92" s="9"/>
      <c r="S92" s="9"/>
      <c r="T92" s="21" t="str">
        <f t="shared" si="82"/>
        <v>E_INVALID_DATE: no result is shown</v>
      </c>
      <c r="U92" s="21" t="str">
        <f t="shared" si="83"/>
        <v/>
      </c>
      <c r="V92" s="21" t="str">
        <f t="shared" si="84"/>
        <v/>
      </c>
      <c r="W92" s="21" t="str">
        <f t="shared" si="85"/>
        <v/>
      </c>
      <c r="X92" s="21" t="str">
        <f t="shared" si="86"/>
        <v/>
      </c>
      <c r="Y92" s="21" t="str">
        <f t="shared" si="87"/>
        <v>C2</v>
      </c>
      <c r="Z92" s="21" t="str">
        <f t="shared" si="88"/>
        <v/>
      </c>
      <c r="AA92" s="21" t="str">
        <f t="shared" si="89"/>
        <v/>
      </c>
      <c r="AB92" s="21" t="str">
        <f t="shared" si="90"/>
        <v>E_INVALID_DATE</v>
      </c>
      <c r="AC92" s="21" t="str">
        <f>IF(AQ92=1,"",MID(IF(BX92&lt;&gt;""," | "&amp;BX92&amp;": "&amp;SUBSTITUTE(IFERROR(INDEX(nMSG_Text,MATCH(BX92,nMSG_Code,0)),""),"[input]",BY92),"")&amp;IF(CI92=1," | W_TZ_UNKNOWN: "&amp;SUBSTITUTE(IFERROR(INDEX(nMSG_Text,MATCH("W_TZ_UNKNOWN",nMSG_Code,0)),""),"[input]",""),"")&amp;IF(CJ92=1," | W_SAME_DATE_ORDER_UNKNOWN: "&amp;SUBSTITUTE(IFERROR(INDEX(nMSG_Text,MATCH("W_SAME_DATE_ORDER_UNKNOWN",nMSG_Code,0)),""),"[input]",""),"")&amp;IF(CK92=1," | W_SEQUENCE_UNCERTAIN: "&amp;SUBSTITUTE(IFERROR(INDEX(nMSG_Text,MATCH("W_SEQUENCE_UNCERTAIN",nMSG_Code,0)),""),"[input]",""),"")&amp;IF(CL92=1," | W_ADMIN_SAME_DATE_AS_ONSET: "&amp;SUBSTITUTE(IFERROR(INDEX(nMSG_Text,MATCH("W_ADMIN_SAME_DATE_AS_ONSET",nMSG_Code,0)),""),"[input]",""),"")&amp;IF(CO92=1," | W_INTERVENTION_BEFORE_RECOVERY: "&amp;SUBSTITUTE(IFERROR(INDEX(nMSG_Text,MATCH("W_INTERVENTION_BEFORE_RECOVERY",nMSG_Code,0)),""),"[input]",""),"")&amp;IF(OR(CQ92="",CQ92="OVERLAP"),""," | "&amp;CQ92&amp;" (reported timing): "&amp;SUBSTITUTE(IFERROR(INDEX(nMSG_Text,MATCH(CQ92,nMSG_Code,0)),""),"[input]","numeric reported bounds and a reported unit"))&amp;IF(CM92=1," | I_TREATMENT_DAY_UNDEFINED: "&amp;SUBSTITUTE(IFERROR(INDEX(nMSG_Text,MATCH("I_TREATMENT_DAY_UNDEFINED",nMSG_Code,0)),""),"[input]",""),"")&amp;IF(CH92&lt;&gt;""," | "&amp;CH92&amp;" (constraint): "&amp;SUBSTITUTE(IFERROR(INDEX(nMSG_Text,MATCH(CH92,nMSG_Code,0)),""),"[input]","a source for the constraint"),""),4,9999))</f>
        <v>E_INVALID_DATE: This date does not exist. Check the source, or record it as a partial date.</v>
      </c>
      <c r="AD92" s="21" t="str">
        <f t="shared" si="91"/>
        <v/>
      </c>
      <c r="AE92" s="21" t="str">
        <f t="shared" si="92"/>
        <v/>
      </c>
      <c r="AF92" s="21" t="str">
        <f t="shared" si="93"/>
        <v/>
      </c>
      <c r="AG92" s="21" t="str">
        <f t="shared" si="94"/>
        <v>EX3/START</v>
      </c>
      <c r="AH92" s="21" t="str">
        <f>IF(BJ92=0,"",INDEX(nTP_ISO,BJ92))</f>
        <v>2026-01-15</v>
      </c>
      <c r="AI92" s="21" t="str">
        <f>IF(BJ92=0,"",INDEX(nTP_Display,BJ92))</f>
        <v>15 January 2026</v>
      </c>
      <c r="AJ92" s="21" t="str">
        <f>IF(AV92=0,"",INDEX(nTP_ISO,AV92))</f>
        <v/>
      </c>
      <c r="AK92" s="21" t="str">
        <f>IF(AV92=0,"",INDEX(nTP_Display,AV92))</f>
        <v>E_INVALID_DATE</v>
      </c>
      <c r="AL92" s="21" t="str">
        <f>IF(AU92=0,"",INDEX(nLNK_Exposure_Episode_ID,AU92)&amp;"")</f>
        <v>EX3</v>
      </c>
      <c r="AM92" s="21" t="str">
        <f>IF(AU92=0,"",INDEX(nLNK_Event_Episode_ID,AU92)&amp;"")</f>
        <v>EV1</v>
      </c>
      <c r="AN92" s="21" t="str">
        <f t="shared" si="95"/>
        <v/>
      </c>
      <c r="AO92" s="21" t="str">
        <f t="shared" si="96"/>
        <v/>
      </c>
      <c r="AP92" s="21" t="str">
        <f t="shared" si="97"/>
        <v>CALC-SPEC 1.0</v>
      </c>
      <c r="AQ92" s="22">
        <f t="shared" si="98"/>
        <v>0</v>
      </c>
      <c r="AR92" s="21" t="str">
        <f t="shared" si="99"/>
        <v>VEC-V13|1</v>
      </c>
      <c r="AS92" s="21" t="str">
        <f t="shared" si="100"/>
        <v>VEC-V13|1|I-DATE</v>
      </c>
      <c r="AT92" s="22">
        <f>IF(AS92="",0,COUNTIF(nINT_Key,AS92))</f>
        <v>1</v>
      </c>
      <c r="AU92" s="22">
        <f>IF(D92="",0,IFERROR(MATCH(AR92&amp;"|"&amp;D92,nLNK_Key,0),0))</f>
        <v>48</v>
      </c>
      <c r="AV92" s="22">
        <f>IF(OR(AQ92=1,H92=""),0,IFERROR(MATCH(AR92&amp;"|"&amp;H92,nTP_Key,0),0))</f>
        <v>297</v>
      </c>
      <c r="AW92" s="21">
        <f>IF(AV92=0,0,INDEX(nTP_Dup,AV92))</f>
        <v>1</v>
      </c>
      <c r="AX92" s="21" t="str">
        <f>IF(AV92=0,"",INDEX(nTP_Record_Type,AV92))</f>
        <v>EVENT_ONSET</v>
      </c>
      <c r="AY92" s="21" t="str">
        <f>IF(AV92=0,"",INDEX(nTP_Precision,AV92))</f>
        <v>DATE</v>
      </c>
      <c r="AZ92" s="21" t="str">
        <f>IF(AV92=0,"",INDEX(nTP_Err,AV92))</f>
        <v>E_INVALID_DATE</v>
      </c>
      <c r="BA92" s="21">
        <f>IF(AV92=0,0,INDEX(nTP_HT,AV92))</f>
        <v>0</v>
      </c>
      <c r="BB92" s="21">
        <f>IF(AV92=0,0,INDEX(nTP_OK,AV92))</f>
        <v>0</v>
      </c>
      <c r="BC92" s="21" t="str">
        <f>IF(AV92=0,"",INDEX(nTP_Loc,AV92))</f>
        <v/>
      </c>
      <c r="BD92" s="21" t="str">
        <f>IF(AV92=0,"",INDEX(nTP_UTC,AV92))</f>
        <v/>
      </c>
      <c r="BE92" s="21" t="str">
        <f>IF(AV92=0,"",INDEX(nTP_Lo,AV92))</f>
        <v/>
      </c>
      <c r="BF92" s="21" t="str">
        <f>IF(AV92=0,"",INDEX(nTP_Hi,AV92))</f>
        <v/>
      </c>
      <c r="BG92" s="22">
        <f>IF(OR(AQ92=1,E92&lt;&gt;"LAST_DOSE_BEFORE_ONSET",AU92=0,AV92=0),0,IF(AZ92&lt;&gt;"",0,SUMPRODUCT(MAX((nADM_SelKey=AR92&amp;"|"&amp;AL92)*nADM_Valid*(nADM_A_HT*BA92*nADM_A_OK*BB92*(nADM_UTC_n&lt;=N(BD92))+nADM_A_HT*BA92*(1-nADM_A_OK*BB92)*(nADM_Loc_n&lt;=N(BC92))+(1-nADM_A_HT*BA92)*(nADM_Lo_n&lt;=N(BE92)))*nADM_Sort_n))))</f>
        <v>0</v>
      </c>
      <c r="BH92" s="22">
        <f>IF(BG92=0,0,MATCH(1,INDEX((nADM_SelKey=AR92&amp;"|"&amp;AL92)*nADM_Valid*(nADM_A_HT*BA92*nADM_A_OK*BB92*(nADM_UTC_n&lt;=N(BD92))+nADM_A_HT*BA92*(1-nADM_A_OK*BB92)*(nADM_Loc_n&lt;=N(BC92))+(1-nADM_A_HT*BA92)*(nADM_Lo_n&lt;=N(BE92)))*(nADM_Sort_n=BG92),0),0))</f>
        <v>0</v>
      </c>
      <c r="BI92" s="21" t="str">
        <f>IF(BH92=0,"",INDEX(nADM_Admin_ID,BH92)&amp;"")</f>
        <v/>
      </c>
      <c r="BJ92" s="22">
        <f>IF(OR(AQ92=1,AG92=""),0,IFERROR(MATCH(AR92&amp;"|"&amp;AG92,nTP_Key,0),0))</f>
        <v>60</v>
      </c>
      <c r="BK92" s="21">
        <f>IF(BJ92=0,0,INDEX(nTP_Dup,BJ92))</f>
        <v>1</v>
      </c>
      <c r="BL92" s="21" t="str">
        <f>IF(BJ92=0,"",INDEX(nTP_Record_Type,BJ92))</f>
        <v>EXPOSURE_START</v>
      </c>
      <c r="BM92" s="21" t="str">
        <f>IF(BJ92=0,"",INDEX(nTP_Precision,BJ92))</f>
        <v>DATE</v>
      </c>
      <c r="BN92" s="21" t="str">
        <f>IF(BJ92=0,"",INDEX(nTP_Err,BJ92))</f>
        <v/>
      </c>
      <c r="BO92" s="21">
        <f>IF(BJ92=0,0,INDEX(nTP_HT,BJ92))</f>
        <v>0</v>
      </c>
      <c r="BP92" s="21">
        <f>IF(BJ92=0,0,INDEX(nTP_OK,BJ92))</f>
        <v>0</v>
      </c>
      <c r="BQ92" s="21" t="str">
        <f>IF(BJ92=0,"",INDEX(nTP_Loc,BJ92))</f>
        <v/>
      </c>
      <c r="BR92" s="21" t="str">
        <f>IF(BJ92=0,"",INDEX(nTP_UTC,BJ92))</f>
        <v/>
      </c>
      <c r="BS92" s="21">
        <f>IF(BJ92=0,"",INDEX(nTP_Lo,BJ92))</f>
        <v>46037</v>
      </c>
      <c r="BT92" s="21">
        <f>IF(BJ92=0,"",INDEX(nTP_Hi,BJ92))</f>
        <v>46037</v>
      </c>
      <c r="BU92" s="22">
        <f>IF(OR(BJ92=0,AV92=0),0,SUMPRODUCT((nTP_Case_Key=AR92)*(nTP_Record_Type="MILESTONE:INTERVENTION")*(nTP_Err="")*(nTP_HT*BO92*BA92*(nTP_Loc_n&gt;=N(BQ92))*(nTP_Loc_n&lt;=N(BC92))+(1-nTP_HT*BO92*BA92)*(nTP_Lo_n&gt;=N(BS92))*(nTP_Hi_n&lt;=N(BF92))*(nTP_Lo_n&gt;0))))</f>
        <v>0</v>
      </c>
      <c r="BV92" s="21" t="str">
        <f t="shared" si="101"/>
        <v/>
      </c>
      <c r="BW92" s="21" t="str">
        <f t="shared" si="102"/>
        <v/>
      </c>
      <c r="BX92" s="21" t="str">
        <f t="shared" si="103"/>
        <v>E_INVALID_DATE</v>
      </c>
      <c r="BY92" s="21" t="str">
        <f t="shared" si="104"/>
        <v/>
      </c>
      <c r="BZ92" s="22">
        <f t="shared" si="105"/>
        <v>1</v>
      </c>
      <c r="CA92" s="21" t="str">
        <f t="shared" si="106"/>
        <v/>
      </c>
      <c r="CB92" s="21" t="str">
        <f t="shared" si="107"/>
        <v/>
      </c>
      <c r="CC92" s="21" t="str">
        <f t="shared" si="108"/>
        <v/>
      </c>
      <c r="CD92" s="21" t="str">
        <f t="shared" si="109"/>
        <v/>
      </c>
      <c r="CE92" s="22">
        <f t="shared" si="110"/>
        <v>0</v>
      </c>
      <c r="CF92" s="28" t="str">
        <f t="shared" si="111"/>
        <v/>
      </c>
      <c r="CG92" s="28" t="str">
        <f t="shared" si="112"/>
        <v/>
      </c>
      <c r="CH92" s="21" t="str">
        <f t="shared" si="113"/>
        <v/>
      </c>
      <c r="CI92" s="22">
        <f t="shared" si="114"/>
        <v>0</v>
      </c>
      <c r="CJ92" s="22">
        <f t="shared" si="115"/>
        <v>0</v>
      </c>
      <c r="CK92" s="22">
        <f t="shared" si="116"/>
        <v>0</v>
      </c>
      <c r="CL92" s="22">
        <f t="shared" si="117"/>
        <v>0</v>
      </c>
      <c r="CM92" s="22">
        <f t="shared" si="118"/>
        <v>0</v>
      </c>
      <c r="CN92" s="22">
        <f t="shared" si="119"/>
        <v>0</v>
      </c>
      <c r="CO92" s="22">
        <f t="shared" si="120"/>
        <v>0</v>
      </c>
      <c r="CP92" s="22">
        <f t="shared" si="121"/>
        <v>0</v>
      </c>
      <c r="CQ92" s="21" t="str">
        <f t="shared" si="122"/>
        <v/>
      </c>
    </row>
    <row r="93" spans="1:95" x14ac:dyDescent="0.2">
      <c r="A93" s="9" t="s">
        <v>1013</v>
      </c>
      <c r="B93" s="9" t="s">
        <v>329</v>
      </c>
      <c r="C93" s="11">
        <v>1</v>
      </c>
      <c r="D93" s="9" t="s">
        <v>801</v>
      </c>
      <c r="E93" s="16" t="s">
        <v>49</v>
      </c>
      <c r="F93" s="9"/>
      <c r="G93" s="9" t="s">
        <v>1012</v>
      </c>
      <c r="H93" s="9" t="s">
        <v>1014</v>
      </c>
      <c r="I93" s="16" t="s">
        <v>59</v>
      </c>
      <c r="J93" s="16"/>
      <c r="K93" s="9"/>
      <c r="L93" s="16"/>
      <c r="M93" s="16"/>
      <c r="N93" s="16"/>
      <c r="O93" s="9"/>
      <c r="P93" s="14"/>
      <c r="Q93" s="14"/>
      <c r="R93" s="9"/>
      <c r="S93" s="9"/>
      <c r="T93" s="21" t="str">
        <f t="shared" si="82"/>
        <v>E_REVERSED_BOUNDS: no result is shown</v>
      </c>
      <c r="U93" s="21" t="str">
        <f t="shared" si="83"/>
        <v/>
      </c>
      <c r="V93" s="21" t="str">
        <f t="shared" si="84"/>
        <v/>
      </c>
      <c r="W93" s="21" t="str">
        <f t="shared" si="85"/>
        <v/>
      </c>
      <c r="X93" s="21" t="str">
        <f t="shared" si="86"/>
        <v/>
      </c>
      <c r="Y93" s="21" t="str">
        <f t="shared" si="87"/>
        <v>C4</v>
      </c>
      <c r="Z93" s="21" t="str">
        <f t="shared" si="88"/>
        <v/>
      </c>
      <c r="AA93" s="21" t="str">
        <f t="shared" si="89"/>
        <v/>
      </c>
      <c r="AB93" s="21" t="str">
        <f t="shared" si="90"/>
        <v>E_REVERSED_BOUNDS</v>
      </c>
      <c r="AC93" s="21" t="str">
        <f>IF(AQ93=1,"",MID(IF(BX93&lt;&gt;""," | "&amp;BX93&amp;": "&amp;SUBSTITUTE(IFERROR(INDEX(nMSG_Text,MATCH(BX93,nMSG_Code,0)),""),"[input]",BY93),"")&amp;IF(CI93=1," | W_TZ_UNKNOWN: "&amp;SUBSTITUTE(IFERROR(INDEX(nMSG_Text,MATCH("W_TZ_UNKNOWN",nMSG_Code,0)),""),"[input]",""),"")&amp;IF(CJ93=1," | W_SAME_DATE_ORDER_UNKNOWN: "&amp;SUBSTITUTE(IFERROR(INDEX(nMSG_Text,MATCH("W_SAME_DATE_ORDER_UNKNOWN",nMSG_Code,0)),""),"[input]",""),"")&amp;IF(CK93=1," | W_SEQUENCE_UNCERTAIN: "&amp;SUBSTITUTE(IFERROR(INDEX(nMSG_Text,MATCH("W_SEQUENCE_UNCERTAIN",nMSG_Code,0)),""),"[input]",""),"")&amp;IF(CL93=1," | W_ADMIN_SAME_DATE_AS_ONSET: "&amp;SUBSTITUTE(IFERROR(INDEX(nMSG_Text,MATCH("W_ADMIN_SAME_DATE_AS_ONSET",nMSG_Code,0)),""),"[input]",""),"")&amp;IF(CO93=1," | W_INTERVENTION_BEFORE_RECOVERY: "&amp;SUBSTITUTE(IFERROR(INDEX(nMSG_Text,MATCH("W_INTERVENTION_BEFORE_RECOVERY",nMSG_Code,0)),""),"[input]",""),"")&amp;IF(OR(CQ93="",CQ93="OVERLAP"),""," | "&amp;CQ93&amp;" (reported timing): "&amp;SUBSTITUTE(IFERROR(INDEX(nMSG_Text,MATCH(CQ93,nMSG_Code,0)),""),"[input]","numeric reported bounds and a reported unit"))&amp;IF(CM93=1," | I_TREATMENT_DAY_UNDEFINED: "&amp;SUBSTITUTE(IFERROR(INDEX(nMSG_Text,MATCH("I_TREATMENT_DAY_UNDEFINED",nMSG_Code,0)),""),"[input]",""),"")&amp;IF(CH93&lt;&gt;""," | "&amp;CH93&amp;" (constraint): "&amp;SUBSTITUTE(IFERROR(INDEX(nMSG_Text,MATCH(CH93,nMSG_Code,0)),""),"[input]","a source for the constraint"),""),4,9999))</f>
        <v>E_REVERSED_BOUNDS: The earliest value is after the latest value. Check the order of the bounds.</v>
      </c>
      <c r="AD93" s="21" t="str">
        <f t="shared" si="91"/>
        <v/>
      </c>
      <c r="AE93" s="21" t="str">
        <f t="shared" si="92"/>
        <v/>
      </c>
      <c r="AF93" s="21" t="str">
        <f t="shared" si="93"/>
        <v/>
      </c>
      <c r="AG93" s="21" t="str">
        <f t="shared" si="94"/>
        <v>EX2/START</v>
      </c>
      <c r="AH93" s="21" t="str">
        <f>IF(BJ93=0,"",INDEX(nTP_ISO,BJ93))</f>
        <v/>
      </c>
      <c r="AI93" s="21" t="str">
        <f>IF(BJ93=0,"",INDEX(nTP_Display,BJ93))</f>
        <v>E_REVERSED_BOUNDS</v>
      </c>
      <c r="AJ93" s="21" t="str">
        <f>IF(AV93=0,"",INDEX(nTP_ISO,AV93))</f>
        <v>2026-01-20</v>
      </c>
      <c r="AK93" s="21" t="str">
        <f>IF(AV93=0,"",INDEX(nTP_Display,AV93))</f>
        <v>20 January 2026</v>
      </c>
      <c r="AL93" s="21" t="str">
        <f>IF(AU93=0,"",INDEX(nLNK_Exposure_Episode_ID,AU93)&amp;"")</f>
        <v>EX2</v>
      </c>
      <c r="AM93" s="21" t="str">
        <f>IF(AU93=0,"",INDEX(nLNK_Event_Episode_ID,AU93)&amp;"")</f>
        <v>EV2</v>
      </c>
      <c r="AN93" s="21" t="str">
        <f t="shared" si="95"/>
        <v/>
      </c>
      <c r="AO93" s="21" t="str">
        <f t="shared" si="96"/>
        <v/>
      </c>
      <c r="AP93" s="21" t="str">
        <f t="shared" si="97"/>
        <v>CALC-SPEC 1.0</v>
      </c>
      <c r="AQ93" s="22">
        <f t="shared" si="98"/>
        <v>0</v>
      </c>
      <c r="AR93" s="21" t="str">
        <f t="shared" si="99"/>
        <v>VEC-V13|1</v>
      </c>
      <c r="AS93" s="21" t="str">
        <f t="shared" si="100"/>
        <v>VEC-V13|1|I-BOUNDS</v>
      </c>
      <c r="AT93" s="22">
        <f>IF(AS93="",0,COUNTIF(nINT_Key,AS93))</f>
        <v>1</v>
      </c>
      <c r="AU93" s="22">
        <f>IF(D93="",0,IFERROR(MATCH(AR93&amp;"|"&amp;D93,nLNK_Key,0),0))</f>
        <v>46</v>
      </c>
      <c r="AV93" s="22">
        <f>IF(OR(AQ93=1,H93=""),0,IFERROR(MATCH(AR93&amp;"|"&amp;H93,nTP_Key,0),0))</f>
        <v>298</v>
      </c>
      <c r="AW93" s="21">
        <f>IF(AV93=0,0,INDEX(nTP_Dup,AV93))</f>
        <v>1</v>
      </c>
      <c r="AX93" s="21" t="str">
        <f>IF(AV93=0,"",INDEX(nTP_Record_Type,AV93))</f>
        <v>EVENT_ONSET</v>
      </c>
      <c r="AY93" s="21" t="str">
        <f>IF(AV93=0,"",INDEX(nTP_Precision,AV93))</f>
        <v>DATE</v>
      </c>
      <c r="AZ93" s="21" t="str">
        <f>IF(AV93=0,"",INDEX(nTP_Err,AV93))</f>
        <v/>
      </c>
      <c r="BA93" s="21">
        <f>IF(AV93=0,0,INDEX(nTP_HT,AV93))</f>
        <v>0</v>
      </c>
      <c r="BB93" s="21">
        <f>IF(AV93=0,0,INDEX(nTP_OK,AV93))</f>
        <v>0</v>
      </c>
      <c r="BC93" s="21" t="str">
        <f>IF(AV93=0,"",INDEX(nTP_Loc,AV93))</f>
        <v/>
      </c>
      <c r="BD93" s="21" t="str">
        <f>IF(AV93=0,"",INDEX(nTP_UTC,AV93))</f>
        <v/>
      </c>
      <c r="BE93" s="21">
        <f>IF(AV93=0,"",INDEX(nTP_Lo,AV93))</f>
        <v>46042</v>
      </c>
      <c r="BF93" s="21">
        <f>IF(AV93=0,"",INDEX(nTP_Hi,AV93))</f>
        <v>46042</v>
      </c>
      <c r="BG93" s="22">
        <f>IF(OR(AQ93=1,E93&lt;&gt;"LAST_DOSE_BEFORE_ONSET",AU93=0,AV93=0),0,IF(AZ93&lt;&gt;"",0,SUMPRODUCT(MAX((nADM_SelKey=AR93&amp;"|"&amp;AL93)*nADM_Valid*(nADM_A_HT*BA93*nADM_A_OK*BB93*(nADM_UTC_n&lt;=N(BD93))+nADM_A_HT*BA93*(1-nADM_A_OK*BB93)*(nADM_Loc_n&lt;=N(BC93))+(1-nADM_A_HT*BA93)*(nADM_Lo_n&lt;=N(BE93)))*nADM_Sort_n))))</f>
        <v>0</v>
      </c>
      <c r="BH93" s="22">
        <f>IF(BG93=0,0,MATCH(1,INDEX((nADM_SelKey=AR93&amp;"|"&amp;AL93)*nADM_Valid*(nADM_A_HT*BA93*nADM_A_OK*BB93*(nADM_UTC_n&lt;=N(BD93))+nADM_A_HT*BA93*(1-nADM_A_OK*BB93)*(nADM_Loc_n&lt;=N(BC93))+(1-nADM_A_HT*BA93)*(nADM_Lo_n&lt;=N(BE93)))*(nADM_Sort_n=BG93),0),0))</f>
        <v>0</v>
      </c>
      <c r="BI93" s="21" t="str">
        <f>IF(BH93=0,"",INDEX(nADM_Admin_ID,BH93)&amp;"")</f>
        <v/>
      </c>
      <c r="BJ93" s="22">
        <f>IF(OR(AQ93=1,AG93=""),0,IFERROR(MATCH(AR93&amp;"|"&amp;AG93,nTP_Key,0),0))</f>
        <v>59</v>
      </c>
      <c r="BK93" s="21">
        <f>IF(BJ93=0,0,INDEX(nTP_Dup,BJ93))</f>
        <v>1</v>
      </c>
      <c r="BL93" s="21" t="str">
        <f>IF(BJ93=0,"",INDEX(nTP_Record_Type,BJ93))</f>
        <v>EXPOSURE_START</v>
      </c>
      <c r="BM93" s="21" t="str">
        <f>IF(BJ93=0,"",INDEX(nTP_Precision,BJ93))</f>
        <v>RANGE</v>
      </c>
      <c r="BN93" s="21" t="str">
        <f>IF(BJ93=0,"",INDEX(nTP_Err,BJ93))</f>
        <v>E_REVERSED_BOUNDS</v>
      </c>
      <c r="BO93" s="21">
        <f>IF(BJ93=0,0,INDEX(nTP_HT,BJ93))</f>
        <v>0</v>
      </c>
      <c r="BP93" s="21">
        <f>IF(BJ93=0,0,INDEX(nTP_OK,BJ93))</f>
        <v>0</v>
      </c>
      <c r="BQ93" s="21" t="str">
        <f>IF(BJ93=0,"",INDEX(nTP_Loc,BJ93))</f>
        <v/>
      </c>
      <c r="BR93" s="21" t="str">
        <f>IF(BJ93=0,"",INDEX(nTP_UTC,BJ93))</f>
        <v/>
      </c>
      <c r="BS93" s="21" t="str">
        <f>IF(BJ93=0,"",INDEX(nTP_Lo,BJ93))</f>
        <v/>
      </c>
      <c r="BT93" s="21" t="str">
        <f>IF(BJ93=0,"",INDEX(nTP_Hi,BJ93))</f>
        <v/>
      </c>
      <c r="BU93" s="22">
        <f>IF(OR(BJ93=0,AV93=0),0,SUMPRODUCT((nTP_Case_Key=AR93)*(nTP_Record_Type="MILESTONE:INTERVENTION")*(nTP_Err="")*(nTP_HT*BO93*BA93*(nTP_Loc_n&gt;=N(BQ93))*(nTP_Loc_n&lt;=N(BC93))+(1-nTP_HT*BO93*BA93)*(nTP_Lo_n&gt;=N(BS93))*(nTP_Hi_n&lt;=N(BF93))*(nTP_Lo_n&gt;0))))</f>
        <v>0</v>
      </c>
      <c r="BV93" s="21" t="str">
        <f t="shared" si="101"/>
        <v/>
      </c>
      <c r="BW93" s="21" t="str">
        <f t="shared" si="102"/>
        <v/>
      </c>
      <c r="BX93" s="21" t="str">
        <f t="shared" si="103"/>
        <v>E_REVERSED_BOUNDS</v>
      </c>
      <c r="BY93" s="21" t="str">
        <f t="shared" si="104"/>
        <v/>
      </c>
      <c r="BZ93" s="22">
        <f t="shared" si="105"/>
        <v>1</v>
      </c>
      <c r="CA93" s="21" t="str">
        <f t="shared" si="106"/>
        <v/>
      </c>
      <c r="CB93" s="21" t="str">
        <f t="shared" si="107"/>
        <v/>
      </c>
      <c r="CC93" s="21" t="str">
        <f t="shared" si="108"/>
        <v/>
      </c>
      <c r="CD93" s="21" t="str">
        <f t="shared" si="109"/>
        <v/>
      </c>
      <c r="CE93" s="22">
        <f t="shared" si="110"/>
        <v>0</v>
      </c>
      <c r="CF93" s="28" t="str">
        <f t="shared" si="111"/>
        <v/>
      </c>
      <c r="CG93" s="28" t="str">
        <f t="shared" si="112"/>
        <v/>
      </c>
      <c r="CH93" s="21" t="str">
        <f t="shared" si="113"/>
        <v/>
      </c>
      <c r="CI93" s="22">
        <f t="shared" si="114"/>
        <v>0</v>
      </c>
      <c r="CJ93" s="22">
        <f t="shared" si="115"/>
        <v>0</v>
      </c>
      <c r="CK93" s="22">
        <f t="shared" si="116"/>
        <v>0</v>
      </c>
      <c r="CL93" s="22">
        <f t="shared" si="117"/>
        <v>0</v>
      </c>
      <c r="CM93" s="22">
        <f t="shared" si="118"/>
        <v>0</v>
      </c>
      <c r="CN93" s="22">
        <f t="shared" si="119"/>
        <v>0</v>
      </c>
      <c r="CO93" s="22">
        <f t="shared" si="120"/>
        <v>0</v>
      </c>
      <c r="CP93" s="22">
        <f t="shared" si="121"/>
        <v>0</v>
      </c>
      <c r="CQ93" s="21" t="str">
        <f t="shared" si="122"/>
        <v/>
      </c>
    </row>
    <row r="94" spans="1:95" x14ac:dyDescent="0.2">
      <c r="A94" s="9" t="s">
        <v>1015</v>
      </c>
      <c r="B94" s="9" t="s">
        <v>329</v>
      </c>
      <c r="C94" s="11">
        <v>1</v>
      </c>
      <c r="D94" s="9" t="s">
        <v>803</v>
      </c>
      <c r="E94" s="16" t="s">
        <v>49</v>
      </c>
      <c r="F94" s="9"/>
      <c r="G94" s="9" t="s">
        <v>1003</v>
      </c>
      <c r="H94" s="9" t="s">
        <v>1014</v>
      </c>
      <c r="I94" s="16" t="s">
        <v>58</v>
      </c>
      <c r="J94" s="16"/>
      <c r="K94" s="9"/>
      <c r="L94" s="16"/>
      <c r="M94" s="16"/>
      <c r="N94" s="16"/>
      <c r="O94" s="9"/>
      <c r="P94" s="14"/>
      <c r="Q94" s="14"/>
      <c r="R94" s="9"/>
      <c r="S94" s="9"/>
      <c r="T94" s="21" t="str">
        <f t="shared" si="82"/>
        <v>E_DUPLICATE_ID: no result is shown</v>
      </c>
      <c r="U94" s="21" t="str">
        <f t="shared" si="83"/>
        <v/>
      </c>
      <c r="V94" s="21" t="str">
        <f t="shared" si="84"/>
        <v/>
      </c>
      <c r="W94" s="21" t="str">
        <f t="shared" si="85"/>
        <v/>
      </c>
      <c r="X94" s="21" t="str">
        <f t="shared" si="86"/>
        <v/>
      </c>
      <c r="Y94" s="21" t="str">
        <f t="shared" si="87"/>
        <v>C2</v>
      </c>
      <c r="Z94" s="21" t="str">
        <f t="shared" si="88"/>
        <v/>
      </c>
      <c r="AA94" s="21" t="str">
        <f t="shared" si="89"/>
        <v/>
      </c>
      <c r="AB94" s="21" t="str">
        <f t="shared" si="90"/>
        <v>E_DUPLICATE_ID</v>
      </c>
      <c r="AC94" s="21" t="str">
        <f>IF(AQ94=1,"",MID(IF(BX94&lt;&gt;""," | "&amp;BX94&amp;": "&amp;SUBSTITUTE(IFERROR(INDEX(nMSG_Text,MATCH(BX94,nMSG_Code,0)),""),"[input]",BY94),"")&amp;IF(CI94=1," | W_TZ_UNKNOWN: "&amp;SUBSTITUTE(IFERROR(INDEX(nMSG_Text,MATCH("W_TZ_UNKNOWN",nMSG_Code,0)),""),"[input]",""),"")&amp;IF(CJ94=1," | W_SAME_DATE_ORDER_UNKNOWN: "&amp;SUBSTITUTE(IFERROR(INDEX(nMSG_Text,MATCH("W_SAME_DATE_ORDER_UNKNOWN",nMSG_Code,0)),""),"[input]",""),"")&amp;IF(CK94=1," | W_SEQUENCE_UNCERTAIN: "&amp;SUBSTITUTE(IFERROR(INDEX(nMSG_Text,MATCH("W_SEQUENCE_UNCERTAIN",nMSG_Code,0)),""),"[input]",""),"")&amp;IF(CL94=1," | W_ADMIN_SAME_DATE_AS_ONSET: "&amp;SUBSTITUTE(IFERROR(INDEX(nMSG_Text,MATCH("W_ADMIN_SAME_DATE_AS_ONSET",nMSG_Code,0)),""),"[input]",""),"")&amp;IF(CO94=1," | W_INTERVENTION_BEFORE_RECOVERY: "&amp;SUBSTITUTE(IFERROR(INDEX(nMSG_Text,MATCH("W_INTERVENTION_BEFORE_RECOVERY",nMSG_Code,0)),""),"[input]",""),"")&amp;IF(OR(CQ94="",CQ94="OVERLAP"),""," | "&amp;CQ94&amp;" (reported timing): "&amp;SUBSTITUTE(IFERROR(INDEX(nMSG_Text,MATCH(CQ94,nMSG_Code,0)),""),"[input]","numeric reported bounds and a reported unit"))&amp;IF(CM94=1," | I_TREATMENT_DAY_UNDEFINED: "&amp;SUBSTITUTE(IFERROR(INDEX(nMSG_Text,MATCH("I_TREATMENT_DAY_UNDEFINED",nMSG_Code,0)),""),"[input]",""),"")&amp;IF(CH94&lt;&gt;""," | "&amp;CH94&amp;" (constraint): "&amp;SUBSTITUTE(IFERROR(INDEX(nMSG_Text,MATCH(CH94,nMSG_Code,0)),""),"[input]","a source for the constraint"),""),4,9999))</f>
        <v>E_DUPLICATE_ID: This identifier is already used in this case. Each episode needs its own ID.</v>
      </c>
      <c r="AD94" s="21" t="str">
        <f t="shared" si="91"/>
        <v/>
      </c>
      <c r="AE94" s="21" t="str">
        <f t="shared" si="92"/>
        <v/>
      </c>
      <c r="AF94" s="21" t="str">
        <f t="shared" si="93"/>
        <v/>
      </c>
      <c r="AG94" s="21" t="str">
        <f t="shared" si="94"/>
        <v>EX1/START</v>
      </c>
      <c r="AH94" s="21" t="str">
        <f>IF(BJ94=0,"",INDEX(nTP_ISO,BJ94))</f>
        <v>2026-01-01</v>
      </c>
      <c r="AI94" s="21" t="str">
        <f>IF(BJ94=0,"",INDEX(nTP_Display,BJ94))</f>
        <v>1 January 2026</v>
      </c>
      <c r="AJ94" s="21" t="str">
        <f>IF(AV94=0,"",INDEX(nTP_ISO,AV94))</f>
        <v>2026-01-20</v>
      </c>
      <c r="AK94" s="21" t="str">
        <f>IF(AV94=0,"",INDEX(nTP_Display,AV94))</f>
        <v>20 January 2026</v>
      </c>
      <c r="AL94" s="21" t="str">
        <f>IF(AU94=0,"",INDEX(nLNK_Exposure_Episode_ID,AU94)&amp;"")</f>
        <v>EX1</v>
      </c>
      <c r="AM94" s="21" t="str">
        <f>IF(AU94=0,"",INDEX(nLNK_Event_Episode_ID,AU94)&amp;"")</f>
        <v>EV2</v>
      </c>
      <c r="AN94" s="21" t="str">
        <f t="shared" si="95"/>
        <v/>
      </c>
      <c r="AO94" s="21" t="str">
        <f t="shared" si="96"/>
        <v/>
      </c>
      <c r="AP94" s="21" t="str">
        <f t="shared" si="97"/>
        <v>CALC-SPEC 1.0</v>
      </c>
      <c r="AQ94" s="22">
        <f t="shared" si="98"/>
        <v>0</v>
      </c>
      <c r="AR94" s="21" t="str">
        <f t="shared" si="99"/>
        <v>VEC-V13|1</v>
      </c>
      <c r="AS94" s="21" t="str">
        <f t="shared" si="100"/>
        <v>VEC-V13|1|I-IDS</v>
      </c>
      <c r="AT94" s="22">
        <f>IF(AS94="",0,COUNTIF(nINT_Key,AS94))</f>
        <v>1</v>
      </c>
      <c r="AU94" s="22">
        <f>IF(D94="",0,IFERROR(MATCH(AR94&amp;"|"&amp;D94,nLNK_Key,0),0))</f>
        <v>47</v>
      </c>
      <c r="AV94" s="22">
        <f>IF(OR(AQ94=1,H94=""),0,IFERROR(MATCH(AR94&amp;"|"&amp;H94,nTP_Key,0),0))</f>
        <v>298</v>
      </c>
      <c r="AW94" s="21">
        <f>IF(AV94=0,0,INDEX(nTP_Dup,AV94))</f>
        <v>1</v>
      </c>
      <c r="AX94" s="21" t="str">
        <f>IF(AV94=0,"",INDEX(nTP_Record_Type,AV94))</f>
        <v>EVENT_ONSET</v>
      </c>
      <c r="AY94" s="21" t="str">
        <f>IF(AV94=0,"",INDEX(nTP_Precision,AV94))</f>
        <v>DATE</v>
      </c>
      <c r="AZ94" s="21" t="str">
        <f>IF(AV94=0,"",INDEX(nTP_Err,AV94))</f>
        <v/>
      </c>
      <c r="BA94" s="21">
        <f>IF(AV94=0,0,INDEX(nTP_HT,AV94))</f>
        <v>0</v>
      </c>
      <c r="BB94" s="21">
        <f>IF(AV94=0,0,INDEX(nTP_OK,AV94))</f>
        <v>0</v>
      </c>
      <c r="BC94" s="21" t="str">
        <f>IF(AV94=0,"",INDEX(nTP_Loc,AV94))</f>
        <v/>
      </c>
      <c r="BD94" s="21" t="str">
        <f>IF(AV94=0,"",INDEX(nTP_UTC,AV94))</f>
        <v/>
      </c>
      <c r="BE94" s="21">
        <f>IF(AV94=0,"",INDEX(nTP_Lo,AV94))</f>
        <v>46042</v>
      </c>
      <c r="BF94" s="21">
        <f>IF(AV94=0,"",INDEX(nTP_Hi,AV94))</f>
        <v>46042</v>
      </c>
      <c r="BG94" s="22">
        <f>IF(OR(AQ94=1,E94&lt;&gt;"LAST_DOSE_BEFORE_ONSET",AU94=0,AV94=0),0,IF(AZ94&lt;&gt;"",0,SUMPRODUCT(MAX((nADM_SelKey=AR94&amp;"|"&amp;AL94)*nADM_Valid*(nADM_A_HT*BA94*nADM_A_OK*BB94*(nADM_UTC_n&lt;=N(BD94))+nADM_A_HT*BA94*(1-nADM_A_OK*BB94)*(nADM_Loc_n&lt;=N(BC94))+(1-nADM_A_HT*BA94)*(nADM_Lo_n&lt;=N(BE94)))*nADM_Sort_n))))</f>
        <v>0</v>
      </c>
      <c r="BH94" s="22">
        <f>IF(BG94=0,0,MATCH(1,INDEX((nADM_SelKey=AR94&amp;"|"&amp;AL94)*nADM_Valid*(nADM_A_HT*BA94*nADM_A_OK*BB94*(nADM_UTC_n&lt;=N(BD94))+nADM_A_HT*BA94*(1-nADM_A_OK*BB94)*(nADM_Loc_n&lt;=N(BC94))+(1-nADM_A_HT*BA94)*(nADM_Lo_n&lt;=N(BE94)))*(nADM_Sort_n=BG94),0),0))</f>
        <v>0</v>
      </c>
      <c r="BI94" s="21" t="str">
        <f>IF(BH94=0,"",INDEX(nADM_Admin_ID,BH94)&amp;"")</f>
        <v/>
      </c>
      <c r="BJ94" s="22">
        <f>IF(OR(AQ94=1,AG94=""),0,IFERROR(MATCH(AR94&amp;"|"&amp;AG94,nTP_Key,0),0))</f>
        <v>57</v>
      </c>
      <c r="BK94" s="21">
        <f>IF(BJ94=0,0,INDEX(nTP_Dup,BJ94))</f>
        <v>2</v>
      </c>
      <c r="BL94" s="21" t="str">
        <f>IF(BJ94=0,"",INDEX(nTP_Record_Type,BJ94))</f>
        <v>EXPOSURE_START</v>
      </c>
      <c r="BM94" s="21" t="str">
        <f>IF(BJ94=0,"",INDEX(nTP_Precision,BJ94))</f>
        <v>DATE</v>
      </c>
      <c r="BN94" s="21" t="str">
        <f>IF(BJ94=0,"",INDEX(nTP_Err,BJ94))</f>
        <v/>
      </c>
      <c r="BO94" s="21">
        <f>IF(BJ94=0,0,INDEX(nTP_HT,BJ94))</f>
        <v>0</v>
      </c>
      <c r="BP94" s="21">
        <f>IF(BJ94=0,0,INDEX(nTP_OK,BJ94))</f>
        <v>0</v>
      </c>
      <c r="BQ94" s="21" t="str">
        <f>IF(BJ94=0,"",INDEX(nTP_Loc,BJ94))</f>
        <v/>
      </c>
      <c r="BR94" s="21" t="str">
        <f>IF(BJ94=0,"",INDEX(nTP_UTC,BJ94))</f>
        <v/>
      </c>
      <c r="BS94" s="21">
        <f>IF(BJ94=0,"",INDEX(nTP_Lo,BJ94))</f>
        <v>46023</v>
      </c>
      <c r="BT94" s="21">
        <f>IF(BJ94=0,"",INDEX(nTP_Hi,BJ94))</f>
        <v>46023</v>
      </c>
      <c r="BU94" s="22">
        <f>IF(OR(BJ94=0,AV94=0),0,SUMPRODUCT((nTP_Case_Key=AR94)*(nTP_Record_Type="MILESTONE:INTERVENTION")*(nTP_Err="")*(nTP_HT*BO94*BA94*(nTP_Loc_n&gt;=N(BQ94))*(nTP_Loc_n&lt;=N(BC94))+(1-nTP_HT*BO94*BA94)*(nTP_Lo_n&gt;=N(BS94))*(nTP_Hi_n&lt;=N(BF94))*(nTP_Lo_n&gt;0))))</f>
        <v>0</v>
      </c>
      <c r="BV94" s="21" t="str">
        <f t="shared" si="101"/>
        <v>E_DUPLICATE_ID</v>
      </c>
      <c r="BW94" s="21" t="str">
        <f t="shared" si="102"/>
        <v/>
      </c>
      <c r="BX94" s="21" t="str">
        <f t="shared" si="103"/>
        <v>E_DUPLICATE_ID</v>
      </c>
      <c r="BY94" s="21" t="str">
        <f t="shared" si="104"/>
        <v/>
      </c>
      <c r="BZ94" s="22">
        <f t="shared" si="105"/>
        <v>1</v>
      </c>
      <c r="CA94" s="21" t="str">
        <f t="shared" si="106"/>
        <v/>
      </c>
      <c r="CB94" s="21" t="str">
        <f t="shared" si="107"/>
        <v/>
      </c>
      <c r="CC94" s="21" t="str">
        <f t="shared" si="108"/>
        <v/>
      </c>
      <c r="CD94" s="21" t="str">
        <f t="shared" si="109"/>
        <v/>
      </c>
      <c r="CE94" s="22">
        <f t="shared" si="110"/>
        <v>0</v>
      </c>
      <c r="CF94" s="28" t="str">
        <f t="shared" si="111"/>
        <v/>
      </c>
      <c r="CG94" s="28" t="str">
        <f t="shared" si="112"/>
        <v/>
      </c>
      <c r="CH94" s="21" t="str">
        <f t="shared" si="113"/>
        <v/>
      </c>
      <c r="CI94" s="22">
        <f t="shared" si="114"/>
        <v>0</v>
      </c>
      <c r="CJ94" s="22">
        <f t="shared" si="115"/>
        <v>0</v>
      </c>
      <c r="CK94" s="22">
        <f t="shared" si="116"/>
        <v>0</v>
      </c>
      <c r="CL94" s="22">
        <f t="shared" si="117"/>
        <v>0</v>
      </c>
      <c r="CM94" s="22">
        <f t="shared" si="118"/>
        <v>0</v>
      </c>
      <c r="CN94" s="22">
        <f t="shared" si="119"/>
        <v>0</v>
      </c>
      <c r="CO94" s="22">
        <f t="shared" si="120"/>
        <v>0</v>
      </c>
      <c r="CP94" s="22">
        <f t="shared" si="121"/>
        <v>0</v>
      </c>
      <c r="CQ94" s="21" t="str">
        <f t="shared" si="122"/>
        <v/>
      </c>
    </row>
    <row r="95" spans="1:95" x14ac:dyDescent="0.2">
      <c r="A95" s="9" t="s">
        <v>1017</v>
      </c>
      <c r="B95" s="9" t="s">
        <v>329</v>
      </c>
      <c r="C95" s="11">
        <v>1</v>
      </c>
      <c r="D95" s="9" t="s">
        <v>1016</v>
      </c>
      <c r="E95" s="16" t="s">
        <v>49</v>
      </c>
      <c r="F95" s="9"/>
      <c r="G95" s="9" t="s">
        <v>1010</v>
      </c>
      <c r="H95" s="9" t="s">
        <v>1014</v>
      </c>
      <c r="I95" s="16" t="s">
        <v>58</v>
      </c>
      <c r="J95" s="16"/>
      <c r="K95" s="9"/>
      <c r="L95" s="16"/>
      <c r="M95" s="16"/>
      <c r="N95" s="16"/>
      <c r="O95" s="9"/>
      <c r="P95" s="14"/>
      <c r="Q95" s="14"/>
      <c r="R95" s="9"/>
      <c r="S95" s="9" t="s">
        <v>1018</v>
      </c>
      <c r="T95" s="21" t="str">
        <f t="shared" si="82"/>
        <v>E_MISSING_LINK: no result is shown</v>
      </c>
      <c r="U95" s="21" t="str">
        <f t="shared" si="83"/>
        <v/>
      </c>
      <c r="V95" s="21" t="str">
        <f t="shared" si="84"/>
        <v/>
      </c>
      <c r="W95" s="21" t="str">
        <f t="shared" si="85"/>
        <v/>
      </c>
      <c r="X95" s="21" t="str">
        <f t="shared" si="86"/>
        <v/>
      </c>
      <c r="Y95" s="21" t="str">
        <f t="shared" si="87"/>
        <v>C2</v>
      </c>
      <c r="Z95" s="21" t="str">
        <f t="shared" si="88"/>
        <v/>
      </c>
      <c r="AA95" s="21" t="str">
        <f t="shared" si="89"/>
        <v/>
      </c>
      <c r="AB95" s="21" t="str">
        <f t="shared" si="90"/>
        <v>E_MISSING_LINK</v>
      </c>
      <c r="AC95" s="21" t="str">
        <f>IF(AQ95=1,"",MID(IF(BX95&lt;&gt;""," | "&amp;BX95&amp;": "&amp;SUBSTITUTE(IFERROR(INDEX(nMSG_Text,MATCH(BX95,nMSG_Code,0)),""),"[input]",BY95),"")&amp;IF(CI95=1," | W_TZ_UNKNOWN: "&amp;SUBSTITUTE(IFERROR(INDEX(nMSG_Text,MATCH("W_TZ_UNKNOWN",nMSG_Code,0)),""),"[input]",""),"")&amp;IF(CJ95=1," | W_SAME_DATE_ORDER_UNKNOWN: "&amp;SUBSTITUTE(IFERROR(INDEX(nMSG_Text,MATCH("W_SAME_DATE_ORDER_UNKNOWN",nMSG_Code,0)),""),"[input]",""),"")&amp;IF(CK95=1," | W_SEQUENCE_UNCERTAIN: "&amp;SUBSTITUTE(IFERROR(INDEX(nMSG_Text,MATCH("W_SEQUENCE_UNCERTAIN",nMSG_Code,0)),""),"[input]",""),"")&amp;IF(CL95=1," | W_ADMIN_SAME_DATE_AS_ONSET: "&amp;SUBSTITUTE(IFERROR(INDEX(nMSG_Text,MATCH("W_ADMIN_SAME_DATE_AS_ONSET",nMSG_Code,0)),""),"[input]",""),"")&amp;IF(CO95=1," | W_INTERVENTION_BEFORE_RECOVERY: "&amp;SUBSTITUTE(IFERROR(INDEX(nMSG_Text,MATCH("W_INTERVENTION_BEFORE_RECOVERY",nMSG_Code,0)),""),"[input]",""),"")&amp;IF(OR(CQ95="",CQ95="OVERLAP"),""," | "&amp;CQ95&amp;" (reported timing): "&amp;SUBSTITUTE(IFERROR(INDEX(nMSG_Text,MATCH(CQ95,nMSG_Code,0)),""),"[input]","numeric reported bounds and a reported unit"))&amp;IF(CM95=1," | I_TREATMENT_DAY_UNDEFINED: "&amp;SUBSTITUTE(IFERROR(INDEX(nMSG_Text,MATCH("I_TREATMENT_DAY_UNDEFINED",nMSG_Code,0)),""),"[input]",""),"")&amp;IF(CH95&lt;&gt;""," | "&amp;CH95&amp;" (constraint): "&amp;SUBSTITUTE(IFERROR(INDEX(nMSG_Text,MATCH(CH95,nMSG_Code,0)),""),"[input]","a source for the constraint"),""),4,9999))</f>
        <v>E_MISSING_LINK: Link this drug episode to this event before calculating an interval.</v>
      </c>
      <c r="AD95" s="21" t="str">
        <f t="shared" si="91"/>
        <v/>
      </c>
      <c r="AE95" s="21" t="str">
        <f t="shared" si="92"/>
        <v/>
      </c>
      <c r="AF95" s="21" t="str">
        <f t="shared" si="93"/>
        <v/>
      </c>
      <c r="AG95" s="21" t="str">
        <f t="shared" si="94"/>
        <v>EX3/START</v>
      </c>
      <c r="AH95" s="21" t="str">
        <f>IF(BJ95=0,"",INDEX(nTP_ISO,BJ95))</f>
        <v>2026-01-15</v>
      </c>
      <c r="AI95" s="21" t="str">
        <f>IF(BJ95=0,"",INDEX(nTP_Display,BJ95))</f>
        <v>15 January 2026</v>
      </c>
      <c r="AJ95" s="21" t="str">
        <f>IF(AV95=0,"",INDEX(nTP_ISO,AV95))</f>
        <v>2026-01-20</v>
      </c>
      <c r="AK95" s="21" t="str">
        <f>IF(AV95=0,"",INDEX(nTP_Display,AV95))</f>
        <v>20 January 2026</v>
      </c>
      <c r="AL95" s="21" t="str">
        <f>IF(AU95=0,"",INDEX(nLNK_Exposure_Episode_ID,AU95)&amp;"")</f>
        <v/>
      </c>
      <c r="AM95" s="21" t="str">
        <f>IF(AU95=0,"",INDEX(nLNK_Event_Episode_ID,AU95)&amp;"")</f>
        <v/>
      </c>
      <c r="AN95" s="21" t="str">
        <f t="shared" si="95"/>
        <v/>
      </c>
      <c r="AO95" s="21" t="str">
        <f t="shared" si="96"/>
        <v/>
      </c>
      <c r="AP95" s="21" t="str">
        <f t="shared" si="97"/>
        <v>CALC-SPEC 1.0</v>
      </c>
      <c r="AQ95" s="22">
        <f t="shared" si="98"/>
        <v>0</v>
      </c>
      <c r="AR95" s="21" t="str">
        <f t="shared" si="99"/>
        <v>VEC-V13|1</v>
      </c>
      <c r="AS95" s="21" t="str">
        <f t="shared" si="100"/>
        <v>VEC-V13|1|I-LINK</v>
      </c>
      <c r="AT95" s="22">
        <f>IF(AS95="",0,COUNTIF(nINT_Key,AS95))</f>
        <v>1</v>
      </c>
      <c r="AU95" s="22">
        <f>IF(D95="",0,IFERROR(MATCH(AR95&amp;"|"&amp;D95,nLNK_Key,0),0))</f>
        <v>0</v>
      </c>
      <c r="AV95" s="22">
        <f>IF(OR(AQ95=1,H95=""),0,IFERROR(MATCH(AR95&amp;"|"&amp;H95,nTP_Key,0),0))</f>
        <v>298</v>
      </c>
      <c r="AW95" s="21">
        <f>IF(AV95=0,0,INDEX(nTP_Dup,AV95))</f>
        <v>1</v>
      </c>
      <c r="AX95" s="21" t="str">
        <f>IF(AV95=0,"",INDEX(nTP_Record_Type,AV95))</f>
        <v>EVENT_ONSET</v>
      </c>
      <c r="AY95" s="21" t="str">
        <f>IF(AV95=0,"",INDEX(nTP_Precision,AV95))</f>
        <v>DATE</v>
      </c>
      <c r="AZ95" s="21" t="str">
        <f>IF(AV95=0,"",INDEX(nTP_Err,AV95))</f>
        <v/>
      </c>
      <c r="BA95" s="21">
        <f>IF(AV95=0,0,INDEX(nTP_HT,AV95))</f>
        <v>0</v>
      </c>
      <c r="BB95" s="21">
        <f>IF(AV95=0,0,INDEX(nTP_OK,AV95))</f>
        <v>0</v>
      </c>
      <c r="BC95" s="21" t="str">
        <f>IF(AV95=0,"",INDEX(nTP_Loc,AV95))</f>
        <v/>
      </c>
      <c r="BD95" s="21" t="str">
        <f>IF(AV95=0,"",INDEX(nTP_UTC,AV95))</f>
        <v/>
      </c>
      <c r="BE95" s="21">
        <f>IF(AV95=0,"",INDEX(nTP_Lo,AV95))</f>
        <v>46042</v>
      </c>
      <c r="BF95" s="21">
        <f>IF(AV95=0,"",INDEX(nTP_Hi,AV95))</f>
        <v>46042</v>
      </c>
      <c r="BG95" s="22">
        <f>IF(OR(AQ95=1,E95&lt;&gt;"LAST_DOSE_BEFORE_ONSET",AU95=0,AV95=0),0,IF(AZ95&lt;&gt;"",0,SUMPRODUCT(MAX((nADM_SelKey=AR95&amp;"|"&amp;AL95)*nADM_Valid*(nADM_A_HT*BA95*nADM_A_OK*BB95*(nADM_UTC_n&lt;=N(BD95))+nADM_A_HT*BA95*(1-nADM_A_OK*BB95)*(nADM_Loc_n&lt;=N(BC95))+(1-nADM_A_HT*BA95)*(nADM_Lo_n&lt;=N(BE95)))*nADM_Sort_n))))</f>
        <v>0</v>
      </c>
      <c r="BH95" s="22">
        <f>IF(BG95=0,0,MATCH(1,INDEX((nADM_SelKey=AR95&amp;"|"&amp;AL95)*nADM_Valid*(nADM_A_HT*BA95*nADM_A_OK*BB95*(nADM_UTC_n&lt;=N(BD95))+nADM_A_HT*BA95*(1-nADM_A_OK*BB95)*(nADM_Loc_n&lt;=N(BC95))+(1-nADM_A_HT*BA95)*(nADM_Lo_n&lt;=N(BE95)))*(nADM_Sort_n=BG95),0),0))</f>
        <v>0</v>
      </c>
      <c r="BI95" s="21" t="str">
        <f>IF(BH95=0,"",INDEX(nADM_Admin_ID,BH95)&amp;"")</f>
        <v/>
      </c>
      <c r="BJ95" s="22">
        <f>IF(OR(AQ95=1,AG95=""),0,IFERROR(MATCH(AR95&amp;"|"&amp;AG95,nTP_Key,0),0))</f>
        <v>60</v>
      </c>
      <c r="BK95" s="21">
        <f>IF(BJ95=0,0,INDEX(nTP_Dup,BJ95))</f>
        <v>1</v>
      </c>
      <c r="BL95" s="21" t="str">
        <f>IF(BJ95=0,"",INDEX(nTP_Record_Type,BJ95))</f>
        <v>EXPOSURE_START</v>
      </c>
      <c r="BM95" s="21" t="str">
        <f>IF(BJ95=0,"",INDEX(nTP_Precision,BJ95))</f>
        <v>DATE</v>
      </c>
      <c r="BN95" s="21" t="str">
        <f>IF(BJ95=0,"",INDEX(nTP_Err,BJ95))</f>
        <v/>
      </c>
      <c r="BO95" s="21">
        <f>IF(BJ95=0,0,INDEX(nTP_HT,BJ95))</f>
        <v>0</v>
      </c>
      <c r="BP95" s="21">
        <f>IF(BJ95=0,0,INDEX(nTP_OK,BJ95))</f>
        <v>0</v>
      </c>
      <c r="BQ95" s="21" t="str">
        <f>IF(BJ95=0,"",INDEX(nTP_Loc,BJ95))</f>
        <v/>
      </c>
      <c r="BR95" s="21" t="str">
        <f>IF(BJ95=0,"",INDEX(nTP_UTC,BJ95))</f>
        <v/>
      </c>
      <c r="BS95" s="21">
        <f>IF(BJ95=0,"",INDEX(nTP_Lo,BJ95))</f>
        <v>46037</v>
      </c>
      <c r="BT95" s="21">
        <f>IF(BJ95=0,"",INDEX(nTP_Hi,BJ95))</f>
        <v>46037</v>
      </c>
      <c r="BU95" s="22">
        <f>IF(OR(BJ95=0,AV95=0),0,SUMPRODUCT((nTP_Case_Key=AR95)*(nTP_Record_Type="MILESTONE:INTERVENTION")*(nTP_Err="")*(nTP_HT*BO95*BA95*(nTP_Loc_n&gt;=N(BQ95))*(nTP_Loc_n&lt;=N(BC95))+(1-nTP_HT*BO95*BA95)*(nTP_Lo_n&gt;=N(BS95))*(nTP_Hi_n&lt;=N(BF95))*(nTP_Lo_n&gt;0))))</f>
        <v>0</v>
      </c>
      <c r="BV95" s="21" t="str">
        <f t="shared" si="101"/>
        <v>E_MISSING_LINK</v>
      </c>
      <c r="BW95" s="21" t="str">
        <f t="shared" si="102"/>
        <v/>
      </c>
      <c r="BX95" s="21" t="str">
        <f t="shared" si="103"/>
        <v>E_MISSING_LINK</v>
      </c>
      <c r="BY95" s="21" t="str">
        <f t="shared" si="104"/>
        <v/>
      </c>
      <c r="BZ95" s="22">
        <f t="shared" si="105"/>
        <v>1</v>
      </c>
      <c r="CA95" s="21" t="str">
        <f t="shared" si="106"/>
        <v/>
      </c>
      <c r="CB95" s="21" t="str">
        <f t="shared" si="107"/>
        <v/>
      </c>
      <c r="CC95" s="21" t="str">
        <f t="shared" si="108"/>
        <v/>
      </c>
      <c r="CD95" s="21" t="str">
        <f t="shared" si="109"/>
        <v/>
      </c>
      <c r="CE95" s="22">
        <f t="shared" si="110"/>
        <v>0</v>
      </c>
      <c r="CF95" s="28" t="str">
        <f t="shared" si="111"/>
        <v/>
      </c>
      <c r="CG95" s="28" t="str">
        <f t="shared" si="112"/>
        <v/>
      </c>
      <c r="CH95" s="21" t="str">
        <f t="shared" si="113"/>
        <v/>
      </c>
      <c r="CI95" s="22">
        <f t="shared" si="114"/>
        <v>0</v>
      </c>
      <c r="CJ95" s="22">
        <f t="shared" si="115"/>
        <v>0</v>
      </c>
      <c r="CK95" s="22">
        <f t="shared" si="116"/>
        <v>0</v>
      </c>
      <c r="CL95" s="22">
        <f t="shared" si="117"/>
        <v>0</v>
      </c>
      <c r="CM95" s="22">
        <f t="shared" si="118"/>
        <v>0</v>
      </c>
      <c r="CN95" s="22">
        <f t="shared" si="119"/>
        <v>0</v>
      </c>
      <c r="CO95" s="22">
        <f t="shared" si="120"/>
        <v>0</v>
      </c>
      <c r="CP95" s="22">
        <f t="shared" si="121"/>
        <v>0</v>
      </c>
      <c r="CQ95" s="21" t="str">
        <f t="shared" si="122"/>
        <v/>
      </c>
    </row>
    <row r="96" spans="1:95" x14ac:dyDescent="0.2">
      <c r="A96" s="9" t="s">
        <v>1004</v>
      </c>
      <c r="B96" s="9" t="s">
        <v>331</v>
      </c>
      <c r="C96" s="11">
        <v>1</v>
      </c>
      <c r="D96" s="9" t="s">
        <v>801</v>
      </c>
      <c r="E96" s="16" t="s">
        <v>49</v>
      </c>
      <c r="F96" s="9"/>
      <c r="G96" s="9" t="s">
        <v>1003</v>
      </c>
      <c r="H96" s="9" t="s">
        <v>1005</v>
      </c>
      <c r="I96" s="16" t="s">
        <v>58</v>
      </c>
      <c r="J96" s="16"/>
      <c r="K96" s="9" t="s">
        <v>1019</v>
      </c>
      <c r="L96" s="16"/>
      <c r="M96" s="16"/>
      <c r="N96" s="16"/>
      <c r="O96" s="9"/>
      <c r="P96" s="14"/>
      <c r="Q96" s="14"/>
      <c r="R96" s="9"/>
      <c r="S96" s="9"/>
      <c r="T96" s="21" t="str">
        <f t="shared" si="82"/>
        <v>E_MISSING_INPUT: no result is shown</v>
      </c>
      <c r="U96" s="21" t="str">
        <f t="shared" si="83"/>
        <v/>
      </c>
      <c r="V96" s="21" t="str">
        <f t="shared" si="84"/>
        <v/>
      </c>
      <c r="W96" s="21" t="str">
        <f t="shared" si="85"/>
        <v/>
      </c>
      <c r="X96" s="21" t="str">
        <f t="shared" si="86"/>
        <v/>
      </c>
      <c r="Y96" s="21" t="str">
        <f t="shared" si="87"/>
        <v>C2</v>
      </c>
      <c r="Z96" s="21" t="str">
        <f t="shared" si="88"/>
        <v/>
      </c>
      <c r="AA96" s="21" t="str">
        <f t="shared" si="89"/>
        <v/>
      </c>
      <c r="AB96" s="21" t="str">
        <f t="shared" si="90"/>
        <v>E_MISSING_INPUT; I_APPROXIMATE_NOT_COMPARED</v>
      </c>
      <c r="AC96" s="21" t="str">
        <f>IF(AQ96=1,"",MID(IF(BX96&lt;&gt;""," | "&amp;BX96&amp;": "&amp;SUBSTITUTE(IFERROR(INDEX(nMSG_Text,MATCH(BX96,nMSG_Code,0)),""),"[input]",BY96),"")&amp;IF(CI96=1," | W_TZ_UNKNOWN: "&amp;SUBSTITUTE(IFERROR(INDEX(nMSG_Text,MATCH("W_TZ_UNKNOWN",nMSG_Code,0)),""),"[input]",""),"")&amp;IF(CJ96=1," | W_SAME_DATE_ORDER_UNKNOWN: "&amp;SUBSTITUTE(IFERROR(INDEX(nMSG_Text,MATCH("W_SAME_DATE_ORDER_UNKNOWN",nMSG_Code,0)),""),"[input]",""),"")&amp;IF(CK96=1," | W_SEQUENCE_UNCERTAIN: "&amp;SUBSTITUTE(IFERROR(INDEX(nMSG_Text,MATCH("W_SEQUENCE_UNCERTAIN",nMSG_Code,0)),""),"[input]",""),"")&amp;IF(CL96=1," | W_ADMIN_SAME_DATE_AS_ONSET: "&amp;SUBSTITUTE(IFERROR(INDEX(nMSG_Text,MATCH("W_ADMIN_SAME_DATE_AS_ONSET",nMSG_Code,0)),""),"[input]",""),"")&amp;IF(CO96=1," | W_INTERVENTION_BEFORE_RECOVERY: "&amp;SUBSTITUTE(IFERROR(INDEX(nMSG_Text,MATCH("W_INTERVENTION_BEFORE_RECOVERY",nMSG_Code,0)),""),"[input]",""),"")&amp;IF(OR(CQ96="",CQ96="OVERLAP"),""," | "&amp;CQ96&amp;" (reported timing): "&amp;SUBSTITUTE(IFERROR(INDEX(nMSG_Text,MATCH(CQ96,nMSG_Code,0)),""),"[input]","numeric reported bounds and a reported unit"))&amp;IF(CM96=1," | I_TREATMENT_DAY_UNDEFINED: "&amp;SUBSTITUTE(IFERROR(INDEX(nMSG_Text,MATCH("I_TREATMENT_DAY_UNDEFINED",nMSG_Code,0)),""),"[input]",""),"")&amp;IF(CH96&lt;&gt;""," | "&amp;CH96&amp;" (constraint): "&amp;SUBSTITUTE(IFERROR(INDEX(nMSG_Text,MATCH(CH96,nMSG_Code,0)),""),"[input]","a source for the constraint"),""),4,9999))</f>
        <v>E_MISSING_INPUT: This result needs the end-point record EV1/ONSET. It is left blank rather than estimated. | I_APPROXIMATE_NOT_COMPARED (reported timing): Approximate timing is kept as reported and not converted.</v>
      </c>
      <c r="AD96" s="21" t="str">
        <f t="shared" si="91"/>
        <v/>
      </c>
      <c r="AE96" s="21" t="str">
        <f t="shared" si="92"/>
        <v/>
      </c>
      <c r="AF96" s="21" t="str">
        <f t="shared" si="93"/>
        <v>Not compared. Reported: "about one month after starting"</v>
      </c>
      <c r="AG96" s="21" t="str">
        <f t="shared" si="94"/>
        <v>EX1/START</v>
      </c>
      <c r="AH96" s="21" t="str">
        <f>IF(BJ96=0,"",INDEX(nTP_ISO,BJ96))</f>
        <v/>
      </c>
      <c r="AI96" s="21" t="str">
        <f>IF(BJ96=0,"",INDEX(nTP_Display,BJ96))</f>
        <v/>
      </c>
      <c r="AJ96" s="21" t="str">
        <f>IF(AV96=0,"",INDEX(nTP_ISO,AV96))</f>
        <v/>
      </c>
      <c r="AK96" s="21" t="str">
        <f>IF(AV96=0,"",INDEX(nTP_Display,AV96))</f>
        <v/>
      </c>
      <c r="AL96" s="21" t="str">
        <f>IF(AU96=0,"",INDEX(nLNK_Exposure_Episode_ID,AU96)&amp;"")</f>
        <v>EX1</v>
      </c>
      <c r="AM96" s="21" t="str">
        <f>IF(AU96=0,"",INDEX(nLNK_Event_Episode_ID,AU96)&amp;"")</f>
        <v>EV1</v>
      </c>
      <c r="AN96" s="21" t="str">
        <f t="shared" si="95"/>
        <v/>
      </c>
      <c r="AO96" s="21" t="str">
        <f t="shared" si="96"/>
        <v/>
      </c>
      <c r="AP96" s="21" t="str">
        <f t="shared" si="97"/>
        <v>CALC-SPEC 1.0</v>
      </c>
      <c r="AQ96" s="22">
        <f t="shared" si="98"/>
        <v>0</v>
      </c>
      <c r="AR96" s="21" t="str">
        <f t="shared" si="99"/>
        <v>VEC-V15|1</v>
      </c>
      <c r="AS96" s="21" t="str">
        <f t="shared" si="100"/>
        <v>VEC-V15|1|I1</v>
      </c>
      <c r="AT96" s="22">
        <f>IF(AS96="",0,COUNTIF(nINT_Key,AS96))</f>
        <v>1</v>
      </c>
      <c r="AU96" s="22">
        <f>IF(D96="",0,IFERROR(MATCH(AR96&amp;"|"&amp;D96,nLNK_Key,0),0))</f>
        <v>43</v>
      </c>
      <c r="AV96" s="22">
        <f>IF(OR(AQ96=1,H96=""),0,IFERROR(MATCH(AR96&amp;"|"&amp;H96,nTP_Key,0),0))</f>
        <v>0</v>
      </c>
      <c r="AW96" s="21">
        <f>IF(AV96=0,0,INDEX(nTP_Dup,AV96))</f>
        <v>0</v>
      </c>
      <c r="AX96" s="21" t="str">
        <f>IF(AV96=0,"",INDEX(nTP_Record_Type,AV96))</f>
        <v/>
      </c>
      <c r="AY96" s="21" t="str">
        <f>IF(AV96=0,"",INDEX(nTP_Precision,AV96))</f>
        <v/>
      </c>
      <c r="AZ96" s="21" t="str">
        <f>IF(AV96=0,"",INDEX(nTP_Err,AV96))</f>
        <v/>
      </c>
      <c r="BA96" s="21">
        <f>IF(AV96=0,0,INDEX(nTP_HT,AV96))</f>
        <v>0</v>
      </c>
      <c r="BB96" s="21">
        <f>IF(AV96=0,0,INDEX(nTP_OK,AV96))</f>
        <v>0</v>
      </c>
      <c r="BC96" s="21" t="str">
        <f>IF(AV96=0,"",INDEX(nTP_Loc,AV96))</f>
        <v/>
      </c>
      <c r="BD96" s="21" t="str">
        <f>IF(AV96=0,"",INDEX(nTP_UTC,AV96))</f>
        <v/>
      </c>
      <c r="BE96" s="21" t="str">
        <f>IF(AV96=0,"",INDEX(nTP_Lo,AV96))</f>
        <v/>
      </c>
      <c r="BF96" s="21" t="str">
        <f>IF(AV96=0,"",INDEX(nTP_Hi,AV96))</f>
        <v/>
      </c>
      <c r="BG96" s="22">
        <f>IF(OR(AQ96=1,E96&lt;&gt;"LAST_DOSE_BEFORE_ONSET",AU96=0,AV96=0),0,IF(AZ96&lt;&gt;"",0,SUMPRODUCT(MAX((nADM_SelKey=AR96&amp;"|"&amp;AL96)*nADM_Valid*(nADM_A_HT*BA96*nADM_A_OK*BB96*(nADM_UTC_n&lt;=N(BD96))+nADM_A_HT*BA96*(1-nADM_A_OK*BB96)*(nADM_Loc_n&lt;=N(BC96))+(1-nADM_A_HT*BA96)*(nADM_Lo_n&lt;=N(BE96)))*nADM_Sort_n))))</f>
        <v>0</v>
      </c>
      <c r="BH96" s="22">
        <f>IF(BG96=0,0,MATCH(1,INDEX((nADM_SelKey=AR96&amp;"|"&amp;AL96)*nADM_Valid*(nADM_A_HT*BA96*nADM_A_OK*BB96*(nADM_UTC_n&lt;=N(BD96))+nADM_A_HT*BA96*(1-nADM_A_OK*BB96)*(nADM_Loc_n&lt;=N(BC96))+(1-nADM_A_HT*BA96)*(nADM_Lo_n&lt;=N(BE96)))*(nADM_Sort_n=BG96),0),0))</f>
        <v>0</v>
      </c>
      <c r="BI96" s="21" t="str">
        <f>IF(BH96=0,"",INDEX(nADM_Admin_ID,BH96)&amp;"")</f>
        <v/>
      </c>
      <c r="BJ96" s="22">
        <f>IF(OR(AQ96=1,AG96=""),0,IFERROR(MATCH(AR96&amp;"|"&amp;AG96,nTP_Key,0),0))</f>
        <v>0</v>
      </c>
      <c r="BK96" s="21">
        <f>IF(BJ96=0,0,INDEX(nTP_Dup,BJ96))</f>
        <v>0</v>
      </c>
      <c r="BL96" s="21" t="str">
        <f>IF(BJ96=0,"",INDEX(nTP_Record_Type,BJ96))</f>
        <v/>
      </c>
      <c r="BM96" s="21" t="str">
        <f>IF(BJ96=0,"",INDEX(nTP_Precision,BJ96))</f>
        <v/>
      </c>
      <c r="BN96" s="21" t="str">
        <f>IF(BJ96=0,"",INDEX(nTP_Err,BJ96))</f>
        <v/>
      </c>
      <c r="BO96" s="21">
        <f>IF(BJ96=0,0,INDEX(nTP_HT,BJ96))</f>
        <v>0</v>
      </c>
      <c r="BP96" s="21">
        <f>IF(BJ96=0,0,INDEX(nTP_OK,BJ96))</f>
        <v>0</v>
      </c>
      <c r="BQ96" s="21" t="str">
        <f>IF(BJ96=0,"",INDEX(nTP_Loc,BJ96))</f>
        <v/>
      </c>
      <c r="BR96" s="21" t="str">
        <f>IF(BJ96=0,"",INDEX(nTP_UTC,BJ96))</f>
        <v/>
      </c>
      <c r="BS96" s="21" t="str">
        <f>IF(BJ96=0,"",INDEX(nTP_Lo,BJ96))</f>
        <v/>
      </c>
      <c r="BT96" s="21" t="str">
        <f>IF(BJ96=0,"",INDEX(nTP_Hi,BJ96))</f>
        <v/>
      </c>
      <c r="BU96" s="22">
        <f>IF(OR(BJ96=0,AV96=0),0,SUMPRODUCT((nTP_Case_Key=AR96)*(nTP_Record_Type="MILESTONE:INTERVENTION")*(nTP_Err="")*(nTP_HT*BO96*BA96*(nTP_Loc_n&gt;=N(BQ96))*(nTP_Loc_n&lt;=N(BC96))+(1-nTP_HT*BO96*BA96)*(nTP_Lo_n&gt;=N(BS96))*(nTP_Hi_n&lt;=N(BF96))*(nTP_Lo_n&gt;0))))</f>
        <v>0</v>
      </c>
      <c r="BV96" s="21" t="str">
        <f t="shared" si="101"/>
        <v>E_MISSING_INPUT</v>
      </c>
      <c r="BW96" s="21" t="str">
        <f t="shared" si="102"/>
        <v>the end-point record EV1/ONSET</v>
      </c>
      <c r="BX96" s="21" t="str">
        <f t="shared" si="103"/>
        <v>E_MISSING_INPUT</v>
      </c>
      <c r="BY96" s="21" t="str">
        <f t="shared" si="104"/>
        <v>the end-point record EV1/ONSET</v>
      </c>
      <c r="BZ96" s="22">
        <f t="shared" si="105"/>
        <v>1</v>
      </c>
      <c r="CA96" s="21" t="str">
        <f t="shared" si="106"/>
        <v/>
      </c>
      <c r="CB96" s="21" t="str">
        <f t="shared" si="107"/>
        <v/>
      </c>
      <c r="CC96" s="21" t="str">
        <f t="shared" si="108"/>
        <v/>
      </c>
      <c r="CD96" s="21" t="str">
        <f t="shared" si="109"/>
        <v/>
      </c>
      <c r="CE96" s="22">
        <f t="shared" si="110"/>
        <v>0</v>
      </c>
      <c r="CF96" s="28" t="str">
        <f t="shared" si="111"/>
        <v/>
      </c>
      <c r="CG96" s="28" t="str">
        <f t="shared" si="112"/>
        <v/>
      </c>
      <c r="CH96" s="21" t="str">
        <f t="shared" si="113"/>
        <v/>
      </c>
      <c r="CI96" s="22">
        <f t="shared" si="114"/>
        <v>0</v>
      </c>
      <c r="CJ96" s="22">
        <f t="shared" si="115"/>
        <v>0</v>
      </c>
      <c r="CK96" s="22">
        <f t="shared" si="116"/>
        <v>0</v>
      </c>
      <c r="CL96" s="22">
        <f t="shared" si="117"/>
        <v>0</v>
      </c>
      <c r="CM96" s="22">
        <f t="shared" si="118"/>
        <v>0</v>
      </c>
      <c r="CN96" s="22">
        <f t="shared" si="119"/>
        <v>0</v>
      </c>
      <c r="CO96" s="22">
        <f t="shared" si="120"/>
        <v>0</v>
      </c>
      <c r="CP96" s="22">
        <f t="shared" si="121"/>
        <v>0</v>
      </c>
      <c r="CQ96" s="21" t="str">
        <f t="shared" si="122"/>
        <v>I_APPROXIMATE_NOT_COMPARED</v>
      </c>
    </row>
  </sheetData>
  <sheetProtection sheet="1" objects="1" scenarios="1" formatColumns="0" formatRows="0" autoFilter="0"/>
  <autoFilter ref="A4:CQ96" xr:uid="{648AE339-0FDC-4FDF-AC9A-06D50BA2C2AE}"/>
  <dataValidations count="7">
    <dataValidation type="whole" operator="greaterThanOrEqual" allowBlank="1" showInputMessage="1" showErrorMessage="1" sqref="C5:C44" xr:uid="{7DF1AD06-F739-4658-B1FA-C8E87E60D327}">
      <formula1>1</formula1>
    </dataValidation>
    <dataValidation type="list" allowBlank="1" showInputMessage="1" showErrorMessage="1" sqref="E5:E44" xr:uid="{3C840694-384F-4987-BDDF-45353959DB0D}">
      <formula1>nLIST_AnchorType</formula1>
    </dataValidation>
    <dataValidation type="list" allowBlank="1" showInputMessage="1" showErrorMessage="1" sqref="I5:I44" xr:uid="{94AFE493-3E5B-4187-8487-1091A77437D0}">
      <formula1>nLIST_Mode</formula1>
    </dataValidation>
    <dataValidation type="list" allowBlank="1" showInputMessage="1" showErrorMessage="1" sqref="J5:J44" xr:uid="{8958D139-6472-438B-A5BF-1765F5833486}">
      <formula1>nLIST_TD</formula1>
    </dataValidation>
    <dataValidation type="decimal" allowBlank="1" showInputMessage="1" showErrorMessage="1" sqref="L5:L44 M5:M44" xr:uid="{3E30A198-B724-419A-B0DE-E2B6A936997D}">
      <formula1>-1000000000000</formula1>
      <formula2>1000000000000</formula2>
    </dataValidation>
    <dataValidation type="list" allowBlank="1" showInputMessage="1" showErrorMessage="1" sqref="N5:N44" xr:uid="{3CEC0001-846F-4081-9A2C-08EAAFABF7A9}">
      <formula1>nLIST_ReportedUnit</formula1>
    </dataValidation>
    <dataValidation type="date" allowBlank="1" showInputMessage="1" showErrorMessage="1" sqref="P5:P44 Q5:Q44" xr:uid="{8051BD9B-41F4-4DC9-8EB2-350AFA7D7E70}">
      <formula1>1</formula1>
      <formula2>2958465</formula2>
    </dataValidation>
  </dataValidation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2A2261-8040-47B5-A7D0-8BFCB13C01DE}">
  <dimension ref="A1:P45"/>
  <sheetViews>
    <sheetView zoomScale="90" zoomScaleNormal="90" workbookViewId="0">
      <pane xSplit="1" ySplit="4" topLeftCell="B5" activePane="bottomRight" state="frozenSplit"/>
      <selection pane="topRight" activeCell="B1" sqref="B1"/>
      <selection pane="bottomLeft" activeCell="A5" sqref="A5"/>
      <selection pane="bottomRight"/>
    </sheetView>
  </sheetViews>
  <sheetFormatPr defaultRowHeight="12.75" x14ac:dyDescent="0.2"/>
  <cols>
    <col min="1" max="1" width="12.7109375" style="1" customWidth="1"/>
    <col min="2" max="2" width="10.7109375" style="1" customWidth="1"/>
    <col min="3" max="3" width="14.7109375" style="1" customWidth="1"/>
    <col min="4" max="4" width="16.7109375" style="1" customWidth="1"/>
    <col min="5" max="5" width="11.7109375" style="1" customWidth="1"/>
    <col min="6" max="6" width="10.7109375" style="1" customWidth="1"/>
    <col min="7" max="7" width="22.7109375" style="1" customWidth="1"/>
    <col min="8" max="9" width="14.7109375" style="1" customWidth="1"/>
    <col min="10" max="10" width="8.7109375" style="1" customWidth="1"/>
    <col min="11" max="11" width="50.7109375" style="1" customWidth="1"/>
    <col min="12" max="12" width="22.7109375" style="1" customWidth="1"/>
    <col min="13" max="13" width="11.7109375" style="1" customWidth="1"/>
    <col min="14" max="15" width="26.7109375" style="1" customWidth="1"/>
    <col min="16" max="16" width="30.7109375" style="1" customWidth="1"/>
    <col min="17" max="16384" width="9.140625" style="1"/>
  </cols>
  <sheetData>
    <row r="1" spans="1:16" ht="17.25" x14ac:dyDescent="0.3">
      <c r="A1" s="6" t="s">
        <v>1302</v>
      </c>
    </row>
    <row r="2" spans="1:16" x14ac:dyDescent="0.2">
      <c r="A2" s="7" t="s">
        <v>1303</v>
      </c>
    </row>
    <row r="3" spans="1:16" x14ac:dyDescent="0.2">
      <c r="P3" s="2" t="s">
        <v>1318</v>
      </c>
    </row>
    <row r="4" spans="1:16" ht="66" customHeight="1" x14ac:dyDescent="0.2">
      <c r="A4" s="8" t="s">
        <v>1304</v>
      </c>
      <c r="B4" s="8" t="s">
        <v>1305</v>
      </c>
      <c r="C4" s="8" t="s">
        <v>361</v>
      </c>
      <c r="D4" s="8" t="s">
        <v>1306</v>
      </c>
      <c r="E4" s="8" t="s">
        <v>1307</v>
      </c>
      <c r="F4" s="8" t="s">
        <v>1308</v>
      </c>
      <c r="G4" s="8" t="s">
        <v>1309</v>
      </c>
      <c r="H4" s="8" t="s">
        <v>1310</v>
      </c>
      <c r="I4" s="8" t="s">
        <v>1311</v>
      </c>
      <c r="J4" s="8" t="s">
        <v>1312</v>
      </c>
      <c r="K4" s="8" t="s">
        <v>1313</v>
      </c>
      <c r="L4" s="8" t="s">
        <v>1314</v>
      </c>
      <c r="M4" s="8" t="s">
        <v>1315</v>
      </c>
      <c r="N4" s="8" t="s">
        <v>1316</v>
      </c>
      <c r="O4" s="8" t="s">
        <v>1317</v>
      </c>
      <c r="P4" s="19" t="s">
        <v>1319</v>
      </c>
    </row>
    <row r="5" spans="1:16" x14ac:dyDescent="0.2">
      <c r="A5" s="10"/>
      <c r="B5" s="10"/>
      <c r="C5" s="10"/>
      <c r="D5" s="10"/>
      <c r="E5" s="17"/>
      <c r="F5" s="10"/>
      <c r="G5" s="10"/>
      <c r="H5" s="10"/>
      <c r="I5" s="15"/>
      <c r="J5" s="10"/>
      <c r="K5" s="10"/>
      <c r="L5" s="17"/>
      <c r="M5" s="17"/>
      <c r="N5" s="10"/>
      <c r="O5" s="10"/>
      <c r="P5" s="21" t="str">
        <f t="shared" ref="P5:P34" si="0">IF(K5="","",IF(OR(D5="",G5="",J5=""),"Incomplete: document, version and section are needed","Document, version and section recorded"))</f>
        <v/>
      </c>
    </row>
    <row r="6" spans="1:16" x14ac:dyDescent="0.2">
      <c r="A6" s="10"/>
      <c r="B6" s="10"/>
      <c r="C6" s="10"/>
      <c r="D6" s="10"/>
      <c r="E6" s="17"/>
      <c r="F6" s="10"/>
      <c r="G6" s="10"/>
      <c r="H6" s="10"/>
      <c r="I6" s="15"/>
      <c r="J6" s="10"/>
      <c r="K6" s="10"/>
      <c r="L6" s="17"/>
      <c r="M6" s="17"/>
      <c r="N6" s="10"/>
      <c r="O6" s="10"/>
      <c r="P6" s="21" t="str">
        <f t="shared" si="0"/>
        <v/>
      </c>
    </row>
    <row r="7" spans="1:16" x14ac:dyDescent="0.2">
      <c r="A7" s="10"/>
      <c r="B7" s="10"/>
      <c r="C7" s="10"/>
      <c r="D7" s="10"/>
      <c r="E7" s="17"/>
      <c r="F7" s="10"/>
      <c r="G7" s="10"/>
      <c r="H7" s="10"/>
      <c r="I7" s="15"/>
      <c r="J7" s="10"/>
      <c r="K7" s="10"/>
      <c r="L7" s="17"/>
      <c r="M7" s="17"/>
      <c r="N7" s="10"/>
      <c r="O7" s="10"/>
      <c r="P7" s="21" t="str">
        <f t="shared" si="0"/>
        <v/>
      </c>
    </row>
    <row r="8" spans="1:16" x14ac:dyDescent="0.2">
      <c r="A8" s="10"/>
      <c r="B8" s="10"/>
      <c r="C8" s="10"/>
      <c r="D8" s="10"/>
      <c r="E8" s="17"/>
      <c r="F8" s="10"/>
      <c r="G8" s="10"/>
      <c r="H8" s="10"/>
      <c r="I8" s="15"/>
      <c r="J8" s="10"/>
      <c r="K8" s="10"/>
      <c r="L8" s="17"/>
      <c r="M8" s="17"/>
      <c r="N8" s="10"/>
      <c r="O8" s="10"/>
      <c r="P8" s="21" t="str">
        <f t="shared" si="0"/>
        <v/>
      </c>
    </row>
    <row r="9" spans="1:16" x14ac:dyDescent="0.2">
      <c r="A9" s="10"/>
      <c r="B9" s="10"/>
      <c r="C9" s="10"/>
      <c r="D9" s="10"/>
      <c r="E9" s="17"/>
      <c r="F9" s="10"/>
      <c r="G9" s="10"/>
      <c r="H9" s="10"/>
      <c r="I9" s="15"/>
      <c r="J9" s="10"/>
      <c r="K9" s="10"/>
      <c r="L9" s="17"/>
      <c r="M9" s="17"/>
      <c r="N9" s="10"/>
      <c r="O9" s="10"/>
      <c r="P9" s="21" t="str">
        <f t="shared" si="0"/>
        <v/>
      </c>
    </row>
    <row r="10" spans="1:16" x14ac:dyDescent="0.2">
      <c r="A10" s="10"/>
      <c r="B10" s="10"/>
      <c r="C10" s="10"/>
      <c r="D10" s="10"/>
      <c r="E10" s="17"/>
      <c r="F10" s="10"/>
      <c r="G10" s="10"/>
      <c r="H10" s="10"/>
      <c r="I10" s="15"/>
      <c r="J10" s="10"/>
      <c r="K10" s="10"/>
      <c r="L10" s="17"/>
      <c r="M10" s="17"/>
      <c r="N10" s="10"/>
      <c r="O10" s="10"/>
      <c r="P10" s="21" t="str">
        <f t="shared" si="0"/>
        <v/>
      </c>
    </row>
    <row r="11" spans="1:16" x14ac:dyDescent="0.2">
      <c r="A11" s="10"/>
      <c r="B11" s="10"/>
      <c r="C11" s="10"/>
      <c r="D11" s="10"/>
      <c r="E11" s="17"/>
      <c r="F11" s="10"/>
      <c r="G11" s="10"/>
      <c r="H11" s="10"/>
      <c r="I11" s="15"/>
      <c r="J11" s="10"/>
      <c r="K11" s="10"/>
      <c r="L11" s="17"/>
      <c r="M11" s="17"/>
      <c r="N11" s="10"/>
      <c r="O11" s="10"/>
      <c r="P11" s="21" t="str">
        <f t="shared" si="0"/>
        <v/>
      </c>
    </row>
    <row r="12" spans="1:16" x14ac:dyDescent="0.2">
      <c r="A12" s="10"/>
      <c r="B12" s="10"/>
      <c r="C12" s="10"/>
      <c r="D12" s="10"/>
      <c r="E12" s="17"/>
      <c r="F12" s="10"/>
      <c r="G12" s="10"/>
      <c r="H12" s="10"/>
      <c r="I12" s="15"/>
      <c r="J12" s="10"/>
      <c r="K12" s="10"/>
      <c r="L12" s="17"/>
      <c r="M12" s="17"/>
      <c r="N12" s="10"/>
      <c r="O12" s="10"/>
      <c r="P12" s="21" t="str">
        <f t="shared" si="0"/>
        <v/>
      </c>
    </row>
    <row r="13" spans="1:16" x14ac:dyDescent="0.2">
      <c r="A13" s="10"/>
      <c r="B13" s="10"/>
      <c r="C13" s="10"/>
      <c r="D13" s="10"/>
      <c r="E13" s="17"/>
      <c r="F13" s="10"/>
      <c r="G13" s="10"/>
      <c r="H13" s="10"/>
      <c r="I13" s="15"/>
      <c r="J13" s="10"/>
      <c r="K13" s="10"/>
      <c r="L13" s="17"/>
      <c r="M13" s="17"/>
      <c r="N13" s="10"/>
      <c r="O13" s="10"/>
      <c r="P13" s="21" t="str">
        <f t="shared" si="0"/>
        <v/>
      </c>
    </row>
    <row r="14" spans="1:16" x14ac:dyDescent="0.2">
      <c r="A14" s="10"/>
      <c r="B14" s="10"/>
      <c r="C14" s="10"/>
      <c r="D14" s="10"/>
      <c r="E14" s="17"/>
      <c r="F14" s="10"/>
      <c r="G14" s="10"/>
      <c r="H14" s="10"/>
      <c r="I14" s="15"/>
      <c r="J14" s="10"/>
      <c r="K14" s="10"/>
      <c r="L14" s="17"/>
      <c r="M14" s="17"/>
      <c r="N14" s="10"/>
      <c r="O14" s="10"/>
      <c r="P14" s="21" t="str">
        <f t="shared" si="0"/>
        <v/>
      </c>
    </row>
    <row r="15" spans="1:16" x14ac:dyDescent="0.2">
      <c r="A15" s="10"/>
      <c r="B15" s="10"/>
      <c r="C15" s="10"/>
      <c r="D15" s="10"/>
      <c r="E15" s="17"/>
      <c r="F15" s="10"/>
      <c r="G15" s="10"/>
      <c r="H15" s="10"/>
      <c r="I15" s="15"/>
      <c r="J15" s="10"/>
      <c r="K15" s="10"/>
      <c r="L15" s="17"/>
      <c r="M15" s="17"/>
      <c r="N15" s="10"/>
      <c r="O15" s="10"/>
      <c r="P15" s="21" t="str">
        <f t="shared" si="0"/>
        <v/>
      </c>
    </row>
    <row r="16" spans="1:16" x14ac:dyDescent="0.2">
      <c r="A16" s="10"/>
      <c r="B16" s="10"/>
      <c r="C16" s="10"/>
      <c r="D16" s="10"/>
      <c r="E16" s="17"/>
      <c r="F16" s="10"/>
      <c r="G16" s="10"/>
      <c r="H16" s="10"/>
      <c r="I16" s="15"/>
      <c r="J16" s="10"/>
      <c r="K16" s="10"/>
      <c r="L16" s="17"/>
      <c r="M16" s="17"/>
      <c r="N16" s="10"/>
      <c r="O16" s="10"/>
      <c r="P16" s="21" t="str">
        <f t="shared" si="0"/>
        <v/>
      </c>
    </row>
    <row r="17" spans="1:16" x14ac:dyDescent="0.2">
      <c r="A17" s="10"/>
      <c r="B17" s="10"/>
      <c r="C17" s="10"/>
      <c r="D17" s="10"/>
      <c r="E17" s="17"/>
      <c r="F17" s="10"/>
      <c r="G17" s="10"/>
      <c r="H17" s="10"/>
      <c r="I17" s="15"/>
      <c r="J17" s="10"/>
      <c r="K17" s="10"/>
      <c r="L17" s="17"/>
      <c r="M17" s="17"/>
      <c r="N17" s="10"/>
      <c r="O17" s="10"/>
      <c r="P17" s="21" t="str">
        <f t="shared" si="0"/>
        <v/>
      </c>
    </row>
    <row r="18" spans="1:16" x14ac:dyDescent="0.2">
      <c r="A18" s="10"/>
      <c r="B18" s="10"/>
      <c r="C18" s="10"/>
      <c r="D18" s="10"/>
      <c r="E18" s="17"/>
      <c r="F18" s="10"/>
      <c r="G18" s="10"/>
      <c r="H18" s="10"/>
      <c r="I18" s="15"/>
      <c r="J18" s="10"/>
      <c r="K18" s="10"/>
      <c r="L18" s="17"/>
      <c r="M18" s="17"/>
      <c r="N18" s="10"/>
      <c r="O18" s="10"/>
      <c r="P18" s="21" t="str">
        <f t="shared" si="0"/>
        <v/>
      </c>
    </row>
    <row r="19" spans="1:16" x14ac:dyDescent="0.2">
      <c r="A19" s="10"/>
      <c r="B19" s="10"/>
      <c r="C19" s="10"/>
      <c r="D19" s="10"/>
      <c r="E19" s="17"/>
      <c r="F19" s="10"/>
      <c r="G19" s="10"/>
      <c r="H19" s="10"/>
      <c r="I19" s="15"/>
      <c r="J19" s="10"/>
      <c r="K19" s="10"/>
      <c r="L19" s="17"/>
      <c r="M19" s="17"/>
      <c r="N19" s="10"/>
      <c r="O19" s="10"/>
      <c r="P19" s="21" t="str">
        <f t="shared" si="0"/>
        <v/>
      </c>
    </row>
    <row r="20" spans="1:16" x14ac:dyDescent="0.2">
      <c r="A20" s="10"/>
      <c r="B20" s="10"/>
      <c r="C20" s="10"/>
      <c r="D20" s="10"/>
      <c r="E20" s="17"/>
      <c r="F20" s="10"/>
      <c r="G20" s="10"/>
      <c r="H20" s="10"/>
      <c r="I20" s="15"/>
      <c r="J20" s="10"/>
      <c r="K20" s="10"/>
      <c r="L20" s="17"/>
      <c r="M20" s="17"/>
      <c r="N20" s="10"/>
      <c r="O20" s="10"/>
      <c r="P20" s="21" t="str">
        <f t="shared" si="0"/>
        <v/>
      </c>
    </row>
    <row r="21" spans="1:16" x14ac:dyDescent="0.2">
      <c r="A21" s="10"/>
      <c r="B21" s="10"/>
      <c r="C21" s="10"/>
      <c r="D21" s="10"/>
      <c r="E21" s="17"/>
      <c r="F21" s="10"/>
      <c r="G21" s="10"/>
      <c r="H21" s="10"/>
      <c r="I21" s="15"/>
      <c r="J21" s="10"/>
      <c r="K21" s="10"/>
      <c r="L21" s="17"/>
      <c r="M21" s="17"/>
      <c r="N21" s="10"/>
      <c r="O21" s="10"/>
      <c r="P21" s="21" t="str">
        <f t="shared" si="0"/>
        <v/>
      </c>
    </row>
    <row r="22" spans="1:16" x14ac:dyDescent="0.2">
      <c r="A22" s="10"/>
      <c r="B22" s="10"/>
      <c r="C22" s="10"/>
      <c r="D22" s="10"/>
      <c r="E22" s="17"/>
      <c r="F22" s="10"/>
      <c r="G22" s="10"/>
      <c r="H22" s="10"/>
      <c r="I22" s="15"/>
      <c r="J22" s="10"/>
      <c r="K22" s="10"/>
      <c r="L22" s="17"/>
      <c r="M22" s="17"/>
      <c r="N22" s="10"/>
      <c r="O22" s="10"/>
      <c r="P22" s="21" t="str">
        <f t="shared" si="0"/>
        <v/>
      </c>
    </row>
    <row r="23" spans="1:16" x14ac:dyDescent="0.2">
      <c r="A23" s="10"/>
      <c r="B23" s="10"/>
      <c r="C23" s="10"/>
      <c r="D23" s="10"/>
      <c r="E23" s="17"/>
      <c r="F23" s="10"/>
      <c r="G23" s="10"/>
      <c r="H23" s="10"/>
      <c r="I23" s="15"/>
      <c r="J23" s="10"/>
      <c r="K23" s="10"/>
      <c r="L23" s="17"/>
      <c r="M23" s="17"/>
      <c r="N23" s="10"/>
      <c r="O23" s="10"/>
      <c r="P23" s="21" t="str">
        <f t="shared" si="0"/>
        <v/>
      </c>
    </row>
    <row r="24" spans="1:16" x14ac:dyDescent="0.2">
      <c r="A24" s="10"/>
      <c r="B24" s="10"/>
      <c r="C24" s="10"/>
      <c r="D24" s="10"/>
      <c r="E24" s="17"/>
      <c r="F24" s="10"/>
      <c r="G24" s="10"/>
      <c r="H24" s="10"/>
      <c r="I24" s="15"/>
      <c r="J24" s="10"/>
      <c r="K24" s="10"/>
      <c r="L24" s="17"/>
      <c r="M24" s="17"/>
      <c r="N24" s="10"/>
      <c r="O24" s="10"/>
      <c r="P24" s="21" t="str">
        <f t="shared" si="0"/>
        <v/>
      </c>
    </row>
    <row r="25" spans="1:16" x14ac:dyDescent="0.2">
      <c r="A25" s="10"/>
      <c r="B25" s="10"/>
      <c r="C25" s="10"/>
      <c r="D25" s="10"/>
      <c r="E25" s="17"/>
      <c r="F25" s="10"/>
      <c r="G25" s="10"/>
      <c r="H25" s="10"/>
      <c r="I25" s="15"/>
      <c r="J25" s="10"/>
      <c r="K25" s="10"/>
      <c r="L25" s="17"/>
      <c r="M25" s="17"/>
      <c r="N25" s="10"/>
      <c r="O25" s="10"/>
      <c r="P25" s="21" t="str">
        <f t="shared" si="0"/>
        <v/>
      </c>
    </row>
    <row r="26" spans="1:16" x14ac:dyDescent="0.2">
      <c r="A26" s="10"/>
      <c r="B26" s="10"/>
      <c r="C26" s="10"/>
      <c r="D26" s="10"/>
      <c r="E26" s="17"/>
      <c r="F26" s="10"/>
      <c r="G26" s="10"/>
      <c r="H26" s="10"/>
      <c r="I26" s="15"/>
      <c r="J26" s="10"/>
      <c r="K26" s="10"/>
      <c r="L26" s="17"/>
      <c r="M26" s="17"/>
      <c r="N26" s="10"/>
      <c r="O26" s="10"/>
      <c r="P26" s="21" t="str">
        <f t="shared" si="0"/>
        <v/>
      </c>
    </row>
    <row r="27" spans="1:16" x14ac:dyDescent="0.2">
      <c r="A27" s="10"/>
      <c r="B27" s="10"/>
      <c r="C27" s="10"/>
      <c r="D27" s="10"/>
      <c r="E27" s="17"/>
      <c r="F27" s="10"/>
      <c r="G27" s="10"/>
      <c r="H27" s="10"/>
      <c r="I27" s="15"/>
      <c r="J27" s="10"/>
      <c r="K27" s="10"/>
      <c r="L27" s="17"/>
      <c r="M27" s="17"/>
      <c r="N27" s="10"/>
      <c r="O27" s="10"/>
      <c r="P27" s="21" t="str">
        <f t="shared" si="0"/>
        <v/>
      </c>
    </row>
    <row r="28" spans="1:16" x14ac:dyDescent="0.2">
      <c r="A28" s="10"/>
      <c r="B28" s="10"/>
      <c r="C28" s="10"/>
      <c r="D28" s="10"/>
      <c r="E28" s="17"/>
      <c r="F28" s="10"/>
      <c r="G28" s="10"/>
      <c r="H28" s="10"/>
      <c r="I28" s="15"/>
      <c r="J28" s="10"/>
      <c r="K28" s="10"/>
      <c r="L28" s="17"/>
      <c r="M28" s="17"/>
      <c r="N28" s="10"/>
      <c r="O28" s="10"/>
      <c r="P28" s="21" t="str">
        <f t="shared" si="0"/>
        <v/>
      </c>
    </row>
    <row r="29" spans="1:16" x14ac:dyDescent="0.2">
      <c r="A29" s="10"/>
      <c r="B29" s="10"/>
      <c r="C29" s="10"/>
      <c r="D29" s="10"/>
      <c r="E29" s="17"/>
      <c r="F29" s="10"/>
      <c r="G29" s="10"/>
      <c r="H29" s="10"/>
      <c r="I29" s="15"/>
      <c r="J29" s="10"/>
      <c r="K29" s="10"/>
      <c r="L29" s="17"/>
      <c r="M29" s="17"/>
      <c r="N29" s="10"/>
      <c r="O29" s="10"/>
      <c r="P29" s="21" t="str">
        <f t="shared" si="0"/>
        <v/>
      </c>
    </row>
    <row r="30" spans="1:16" x14ac:dyDescent="0.2">
      <c r="A30" s="10"/>
      <c r="B30" s="10"/>
      <c r="C30" s="10"/>
      <c r="D30" s="10"/>
      <c r="E30" s="17"/>
      <c r="F30" s="10"/>
      <c r="G30" s="10"/>
      <c r="H30" s="10"/>
      <c r="I30" s="15"/>
      <c r="J30" s="10"/>
      <c r="K30" s="10"/>
      <c r="L30" s="17"/>
      <c r="M30" s="17"/>
      <c r="N30" s="10"/>
      <c r="O30" s="10"/>
      <c r="P30" s="21" t="str">
        <f t="shared" si="0"/>
        <v/>
      </c>
    </row>
    <row r="31" spans="1:16" x14ac:dyDescent="0.2">
      <c r="A31" s="10"/>
      <c r="B31" s="10"/>
      <c r="C31" s="10"/>
      <c r="D31" s="10"/>
      <c r="E31" s="17"/>
      <c r="F31" s="10"/>
      <c r="G31" s="10"/>
      <c r="H31" s="10"/>
      <c r="I31" s="15"/>
      <c r="J31" s="10"/>
      <c r="K31" s="10"/>
      <c r="L31" s="17"/>
      <c r="M31" s="17"/>
      <c r="N31" s="10"/>
      <c r="O31" s="10"/>
      <c r="P31" s="21" t="str">
        <f t="shared" si="0"/>
        <v/>
      </c>
    </row>
    <row r="32" spans="1:16" x14ac:dyDescent="0.2">
      <c r="A32" s="10"/>
      <c r="B32" s="10"/>
      <c r="C32" s="10"/>
      <c r="D32" s="10"/>
      <c r="E32" s="17"/>
      <c r="F32" s="10"/>
      <c r="G32" s="10"/>
      <c r="H32" s="10"/>
      <c r="I32" s="15"/>
      <c r="J32" s="10"/>
      <c r="K32" s="10"/>
      <c r="L32" s="17"/>
      <c r="M32" s="17"/>
      <c r="N32" s="10"/>
      <c r="O32" s="10"/>
      <c r="P32" s="21" t="str">
        <f t="shared" si="0"/>
        <v/>
      </c>
    </row>
    <row r="33" spans="1:16" x14ac:dyDescent="0.2">
      <c r="A33" s="10"/>
      <c r="B33" s="10"/>
      <c r="C33" s="10"/>
      <c r="D33" s="10"/>
      <c r="E33" s="17"/>
      <c r="F33" s="10"/>
      <c r="G33" s="10"/>
      <c r="H33" s="10"/>
      <c r="I33" s="15"/>
      <c r="J33" s="10"/>
      <c r="K33" s="10"/>
      <c r="L33" s="17"/>
      <c r="M33" s="17"/>
      <c r="N33" s="10"/>
      <c r="O33" s="10"/>
      <c r="P33" s="21" t="str">
        <f t="shared" si="0"/>
        <v/>
      </c>
    </row>
    <row r="34" spans="1:16" x14ac:dyDescent="0.2">
      <c r="A34" s="10"/>
      <c r="B34" s="10"/>
      <c r="C34" s="10"/>
      <c r="D34" s="10"/>
      <c r="E34" s="17"/>
      <c r="F34" s="10"/>
      <c r="G34" s="10"/>
      <c r="H34" s="10"/>
      <c r="I34" s="15"/>
      <c r="J34" s="10"/>
      <c r="K34" s="10"/>
      <c r="L34" s="17"/>
      <c r="M34" s="17"/>
      <c r="N34" s="10"/>
      <c r="O34" s="10"/>
      <c r="P34" s="21" t="str">
        <f t="shared" si="0"/>
        <v/>
      </c>
    </row>
    <row r="35" spans="1:16" x14ac:dyDescent="0.2">
      <c r="A35" s="24" t="s">
        <v>288</v>
      </c>
      <c r="B35" s="23"/>
      <c r="C35" s="23"/>
      <c r="D35" s="23"/>
      <c r="E35" s="23"/>
      <c r="F35" s="23"/>
      <c r="G35" s="23"/>
      <c r="H35" s="23"/>
      <c r="I35" s="23"/>
      <c r="J35" s="23"/>
      <c r="K35" s="23"/>
      <c r="L35" s="23"/>
      <c r="M35" s="23"/>
      <c r="N35" s="23"/>
      <c r="O35" s="23"/>
      <c r="P35" s="23"/>
    </row>
    <row r="36" spans="1:16" x14ac:dyDescent="0.2">
      <c r="A36" s="9" t="s">
        <v>1322</v>
      </c>
      <c r="B36" s="9" t="s">
        <v>295</v>
      </c>
      <c r="C36" s="9" t="s">
        <v>1326</v>
      </c>
      <c r="D36" s="9" t="s">
        <v>1327</v>
      </c>
      <c r="E36" s="16" t="s">
        <v>143</v>
      </c>
      <c r="F36" s="9" t="s">
        <v>1323</v>
      </c>
      <c r="G36" s="9" t="s">
        <v>1325</v>
      </c>
      <c r="H36" s="9" t="s">
        <v>1320</v>
      </c>
      <c r="I36" s="14">
        <v>46315</v>
      </c>
      <c r="J36" s="9" t="s">
        <v>1328</v>
      </c>
      <c r="K36" s="9" t="s">
        <v>1324</v>
      </c>
      <c r="L36" s="16" t="s">
        <v>141</v>
      </c>
      <c r="M36" s="16" t="s">
        <v>84</v>
      </c>
      <c r="N36" s="9"/>
      <c r="O36" s="9" t="s">
        <v>1321</v>
      </c>
      <c r="P36" s="21" t="str">
        <f t="shared" ref="P36:P45" si="1">IF(K36="","",IF(OR(D36="",G36="",J36=""),"Incomplete: document, version and section are needed","Document, version and section recorded"))</f>
        <v>Document, version and section recorded</v>
      </c>
    </row>
    <row r="37" spans="1:16" x14ac:dyDescent="0.2">
      <c r="A37" s="9" t="s">
        <v>1329</v>
      </c>
      <c r="B37" s="9" t="s">
        <v>295</v>
      </c>
      <c r="C37" s="9" t="s">
        <v>1326</v>
      </c>
      <c r="D37" s="9" t="s">
        <v>1327</v>
      </c>
      <c r="E37" s="16" t="s">
        <v>143</v>
      </c>
      <c r="F37" s="9" t="s">
        <v>1323</v>
      </c>
      <c r="G37" s="9" t="s">
        <v>1325</v>
      </c>
      <c r="H37" s="9" t="s">
        <v>1320</v>
      </c>
      <c r="I37" s="14">
        <v>46315</v>
      </c>
      <c r="J37" s="9" t="s">
        <v>1331</v>
      </c>
      <c r="K37" s="9" t="s">
        <v>1330</v>
      </c>
      <c r="L37" s="16" t="s">
        <v>141</v>
      </c>
      <c r="M37" s="16" t="s">
        <v>84</v>
      </c>
      <c r="N37" s="9"/>
      <c r="O37" s="9" t="s">
        <v>1321</v>
      </c>
      <c r="P37" s="21" t="str">
        <f t="shared" si="1"/>
        <v>Document, version and section recorded</v>
      </c>
    </row>
    <row r="38" spans="1:16" x14ac:dyDescent="0.2">
      <c r="A38" s="9" t="s">
        <v>1333</v>
      </c>
      <c r="B38" s="9" t="s">
        <v>295</v>
      </c>
      <c r="C38" s="9" t="s">
        <v>1326</v>
      </c>
      <c r="D38" s="9" t="s">
        <v>1327</v>
      </c>
      <c r="E38" s="16" t="s">
        <v>143</v>
      </c>
      <c r="F38" s="9" t="s">
        <v>1323</v>
      </c>
      <c r="G38" s="9" t="s">
        <v>1325</v>
      </c>
      <c r="H38" s="9" t="s">
        <v>1320</v>
      </c>
      <c r="I38" s="14">
        <v>46315</v>
      </c>
      <c r="J38" s="9" t="s">
        <v>1335</v>
      </c>
      <c r="K38" s="9" t="s">
        <v>1334</v>
      </c>
      <c r="L38" s="16" t="s">
        <v>141</v>
      </c>
      <c r="M38" s="16" t="s">
        <v>84</v>
      </c>
      <c r="N38" s="9"/>
      <c r="O38" s="9" t="s">
        <v>1332</v>
      </c>
      <c r="P38" s="21" t="str">
        <f t="shared" si="1"/>
        <v>Document, version and section recorded</v>
      </c>
    </row>
    <row r="39" spans="1:16" x14ac:dyDescent="0.2">
      <c r="A39" s="9" t="s">
        <v>1337</v>
      </c>
      <c r="B39" s="9" t="s">
        <v>295</v>
      </c>
      <c r="C39" s="9" t="s">
        <v>1326</v>
      </c>
      <c r="D39" s="9" t="s">
        <v>1327</v>
      </c>
      <c r="E39" s="16" t="s">
        <v>143</v>
      </c>
      <c r="F39" s="9" t="s">
        <v>1323</v>
      </c>
      <c r="G39" s="9" t="s">
        <v>1325</v>
      </c>
      <c r="H39" s="9" t="s">
        <v>1320</v>
      </c>
      <c r="I39" s="14">
        <v>46315</v>
      </c>
      <c r="J39" s="9" t="s">
        <v>1339</v>
      </c>
      <c r="K39" s="9" t="s">
        <v>1338</v>
      </c>
      <c r="L39" s="16" t="s">
        <v>139</v>
      </c>
      <c r="M39" s="16" t="s">
        <v>84</v>
      </c>
      <c r="N39" s="9"/>
      <c r="O39" s="9" t="s">
        <v>1336</v>
      </c>
      <c r="P39" s="21" t="str">
        <f t="shared" si="1"/>
        <v>Document, version and section recorded</v>
      </c>
    </row>
    <row r="40" spans="1:16" x14ac:dyDescent="0.2">
      <c r="A40" s="9" t="s">
        <v>1343</v>
      </c>
      <c r="B40" s="9" t="s">
        <v>299</v>
      </c>
      <c r="C40" s="9" t="s">
        <v>1346</v>
      </c>
      <c r="D40" s="9" t="s">
        <v>1347</v>
      </c>
      <c r="E40" s="16" t="s">
        <v>143</v>
      </c>
      <c r="F40" s="9" t="s">
        <v>1323</v>
      </c>
      <c r="G40" s="9" t="s">
        <v>1345</v>
      </c>
      <c r="H40" s="9" t="s">
        <v>1341</v>
      </c>
      <c r="I40" s="14">
        <v>46314</v>
      </c>
      <c r="J40" s="9" t="s">
        <v>1335</v>
      </c>
      <c r="K40" s="9" t="s">
        <v>1344</v>
      </c>
      <c r="L40" s="16" t="s">
        <v>138</v>
      </c>
      <c r="M40" s="16" t="s">
        <v>84</v>
      </c>
      <c r="N40" s="9" t="s">
        <v>1340</v>
      </c>
      <c r="O40" s="9" t="s">
        <v>1342</v>
      </c>
      <c r="P40" s="21" t="str">
        <f t="shared" si="1"/>
        <v>Document, version and section recorded</v>
      </c>
    </row>
    <row r="41" spans="1:16" x14ac:dyDescent="0.2">
      <c r="A41" s="9" t="s">
        <v>1351</v>
      </c>
      <c r="B41" s="9" t="s">
        <v>299</v>
      </c>
      <c r="C41" s="9" t="s">
        <v>1346</v>
      </c>
      <c r="D41" s="9" t="s">
        <v>1355</v>
      </c>
      <c r="E41" s="16" t="s">
        <v>144</v>
      </c>
      <c r="F41" s="9" t="s">
        <v>1352</v>
      </c>
      <c r="G41" s="9" t="s">
        <v>1354</v>
      </c>
      <c r="H41" s="9" t="s">
        <v>1349</v>
      </c>
      <c r="I41" s="14">
        <v>46314</v>
      </c>
      <c r="J41" s="9" t="s">
        <v>1356</v>
      </c>
      <c r="K41" s="9" t="s">
        <v>1353</v>
      </c>
      <c r="L41" s="16" t="s">
        <v>141</v>
      </c>
      <c r="M41" s="16" t="s">
        <v>84</v>
      </c>
      <c r="N41" s="9" t="s">
        <v>1348</v>
      </c>
      <c r="O41" s="9" t="s">
        <v>1350</v>
      </c>
      <c r="P41" s="21" t="str">
        <f t="shared" si="1"/>
        <v>Document, version and section recorded</v>
      </c>
    </row>
    <row r="42" spans="1:16" x14ac:dyDescent="0.2">
      <c r="A42" s="9" t="s">
        <v>1359</v>
      </c>
      <c r="B42" s="9" t="s">
        <v>299</v>
      </c>
      <c r="C42" s="9" t="s">
        <v>1346</v>
      </c>
      <c r="D42" s="9" t="s">
        <v>1347</v>
      </c>
      <c r="E42" s="16" t="s">
        <v>143</v>
      </c>
      <c r="F42" s="9" t="s">
        <v>1323</v>
      </c>
      <c r="G42" s="9" t="s">
        <v>1345</v>
      </c>
      <c r="H42" s="9" t="s">
        <v>1341</v>
      </c>
      <c r="I42" s="14">
        <v>46314</v>
      </c>
      <c r="J42" s="9" t="s">
        <v>1328</v>
      </c>
      <c r="K42" s="9" t="s">
        <v>1360</v>
      </c>
      <c r="L42" s="16" t="s">
        <v>141</v>
      </c>
      <c r="M42" s="16" t="s">
        <v>84</v>
      </c>
      <c r="N42" s="9" t="s">
        <v>1357</v>
      </c>
      <c r="O42" s="9" t="s">
        <v>1358</v>
      </c>
      <c r="P42" s="21" t="str">
        <f t="shared" si="1"/>
        <v>Document, version and section recorded</v>
      </c>
    </row>
    <row r="43" spans="1:16" x14ac:dyDescent="0.2">
      <c r="A43" s="9" t="s">
        <v>1363</v>
      </c>
      <c r="B43" s="9" t="s">
        <v>299</v>
      </c>
      <c r="C43" s="9" t="s">
        <v>1346</v>
      </c>
      <c r="D43" s="9" t="s">
        <v>1347</v>
      </c>
      <c r="E43" s="16" t="s">
        <v>143</v>
      </c>
      <c r="F43" s="9" t="s">
        <v>1323</v>
      </c>
      <c r="G43" s="9" t="s">
        <v>1345</v>
      </c>
      <c r="H43" s="9" t="s">
        <v>1341</v>
      </c>
      <c r="I43" s="14">
        <v>46314</v>
      </c>
      <c r="J43" s="9" t="s">
        <v>1365</v>
      </c>
      <c r="K43" s="9" t="s">
        <v>1364</v>
      </c>
      <c r="L43" s="16" t="s">
        <v>141</v>
      </c>
      <c r="M43" s="16" t="s">
        <v>84</v>
      </c>
      <c r="N43" s="9" t="s">
        <v>1361</v>
      </c>
      <c r="O43" s="9" t="s">
        <v>1362</v>
      </c>
      <c r="P43" s="21" t="str">
        <f t="shared" si="1"/>
        <v>Document, version and section recorded</v>
      </c>
    </row>
    <row r="44" spans="1:16" x14ac:dyDescent="0.2">
      <c r="A44" s="9" t="s">
        <v>1367</v>
      </c>
      <c r="B44" s="9" t="s">
        <v>299</v>
      </c>
      <c r="C44" s="9" t="s">
        <v>1346</v>
      </c>
      <c r="D44" s="9" t="s">
        <v>1355</v>
      </c>
      <c r="E44" s="16" t="s">
        <v>144</v>
      </c>
      <c r="F44" s="9" t="s">
        <v>1352</v>
      </c>
      <c r="G44" s="9" t="s">
        <v>1354</v>
      </c>
      <c r="H44" s="9" t="s">
        <v>1349</v>
      </c>
      <c r="I44" s="14">
        <v>46314</v>
      </c>
      <c r="J44" s="9" t="s">
        <v>1369</v>
      </c>
      <c r="K44" s="9" t="s">
        <v>1368</v>
      </c>
      <c r="L44" s="16" t="s">
        <v>141</v>
      </c>
      <c r="M44" s="16" t="s">
        <v>84</v>
      </c>
      <c r="N44" s="9" t="s">
        <v>1366</v>
      </c>
      <c r="O44" s="9" t="s">
        <v>1362</v>
      </c>
      <c r="P44" s="21" t="str">
        <f t="shared" si="1"/>
        <v>Document, version and section recorded</v>
      </c>
    </row>
    <row r="45" spans="1:16" x14ac:dyDescent="0.2">
      <c r="A45" s="9" t="s">
        <v>1371</v>
      </c>
      <c r="B45" s="9"/>
      <c r="C45" s="9" t="s">
        <v>1346</v>
      </c>
      <c r="D45" s="9" t="s">
        <v>1347</v>
      </c>
      <c r="E45" s="16" t="s">
        <v>143</v>
      </c>
      <c r="F45" s="9" t="s">
        <v>1323</v>
      </c>
      <c r="G45" s="9" t="s">
        <v>1345</v>
      </c>
      <c r="H45" s="9" t="s">
        <v>1341</v>
      </c>
      <c r="I45" s="14">
        <v>46314</v>
      </c>
      <c r="J45" s="9" t="s">
        <v>1373</v>
      </c>
      <c r="K45" s="9" t="s">
        <v>1372</v>
      </c>
      <c r="L45" s="16" t="s">
        <v>140</v>
      </c>
      <c r="M45" s="16" t="s">
        <v>83</v>
      </c>
      <c r="N45" s="9"/>
      <c r="O45" s="9" t="s">
        <v>1370</v>
      </c>
      <c r="P45" s="21" t="str">
        <f t="shared" si="1"/>
        <v>Document, version and section recorded</v>
      </c>
    </row>
  </sheetData>
  <sheetProtection sheet="1" objects="1" scenarios="1" formatColumns="0" formatRows="0" autoFilter="0"/>
  <autoFilter ref="A4:P45" xr:uid="{ED2A2261-8040-47B5-A7D0-8BFCB13C01DE}"/>
  <dataValidations count="4">
    <dataValidation type="list" allowBlank="1" showInputMessage="1" showErrorMessage="1" sqref="E5:E34" xr:uid="{8911F83E-5262-42FA-94CB-E7459A858ED5}">
      <formula1>nLIST_DocType</formula1>
    </dataValidation>
    <dataValidation type="date" allowBlank="1" showInputMessage="1" showErrorMessage="1" sqref="I5:I34" xr:uid="{8B3D14B0-25C2-4C48-8514-FD5A33CD1728}">
      <formula1>1</formula1>
      <formula2>2958465</formula2>
    </dataValidation>
    <dataValidation type="list" allowBlank="1" showInputMessage="1" showErrorMessage="1" sqref="L5:L34" xr:uid="{AC500017-C9F5-42AB-899D-119680F0EE82}">
      <formula1>nLIST_TimingType</formula1>
    </dataValidation>
    <dataValidation type="list" allowBlank="1" showInputMessage="1" showErrorMessage="1" sqref="M5:M34" xr:uid="{2E1D5745-096A-4A10-9414-CA2F17095813}">
      <formula1>nLIST_YesNo</formula1>
    </dataValidation>
  </dataValidation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C2884A-11C9-4451-A955-453513D06F6A}">
  <dimension ref="A1:S35"/>
  <sheetViews>
    <sheetView zoomScale="90" zoomScaleNormal="90" workbookViewId="0">
      <pane xSplit="1" ySplit="4" topLeftCell="B5" activePane="bottomRight" state="frozenSplit"/>
      <selection pane="topRight" activeCell="B1" sqref="B1"/>
      <selection pane="bottomLeft" activeCell="A5" sqref="A5"/>
      <selection pane="bottomRight"/>
    </sheetView>
  </sheetViews>
  <sheetFormatPr defaultRowHeight="12.75" x14ac:dyDescent="0.2"/>
  <cols>
    <col min="1" max="2" width="12.7109375" style="1" customWidth="1"/>
    <col min="3" max="3" width="22.7109375" style="1" customWidth="1"/>
    <col min="4" max="6" width="8.7109375" style="1" customWidth="1"/>
    <col min="7" max="7" width="9.7109375" style="1" customWidth="1"/>
    <col min="8" max="8" width="12.7109375" style="1" customWidth="1"/>
    <col min="9" max="9" width="14.7109375" style="1" customWidth="1"/>
    <col min="10" max="10" width="26.7109375" style="1" customWidth="1"/>
    <col min="11" max="11" width="10.7109375" style="1" customWidth="1"/>
    <col min="12" max="14" width="14.7109375" style="1" customWidth="1"/>
    <col min="15" max="15" width="8.7109375" style="1" customWidth="1"/>
    <col min="16" max="16" width="18.7109375" style="1" customWidth="1"/>
    <col min="17" max="17" width="14.7109375" style="1" customWidth="1"/>
    <col min="18" max="18" width="12.7109375" style="1" customWidth="1"/>
    <col min="19" max="19" width="34.7109375" style="1" customWidth="1"/>
    <col min="20" max="16384" width="9.140625" style="1"/>
  </cols>
  <sheetData>
    <row r="1" spans="1:19" ht="17.25" x14ac:dyDescent="0.3">
      <c r="A1" s="6" t="s">
        <v>1374</v>
      </c>
    </row>
    <row r="2" spans="1:19" x14ac:dyDescent="0.2">
      <c r="A2" s="7" t="s">
        <v>1375</v>
      </c>
    </row>
    <row r="3" spans="1:19" x14ac:dyDescent="0.2">
      <c r="S3" s="2" t="s">
        <v>1318</v>
      </c>
    </row>
    <row r="4" spans="1:19" ht="66" customHeight="1" x14ac:dyDescent="0.2">
      <c r="A4" s="8" t="s">
        <v>1376</v>
      </c>
      <c r="B4" s="8" t="s">
        <v>361</v>
      </c>
      <c r="C4" s="8" t="s">
        <v>1377</v>
      </c>
      <c r="D4" s="8" t="s">
        <v>701</v>
      </c>
      <c r="E4" s="8" t="s">
        <v>1378</v>
      </c>
      <c r="F4" s="8" t="s">
        <v>1379</v>
      </c>
      <c r="G4" s="8" t="s">
        <v>702</v>
      </c>
      <c r="H4" s="8" t="s">
        <v>1380</v>
      </c>
      <c r="I4" s="8" t="s">
        <v>1381</v>
      </c>
      <c r="J4" s="8" t="s">
        <v>1382</v>
      </c>
      <c r="K4" s="8" t="s">
        <v>362</v>
      </c>
      <c r="L4" s="8" t="s">
        <v>1383</v>
      </c>
      <c r="M4" s="8" t="s">
        <v>1384</v>
      </c>
      <c r="N4" s="8" t="s">
        <v>1385</v>
      </c>
      <c r="O4" s="8" t="s">
        <v>1312</v>
      </c>
      <c r="P4" s="8" t="s">
        <v>1386</v>
      </c>
      <c r="Q4" s="8" t="s">
        <v>1311</v>
      </c>
      <c r="R4" s="8" t="s">
        <v>1387</v>
      </c>
      <c r="S4" s="19" t="s">
        <v>1388</v>
      </c>
    </row>
    <row r="5" spans="1:19" x14ac:dyDescent="0.2">
      <c r="A5" s="10"/>
      <c r="B5" s="10"/>
      <c r="C5" s="10"/>
      <c r="D5" s="17"/>
      <c r="E5" s="17"/>
      <c r="F5" s="17"/>
      <c r="G5" s="10"/>
      <c r="H5" s="10"/>
      <c r="I5" s="17"/>
      <c r="J5" s="10"/>
      <c r="K5" s="10"/>
      <c r="L5" s="10"/>
      <c r="M5" s="17"/>
      <c r="N5" s="10"/>
      <c r="O5" s="10"/>
      <c r="P5" s="10"/>
      <c r="Q5" s="15"/>
      <c r="R5" s="17"/>
      <c r="S5" s="21" t="str">
        <f t="shared" ref="S5:S29" si="0">IF(C5="","",IF(M5="","Not ready: Parameter_Status missing",IF(J5="","Not ready: population missing",IF(AND(ISNUMBER(SEARCH("half",C5)),I5=""),"Not ready: half-life type missing",IF(OR(N5="",O5=""),"Not ready: source document and section missing","Ready: status, population and source recorded")))))</f>
        <v/>
      </c>
    </row>
    <row r="6" spans="1:19" x14ac:dyDescent="0.2">
      <c r="A6" s="10"/>
      <c r="B6" s="10"/>
      <c r="C6" s="10"/>
      <c r="D6" s="17"/>
      <c r="E6" s="17"/>
      <c r="F6" s="17"/>
      <c r="G6" s="10"/>
      <c r="H6" s="10"/>
      <c r="I6" s="17"/>
      <c r="J6" s="10"/>
      <c r="K6" s="10"/>
      <c r="L6" s="10"/>
      <c r="M6" s="17"/>
      <c r="N6" s="10"/>
      <c r="O6" s="10"/>
      <c r="P6" s="10"/>
      <c r="Q6" s="15"/>
      <c r="R6" s="17"/>
      <c r="S6" s="21" t="str">
        <f t="shared" si="0"/>
        <v/>
      </c>
    </row>
    <row r="7" spans="1:19" x14ac:dyDescent="0.2">
      <c r="A7" s="10"/>
      <c r="B7" s="10"/>
      <c r="C7" s="10"/>
      <c r="D7" s="17"/>
      <c r="E7" s="17"/>
      <c r="F7" s="17"/>
      <c r="G7" s="10"/>
      <c r="H7" s="10"/>
      <c r="I7" s="17"/>
      <c r="J7" s="10"/>
      <c r="K7" s="10"/>
      <c r="L7" s="10"/>
      <c r="M7" s="17"/>
      <c r="N7" s="10"/>
      <c r="O7" s="10"/>
      <c r="P7" s="10"/>
      <c r="Q7" s="15"/>
      <c r="R7" s="17"/>
      <c r="S7" s="21" t="str">
        <f t="shared" si="0"/>
        <v/>
      </c>
    </row>
    <row r="8" spans="1:19" x14ac:dyDescent="0.2">
      <c r="A8" s="10"/>
      <c r="B8" s="10"/>
      <c r="C8" s="10"/>
      <c r="D8" s="17"/>
      <c r="E8" s="17"/>
      <c r="F8" s="17"/>
      <c r="G8" s="10"/>
      <c r="H8" s="10"/>
      <c r="I8" s="17"/>
      <c r="J8" s="10"/>
      <c r="K8" s="10"/>
      <c r="L8" s="10"/>
      <c r="M8" s="17"/>
      <c r="N8" s="10"/>
      <c r="O8" s="10"/>
      <c r="P8" s="10"/>
      <c r="Q8" s="15"/>
      <c r="R8" s="17"/>
      <c r="S8" s="21" t="str">
        <f t="shared" si="0"/>
        <v/>
      </c>
    </row>
    <row r="9" spans="1:19" x14ac:dyDescent="0.2">
      <c r="A9" s="10"/>
      <c r="B9" s="10"/>
      <c r="C9" s="10"/>
      <c r="D9" s="17"/>
      <c r="E9" s="17"/>
      <c r="F9" s="17"/>
      <c r="G9" s="10"/>
      <c r="H9" s="10"/>
      <c r="I9" s="17"/>
      <c r="J9" s="10"/>
      <c r="K9" s="10"/>
      <c r="L9" s="10"/>
      <c r="M9" s="17"/>
      <c r="N9" s="10"/>
      <c r="O9" s="10"/>
      <c r="P9" s="10"/>
      <c r="Q9" s="15"/>
      <c r="R9" s="17"/>
      <c r="S9" s="21" t="str">
        <f t="shared" si="0"/>
        <v/>
      </c>
    </row>
    <row r="10" spans="1:19" x14ac:dyDescent="0.2">
      <c r="A10" s="10"/>
      <c r="B10" s="10"/>
      <c r="C10" s="10"/>
      <c r="D10" s="17"/>
      <c r="E10" s="17"/>
      <c r="F10" s="17"/>
      <c r="G10" s="10"/>
      <c r="H10" s="10"/>
      <c r="I10" s="17"/>
      <c r="J10" s="10"/>
      <c r="K10" s="10"/>
      <c r="L10" s="10"/>
      <c r="M10" s="17"/>
      <c r="N10" s="10"/>
      <c r="O10" s="10"/>
      <c r="P10" s="10"/>
      <c r="Q10" s="15"/>
      <c r="R10" s="17"/>
      <c r="S10" s="21" t="str">
        <f t="shared" si="0"/>
        <v/>
      </c>
    </row>
    <row r="11" spans="1:19" x14ac:dyDescent="0.2">
      <c r="A11" s="10"/>
      <c r="B11" s="10"/>
      <c r="C11" s="10"/>
      <c r="D11" s="17"/>
      <c r="E11" s="17"/>
      <c r="F11" s="17"/>
      <c r="G11" s="10"/>
      <c r="H11" s="10"/>
      <c r="I11" s="17"/>
      <c r="J11" s="10"/>
      <c r="K11" s="10"/>
      <c r="L11" s="10"/>
      <c r="M11" s="17"/>
      <c r="N11" s="10"/>
      <c r="O11" s="10"/>
      <c r="P11" s="10"/>
      <c r="Q11" s="15"/>
      <c r="R11" s="17"/>
      <c r="S11" s="21" t="str">
        <f t="shared" si="0"/>
        <v/>
      </c>
    </row>
    <row r="12" spans="1:19" x14ac:dyDescent="0.2">
      <c r="A12" s="10"/>
      <c r="B12" s="10"/>
      <c r="C12" s="10"/>
      <c r="D12" s="17"/>
      <c r="E12" s="17"/>
      <c r="F12" s="17"/>
      <c r="G12" s="10"/>
      <c r="H12" s="10"/>
      <c r="I12" s="17"/>
      <c r="J12" s="10"/>
      <c r="K12" s="10"/>
      <c r="L12" s="10"/>
      <c r="M12" s="17"/>
      <c r="N12" s="10"/>
      <c r="O12" s="10"/>
      <c r="P12" s="10"/>
      <c r="Q12" s="15"/>
      <c r="R12" s="17"/>
      <c r="S12" s="21" t="str">
        <f t="shared" si="0"/>
        <v/>
      </c>
    </row>
    <row r="13" spans="1:19" x14ac:dyDescent="0.2">
      <c r="A13" s="10"/>
      <c r="B13" s="10"/>
      <c r="C13" s="10"/>
      <c r="D13" s="17"/>
      <c r="E13" s="17"/>
      <c r="F13" s="17"/>
      <c r="G13" s="10"/>
      <c r="H13" s="10"/>
      <c r="I13" s="17"/>
      <c r="J13" s="10"/>
      <c r="K13" s="10"/>
      <c r="L13" s="10"/>
      <c r="M13" s="17"/>
      <c r="N13" s="10"/>
      <c r="O13" s="10"/>
      <c r="P13" s="10"/>
      <c r="Q13" s="15"/>
      <c r="R13" s="17"/>
      <c r="S13" s="21" t="str">
        <f t="shared" si="0"/>
        <v/>
      </c>
    </row>
    <row r="14" spans="1:19" x14ac:dyDescent="0.2">
      <c r="A14" s="10"/>
      <c r="B14" s="10"/>
      <c r="C14" s="10"/>
      <c r="D14" s="17"/>
      <c r="E14" s="17"/>
      <c r="F14" s="17"/>
      <c r="G14" s="10"/>
      <c r="H14" s="10"/>
      <c r="I14" s="17"/>
      <c r="J14" s="10"/>
      <c r="K14" s="10"/>
      <c r="L14" s="10"/>
      <c r="M14" s="17"/>
      <c r="N14" s="10"/>
      <c r="O14" s="10"/>
      <c r="P14" s="10"/>
      <c r="Q14" s="15"/>
      <c r="R14" s="17"/>
      <c r="S14" s="21" t="str">
        <f t="shared" si="0"/>
        <v/>
      </c>
    </row>
    <row r="15" spans="1:19" x14ac:dyDescent="0.2">
      <c r="A15" s="10"/>
      <c r="B15" s="10"/>
      <c r="C15" s="10"/>
      <c r="D15" s="17"/>
      <c r="E15" s="17"/>
      <c r="F15" s="17"/>
      <c r="G15" s="10"/>
      <c r="H15" s="10"/>
      <c r="I15" s="17"/>
      <c r="J15" s="10"/>
      <c r="K15" s="10"/>
      <c r="L15" s="10"/>
      <c r="M15" s="17"/>
      <c r="N15" s="10"/>
      <c r="O15" s="10"/>
      <c r="P15" s="10"/>
      <c r="Q15" s="15"/>
      <c r="R15" s="17"/>
      <c r="S15" s="21" t="str">
        <f t="shared" si="0"/>
        <v/>
      </c>
    </row>
    <row r="16" spans="1:19" x14ac:dyDescent="0.2">
      <c r="A16" s="10"/>
      <c r="B16" s="10"/>
      <c r="C16" s="10"/>
      <c r="D16" s="17"/>
      <c r="E16" s="17"/>
      <c r="F16" s="17"/>
      <c r="G16" s="10"/>
      <c r="H16" s="10"/>
      <c r="I16" s="17"/>
      <c r="J16" s="10"/>
      <c r="K16" s="10"/>
      <c r="L16" s="10"/>
      <c r="M16" s="17"/>
      <c r="N16" s="10"/>
      <c r="O16" s="10"/>
      <c r="P16" s="10"/>
      <c r="Q16" s="15"/>
      <c r="R16" s="17"/>
      <c r="S16" s="21" t="str">
        <f t="shared" si="0"/>
        <v/>
      </c>
    </row>
    <row r="17" spans="1:19" x14ac:dyDescent="0.2">
      <c r="A17" s="10"/>
      <c r="B17" s="10"/>
      <c r="C17" s="10"/>
      <c r="D17" s="17"/>
      <c r="E17" s="17"/>
      <c r="F17" s="17"/>
      <c r="G17" s="10"/>
      <c r="H17" s="10"/>
      <c r="I17" s="17"/>
      <c r="J17" s="10"/>
      <c r="K17" s="10"/>
      <c r="L17" s="10"/>
      <c r="M17" s="17"/>
      <c r="N17" s="10"/>
      <c r="O17" s="10"/>
      <c r="P17" s="10"/>
      <c r="Q17" s="15"/>
      <c r="R17" s="17"/>
      <c r="S17" s="21" t="str">
        <f t="shared" si="0"/>
        <v/>
      </c>
    </row>
    <row r="18" spans="1:19" x14ac:dyDescent="0.2">
      <c r="A18" s="10"/>
      <c r="B18" s="10"/>
      <c r="C18" s="10"/>
      <c r="D18" s="17"/>
      <c r="E18" s="17"/>
      <c r="F18" s="17"/>
      <c r="G18" s="10"/>
      <c r="H18" s="10"/>
      <c r="I18" s="17"/>
      <c r="J18" s="10"/>
      <c r="K18" s="10"/>
      <c r="L18" s="10"/>
      <c r="M18" s="17"/>
      <c r="N18" s="10"/>
      <c r="O18" s="10"/>
      <c r="P18" s="10"/>
      <c r="Q18" s="15"/>
      <c r="R18" s="17"/>
      <c r="S18" s="21" t="str">
        <f t="shared" si="0"/>
        <v/>
      </c>
    </row>
    <row r="19" spans="1:19" x14ac:dyDescent="0.2">
      <c r="A19" s="10"/>
      <c r="B19" s="10"/>
      <c r="C19" s="10"/>
      <c r="D19" s="17"/>
      <c r="E19" s="17"/>
      <c r="F19" s="17"/>
      <c r="G19" s="10"/>
      <c r="H19" s="10"/>
      <c r="I19" s="17"/>
      <c r="J19" s="10"/>
      <c r="K19" s="10"/>
      <c r="L19" s="10"/>
      <c r="M19" s="17"/>
      <c r="N19" s="10"/>
      <c r="O19" s="10"/>
      <c r="P19" s="10"/>
      <c r="Q19" s="15"/>
      <c r="R19" s="17"/>
      <c r="S19" s="21" t="str">
        <f t="shared" si="0"/>
        <v/>
      </c>
    </row>
    <row r="20" spans="1:19" x14ac:dyDescent="0.2">
      <c r="A20" s="10"/>
      <c r="B20" s="10"/>
      <c r="C20" s="10"/>
      <c r="D20" s="17"/>
      <c r="E20" s="17"/>
      <c r="F20" s="17"/>
      <c r="G20" s="10"/>
      <c r="H20" s="10"/>
      <c r="I20" s="17"/>
      <c r="J20" s="10"/>
      <c r="K20" s="10"/>
      <c r="L20" s="10"/>
      <c r="M20" s="17"/>
      <c r="N20" s="10"/>
      <c r="O20" s="10"/>
      <c r="P20" s="10"/>
      <c r="Q20" s="15"/>
      <c r="R20" s="17"/>
      <c r="S20" s="21" t="str">
        <f t="shared" si="0"/>
        <v/>
      </c>
    </row>
    <row r="21" spans="1:19" x14ac:dyDescent="0.2">
      <c r="A21" s="10"/>
      <c r="B21" s="10"/>
      <c r="C21" s="10"/>
      <c r="D21" s="17"/>
      <c r="E21" s="17"/>
      <c r="F21" s="17"/>
      <c r="G21" s="10"/>
      <c r="H21" s="10"/>
      <c r="I21" s="17"/>
      <c r="J21" s="10"/>
      <c r="K21" s="10"/>
      <c r="L21" s="10"/>
      <c r="M21" s="17"/>
      <c r="N21" s="10"/>
      <c r="O21" s="10"/>
      <c r="P21" s="10"/>
      <c r="Q21" s="15"/>
      <c r="R21" s="17"/>
      <c r="S21" s="21" t="str">
        <f t="shared" si="0"/>
        <v/>
      </c>
    </row>
    <row r="22" spans="1:19" x14ac:dyDescent="0.2">
      <c r="A22" s="10"/>
      <c r="B22" s="10"/>
      <c r="C22" s="10"/>
      <c r="D22" s="17"/>
      <c r="E22" s="17"/>
      <c r="F22" s="17"/>
      <c r="G22" s="10"/>
      <c r="H22" s="10"/>
      <c r="I22" s="17"/>
      <c r="J22" s="10"/>
      <c r="K22" s="10"/>
      <c r="L22" s="10"/>
      <c r="M22" s="17"/>
      <c r="N22" s="10"/>
      <c r="O22" s="10"/>
      <c r="P22" s="10"/>
      <c r="Q22" s="15"/>
      <c r="R22" s="17"/>
      <c r="S22" s="21" t="str">
        <f t="shared" si="0"/>
        <v/>
      </c>
    </row>
    <row r="23" spans="1:19" x14ac:dyDescent="0.2">
      <c r="A23" s="10"/>
      <c r="B23" s="10"/>
      <c r="C23" s="10"/>
      <c r="D23" s="17"/>
      <c r="E23" s="17"/>
      <c r="F23" s="17"/>
      <c r="G23" s="10"/>
      <c r="H23" s="10"/>
      <c r="I23" s="17"/>
      <c r="J23" s="10"/>
      <c r="K23" s="10"/>
      <c r="L23" s="10"/>
      <c r="M23" s="17"/>
      <c r="N23" s="10"/>
      <c r="O23" s="10"/>
      <c r="P23" s="10"/>
      <c r="Q23" s="15"/>
      <c r="R23" s="17"/>
      <c r="S23" s="21" t="str">
        <f t="shared" si="0"/>
        <v/>
      </c>
    </row>
    <row r="24" spans="1:19" x14ac:dyDescent="0.2">
      <c r="A24" s="10"/>
      <c r="B24" s="10"/>
      <c r="C24" s="10"/>
      <c r="D24" s="17"/>
      <c r="E24" s="17"/>
      <c r="F24" s="17"/>
      <c r="G24" s="10"/>
      <c r="H24" s="10"/>
      <c r="I24" s="17"/>
      <c r="J24" s="10"/>
      <c r="K24" s="10"/>
      <c r="L24" s="10"/>
      <c r="M24" s="17"/>
      <c r="N24" s="10"/>
      <c r="O24" s="10"/>
      <c r="P24" s="10"/>
      <c r="Q24" s="15"/>
      <c r="R24" s="17"/>
      <c r="S24" s="21" t="str">
        <f t="shared" si="0"/>
        <v/>
      </c>
    </row>
    <row r="25" spans="1:19" x14ac:dyDescent="0.2">
      <c r="A25" s="10"/>
      <c r="B25" s="10"/>
      <c r="C25" s="10"/>
      <c r="D25" s="17"/>
      <c r="E25" s="17"/>
      <c r="F25" s="17"/>
      <c r="G25" s="10"/>
      <c r="H25" s="10"/>
      <c r="I25" s="17"/>
      <c r="J25" s="10"/>
      <c r="K25" s="10"/>
      <c r="L25" s="10"/>
      <c r="M25" s="17"/>
      <c r="N25" s="10"/>
      <c r="O25" s="10"/>
      <c r="P25" s="10"/>
      <c r="Q25" s="15"/>
      <c r="R25" s="17"/>
      <c r="S25" s="21" t="str">
        <f t="shared" si="0"/>
        <v/>
      </c>
    </row>
    <row r="26" spans="1:19" x14ac:dyDescent="0.2">
      <c r="A26" s="10"/>
      <c r="B26" s="10"/>
      <c r="C26" s="10"/>
      <c r="D26" s="17"/>
      <c r="E26" s="17"/>
      <c r="F26" s="17"/>
      <c r="G26" s="10"/>
      <c r="H26" s="10"/>
      <c r="I26" s="17"/>
      <c r="J26" s="10"/>
      <c r="K26" s="10"/>
      <c r="L26" s="10"/>
      <c r="M26" s="17"/>
      <c r="N26" s="10"/>
      <c r="O26" s="10"/>
      <c r="P26" s="10"/>
      <c r="Q26" s="15"/>
      <c r="R26" s="17"/>
      <c r="S26" s="21" t="str">
        <f t="shared" si="0"/>
        <v/>
      </c>
    </row>
    <row r="27" spans="1:19" x14ac:dyDescent="0.2">
      <c r="A27" s="10"/>
      <c r="B27" s="10"/>
      <c r="C27" s="10"/>
      <c r="D27" s="17"/>
      <c r="E27" s="17"/>
      <c r="F27" s="17"/>
      <c r="G27" s="10"/>
      <c r="H27" s="10"/>
      <c r="I27" s="17"/>
      <c r="J27" s="10"/>
      <c r="K27" s="10"/>
      <c r="L27" s="10"/>
      <c r="M27" s="17"/>
      <c r="N27" s="10"/>
      <c r="O27" s="10"/>
      <c r="P27" s="10"/>
      <c r="Q27" s="15"/>
      <c r="R27" s="17"/>
      <c r="S27" s="21" t="str">
        <f t="shared" si="0"/>
        <v/>
      </c>
    </row>
    <row r="28" spans="1:19" x14ac:dyDescent="0.2">
      <c r="A28" s="10"/>
      <c r="B28" s="10"/>
      <c r="C28" s="10"/>
      <c r="D28" s="17"/>
      <c r="E28" s="17"/>
      <c r="F28" s="17"/>
      <c r="G28" s="10"/>
      <c r="H28" s="10"/>
      <c r="I28" s="17"/>
      <c r="J28" s="10"/>
      <c r="K28" s="10"/>
      <c r="L28" s="10"/>
      <c r="M28" s="17"/>
      <c r="N28" s="10"/>
      <c r="O28" s="10"/>
      <c r="P28" s="10"/>
      <c r="Q28" s="15"/>
      <c r="R28" s="17"/>
      <c r="S28" s="21" t="str">
        <f t="shared" si="0"/>
        <v/>
      </c>
    </row>
    <row r="29" spans="1:19" x14ac:dyDescent="0.2">
      <c r="A29" s="10"/>
      <c r="B29" s="10"/>
      <c r="C29" s="10"/>
      <c r="D29" s="17"/>
      <c r="E29" s="17"/>
      <c r="F29" s="17"/>
      <c r="G29" s="10"/>
      <c r="H29" s="10"/>
      <c r="I29" s="17"/>
      <c r="J29" s="10"/>
      <c r="K29" s="10"/>
      <c r="L29" s="10"/>
      <c r="M29" s="17"/>
      <c r="N29" s="10"/>
      <c r="O29" s="10"/>
      <c r="P29" s="10"/>
      <c r="Q29" s="15"/>
      <c r="R29" s="17"/>
      <c r="S29" s="21" t="str">
        <f t="shared" si="0"/>
        <v/>
      </c>
    </row>
    <row r="30" spans="1:19" x14ac:dyDescent="0.2">
      <c r="A30" s="24" t="s">
        <v>288</v>
      </c>
      <c r="B30" s="23"/>
      <c r="C30" s="23"/>
      <c r="D30" s="23"/>
      <c r="E30" s="23"/>
      <c r="F30" s="23"/>
      <c r="G30" s="23"/>
      <c r="H30" s="23"/>
      <c r="I30" s="23"/>
      <c r="J30" s="23"/>
      <c r="K30" s="23"/>
      <c r="L30" s="23"/>
      <c r="M30" s="23"/>
      <c r="N30" s="23"/>
      <c r="O30" s="23"/>
      <c r="P30" s="23"/>
      <c r="Q30" s="23"/>
      <c r="R30" s="23"/>
      <c r="S30" s="23"/>
    </row>
    <row r="31" spans="1:19" x14ac:dyDescent="0.2">
      <c r="A31" s="9" t="s">
        <v>1389</v>
      </c>
      <c r="B31" s="9" t="s">
        <v>1326</v>
      </c>
      <c r="C31" s="9" t="s">
        <v>1392</v>
      </c>
      <c r="D31" s="16"/>
      <c r="E31" s="16">
        <v>1.5</v>
      </c>
      <c r="F31" s="16">
        <v>2</v>
      </c>
      <c r="G31" s="9" t="s">
        <v>66</v>
      </c>
      <c r="H31" s="9" t="s">
        <v>1393</v>
      </c>
      <c r="I31" s="16" t="s">
        <v>152</v>
      </c>
      <c r="J31" s="9" t="s">
        <v>1391</v>
      </c>
      <c r="K31" s="9"/>
      <c r="L31" s="9"/>
      <c r="M31" s="16" t="s">
        <v>77</v>
      </c>
      <c r="N31" s="9" t="s">
        <v>1327</v>
      </c>
      <c r="O31" s="9" t="s">
        <v>1328</v>
      </c>
      <c r="P31" s="9" t="s">
        <v>1390</v>
      </c>
      <c r="Q31" s="14">
        <v>46315</v>
      </c>
      <c r="R31" s="16"/>
      <c r="S31" s="21" t="str">
        <f t="shared" ref="S31:S35" si="1">IF(C31="","",IF(M31="","Not ready: Parameter_Status missing",IF(J31="","Not ready: population missing",IF(AND(ISNUMBER(SEARCH("half",C31)),I31=""),"Not ready: half-life type missing",IF(OR(N31="",O31=""),"Not ready: source document and section missing","Ready: status, population and source recorded")))))</f>
        <v>Ready: status, population and source recorded</v>
      </c>
    </row>
    <row r="32" spans="1:19" x14ac:dyDescent="0.2">
      <c r="A32" s="9" t="s">
        <v>1394</v>
      </c>
      <c r="B32" s="9" t="s">
        <v>1326</v>
      </c>
      <c r="C32" s="9" t="s">
        <v>1392</v>
      </c>
      <c r="D32" s="16"/>
      <c r="E32" s="16">
        <v>3.5</v>
      </c>
      <c r="F32" s="16">
        <v>5</v>
      </c>
      <c r="G32" s="9" t="s">
        <v>66</v>
      </c>
      <c r="H32" s="9" t="s">
        <v>1393</v>
      </c>
      <c r="I32" s="16" t="s">
        <v>152</v>
      </c>
      <c r="J32" s="9" t="s">
        <v>1395</v>
      </c>
      <c r="K32" s="9"/>
      <c r="L32" s="9"/>
      <c r="M32" s="16" t="s">
        <v>77</v>
      </c>
      <c r="N32" s="9" t="s">
        <v>1327</v>
      </c>
      <c r="O32" s="9" t="s">
        <v>1328</v>
      </c>
      <c r="P32" s="9" t="s">
        <v>1390</v>
      </c>
      <c r="Q32" s="14">
        <v>46315</v>
      </c>
      <c r="R32" s="16"/>
      <c r="S32" s="21" t="str">
        <f t="shared" si="1"/>
        <v>Ready: status, population and source recorded</v>
      </c>
    </row>
    <row r="33" spans="1:19" x14ac:dyDescent="0.2">
      <c r="A33" s="9" t="s">
        <v>1396</v>
      </c>
      <c r="B33" s="9" t="s">
        <v>1326</v>
      </c>
      <c r="C33" s="9" t="s">
        <v>1399</v>
      </c>
      <c r="D33" s="16"/>
      <c r="E33" s="16">
        <v>0.5</v>
      </c>
      <c r="F33" s="16">
        <v>0.7</v>
      </c>
      <c r="G33" s="9" t="s">
        <v>1397</v>
      </c>
      <c r="H33" s="9" t="s">
        <v>1393</v>
      </c>
      <c r="I33" s="16" t="s">
        <v>155</v>
      </c>
      <c r="J33" s="9" t="s">
        <v>1398</v>
      </c>
      <c r="K33" s="9" t="s">
        <v>466</v>
      </c>
      <c r="L33" s="9"/>
      <c r="M33" s="16" t="s">
        <v>77</v>
      </c>
      <c r="N33" s="9" t="s">
        <v>1327</v>
      </c>
      <c r="O33" s="9" t="s">
        <v>1328</v>
      </c>
      <c r="P33" s="9" t="s">
        <v>1390</v>
      </c>
      <c r="Q33" s="14">
        <v>46315</v>
      </c>
      <c r="R33" s="16"/>
      <c r="S33" s="21" t="str">
        <f t="shared" si="1"/>
        <v>Ready: status, population and source recorded</v>
      </c>
    </row>
    <row r="34" spans="1:19" x14ac:dyDescent="0.2">
      <c r="A34" s="9" t="s">
        <v>1400</v>
      </c>
      <c r="B34" s="9" t="s">
        <v>1346</v>
      </c>
      <c r="C34" s="9" t="s">
        <v>1403</v>
      </c>
      <c r="D34" s="16">
        <v>22</v>
      </c>
      <c r="E34" s="16">
        <v>6.1</v>
      </c>
      <c r="F34" s="16">
        <v>52</v>
      </c>
      <c r="G34" s="9" t="s">
        <v>66</v>
      </c>
      <c r="H34" s="9" t="s">
        <v>1404</v>
      </c>
      <c r="I34" s="16" t="s">
        <v>152</v>
      </c>
      <c r="J34" s="9" t="s">
        <v>1402</v>
      </c>
      <c r="K34" s="9" t="s">
        <v>466</v>
      </c>
      <c r="L34" s="9"/>
      <c r="M34" s="16" t="s">
        <v>77</v>
      </c>
      <c r="N34" s="9" t="s">
        <v>1347</v>
      </c>
      <c r="O34" s="9" t="s">
        <v>1328</v>
      </c>
      <c r="P34" s="9" t="s">
        <v>1401</v>
      </c>
      <c r="Q34" s="14">
        <v>46314</v>
      </c>
      <c r="R34" s="16"/>
      <c r="S34" s="21" t="str">
        <f t="shared" si="1"/>
        <v>Ready: status, population and source recorded</v>
      </c>
    </row>
    <row r="35" spans="1:19" x14ac:dyDescent="0.2">
      <c r="A35" s="9" t="s">
        <v>1405</v>
      </c>
      <c r="B35" s="9" t="s">
        <v>1346</v>
      </c>
      <c r="C35" s="9" t="s">
        <v>1407</v>
      </c>
      <c r="D35" s="16">
        <v>32</v>
      </c>
      <c r="E35" s="16">
        <v>14</v>
      </c>
      <c r="F35" s="16">
        <v>62</v>
      </c>
      <c r="G35" s="9" t="s">
        <v>66</v>
      </c>
      <c r="H35" s="9" t="s">
        <v>1408</v>
      </c>
      <c r="I35" s="16" t="s">
        <v>152</v>
      </c>
      <c r="J35" s="9" t="s">
        <v>1406</v>
      </c>
      <c r="K35" s="9" t="s">
        <v>466</v>
      </c>
      <c r="L35" s="9"/>
      <c r="M35" s="16" t="s">
        <v>77</v>
      </c>
      <c r="N35" s="9" t="s">
        <v>1347</v>
      </c>
      <c r="O35" s="9" t="s">
        <v>1328</v>
      </c>
      <c r="P35" s="9" t="s">
        <v>1401</v>
      </c>
      <c r="Q35" s="14">
        <v>46314</v>
      </c>
      <c r="R35" s="16"/>
      <c r="S35" s="21" t="str">
        <f t="shared" si="1"/>
        <v>Ready: status, population and source recorded</v>
      </c>
    </row>
  </sheetData>
  <sheetProtection sheet="1" objects="1" scenarios="1" formatColumns="0" formatRows="0" autoFilter="0"/>
  <autoFilter ref="A4:S35" xr:uid="{A8C2884A-11C9-4451-A955-453513D06F6A}"/>
  <dataValidations count="5">
    <dataValidation type="decimal" allowBlank="1" showInputMessage="1" showErrorMessage="1" sqref="D5:D29 E5:E29 F5:F29" xr:uid="{00C78410-2DF3-4602-9137-26E4A0B5358A}">
      <formula1>-1000000000000</formula1>
      <formula2>1000000000000</formula2>
    </dataValidation>
    <dataValidation type="list" allowBlank="1" showInputMessage="1" showErrorMessage="1" sqref="I5:I29" xr:uid="{976F5E4B-7E8B-4CD4-80B7-0B18D928A55F}">
      <formula1>nLIST_HalfLifeType</formula1>
    </dataValidation>
    <dataValidation type="list" allowBlank="1" showInputMessage="1" showErrorMessage="1" sqref="M5:M29" xr:uid="{F749305F-D758-4C72-B9B3-C26B0812C833}">
      <formula1>nLIST_Status</formula1>
    </dataValidation>
    <dataValidation type="date" allowBlank="1" showInputMessage="1" showErrorMessage="1" sqref="Q5:Q29" xr:uid="{A0379D66-6C3C-4430-9646-6F7A65E216D7}">
      <formula1>1</formula1>
      <formula2>2958465</formula2>
    </dataValidation>
    <dataValidation type="list" errorStyle="information" allowBlank="1" showInputMessage="1" showErrorMessage="1" sqref="R5:R29" xr:uid="{F0EF1FEB-C63E-47FE-B324-651F3E9125EE}">
      <formula1>nLIST_MissingReason</formula1>
    </dataValidation>
  </dataValidation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13B3E-9492-4788-87BF-610B6DB8601B}">
  <dimension ref="A1:AJ188"/>
  <sheetViews>
    <sheetView zoomScale="90" zoomScaleNormal="90" workbookViewId="0"/>
  </sheetViews>
  <sheetFormatPr defaultRowHeight="12.75" x14ac:dyDescent="0.2"/>
  <cols>
    <col min="1" max="1" width="14.7109375" style="1" customWidth="1"/>
    <col min="2" max="2" width="10.7109375" style="1" customWidth="1"/>
    <col min="3" max="3" width="7.7109375" style="1" customWidth="1"/>
    <col min="4" max="4" width="30.7109375" style="1" customWidth="1"/>
    <col min="5" max="5" width="12.7109375" style="1" customWidth="1"/>
    <col min="6" max="6" width="26.7109375" style="1" customWidth="1"/>
    <col min="7" max="7" width="24.7109375" style="1" customWidth="1"/>
    <col min="8" max="8" width="18.7109375" style="1" customWidth="1"/>
    <col min="9" max="9" width="44.7109375" style="1" customWidth="1"/>
    <col min="10" max="10" width="40.7109375" style="1" customWidth="1"/>
    <col min="11" max="11" width="13.7109375" style="1" customWidth="1"/>
    <col min="12" max="12" width="18.7109375" style="1" customWidth="1"/>
    <col min="13" max="13" width="9.7109375" style="1" customWidth="1"/>
    <col min="14" max="14" width="13.7109375" style="1" customWidth="1"/>
    <col min="15" max="15" width="20.7109375" style="1" customWidth="1"/>
    <col min="16" max="26" width="40.7109375" style="1" customWidth="1"/>
    <col min="27" max="27" width="36.7109375" style="1" customWidth="1"/>
    <col min="28" max="28" width="40.7109375" style="1" customWidth="1"/>
    <col min="29" max="29" width="30.7109375" style="1" customWidth="1"/>
    <col min="30" max="34" width="14.7109375" style="1" customWidth="1"/>
    <col min="35" max="36" width="10.7109375" style="1" customWidth="1"/>
    <col min="37" max="16384" width="9.140625" style="1"/>
  </cols>
  <sheetData>
    <row r="1" spans="1:32" ht="18.75" x14ac:dyDescent="0.3">
      <c r="A1" s="30" t="s">
        <v>1020</v>
      </c>
    </row>
    <row r="2" spans="1:32" x14ac:dyDescent="0.2">
      <c r="A2" s="1" t="s">
        <v>1021</v>
      </c>
    </row>
    <row r="4" spans="1:32" ht="17.25" x14ac:dyDescent="0.3">
      <c r="A4" s="6" t="s">
        <v>1022</v>
      </c>
    </row>
    <row r="5" spans="1:32" x14ac:dyDescent="0.2">
      <c r="A5" s="7" t="s">
        <v>1023</v>
      </c>
    </row>
    <row r="6" spans="1:32" x14ac:dyDescent="0.2">
      <c r="A6" s="2" t="s">
        <v>1024</v>
      </c>
      <c r="E6" s="2" t="s">
        <v>1027</v>
      </c>
      <c r="I6" s="2" t="s">
        <v>1032</v>
      </c>
      <c r="P6" s="2" t="s">
        <v>1040</v>
      </c>
      <c r="AB6" s="2" t="s">
        <v>1052</v>
      </c>
    </row>
    <row r="7" spans="1:32" ht="66" customHeight="1" x14ac:dyDescent="0.2">
      <c r="A7" s="8" t="s">
        <v>1025</v>
      </c>
      <c r="B7" s="8" t="s">
        <v>274</v>
      </c>
      <c r="C7" s="8" t="s">
        <v>275</v>
      </c>
      <c r="D7" s="8" t="s">
        <v>1026</v>
      </c>
      <c r="E7" s="8" t="s">
        <v>1028</v>
      </c>
      <c r="F7" s="8" t="s">
        <v>1029</v>
      </c>
      <c r="G7" s="8" t="s">
        <v>1030</v>
      </c>
      <c r="H7" s="8" t="s">
        <v>1031</v>
      </c>
      <c r="I7" s="8" t="s">
        <v>1033</v>
      </c>
      <c r="J7" s="8" t="s">
        <v>1034</v>
      </c>
      <c r="K7" s="8" t="s">
        <v>1035</v>
      </c>
      <c r="L7" s="8" t="s">
        <v>1036</v>
      </c>
      <c r="M7" s="8" t="s">
        <v>1037</v>
      </c>
      <c r="N7" s="8" t="s">
        <v>1038</v>
      </c>
      <c r="O7" s="8" t="s">
        <v>1039</v>
      </c>
      <c r="P7" s="19" t="s">
        <v>1041</v>
      </c>
      <c r="Q7" s="19" t="s">
        <v>1042</v>
      </c>
      <c r="R7" s="19" t="s">
        <v>1043</v>
      </c>
      <c r="S7" s="19" t="s">
        <v>1044</v>
      </c>
      <c r="T7" s="19" t="s">
        <v>1045</v>
      </c>
      <c r="U7" s="19" t="s">
        <v>1046</v>
      </c>
      <c r="V7" s="19" t="s">
        <v>1047</v>
      </c>
      <c r="W7" s="19" t="s">
        <v>1048</v>
      </c>
      <c r="X7" s="19" t="s">
        <v>1049</v>
      </c>
      <c r="Y7" s="19" t="s">
        <v>1050</v>
      </c>
      <c r="Z7" s="19" t="s">
        <v>1051</v>
      </c>
      <c r="AA7" s="19" t="s">
        <v>895</v>
      </c>
      <c r="AB7" s="19" t="s">
        <v>897</v>
      </c>
      <c r="AC7" s="19" t="s">
        <v>1053</v>
      </c>
      <c r="AD7" s="19" t="s">
        <v>930</v>
      </c>
      <c r="AE7" s="19" t="s">
        <v>1054</v>
      </c>
      <c r="AF7" s="19" t="s">
        <v>1055</v>
      </c>
    </row>
    <row r="8" spans="1:32" x14ac:dyDescent="0.2">
      <c r="A8" s="10"/>
      <c r="B8" s="10"/>
      <c r="C8" s="12"/>
      <c r="D8" s="10"/>
      <c r="E8" s="17"/>
      <c r="F8" s="10"/>
      <c r="G8" s="10"/>
      <c r="H8" s="17"/>
      <c r="I8" s="17"/>
      <c r="J8" s="17"/>
      <c r="K8" s="17"/>
      <c r="L8" s="10"/>
      <c r="M8" s="17"/>
      <c r="N8" s="17"/>
      <c r="O8" s="10"/>
      <c r="P8" s="21" t="str">
        <f t="shared" ref="P8:P15" si="0">IF(AB8=1,"",IF(AD8&lt;&gt;"",AD8&amp;": no result is shown",IF(R8=0,"0",IF(ABS(R8)&lt;0.0001,FIXED(R8/10^INT(LOG10(ABS(R8))),2,TRUE)&amp;" x 10^"&amp;INT(LOG10(ABS(R8))),FIXED(ROUND(R8,2-INT(LOG10(ABS(R8)))),MAX(0,2-INT(LOG10(ABS(R8)))),TRUE)))&amp;"% of the reference remains after "&amp;M8&amp;" "&amp;I8&amp;"; k = "&amp;IF(S8=0,"0",IF(ABS(S8)&lt;0.0001,FIXED(S8/10^INT(LOG10(ABS(S8))),2,TRUE)&amp;" x 10^"&amp;INT(LOG10(ABS(S8))),FIXED(ROUND(S8,2-INT(LOG10(ABS(S8)))),MAX(0,2-INT(LOG10(ABS(S8)))),TRUE)))&amp;" per "&amp;LEFT(I8,LEN(I8)-1)))</f>
        <v/>
      </c>
      <c r="Q8" s="21" t="str">
        <f t="shared" ref="Q8:Q15" si="1">IF(AF8=1,2^(-M8/J8),"")</f>
        <v/>
      </c>
      <c r="R8" s="21" t="str">
        <f t="shared" ref="R8:R15" si="2">IF(AF8=1,100*Q8,"")</f>
        <v/>
      </c>
      <c r="S8" s="21" t="str">
        <f t="shared" ref="S8:S15" si="3">IF(AF8=1,LN(2)/J8,"")</f>
        <v/>
      </c>
      <c r="T8" s="21" t="str">
        <f t="shared" ref="T8:T15" si="4">IF(AF8=1,LN(2)/(J8*IF(I8="minutes",1/60,IF(I8="hours",1,24))),"")</f>
        <v/>
      </c>
      <c r="U8" s="21" t="str">
        <f t="shared" ref="U8:U15" si="5">IF(AB8=1,"",AD8)</f>
        <v/>
      </c>
      <c r="V8" s="21" t="str">
        <f>IF(AD8="","",AD8&amp;": "&amp;SUBSTITUTE(IFERROR(INDEX(nMSG_Text,MATCH(AD8,nMSG_Code,0)),""),"[input]",AE8))</f>
        <v/>
      </c>
      <c r="W8" s="21" t="str">
        <f t="shared" ref="W8:W15" si="6">IF(AB8=1,"","t_half = "&amp;J8&amp;" "&amp;I8&amp;" ["&amp;IF(K8="","status not recorded",K8)&amp;IF(L8&lt;&gt;"","; "&amp;L8,"")&amp;"]"&amp;"; "&amp;"t = "&amp;M8&amp;" "&amp;I8&amp;" ["&amp;IF(N8="","status not recorded",N8)&amp;IF(O8&lt;&gt;"","; "&amp;O8,"")&amp;"]")</f>
        <v/>
      </c>
      <c r="X8" s="21" t="str">
        <f t="shared" ref="X8:X15" si="7">IF(AB8=1,"","Model: "&amp;IF(E8="Yes","confirmed","not confirmed")&amp;". Parameter used: "&amp;IF(F8="","not stated",F8)&amp;". Reference time: "&amp;IF(G8="","not stated",G8)&amp;". Parameter_Status: "&amp;IF(H8="Yes","confirmed","not confirmed")&amp;".")</f>
        <v/>
      </c>
      <c r="Y8" s="21" t="str">
        <f t="shared" ref="Y8:Y15" si="8">IF(AB8=1,"","Fraction of the chosen reference amount or concentration under the stated model. It is not a causal or pharmacological threshold.")</f>
        <v/>
      </c>
      <c r="Z8" s="21" t="str">
        <f t="shared" ref="Z8:Z15" si="9">IF(AB8=1,"","k = ln 2 / t_half; fraction remaining = 2^(-t / t_half) = exp(-k x t)")</f>
        <v/>
      </c>
      <c r="AA8" s="21" t="str">
        <f t="shared" ref="AA8:AA15" si="10">IF(AB8=1,"","CALC-SPEC 1.0")</f>
        <v/>
      </c>
      <c r="AB8" s="22">
        <f t="shared" ref="AB8:AB15" si="11">IF(AND(A8="",J8="",M8=""),1,0)</f>
        <v>1</v>
      </c>
      <c r="AC8" s="21" t="str">
        <f t="shared" ref="AC8:AC15" si="12">IF(A8="","",B8&amp;"|"&amp;C8&amp;"|"&amp;A8)</f>
        <v/>
      </c>
      <c r="AD8" s="21" t="str">
        <f>IF(AB8=1,"",IF(OR(A8="",I8="",J8="",M8=""),"E_MISSING_INPUT",IF(ISNA(MATCH(I8,nLIST_TimeUnit,0)),"E_INVALID_UNIT",IF(OR(NOT(ISNUMBER(J8)),NOT(ISNUMBER(M8))),"E_MISSING_INPUT",IF(J8&lt;=0,"E_NONPOSITIVE_PARAMETER",IF(NOT(AND(E8="Yes",F8&lt;&gt;"",G8&lt;&gt;"",H8="Yes")),"E_APPLICABILITY_UNCONFIRMED",IF(OR(K8="",N8=""),"E_MISSING_INPUT",IF(M8&lt;0,"E_OUT_OF_RANGE",""))))))))</f>
        <v/>
      </c>
      <c r="AE8" s="21" t="str">
        <f t="shared" ref="AE8:AE15" si="13">IF(AD8&lt;&gt;"E_MISSING_INPUT","",IF(A8="","a Calc_ID",IF(I8="","a time unit (minutes, hours or days)",IF(NOT(ISNUMBER(J8)),"a numeric t_half",IF(NOT(ISNUMBER(M8)),"a numeric t",IF(K8="","the Parameter_Status of t_half","the Parameter_Status of t"))))))</f>
        <v/>
      </c>
      <c r="AF8" s="22">
        <f t="shared" ref="AF8:AF15" si="14">IF(AND(AB8=0,AD8=""),1,0)</f>
        <v>0</v>
      </c>
    </row>
    <row r="9" spans="1:32" x14ac:dyDescent="0.2">
      <c r="A9" s="10"/>
      <c r="B9" s="10"/>
      <c r="C9" s="12"/>
      <c r="D9" s="10"/>
      <c r="E9" s="17"/>
      <c r="F9" s="10"/>
      <c r="G9" s="10"/>
      <c r="H9" s="17"/>
      <c r="I9" s="17"/>
      <c r="J9" s="17"/>
      <c r="K9" s="17"/>
      <c r="L9" s="10"/>
      <c r="M9" s="17"/>
      <c r="N9" s="17"/>
      <c r="O9" s="10"/>
      <c r="P9" s="21" t="str">
        <f t="shared" si="0"/>
        <v/>
      </c>
      <c r="Q9" s="21" t="str">
        <f t="shared" si="1"/>
        <v/>
      </c>
      <c r="R9" s="21" t="str">
        <f t="shared" si="2"/>
        <v/>
      </c>
      <c r="S9" s="21" t="str">
        <f t="shared" si="3"/>
        <v/>
      </c>
      <c r="T9" s="21" t="str">
        <f t="shared" si="4"/>
        <v/>
      </c>
      <c r="U9" s="21" t="str">
        <f t="shared" si="5"/>
        <v/>
      </c>
      <c r="V9" s="21" t="str">
        <f>IF(AD9="","",AD9&amp;": "&amp;SUBSTITUTE(IFERROR(INDEX(nMSG_Text,MATCH(AD9,nMSG_Code,0)),""),"[input]",AE9))</f>
        <v/>
      </c>
      <c r="W9" s="21" t="str">
        <f t="shared" si="6"/>
        <v/>
      </c>
      <c r="X9" s="21" t="str">
        <f t="shared" si="7"/>
        <v/>
      </c>
      <c r="Y9" s="21" t="str">
        <f t="shared" si="8"/>
        <v/>
      </c>
      <c r="Z9" s="21" t="str">
        <f t="shared" si="9"/>
        <v/>
      </c>
      <c r="AA9" s="21" t="str">
        <f t="shared" si="10"/>
        <v/>
      </c>
      <c r="AB9" s="22">
        <f t="shared" si="11"/>
        <v>1</v>
      </c>
      <c r="AC9" s="21" t="str">
        <f t="shared" si="12"/>
        <v/>
      </c>
      <c r="AD9" s="21" t="str">
        <f>IF(AB9=1,"",IF(OR(A9="",I9="",J9="",M9=""),"E_MISSING_INPUT",IF(ISNA(MATCH(I9,nLIST_TimeUnit,0)),"E_INVALID_UNIT",IF(OR(NOT(ISNUMBER(J9)),NOT(ISNUMBER(M9))),"E_MISSING_INPUT",IF(J9&lt;=0,"E_NONPOSITIVE_PARAMETER",IF(NOT(AND(E9="Yes",F9&lt;&gt;"",G9&lt;&gt;"",H9="Yes")),"E_APPLICABILITY_UNCONFIRMED",IF(OR(K9="",N9=""),"E_MISSING_INPUT",IF(M9&lt;0,"E_OUT_OF_RANGE",""))))))))</f>
        <v/>
      </c>
      <c r="AE9" s="21" t="str">
        <f t="shared" si="13"/>
        <v/>
      </c>
      <c r="AF9" s="22">
        <f t="shared" si="14"/>
        <v>0</v>
      </c>
    </row>
    <row r="10" spans="1:32" x14ac:dyDescent="0.2">
      <c r="A10" s="10"/>
      <c r="B10" s="10"/>
      <c r="C10" s="12"/>
      <c r="D10" s="10"/>
      <c r="E10" s="17"/>
      <c r="F10" s="10"/>
      <c r="G10" s="10"/>
      <c r="H10" s="17"/>
      <c r="I10" s="17"/>
      <c r="J10" s="17"/>
      <c r="K10" s="17"/>
      <c r="L10" s="10"/>
      <c r="M10" s="17"/>
      <c r="N10" s="17"/>
      <c r="O10" s="10"/>
      <c r="P10" s="21" t="str">
        <f t="shared" si="0"/>
        <v/>
      </c>
      <c r="Q10" s="21" t="str">
        <f t="shared" si="1"/>
        <v/>
      </c>
      <c r="R10" s="21" t="str">
        <f t="shared" si="2"/>
        <v/>
      </c>
      <c r="S10" s="21" t="str">
        <f t="shared" si="3"/>
        <v/>
      </c>
      <c r="T10" s="21" t="str">
        <f t="shared" si="4"/>
        <v/>
      </c>
      <c r="U10" s="21" t="str">
        <f t="shared" si="5"/>
        <v/>
      </c>
      <c r="V10" s="21" t="str">
        <f>IF(AD10="","",AD10&amp;": "&amp;SUBSTITUTE(IFERROR(INDEX(nMSG_Text,MATCH(AD10,nMSG_Code,0)),""),"[input]",AE10))</f>
        <v/>
      </c>
      <c r="W10" s="21" t="str">
        <f t="shared" si="6"/>
        <v/>
      </c>
      <c r="X10" s="21" t="str">
        <f t="shared" si="7"/>
        <v/>
      </c>
      <c r="Y10" s="21" t="str">
        <f t="shared" si="8"/>
        <v/>
      </c>
      <c r="Z10" s="21" t="str">
        <f t="shared" si="9"/>
        <v/>
      </c>
      <c r="AA10" s="21" t="str">
        <f t="shared" si="10"/>
        <v/>
      </c>
      <c r="AB10" s="22">
        <f t="shared" si="11"/>
        <v>1</v>
      </c>
      <c r="AC10" s="21" t="str">
        <f t="shared" si="12"/>
        <v/>
      </c>
      <c r="AD10" s="21" t="str">
        <f>IF(AB10=1,"",IF(OR(A10="",I10="",J10="",M10=""),"E_MISSING_INPUT",IF(ISNA(MATCH(I10,nLIST_TimeUnit,0)),"E_INVALID_UNIT",IF(OR(NOT(ISNUMBER(J10)),NOT(ISNUMBER(M10))),"E_MISSING_INPUT",IF(J10&lt;=0,"E_NONPOSITIVE_PARAMETER",IF(NOT(AND(E10="Yes",F10&lt;&gt;"",G10&lt;&gt;"",H10="Yes")),"E_APPLICABILITY_UNCONFIRMED",IF(OR(K10="",N10=""),"E_MISSING_INPUT",IF(M10&lt;0,"E_OUT_OF_RANGE",""))))))))</f>
        <v/>
      </c>
      <c r="AE10" s="21" t="str">
        <f t="shared" si="13"/>
        <v/>
      </c>
      <c r="AF10" s="22">
        <f t="shared" si="14"/>
        <v>0</v>
      </c>
    </row>
    <row r="11" spans="1:32" x14ac:dyDescent="0.2">
      <c r="A11" s="10"/>
      <c r="B11" s="10"/>
      <c r="C11" s="12"/>
      <c r="D11" s="10"/>
      <c r="E11" s="17"/>
      <c r="F11" s="10"/>
      <c r="G11" s="10"/>
      <c r="H11" s="17"/>
      <c r="I11" s="17"/>
      <c r="J11" s="17"/>
      <c r="K11" s="17"/>
      <c r="L11" s="10"/>
      <c r="M11" s="17"/>
      <c r="N11" s="17"/>
      <c r="O11" s="10"/>
      <c r="P11" s="21" t="str">
        <f t="shared" si="0"/>
        <v/>
      </c>
      <c r="Q11" s="21" t="str">
        <f t="shared" si="1"/>
        <v/>
      </c>
      <c r="R11" s="21" t="str">
        <f t="shared" si="2"/>
        <v/>
      </c>
      <c r="S11" s="21" t="str">
        <f t="shared" si="3"/>
        <v/>
      </c>
      <c r="T11" s="21" t="str">
        <f t="shared" si="4"/>
        <v/>
      </c>
      <c r="U11" s="21" t="str">
        <f t="shared" si="5"/>
        <v/>
      </c>
      <c r="V11" s="21" t="str">
        <f>IF(AD11="","",AD11&amp;": "&amp;SUBSTITUTE(IFERROR(INDEX(nMSG_Text,MATCH(AD11,nMSG_Code,0)),""),"[input]",AE11))</f>
        <v/>
      </c>
      <c r="W11" s="21" t="str">
        <f t="shared" si="6"/>
        <v/>
      </c>
      <c r="X11" s="21" t="str">
        <f t="shared" si="7"/>
        <v/>
      </c>
      <c r="Y11" s="21" t="str">
        <f t="shared" si="8"/>
        <v/>
      </c>
      <c r="Z11" s="21" t="str">
        <f t="shared" si="9"/>
        <v/>
      </c>
      <c r="AA11" s="21" t="str">
        <f t="shared" si="10"/>
        <v/>
      </c>
      <c r="AB11" s="22">
        <f t="shared" si="11"/>
        <v>1</v>
      </c>
      <c r="AC11" s="21" t="str">
        <f t="shared" si="12"/>
        <v/>
      </c>
      <c r="AD11" s="21" t="str">
        <f>IF(AB11=1,"",IF(OR(A11="",I11="",J11="",M11=""),"E_MISSING_INPUT",IF(ISNA(MATCH(I11,nLIST_TimeUnit,0)),"E_INVALID_UNIT",IF(OR(NOT(ISNUMBER(J11)),NOT(ISNUMBER(M11))),"E_MISSING_INPUT",IF(J11&lt;=0,"E_NONPOSITIVE_PARAMETER",IF(NOT(AND(E11="Yes",F11&lt;&gt;"",G11&lt;&gt;"",H11="Yes")),"E_APPLICABILITY_UNCONFIRMED",IF(OR(K11="",N11=""),"E_MISSING_INPUT",IF(M11&lt;0,"E_OUT_OF_RANGE",""))))))))</f>
        <v/>
      </c>
      <c r="AE11" s="21" t="str">
        <f t="shared" si="13"/>
        <v/>
      </c>
      <c r="AF11" s="22">
        <f t="shared" si="14"/>
        <v>0</v>
      </c>
    </row>
    <row r="12" spans="1:32" x14ac:dyDescent="0.2">
      <c r="A12" s="10"/>
      <c r="B12" s="10"/>
      <c r="C12" s="12"/>
      <c r="D12" s="10"/>
      <c r="E12" s="17"/>
      <c r="F12" s="10"/>
      <c r="G12" s="10"/>
      <c r="H12" s="17"/>
      <c r="I12" s="17"/>
      <c r="J12" s="17"/>
      <c r="K12" s="17"/>
      <c r="L12" s="10"/>
      <c r="M12" s="17"/>
      <c r="N12" s="17"/>
      <c r="O12" s="10"/>
      <c r="P12" s="21" t="str">
        <f t="shared" si="0"/>
        <v/>
      </c>
      <c r="Q12" s="21" t="str">
        <f t="shared" si="1"/>
        <v/>
      </c>
      <c r="R12" s="21" t="str">
        <f t="shared" si="2"/>
        <v/>
      </c>
      <c r="S12" s="21" t="str">
        <f t="shared" si="3"/>
        <v/>
      </c>
      <c r="T12" s="21" t="str">
        <f t="shared" si="4"/>
        <v/>
      </c>
      <c r="U12" s="21" t="str">
        <f t="shared" si="5"/>
        <v/>
      </c>
      <c r="V12" s="21" t="str">
        <f>IF(AD12="","",AD12&amp;": "&amp;SUBSTITUTE(IFERROR(INDEX(nMSG_Text,MATCH(AD12,nMSG_Code,0)),""),"[input]",AE12))</f>
        <v/>
      </c>
      <c r="W12" s="21" t="str">
        <f t="shared" si="6"/>
        <v/>
      </c>
      <c r="X12" s="21" t="str">
        <f t="shared" si="7"/>
        <v/>
      </c>
      <c r="Y12" s="21" t="str">
        <f t="shared" si="8"/>
        <v/>
      </c>
      <c r="Z12" s="21" t="str">
        <f t="shared" si="9"/>
        <v/>
      </c>
      <c r="AA12" s="21" t="str">
        <f t="shared" si="10"/>
        <v/>
      </c>
      <c r="AB12" s="22">
        <f t="shared" si="11"/>
        <v>1</v>
      </c>
      <c r="AC12" s="21" t="str">
        <f t="shared" si="12"/>
        <v/>
      </c>
      <c r="AD12" s="21" t="str">
        <f>IF(AB12=1,"",IF(OR(A12="",I12="",J12="",M12=""),"E_MISSING_INPUT",IF(ISNA(MATCH(I12,nLIST_TimeUnit,0)),"E_INVALID_UNIT",IF(OR(NOT(ISNUMBER(J12)),NOT(ISNUMBER(M12))),"E_MISSING_INPUT",IF(J12&lt;=0,"E_NONPOSITIVE_PARAMETER",IF(NOT(AND(E12="Yes",F12&lt;&gt;"",G12&lt;&gt;"",H12="Yes")),"E_APPLICABILITY_UNCONFIRMED",IF(OR(K12="",N12=""),"E_MISSING_INPUT",IF(M12&lt;0,"E_OUT_OF_RANGE",""))))))))</f>
        <v/>
      </c>
      <c r="AE12" s="21" t="str">
        <f t="shared" si="13"/>
        <v/>
      </c>
      <c r="AF12" s="22">
        <f t="shared" si="14"/>
        <v>0</v>
      </c>
    </row>
    <row r="13" spans="1:32" x14ac:dyDescent="0.2">
      <c r="A13" s="10"/>
      <c r="B13" s="10"/>
      <c r="C13" s="12"/>
      <c r="D13" s="10"/>
      <c r="E13" s="17"/>
      <c r="F13" s="10"/>
      <c r="G13" s="10"/>
      <c r="H13" s="17"/>
      <c r="I13" s="17"/>
      <c r="J13" s="17"/>
      <c r="K13" s="17"/>
      <c r="L13" s="10"/>
      <c r="M13" s="17"/>
      <c r="N13" s="17"/>
      <c r="O13" s="10"/>
      <c r="P13" s="21" t="str">
        <f t="shared" si="0"/>
        <v/>
      </c>
      <c r="Q13" s="21" t="str">
        <f t="shared" si="1"/>
        <v/>
      </c>
      <c r="R13" s="21" t="str">
        <f t="shared" si="2"/>
        <v/>
      </c>
      <c r="S13" s="21" t="str">
        <f t="shared" si="3"/>
        <v/>
      </c>
      <c r="T13" s="21" t="str">
        <f t="shared" si="4"/>
        <v/>
      </c>
      <c r="U13" s="21" t="str">
        <f t="shared" si="5"/>
        <v/>
      </c>
      <c r="V13" s="21" t="str">
        <f>IF(AD13="","",AD13&amp;": "&amp;SUBSTITUTE(IFERROR(INDEX(nMSG_Text,MATCH(AD13,nMSG_Code,0)),""),"[input]",AE13))</f>
        <v/>
      </c>
      <c r="W13" s="21" t="str">
        <f t="shared" si="6"/>
        <v/>
      </c>
      <c r="X13" s="21" t="str">
        <f t="shared" si="7"/>
        <v/>
      </c>
      <c r="Y13" s="21" t="str">
        <f t="shared" si="8"/>
        <v/>
      </c>
      <c r="Z13" s="21" t="str">
        <f t="shared" si="9"/>
        <v/>
      </c>
      <c r="AA13" s="21" t="str">
        <f t="shared" si="10"/>
        <v/>
      </c>
      <c r="AB13" s="22">
        <f t="shared" si="11"/>
        <v>1</v>
      </c>
      <c r="AC13" s="21" t="str">
        <f t="shared" si="12"/>
        <v/>
      </c>
      <c r="AD13" s="21" t="str">
        <f>IF(AB13=1,"",IF(OR(A13="",I13="",J13="",M13=""),"E_MISSING_INPUT",IF(ISNA(MATCH(I13,nLIST_TimeUnit,0)),"E_INVALID_UNIT",IF(OR(NOT(ISNUMBER(J13)),NOT(ISNUMBER(M13))),"E_MISSING_INPUT",IF(J13&lt;=0,"E_NONPOSITIVE_PARAMETER",IF(NOT(AND(E13="Yes",F13&lt;&gt;"",G13&lt;&gt;"",H13="Yes")),"E_APPLICABILITY_UNCONFIRMED",IF(OR(K13="",N13=""),"E_MISSING_INPUT",IF(M13&lt;0,"E_OUT_OF_RANGE",""))))))))</f>
        <v/>
      </c>
      <c r="AE13" s="21" t="str">
        <f t="shared" si="13"/>
        <v/>
      </c>
      <c r="AF13" s="22">
        <f t="shared" si="14"/>
        <v>0</v>
      </c>
    </row>
    <row r="14" spans="1:32" x14ac:dyDescent="0.2">
      <c r="A14" s="10"/>
      <c r="B14" s="10"/>
      <c r="C14" s="12"/>
      <c r="D14" s="10"/>
      <c r="E14" s="17"/>
      <c r="F14" s="10"/>
      <c r="G14" s="10"/>
      <c r="H14" s="17"/>
      <c r="I14" s="17"/>
      <c r="J14" s="17"/>
      <c r="K14" s="17"/>
      <c r="L14" s="10"/>
      <c r="M14" s="17"/>
      <c r="N14" s="17"/>
      <c r="O14" s="10"/>
      <c r="P14" s="21" t="str">
        <f t="shared" si="0"/>
        <v/>
      </c>
      <c r="Q14" s="21" t="str">
        <f t="shared" si="1"/>
        <v/>
      </c>
      <c r="R14" s="21" t="str">
        <f t="shared" si="2"/>
        <v/>
      </c>
      <c r="S14" s="21" t="str">
        <f t="shared" si="3"/>
        <v/>
      </c>
      <c r="T14" s="21" t="str">
        <f t="shared" si="4"/>
        <v/>
      </c>
      <c r="U14" s="21" t="str">
        <f t="shared" si="5"/>
        <v/>
      </c>
      <c r="V14" s="21" t="str">
        <f>IF(AD14="","",AD14&amp;": "&amp;SUBSTITUTE(IFERROR(INDEX(nMSG_Text,MATCH(AD14,nMSG_Code,0)),""),"[input]",AE14))</f>
        <v/>
      </c>
      <c r="W14" s="21" t="str">
        <f t="shared" si="6"/>
        <v/>
      </c>
      <c r="X14" s="21" t="str">
        <f t="shared" si="7"/>
        <v/>
      </c>
      <c r="Y14" s="21" t="str">
        <f t="shared" si="8"/>
        <v/>
      </c>
      <c r="Z14" s="21" t="str">
        <f t="shared" si="9"/>
        <v/>
      </c>
      <c r="AA14" s="21" t="str">
        <f t="shared" si="10"/>
        <v/>
      </c>
      <c r="AB14" s="22">
        <f t="shared" si="11"/>
        <v>1</v>
      </c>
      <c r="AC14" s="21" t="str">
        <f t="shared" si="12"/>
        <v/>
      </c>
      <c r="AD14" s="21" t="str">
        <f>IF(AB14=1,"",IF(OR(A14="",I14="",J14="",M14=""),"E_MISSING_INPUT",IF(ISNA(MATCH(I14,nLIST_TimeUnit,0)),"E_INVALID_UNIT",IF(OR(NOT(ISNUMBER(J14)),NOT(ISNUMBER(M14))),"E_MISSING_INPUT",IF(J14&lt;=0,"E_NONPOSITIVE_PARAMETER",IF(NOT(AND(E14="Yes",F14&lt;&gt;"",G14&lt;&gt;"",H14="Yes")),"E_APPLICABILITY_UNCONFIRMED",IF(OR(K14="",N14=""),"E_MISSING_INPUT",IF(M14&lt;0,"E_OUT_OF_RANGE",""))))))))</f>
        <v/>
      </c>
      <c r="AE14" s="21" t="str">
        <f t="shared" si="13"/>
        <v/>
      </c>
      <c r="AF14" s="22">
        <f t="shared" si="14"/>
        <v>0</v>
      </c>
    </row>
    <row r="15" spans="1:32" x14ac:dyDescent="0.2">
      <c r="A15" s="10"/>
      <c r="B15" s="10"/>
      <c r="C15" s="12"/>
      <c r="D15" s="10"/>
      <c r="E15" s="17"/>
      <c r="F15" s="10"/>
      <c r="G15" s="10"/>
      <c r="H15" s="17"/>
      <c r="I15" s="17"/>
      <c r="J15" s="17"/>
      <c r="K15" s="17"/>
      <c r="L15" s="10"/>
      <c r="M15" s="17"/>
      <c r="N15" s="17"/>
      <c r="O15" s="10"/>
      <c r="P15" s="21" t="str">
        <f t="shared" si="0"/>
        <v/>
      </c>
      <c r="Q15" s="21" t="str">
        <f t="shared" si="1"/>
        <v/>
      </c>
      <c r="R15" s="21" t="str">
        <f t="shared" si="2"/>
        <v/>
      </c>
      <c r="S15" s="21" t="str">
        <f t="shared" si="3"/>
        <v/>
      </c>
      <c r="T15" s="21" t="str">
        <f t="shared" si="4"/>
        <v/>
      </c>
      <c r="U15" s="21" t="str">
        <f t="shared" si="5"/>
        <v/>
      </c>
      <c r="V15" s="21" t="str">
        <f>IF(AD15="","",AD15&amp;": "&amp;SUBSTITUTE(IFERROR(INDEX(nMSG_Text,MATCH(AD15,nMSG_Code,0)),""),"[input]",AE15))</f>
        <v/>
      </c>
      <c r="W15" s="21" t="str">
        <f t="shared" si="6"/>
        <v/>
      </c>
      <c r="X15" s="21" t="str">
        <f t="shared" si="7"/>
        <v/>
      </c>
      <c r="Y15" s="21" t="str">
        <f t="shared" si="8"/>
        <v/>
      </c>
      <c r="Z15" s="21" t="str">
        <f t="shared" si="9"/>
        <v/>
      </c>
      <c r="AA15" s="21" t="str">
        <f t="shared" si="10"/>
        <v/>
      </c>
      <c r="AB15" s="22">
        <f t="shared" si="11"/>
        <v>1</v>
      </c>
      <c r="AC15" s="21" t="str">
        <f t="shared" si="12"/>
        <v/>
      </c>
      <c r="AD15" s="21" t="str">
        <f>IF(AB15=1,"",IF(OR(A15="",I15="",J15="",M15=""),"E_MISSING_INPUT",IF(ISNA(MATCH(I15,nLIST_TimeUnit,0)),"E_INVALID_UNIT",IF(OR(NOT(ISNUMBER(J15)),NOT(ISNUMBER(M15))),"E_MISSING_INPUT",IF(J15&lt;=0,"E_NONPOSITIVE_PARAMETER",IF(NOT(AND(E15="Yes",F15&lt;&gt;"",G15&lt;&gt;"",H15="Yes")),"E_APPLICABILITY_UNCONFIRMED",IF(OR(K15="",N15=""),"E_MISSING_INPUT",IF(M15&lt;0,"E_OUT_OF_RANGE",""))))))))</f>
        <v/>
      </c>
      <c r="AE15" s="21" t="str">
        <f t="shared" si="13"/>
        <v/>
      </c>
      <c r="AF15" s="22">
        <f t="shared" si="14"/>
        <v>0</v>
      </c>
    </row>
    <row r="16" spans="1:32" x14ac:dyDescent="0.2">
      <c r="A16" s="24" t="s">
        <v>289</v>
      </c>
      <c r="B16" s="23"/>
      <c r="C16" s="23"/>
      <c r="D16" s="23"/>
      <c r="E16" s="23"/>
      <c r="F16" s="23"/>
      <c r="G16" s="23"/>
      <c r="H16" s="23"/>
      <c r="I16" s="23"/>
      <c r="J16" s="23"/>
      <c r="K16" s="23"/>
      <c r="L16" s="23"/>
      <c r="M16" s="23"/>
      <c r="N16" s="23"/>
      <c r="O16" s="23"/>
      <c r="P16" s="23"/>
      <c r="Q16" s="23"/>
      <c r="R16" s="23"/>
      <c r="S16" s="23"/>
      <c r="T16" s="23"/>
      <c r="U16" s="23"/>
      <c r="V16" s="23"/>
      <c r="W16" s="23"/>
      <c r="X16" s="23"/>
      <c r="Y16" s="23"/>
      <c r="Z16" s="23"/>
      <c r="AA16" s="23"/>
      <c r="AB16" s="23"/>
      <c r="AC16" s="23"/>
      <c r="AD16" s="23"/>
      <c r="AE16" s="23"/>
      <c r="AF16" s="23"/>
    </row>
    <row r="17" spans="1:32" x14ac:dyDescent="0.2">
      <c r="A17" s="9" t="s">
        <v>1056</v>
      </c>
      <c r="B17" s="9" t="s">
        <v>333</v>
      </c>
      <c r="C17" s="11">
        <v>1</v>
      </c>
      <c r="D17" s="9" t="s">
        <v>1057</v>
      </c>
      <c r="E17" s="16" t="s">
        <v>83</v>
      </c>
      <c r="F17" s="9" t="s">
        <v>1058</v>
      </c>
      <c r="G17" s="9" t="s">
        <v>1059</v>
      </c>
      <c r="H17" s="16" t="s">
        <v>83</v>
      </c>
      <c r="I17" s="16" t="s">
        <v>65</v>
      </c>
      <c r="J17" s="16">
        <v>24</v>
      </c>
      <c r="K17" s="16" t="s">
        <v>81</v>
      </c>
      <c r="L17" s="9" t="s">
        <v>1060</v>
      </c>
      <c r="M17" s="16">
        <v>72</v>
      </c>
      <c r="N17" s="16" t="s">
        <v>81</v>
      </c>
      <c r="O17" s="9" t="s">
        <v>1060</v>
      </c>
      <c r="P17" s="21" t="str">
        <f t="shared" ref="P17:P20" si="15">IF(AB17=1,"",IF(AD17&lt;&gt;"",AD17&amp;": no result is shown",IF(R17=0,"0",IF(ABS(R17)&lt;0.0001,FIXED(R17/10^INT(LOG10(ABS(R17))),2,TRUE)&amp;" x 10^"&amp;INT(LOG10(ABS(R17))),FIXED(ROUND(R17,2-INT(LOG10(ABS(R17)))),MAX(0,2-INT(LOG10(ABS(R17)))),TRUE)))&amp;"% of the reference remains after "&amp;M17&amp;" "&amp;I17&amp;"; k = "&amp;IF(S17=0,"0",IF(ABS(S17)&lt;0.0001,FIXED(S17/10^INT(LOG10(ABS(S17))),2,TRUE)&amp;" x 10^"&amp;INT(LOG10(ABS(S17))),FIXED(ROUND(S17,2-INT(LOG10(ABS(S17)))),MAX(0,2-INT(LOG10(ABS(S17)))),TRUE)))&amp;" per "&amp;LEFT(I17,LEN(I17)-1)))</f>
        <v>12.5% of the reference remains after 72 hours; k = 0.0289 per hour</v>
      </c>
      <c r="Q17" s="21">
        <f t="shared" ref="Q17:Q20" si="16">IF(AF17=1,2^(-M17/J17),"")</f>
        <v>0.125</v>
      </c>
      <c r="R17" s="21">
        <f t="shared" ref="R17:R20" si="17">IF(AF17=1,100*Q17,"")</f>
        <v>12.5</v>
      </c>
      <c r="S17" s="21">
        <f t="shared" ref="S17:S20" si="18">IF(AF17=1,LN(2)/J17,"")</f>
        <v>2.8881132523331052E-2</v>
      </c>
      <c r="T17" s="21">
        <f t="shared" ref="T17:T20" si="19">IF(AF17=1,LN(2)/(J17*IF(I17="minutes",1/60,IF(I17="hours",1,24))),"")</f>
        <v>2.8881132523331052E-2</v>
      </c>
      <c r="U17" s="21" t="str">
        <f t="shared" ref="U17:U20" si="20">IF(AB17=1,"",AD17)</f>
        <v/>
      </c>
      <c r="V17" s="21" t="str">
        <f>IF(AD17="","",AD17&amp;": "&amp;SUBSTITUTE(IFERROR(INDEX(nMSG_Text,MATCH(AD17,nMSG_Code,0)),""),"[input]",AE17))</f>
        <v/>
      </c>
      <c r="W17" s="21" t="str">
        <f t="shared" ref="W17:W20" si="21">IF(AB17=1,"","t_half = "&amp;J17&amp;" "&amp;I17&amp;" ["&amp;IF(K17="","status not recorded",K17)&amp;IF(L17&lt;&gt;"","; "&amp;L17,"")&amp;"]"&amp;"; "&amp;"t = "&amp;M17&amp;" "&amp;I17&amp;" ["&amp;IF(N17="","status not recorded",N17)&amp;IF(O17&lt;&gt;"","; "&amp;O17,"")&amp;"]")</f>
        <v>t_half = 24 hours [hypothetical example; V15 V16]; t = 72 hours [hypothetical example; V15 V16]</v>
      </c>
      <c r="X17" s="21" t="str">
        <f t="shared" ref="X17:X20" si="22">IF(AB17=1,"","Model: "&amp;IF(E17="Yes","confirmed","not confirmed")&amp;". Parameter used: "&amp;IF(F17="","not stated",F17)&amp;". Reference time: "&amp;IF(G17="","not stated",G17)&amp;". Parameter_Status: "&amp;IF(H17="Yes","confirmed","not confirmed")&amp;".")</f>
        <v>Model: confirmed. Parameter used: Hypothetical teaching value from the vector file. Reference time: Reference amount at time zero. Parameter_Status: confirmed.</v>
      </c>
      <c r="Y17" s="21" t="str">
        <f t="shared" ref="Y17:Y20" si="23">IF(AB17=1,"","Fraction of the chosen reference amount or concentration under the stated model. It is not a causal or pharmacological threshold.")</f>
        <v>Fraction of the chosen reference amount or concentration under the stated model. It is not a causal or pharmacological threshold.</v>
      </c>
      <c r="Z17" s="21" t="str">
        <f t="shared" ref="Z17:Z20" si="24">IF(AB17=1,"","k = ln 2 / t_half; fraction remaining = 2^(-t / t_half) = exp(-k x t)")</f>
        <v>k = ln 2 / t_half; fraction remaining = 2^(-t / t_half) = exp(-k x t)</v>
      </c>
      <c r="AA17" s="21" t="str">
        <f t="shared" ref="AA17:AA20" si="25">IF(AB17=1,"","CALC-SPEC 1.0")</f>
        <v>CALC-SPEC 1.0</v>
      </c>
      <c r="AB17" s="22">
        <f t="shared" ref="AB17:AB20" si="26">IF(AND(A17="",J17="",M17=""),1,0)</f>
        <v>0</v>
      </c>
      <c r="AC17" s="21" t="str">
        <f t="shared" ref="AC17:AC20" si="27">IF(A17="","",B17&amp;"|"&amp;C17&amp;"|"&amp;A17)</f>
        <v>VEC-V16|1|Q1-V16</v>
      </c>
      <c r="AD17" s="21" t="str">
        <f>IF(AB17=1,"",IF(OR(A17="",I17="",J17="",M17=""),"E_MISSING_INPUT",IF(ISNA(MATCH(I17,nLIST_TimeUnit,0)),"E_INVALID_UNIT",IF(OR(NOT(ISNUMBER(J17)),NOT(ISNUMBER(M17))),"E_MISSING_INPUT",IF(J17&lt;=0,"E_NONPOSITIVE_PARAMETER",IF(NOT(AND(E17="Yes",F17&lt;&gt;"",G17&lt;&gt;"",H17="Yes")),"E_APPLICABILITY_UNCONFIRMED",IF(OR(K17="",N17=""),"E_MISSING_INPUT",IF(M17&lt;0,"E_OUT_OF_RANGE",""))))))))</f>
        <v/>
      </c>
      <c r="AE17" s="21" t="str">
        <f t="shared" ref="AE17:AE20" si="28">IF(AD17&lt;&gt;"E_MISSING_INPUT","",IF(A17="","a Calc_ID",IF(I17="","a time unit (minutes, hours or days)",IF(NOT(ISNUMBER(J17)),"a numeric t_half",IF(NOT(ISNUMBER(M17)),"a numeric t",IF(K17="","the Parameter_Status of t_half","the Parameter_Status of t"))))))</f>
        <v/>
      </c>
      <c r="AF17" s="22">
        <f t="shared" ref="AF17:AF20" si="29">IF(AND(AB17=0,AD17=""),1,0)</f>
        <v>1</v>
      </c>
    </row>
    <row r="18" spans="1:32" x14ac:dyDescent="0.2">
      <c r="A18" s="9" t="s">
        <v>1061</v>
      </c>
      <c r="B18" s="9" t="s">
        <v>349</v>
      </c>
      <c r="C18" s="11">
        <v>1</v>
      </c>
      <c r="D18" s="9" t="s">
        <v>1062</v>
      </c>
      <c r="E18" s="16" t="s">
        <v>83</v>
      </c>
      <c r="F18" s="9" t="s">
        <v>1058</v>
      </c>
      <c r="G18" s="9" t="s">
        <v>1059</v>
      </c>
      <c r="H18" s="16" t="s">
        <v>83</v>
      </c>
      <c r="I18" s="16" t="s">
        <v>65</v>
      </c>
      <c r="J18" s="16">
        <v>0</v>
      </c>
      <c r="K18" s="16" t="s">
        <v>81</v>
      </c>
      <c r="L18" s="9" t="s">
        <v>1063</v>
      </c>
      <c r="M18" s="16">
        <v>72</v>
      </c>
      <c r="N18" s="16" t="s">
        <v>81</v>
      </c>
      <c r="O18" s="9" t="s">
        <v>1063</v>
      </c>
      <c r="P18" s="21" t="str">
        <f t="shared" si="15"/>
        <v>E_NONPOSITIVE_PARAMETER: no result is shown</v>
      </c>
      <c r="Q18" s="21" t="str">
        <f t="shared" si="16"/>
        <v/>
      </c>
      <c r="R18" s="21" t="str">
        <f t="shared" si="17"/>
        <v/>
      </c>
      <c r="S18" s="21" t="str">
        <f t="shared" si="18"/>
        <v/>
      </c>
      <c r="T18" s="21" t="str">
        <f t="shared" si="19"/>
        <v/>
      </c>
      <c r="U18" s="21" t="str">
        <f t="shared" si="20"/>
        <v>E_NONPOSITIVE_PARAMETER</v>
      </c>
      <c r="V18" s="21" t="str">
        <f>IF(AD18="","",AD18&amp;": "&amp;SUBSTITUTE(IFERROR(INDEX(nMSG_Text,MATCH(AD18,nMSG_Code,0)),""),"[input]",AE18))</f>
        <v>E_NONPOSITIVE_PARAMETER: This value must be greater than zero.</v>
      </c>
      <c r="W18" s="21" t="str">
        <f t="shared" si="21"/>
        <v>t_half = 0 hours [hypothetical example; V15 V24]; t = 72 hours [hypothetical example; V15 V24]</v>
      </c>
      <c r="X18" s="21" t="str">
        <f t="shared" si="22"/>
        <v>Model: confirmed. Parameter used: Hypothetical teaching value from the vector file. Reference time: Reference amount at time zero. Parameter_Status: confirmed.</v>
      </c>
      <c r="Y18" s="21" t="str">
        <f t="shared" si="23"/>
        <v>Fraction of the chosen reference amount or concentration under the stated model. It is not a causal or pharmacological threshold.</v>
      </c>
      <c r="Z18" s="21" t="str">
        <f t="shared" si="24"/>
        <v>k = ln 2 / t_half; fraction remaining = 2^(-t / t_half) = exp(-k x t)</v>
      </c>
      <c r="AA18" s="21" t="str">
        <f t="shared" si="25"/>
        <v>CALC-SPEC 1.0</v>
      </c>
      <c r="AB18" s="22">
        <f t="shared" si="26"/>
        <v>0</v>
      </c>
      <c r="AC18" s="21" t="str">
        <f t="shared" si="27"/>
        <v>VEC-V24|1|Q1-V24a</v>
      </c>
      <c r="AD18" s="21" t="str">
        <f>IF(AB18=1,"",IF(OR(A18="",I18="",J18="",M18=""),"E_MISSING_INPUT",IF(ISNA(MATCH(I18,nLIST_TimeUnit,0)),"E_INVALID_UNIT",IF(OR(NOT(ISNUMBER(J18)),NOT(ISNUMBER(M18))),"E_MISSING_INPUT",IF(J18&lt;=0,"E_NONPOSITIVE_PARAMETER",IF(NOT(AND(E18="Yes",F18&lt;&gt;"",G18&lt;&gt;"",H18="Yes")),"E_APPLICABILITY_UNCONFIRMED",IF(OR(K18="",N18=""),"E_MISSING_INPUT",IF(M18&lt;0,"E_OUT_OF_RANGE",""))))))))</f>
        <v>E_NONPOSITIVE_PARAMETER</v>
      </c>
      <c r="AE18" s="21" t="str">
        <f t="shared" si="28"/>
        <v/>
      </c>
      <c r="AF18" s="22">
        <f t="shared" si="29"/>
        <v>0</v>
      </c>
    </row>
    <row r="19" spans="1:32" x14ac:dyDescent="0.2">
      <c r="A19" s="9" t="s">
        <v>1064</v>
      </c>
      <c r="B19" s="9" t="s">
        <v>349</v>
      </c>
      <c r="C19" s="11">
        <v>1</v>
      </c>
      <c r="D19" s="9" t="s">
        <v>1065</v>
      </c>
      <c r="E19" s="16" t="s">
        <v>83</v>
      </c>
      <c r="F19" s="9" t="s">
        <v>1058</v>
      </c>
      <c r="G19" s="9" t="s">
        <v>1059</v>
      </c>
      <c r="H19" s="16" t="s">
        <v>83</v>
      </c>
      <c r="I19" s="16" t="s">
        <v>1066</v>
      </c>
      <c r="J19" s="16">
        <v>24</v>
      </c>
      <c r="K19" s="16" t="s">
        <v>81</v>
      </c>
      <c r="L19" s="9" t="s">
        <v>1063</v>
      </c>
      <c r="M19" s="16">
        <v>72</v>
      </c>
      <c r="N19" s="16" t="s">
        <v>81</v>
      </c>
      <c r="O19" s="9" t="s">
        <v>1063</v>
      </c>
      <c r="P19" s="21" t="str">
        <f t="shared" si="15"/>
        <v>E_INVALID_UNIT: no result is shown</v>
      </c>
      <c r="Q19" s="21" t="str">
        <f t="shared" si="16"/>
        <v/>
      </c>
      <c r="R19" s="21" t="str">
        <f t="shared" si="17"/>
        <v/>
      </c>
      <c r="S19" s="21" t="str">
        <f t="shared" si="18"/>
        <v/>
      </c>
      <c r="T19" s="21" t="str">
        <f t="shared" si="19"/>
        <v/>
      </c>
      <c r="U19" s="21" t="str">
        <f t="shared" si="20"/>
        <v>E_INVALID_UNIT</v>
      </c>
      <c r="V19" s="21" t="str">
        <f>IF(AD19="","",AD19&amp;": "&amp;SUBSTITUTE(IFERROR(INDEX(nMSG_Text,MATCH(AD19,nMSG_Code,0)),""),"[input]",AE19))</f>
        <v>E_INVALID_UNIT: This unit is not supported here. Use one of the listed units.</v>
      </c>
      <c r="W19" s="21" t="str">
        <f t="shared" si="21"/>
        <v>t_half = 24 fortnights [hypothetical example; V15 V24]; t = 72 fortnights [hypothetical example; V15 V24]</v>
      </c>
      <c r="X19" s="21" t="str">
        <f t="shared" si="22"/>
        <v>Model: confirmed. Parameter used: Hypothetical teaching value from the vector file. Reference time: Reference amount at time zero. Parameter_Status: confirmed.</v>
      </c>
      <c r="Y19" s="21" t="str">
        <f t="shared" si="23"/>
        <v>Fraction of the chosen reference amount or concentration under the stated model. It is not a causal or pharmacological threshold.</v>
      </c>
      <c r="Z19" s="21" t="str">
        <f t="shared" si="24"/>
        <v>k = ln 2 / t_half; fraction remaining = 2^(-t / t_half) = exp(-k x t)</v>
      </c>
      <c r="AA19" s="21" t="str">
        <f t="shared" si="25"/>
        <v>CALC-SPEC 1.0</v>
      </c>
      <c r="AB19" s="22">
        <f t="shared" si="26"/>
        <v>0</v>
      </c>
      <c r="AC19" s="21" t="str">
        <f t="shared" si="27"/>
        <v>VEC-V24|1|Q1-V24b</v>
      </c>
      <c r="AD19" s="21" t="str">
        <f>IF(AB19=1,"",IF(OR(A19="",I19="",J19="",M19=""),"E_MISSING_INPUT",IF(ISNA(MATCH(I19,nLIST_TimeUnit,0)),"E_INVALID_UNIT",IF(OR(NOT(ISNUMBER(J19)),NOT(ISNUMBER(M19))),"E_MISSING_INPUT",IF(J19&lt;=0,"E_NONPOSITIVE_PARAMETER",IF(NOT(AND(E19="Yes",F19&lt;&gt;"",G19&lt;&gt;"",H19="Yes")),"E_APPLICABILITY_UNCONFIRMED",IF(OR(K19="",N19=""),"E_MISSING_INPUT",IF(M19&lt;0,"E_OUT_OF_RANGE",""))))))))</f>
        <v>E_INVALID_UNIT</v>
      </c>
      <c r="AE19" s="21" t="str">
        <f t="shared" si="28"/>
        <v/>
      </c>
      <c r="AF19" s="22">
        <f t="shared" si="29"/>
        <v>0</v>
      </c>
    </row>
    <row r="20" spans="1:32" x14ac:dyDescent="0.2">
      <c r="A20" s="9" t="s">
        <v>1067</v>
      </c>
      <c r="B20" s="9" t="s">
        <v>349</v>
      </c>
      <c r="C20" s="11">
        <v>1</v>
      </c>
      <c r="D20" s="9" t="s">
        <v>1068</v>
      </c>
      <c r="E20" s="16" t="s">
        <v>84</v>
      </c>
      <c r="F20" s="9" t="s">
        <v>1058</v>
      </c>
      <c r="G20" s="9" t="s">
        <v>1059</v>
      </c>
      <c r="H20" s="16" t="s">
        <v>83</v>
      </c>
      <c r="I20" s="16" t="s">
        <v>65</v>
      </c>
      <c r="J20" s="16">
        <v>24</v>
      </c>
      <c r="K20" s="16" t="s">
        <v>81</v>
      </c>
      <c r="L20" s="9" t="s">
        <v>1063</v>
      </c>
      <c r="M20" s="16">
        <v>72</v>
      </c>
      <c r="N20" s="16" t="s">
        <v>81</v>
      </c>
      <c r="O20" s="9" t="s">
        <v>1063</v>
      </c>
      <c r="P20" s="21" t="str">
        <f t="shared" si="15"/>
        <v>E_APPLICABILITY_UNCONFIRMED: no result is shown</v>
      </c>
      <c r="Q20" s="21" t="str">
        <f t="shared" si="16"/>
        <v/>
      </c>
      <c r="R20" s="21" t="str">
        <f t="shared" si="17"/>
        <v/>
      </c>
      <c r="S20" s="21" t="str">
        <f t="shared" si="18"/>
        <v/>
      </c>
      <c r="T20" s="21" t="str">
        <f t="shared" si="19"/>
        <v/>
      </c>
      <c r="U20" s="21" t="str">
        <f t="shared" si="20"/>
        <v>E_APPLICABILITY_UNCONFIRMED</v>
      </c>
      <c r="V20" s="21" t="str">
        <f>IF(AD20="","",AD20&amp;": "&amp;SUBSTITUTE(IFERROR(INDEX(nMSG_Text,MATCH(AD20,nMSG_Code,0)),""),"[input]",AE20))</f>
        <v>E_APPLICABILITY_UNCONFIRMED: Confirm the model, the half-life used, the reference time and each input's status before a result is shown.</v>
      </c>
      <c r="W20" s="21" t="str">
        <f t="shared" si="21"/>
        <v>t_half = 24 hours [hypothetical example; V15 V24]; t = 72 hours [hypothetical example; V15 V24]</v>
      </c>
      <c r="X20" s="21" t="str">
        <f t="shared" si="22"/>
        <v>Model: not confirmed. Parameter used: Hypothetical teaching value from the vector file. Reference time: Reference amount at time zero. Parameter_Status: confirmed.</v>
      </c>
      <c r="Y20" s="21" t="str">
        <f t="shared" si="23"/>
        <v>Fraction of the chosen reference amount or concentration under the stated model. It is not a causal or pharmacological threshold.</v>
      </c>
      <c r="Z20" s="21" t="str">
        <f t="shared" si="24"/>
        <v>k = ln 2 / t_half; fraction remaining = 2^(-t / t_half) = exp(-k x t)</v>
      </c>
      <c r="AA20" s="21" t="str">
        <f t="shared" si="25"/>
        <v>CALC-SPEC 1.0</v>
      </c>
      <c r="AB20" s="22">
        <f t="shared" si="26"/>
        <v>0</v>
      </c>
      <c r="AC20" s="21" t="str">
        <f t="shared" si="27"/>
        <v>VEC-V24|1|Q1-V24c</v>
      </c>
      <c r="AD20" s="21" t="str">
        <f>IF(AB20=1,"",IF(OR(A20="",I20="",J20="",M20=""),"E_MISSING_INPUT",IF(ISNA(MATCH(I20,nLIST_TimeUnit,0)),"E_INVALID_UNIT",IF(OR(NOT(ISNUMBER(J20)),NOT(ISNUMBER(M20))),"E_MISSING_INPUT",IF(J20&lt;=0,"E_NONPOSITIVE_PARAMETER",IF(NOT(AND(E20="Yes",F20&lt;&gt;"",G20&lt;&gt;"",H20="Yes")),"E_APPLICABILITY_UNCONFIRMED",IF(OR(K20="",N20=""),"E_MISSING_INPUT",IF(M20&lt;0,"E_OUT_OF_RANGE",""))))))))</f>
        <v>E_APPLICABILITY_UNCONFIRMED</v>
      </c>
      <c r="AE20" s="21" t="str">
        <f t="shared" si="28"/>
        <v/>
      </c>
      <c r="AF20" s="22">
        <f t="shared" si="29"/>
        <v>0</v>
      </c>
    </row>
    <row r="23" spans="1:32" ht="17.25" x14ac:dyDescent="0.3">
      <c r="A23" s="6" t="s">
        <v>1069</v>
      </c>
    </row>
    <row r="24" spans="1:32" x14ac:dyDescent="0.2">
      <c r="A24" s="7" t="s">
        <v>1023</v>
      </c>
    </row>
    <row r="25" spans="1:32" x14ac:dyDescent="0.2">
      <c r="A25" s="2" t="s">
        <v>1024</v>
      </c>
      <c r="E25" s="2" t="s">
        <v>1027</v>
      </c>
      <c r="I25" s="2" t="s">
        <v>1024</v>
      </c>
      <c r="P25" s="2" t="s">
        <v>1040</v>
      </c>
      <c r="Z25" s="2" t="s">
        <v>1052</v>
      </c>
    </row>
    <row r="26" spans="1:32" ht="66" customHeight="1" x14ac:dyDescent="0.2">
      <c r="A26" s="8" t="s">
        <v>1025</v>
      </c>
      <c r="B26" s="8" t="s">
        <v>274</v>
      </c>
      <c r="C26" s="8" t="s">
        <v>275</v>
      </c>
      <c r="D26" s="8" t="s">
        <v>1026</v>
      </c>
      <c r="E26" s="8" t="s">
        <v>1028</v>
      </c>
      <c r="F26" s="8" t="s">
        <v>1029</v>
      </c>
      <c r="G26" s="8" t="s">
        <v>1030</v>
      </c>
      <c r="H26" s="8" t="s">
        <v>1031</v>
      </c>
      <c r="I26" s="8" t="s">
        <v>1033</v>
      </c>
      <c r="J26" s="8" t="s">
        <v>1034</v>
      </c>
      <c r="K26" s="8" t="s">
        <v>1035</v>
      </c>
      <c r="L26" s="8" t="s">
        <v>1036</v>
      </c>
      <c r="M26" s="8" t="s">
        <v>1070</v>
      </c>
      <c r="N26" s="8" t="s">
        <v>1071</v>
      </c>
      <c r="O26" s="8" t="s">
        <v>1072</v>
      </c>
      <c r="P26" s="19" t="s">
        <v>1073</v>
      </c>
      <c r="Q26" s="19" t="s">
        <v>1074</v>
      </c>
      <c r="R26" s="19" t="s">
        <v>1075</v>
      </c>
      <c r="S26" s="19" t="s">
        <v>1046</v>
      </c>
      <c r="T26" s="19" t="s">
        <v>1047</v>
      </c>
      <c r="U26" s="19" t="s">
        <v>1048</v>
      </c>
      <c r="V26" s="19" t="s">
        <v>1049</v>
      </c>
      <c r="W26" s="19" t="s">
        <v>1050</v>
      </c>
      <c r="X26" s="19" t="s">
        <v>1051</v>
      </c>
      <c r="Y26" s="19" t="s">
        <v>895</v>
      </c>
      <c r="Z26" s="19" t="s">
        <v>897</v>
      </c>
      <c r="AA26" s="19" t="s">
        <v>1053</v>
      </c>
      <c r="AB26" s="19" t="s">
        <v>930</v>
      </c>
      <c r="AC26" s="19" t="s">
        <v>1054</v>
      </c>
      <c r="AD26" s="19" t="s">
        <v>1055</v>
      </c>
    </row>
    <row r="27" spans="1:32" x14ac:dyDescent="0.2">
      <c r="A27" s="10"/>
      <c r="B27" s="10"/>
      <c r="C27" s="12"/>
      <c r="D27" s="10"/>
      <c r="E27" s="17"/>
      <c r="F27" s="10"/>
      <c r="G27" s="10"/>
      <c r="H27" s="17"/>
      <c r="I27" s="17"/>
      <c r="J27" s="17"/>
      <c r="K27" s="17"/>
      <c r="L27" s="10"/>
      <c r="M27" s="17"/>
      <c r="N27" s="17"/>
      <c r="O27" s="10"/>
      <c r="P27" s="21" t="str">
        <f t="shared" ref="P27:P34" si="30">IF(Z27=1,"",IF(AB27&lt;&gt;"",AB27&amp;": no result is shown",IF(I27="minutes",FIXED(R27,0,TRUE),FIXED(R27,1,TRUE))&amp;" "&amp;I27&amp;" to reach "&amp;IF(100*M27=0,"0",IF(ABS(100*M27)&lt;0.0001,FIXED(100*M27/10^INT(LOG10(ABS(100*M27))),2,TRUE)&amp;" x 10^"&amp;INT(LOG10(ABS(100*M27))),FIXED(ROUND(100*M27,2-INT(LOG10(ABS(100*M27)))),MAX(0,2-INT(LOG10(ABS(100*M27)))),TRUE)))&amp;"% of steady state ("&amp;FIXED(Q27,2,TRUE)&amp;" half-lives)"))</f>
        <v/>
      </c>
      <c r="Q27" s="21" t="str">
        <f t="shared" ref="Q27:Q34" si="31">IF(AD27=1,-LOG(1-M27,2),"")</f>
        <v/>
      </c>
      <c r="R27" s="21" t="str">
        <f t="shared" ref="R27:R34" si="32">IF(AD27=1,Q27*J27,"")</f>
        <v/>
      </c>
      <c r="S27" s="21" t="str">
        <f t="shared" ref="S27:S34" si="33">IF(Z27=1,"",AB27)</f>
        <v/>
      </c>
      <c r="T27" s="21" t="str">
        <f>IF(AB27="","",AB27&amp;": "&amp;SUBSTITUTE(IFERROR(INDEX(nMSG_Text,MATCH(AB27,nMSG_Code,0)),""),"[input]",AC27))</f>
        <v/>
      </c>
      <c r="U27" s="21" t="str">
        <f t="shared" ref="U27:U34" si="34">IF(Z27=1,"","t_half = "&amp;J27&amp;" "&amp;I27&amp;" ["&amp;IF(K27="","status not recorded",K27)&amp;IF(L27&lt;&gt;"","; "&amp;L27,"")&amp;"]"&amp;"; "&amp;"f_target = "&amp;M27&amp;" "&amp;"(fraction)"&amp;" ["&amp;IF(N27="","status not recorded",N27)&amp;IF(O27&lt;&gt;"","; "&amp;O27,"")&amp;"]")</f>
        <v/>
      </c>
      <c r="V27" s="21" t="str">
        <f t="shared" ref="V27:V34" si="35">IF(Z27=1,"","Model: "&amp;IF(E27="Yes","confirmed","not confirmed")&amp;". Parameter used: "&amp;IF(F27="","not stated",F27)&amp;". Reference time: "&amp;IF(G27="","not stated",G27)&amp;". Parameter_Status: "&amp;IF(H27="Yes","confirmed","not confirmed")&amp;".")</f>
        <v/>
      </c>
      <c r="W27" s="21" t="str">
        <f t="shared" ref="W27:W34" si="36">IF(Z27=1,"","Assumes constant input from zero. Intermittent dosing compares corresponding points in the dosing cycle. Toxicity need not wait for steady state.")</f>
        <v/>
      </c>
      <c r="X27" s="21" t="str">
        <f t="shared" ref="X27:X34" si="37">IF(Z27=1,"","n = -log2(1 - f); time = n x t_half")</f>
        <v/>
      </c>
      <c r="Y27" s="21" t="str">
        <f t="shared" ref="Y27:Y34" si="38">IF(Z27=1,"","CALC-SPEC 1.0")</f>
        <v/>
      </c>
      <c r="Z27" s="22">
        <f t="shared" ref="Z27:Z34" si="39">IF(AND(A27="",J27="",M27=""),1,0)</f>
        <v>1</v>
      </c>
      <c r="AA27" s="21" t="str">
        <f t="shared" ref="AA27:AA34" si="40">IF(A27="","",B27&amp;"|"&amp;C27&amp;"|"&amp;A27)</f>
        <v/>
      </c>
      <c r="AB27" s="21" t="str">
        <f>IF(Z27=1,"",IF(OR(A27="",I27="",J27="",M27=""),"E_MISSING_INPUT",IF(ISNA(MATCH(I27,nLIST_TimeUnit,0)),"E_INVALID_UNIT",IF(OR(NOT(ISNUMBER(J27)),NOT(ISNUMBER(M27))),"E_MISSING_INPUT",IF(J27&lt;=0,"E_NONPOSITIVE_PARAMETER",IF(NOT(AND(E27="Yes",F27&lt;&gt;"",G27&lt;&gt;"",H27="Yes")),"E_APPLICABILITY_UNCONFIRMED",IF(OR(K27="",N27=""),"E_MISSING_INPUT",IF(OR(M27&lt;=0,M27&gt;=1),"E_OUT_OF_RANGE",""))))))))</f>
        <v/>
      </c>
      <c r="AC27" s="21" t="str">
        <f t="shared" ref="AC27:AC34" si="41">IF(AB27&lt;&gt;"E_MISSING_INPUT","",IF(A27="","a Calc_ID",IF(I27="","a time unit",IF(NOT(ISNUMBER(J27)),"a numeric t_half",IF(NOT(ISNUMBER(M27)),"a numeric target fraction",IF(K27="","the Parameter_Status of t_half","the Parameter_Status of the target fraction"))))))</f>
        <v/>
      </c>
      <c r="AD27" s="22">
        <f t="shared" ref="AD27:AD34" si="42">IF(AND(Z27=0,AB27=""),1,0)</f>
        <v>0</v>
      </c>
    </row>
    <row r="28" spans="1:32" x14ac:dyDescent="0.2">
      <c r="A28" s="10"/>
      <c r="B28" s="10"/>
      <c r="C28" s="12"/>
      <c r="D28" s="10"/>
      <c r="E28" s="17"/>
      <c r="F28" s="10"/>
      <c r="G28" s="10"/>
      <c r="H28" s="17"/>
      <c r="I28" s="17"/>
      <c r="J28" s="17"/>
      <c r="K28" s="17"/>
      <c r="L28" s="10"/>
      <c r="M28" s="17"/>
      <c r="N28" s="17"/>
      <c r="O28" s="10"/>
      <c r="P28" s="21" t="str">
        <f t="shared" si="30"/>
        <v/>
      </c>
      <c r="Q28" s="21" t="str">
        <f t="shared" si="31"/>
        <v/>
      </c>
      <c r="R28" s="21" t="str">
        <f t="shared" si="32"/>
        <v/>
      </c>
      <c r="S28" s="21" t="str">
        <f t="shared" si="33"/>
        <v/>
      </c>
      <c r="T28" s="21" t="str">
        <f>IF(AB28="","",AB28&amp;": "&amp;SUBSTITUTE(IFERROR(INDEX(nMSG_Text,MATCH(AB28,nMSG_Code,0)),""),"[input]",AC28))</f>
        <v/>
      </c>
      <c r="U28" s="21" t="str">
        <f t="shared" si="34"/>
        <v/>
      </c>
      <c r="V28" s="21" t="str">
        <f t="shared" si="35"/>
        <v/>
      </c>
      <c r="W28" s="21" t="str">
        <f t="shared" si="36"/>
        <v/>
      </c>
      <c r="X28" s="21" t="str">
        <f t="shared" si="37"/>
        <v/>
      </c>
      <c r="Y28" s="21" t="str">
        <f t="shared" si="38"/>
        <v/>
      </c>
      <c r="Z28" s="22">
        <f t="shared" si="39"/>
        <v>1</v>
      </c>
      <c r="AA28" s="21" t="str">
        <f t="shared" si="40"/>
        <v/>
      </c>
      <c r="AB28" s="21" t="str">
        <f>IF(Z28=1,"",IF(OR(A28="",I28="",J28="",M28=""),"E_MISSING_INPUT",IF(ISNA(MATCH(I28,nLIST_TimeUnit,0)),"E_INVALID_UNIT",IF(OR(NOT(ISNUMBER(J28)),NOT(ISNUMBER(M28))),"E_MISSING_INPUT",IF(J28&lt;=0,"E_NONPOSITIVE_PARAMETER",IF(NOT(AND(E28="Yes",F28&lt;&gt;"",G28&lt;&gt;"",H28="Yes")),"E_APPLICABILITY_UNCONFIRMED",IF(OR(K28="",N28=""),"E_MISSING_INPUT",IF(OR(M28&lt;=0,M28&gt;=1),"E_OUT_OF_RANGE",""))))))))</f>
        <v/>
      </c>
      <c r="AC28" s="21" t="str">
        <f t="shared" si="41"/>
        <v/>
      </c>
      <c r="AD28" s="22">
        <f t="shared" si="42"/>
        <v>0</v>
      </c>
    </row>
    <row r="29" spans="1:32" x14ac:dyDescent="0.2">
      <c r="A29" s="10"/>
      <c r="B29" s="10"/>
      <c r="C29" s="12"/>
      <c r="D29" s="10"/>
      <c r="E29" s="17"/>
      <c r="F29" s="10"/>
      <c r="G29" s="10"/>
      <c r="H29" s="17"/>
      <c r="I29" s="17"/>
      <c r="J29" s="17"/>
      <c r="K29" s="17"/>
      <c r="L29" s="10"/>
      <c r="M29" s="17"/>
      <c r="N29" s="17"/>
      <c r="O29" s="10"/>
      <c r="P29" s="21" t="str">
        <f t="shared" si="30"/>
        <v/>
      </c>
      <c r="Q29" s="21" t="str">
        <f t="shared" si="31"/>
        <v/>
      </c>
      <c r="R29" s="21" t="str">
        <f t="shared" si="32"/>
        <v/>
      </c>
      <c r="S29" s="21" t="str">
        <f t="shared" si="33"/>
        <v/>
      </c>
      <c r="T29" s="21" t="str">
        <f>IF(AB29="","",AB29&amp;": "&amp;SUBSTITUTE(IFERROR(INDEX(nMSG_Text,MATCH(AB29,nMSG_Code,0)),""),"[input]",AC29))</f>
        <v/>
      </c>
      <c r="U29" s="21" t="str">
        <f t="shared" si="34"/>
        <v/>
      </c>
      <c r="V29" s="21" t="str">
        <f t="shared" si="35"/>
        <v/>
      </c>
      <c r="W29" s="21" t="str">
        <f t="shared" si="36"/>
        <v/>
      </c>
      <c r="X29" s="21" t="str">
        <f t="shared" si="37"/>
        <v/>
      </c>
      <c r="Y29" s="21" t="str">
        <f t="shared" si="38"/>
        <v/>
      </c>
      <c r="Z29" s="22">
        <f t="shared" si="39"/>
        <v>1</v>
      </c>
      <c r="AA29" s="21" t="str">
        <f t="shared" si="40"/>
        <v/>
      </c>
      <c r="AB29" s="21" t="str">
        <f>IF(Z29=1,"",IF(OR(A29="",I29="",J29="",M29=""),"E_MISSING_INPUT",IF(ISNA(MATCH(I29,nLIST_TimeUnit,0)),"E_INVALID_UNIT",IF(OR(NOT(ISNUMBER(J29)),NOT(ISNUMBER(M29))),"E_MISSING_INPUT",IF(J29&lt;=0,"E_NONPOSITIVE_PARAMETER",IF(NOT(AND(E29="Yes",F29&lt;&gt;"",G29&lt;&gt;"",H29="Yes")),"E_APPLICABILITY_UNCONFIRMED",IF(OR(K29="",N29=""),"E_MISSING_INPUT",IF(OR(M29&lt;=0,M29&gt;=1),"E_OUT_OF_RANGE",""))))))))</f>
        <v/>
      </c>
      <c r="AC29" s="21" t="str">
        <f t="shared" si="41"/>
        <v/>
      </c>
      <c r="AD29" s="22">
        <f t="shared" si="42"/>
        <v>0</v>
      </c>
    </row>
    <row r="30" spans="1:32" x14ac:dyDescent="0.2">
      <c r="A30" s="10"/>
      <c r="B30" s="10"/>
      <c r="C30" s="12"/>
      <c r="D30" s="10"/>
      <c r="E30" s="17"/>
      <c r="F30" s="10"/>
      <c r="G30" s="10"/>
      <c r="H30" s="17"/>
      <c r="I30" s="17"/>
      <c r="J30" s="17"/>
      <c r="K30" s="17"/>
      <c r="L30" s="10"/>
      <c r="M30" s="17"/>
      <c r="N30" s="17"/>
      <c r="O30" s="10"/>
      <c r="P30" s="21" t="str">
        <f t="shared" si="30"/>
        <v/>
      </c>
      <c r="Q30" s="21" t="str">
        <f t="shared" si="31"/>
        <v/>
      </c>
      <c r="R30" s="21" t="str">
        <f t="shared" si="32"/>
        <v/>
      </c>
      <c r="S30" s="21" t="str">
        <f t="shared" si="33"/>
        <v/>
      </c>
      <c r="T30" s="21" t="str">
        <f>IF(AB30="","",AB30&amp;": "&amp;SUBSTITUTE(IFERROR(INDEX(nMSG_Text,MATCH(AB30,nMSG_Code,0)),""),"[input]",AC30))</f>
        <v/>
      </c>
      <c r="U30" s="21" t="str">
        <f t="shared" si="34"/>
        <v/>
      </c>
      <c r="V30" s="21" t="str">
        <f t="shared" si="35"/>
        <v/>
      </c>
      <c r="W30" s="21" t="str">
        <f t="shared" si="36"/>
        <v/>
      </c>
      <c r="X30" s="21" t="str">
        <f t="shared" si="37"/>
        <v/>
      </c>
      <c r="Y30" s="21" t="str">
        <f t="shared" si="38"/>
        <v/>
      </c>
      <c r="Z30" s="22">
        <f t="shared" si="39"/>
        <v>1</v>
      </c>
      <c r="AA30" s="21" t="str">
        <f t="shared" si="40"/>
        <v/>
      </c>
      <c r="AB30" s="21" t="str">
        <f>IF(Z30=1,"",IF(OR(A30="",I30="",J30="",M30=""),"E_MISSING_INPUT",IF(ISNA(MATCH(I30,nLIST_TimeUnit,0)),"E_INVALID_UNIT",IF(OR(NOT(ISNUMBER(J30)),NOT(ISNUMBER(M30))),"E_MISSING_INPUT",IF(J30&lt;=0,"E_NONPOSITIVE_PARAMETER",IF(NOT(AND(E30="Yes",F30&lt;&gt;"",G30&lt;&gt;"",H30="Yes")),"E_APPLICABILITY_UNCONFIRMED",IF(OR(K30="",N30=""),"E_MISSING_INPUT",IF(OR(M30&lt;=0,M30&gt;=1),"E_OUT_OF_RANGE",""))))))))</f>
        <v/>
      </c>
      <c r="AC30" s="21" t="str">
        <f t="shared" si="41"/>
        <v/>
      </c>
      <c r="AD30" s="22">
        <f t="shared" si="42"/>
        <v>0</v>
      </c>
    </row>
    <row r="31" spans="1:32" x14ac:dyDescent="0.2">
      <c r="A31" s="10"/>
      <c r="B31" s="10"/>
      <c r="C31" s="12"/>
      <c r="D31" s="10"/>
      <c r="E31" s="17"/>
      <c r="F31" s="10"/>
      <c r="G31" s="10"/>
      <c r="H31" s="17"/>
      <c r="I31" s="17"/>
      <c r="J31" s="17"/>
      <c r="K31" s="17"/>
      <c r="L31" s="10"/>
      <c r="M31" s="17"/>
      <c r="N31" s="17"/>
      <c r="O31" s="10"/>
      <c r="P31" s="21" t="str">
        <f t="shared" si="30"/>
        <v/>
      </c>
      <c r="Q31" s="21" t="str">
        <f t="shared" si="31"/>
        <v/>
      </c>
      <c r="R31" s="21" t="str">
        <f t="shared" si="32"/>
        <v/>
      </c>
      <c r="S31" s="21" t="str">
        <f t="shared" si="33"/>
        <v/>
      </c>
      <c r="T31" s="21" t="str">
        <f>IF(AB31="","",AB31&amp;": "&amp;SUBSTITUTE(IFERROR(INDEX(nMSG_Text,MATCH(AB31,nMSG_Code,0)),""),"[input]",AC31))</f>
        <v/>
      </c>
      <c r="U31" s="21" t="str">
        <f t="shared" si="34"/>
        <v/>
      </c>
      <c r="V31" s="21" t="str">
        <f t="shared" si="35"/>
        <v/>
      </c>
      <c r="W31" s="21" t="str">
        <f t="shared" si="36"/>
        <v/>
      </c>
      <c r="X31" s="21" t="str">
        <f t="shared" si="37"/>
        <v/>
      </c>
      <c r="Y31" s="21" t="str">
        <f t="shared" si="38"/>
        <v/>
      </c>
      <c r="Z31" s="22">
        <f t="shared" si="39"/>
        <v>1</v>
      </c>
      <c r="AA31" s="21" t="str">
        <f t="shared" si="40"/>
        <v/>
      </c>
      <c r="AB31" s="21" t="str">
        <f>IF(Z31=1,"",IF(OR(A31="",I31="",J31="",M31=""),"E_MISSING_INPUT",IF(ISNA(MATCH(I31,nLIST_TimeUnit,0)),"E_INVALID_UNIT",IF(OR(NOT(ISNUMBER(J31)),NOT(ISNUMBER(M31))),"E_MISSING_INPUT",IF(J31&lt;=0,"E_NONPOSITIVE_PARAMETER",IF(NOT(AND(E31="Yes",F31&lt;&gt;"",G31&lt;&gt;"",H31="Yes")),"E_APPLICABILITY_UNCONFIRMED",IF(OR(K31="",N31=""),"E_MISSING_INPUT",IF(OR(M31&lt;=0,M31&gt;=1),"E_OUT_OF_RANGE",""))))))))</f>
        <v/>
      </c>
      <c r="AC31" s="21" t="str">
        <f t="shared" si="41"/>
        <v/>
      </c>
      <c r="AD31" s="22">
        <f t="shared" si="42"/>
        <v>0</v>
      </c>
    </row>
    <row r="32" spans="1:32" x14ac:dyDescent="0.2">
      <c r="A32" s="10"/>
      <c r="B32" s="10"/>
      <c r="C32" s="12"/>
      <c r="D32" s="10"/>
      <c r="E32" s="17"/>
      <c r="F32" s="10"/>
      <c r="G32" s="10"/>
      <c r="H32" s="17"/>
      <c r="I32" s="17"/>
      <c r="J32" s="17"/>
      <c r="K32" s="17"/>
      <c r="L32" s="10"/>
      <c r="M32" s="17"/>
      <c r="N32" s="17"/>
      <c r="O32" s="10"/>
      <c r="P32" s="21" t="str">
        <f t="shared" si="30"/>
        <v/>
      </c>
      <c r="Q32" s="21" t="str">
        <f t="shared" si="31"/>
        <v/>
      </c>
      <c r="R32" s="21" t="str">
        <f t="shared" si="32"/>
        <v/>
      </c>
      <c r="S32" s="21" t="str">
        <f t="shared" si="33"/>
        <v/>
      </c>
      <c r="T32" s="21" t="str">
        <f>IF(AB32="","",AB32&amp;": "&amp;SUBSTITUTE(IFERROR(INDEX(nMSG_Text,MATCH(AB32,nMSG_Code,0)),""),"[input]",AC32))</f>
        <v/>
      </c>
      <c r="U32" s="21" t="str">
        <f t="shared" si="34"/>
        <v/>
      </c>
      <c r="V32" s="21" t="str">
        <f t="shared" si="35"/>
        <v/>
      </c>
      <c r="W32" s="21" t="str">
        <f t="shared" si="36"/>
        <v/>
      </c>
      <c r="X32" s="21" t="str">
        <f t="shared" si="37"/>
        <v/>
      </c>
      <c r="Y32" s="21" t="str">
        <f t="shared" si="38"/>
        <v/>
      </c>
      <c r="Z32" s="22">
        <f t="shared" si="39"/>
        <v>1</v>
      </c>
      <c r="AA32" s="21" t="str">
        <f t="shared" si="40"/>
        <v/>
      </c>
      <c r="AB32" s="21" t="str">
        <f>IF(Z32=1,"",IF(OR(A32="",I32="",J32="",M32=""),"E_MISSING_INPUT",IF(ISNA(MATCH(I32,nLIST_TimeUnit,0)),"E_INVALID_UNIT",IF(OR(NOT(ISNUMBER(J32)),NOT(ISNUMBER(M32))),"E_MISSING_INPUT",IF(J32&lt;=0,"E_NONPOSITIVE_PARAMETER",IF(NOT(AND(E32="Yes",F32&lt;&gt;"",G32&lt;&gt;"",H32="Yes")),"E_APPLICABILITY_UNCONFIRMED",IF(OR(K32="",N32=""),"E_MISSING_INPUT",IF(OR(M32&lt;=0,M32&gt;=1),"E_OUT_OF_RANGE",""))))))))</f>
        <v/>
      </c>
      <c r="AC32" s="21" t="str">
        <f t="shared" si="41"/>
        <v/>
      </c>
      <c r="AD32" s="22">
        <f t="shared" si="42"/>
        <v>0</v>
      </c>
    </row>
    <row r="33" spans="1:30" x14ac:dyDescent="0.2">
      <c r="A33" s="10"/>
      <c r="B33" s="10"/>
      <c r="C33" s="12"/>
      <c r="D33" s="10"/>
      <c r="E33" s="17"/>
      <c r="F33" s="10"/>
      <c r="G33" s="10"/>
      <c r="H33" s="17"/>
      <c r="I33" s="17"/>
      <c r="J33" s="17"/>
      <c r="K33" s="17"/>
      <c r="L33" s="10"/>
      <c r="M33" s="17"/>
      <c r="N33" s="17"/>
      <c r="O33" s="10"/>
      <c r="P33" s="21" t="str">
        <f t="shared" si="30"/>
        <v/>
      </c>
      <c r="Q33" s="21" t="str">
        <f t="shared" si="31"/>
        <v/>
      </c>
      <c r="R33" s="21" t="str">
        <f t="shared" si="32"/>
        <v/>
      </c>
      <c r="S33" s="21" t="str">
        <f t="shared" si="33"/>
        <v/>
      </c>
      <c r="T33" s="21" t="str">
        <f>IF(AB33="","",AB33&amp;": "&amp;SUBSTITUTE(IFERROR(INDEX(nMSG_Text,MATCH(AB33,nMSG_Code,0)),""),"[input]",AC33))</f>
        <v/>
      </c>
      <c r="U33" s="21" t="str">
        <f t="shared" si="34"/>
        <v/>
      </c>
      <c r="V33" s="21" t="str">
        <f t="shared" si="35"/>
        <v/>
      </c>
      <c r="W33" s="21" t="str">
        <f t="shared" si="36"/>
        <v/>
      </c>
      <c r="X33" s="21" t="str">
        <f t="shared" si="37"/>
        <v/>
      </c>
      <c r="Y33" s="21" t="str">
        <f t="shared" si="38"/>
        <v/>
      </c>
      <c r="Z33" s="22">
        <f t="shared" si="39"/>
        <v>1</v>
      </c>
      <c r="AA33" s="21" t="str">
        <f t="shared" si="40"/>
        <v/>
      </c>
      <c r="AB33" s="21" t="str">
        <f>IF(Z33=1,"",IF(OR(A33="",I33="",J33="",M33=""),"E_MISSING_INPUT",IF(ISNA(MATCH(I33,nLIST_TimeUnit,0)),"E_INVALID_UNIT",IF(OR(NOT(ISNUMBER(J33)),NOT(ISNUMBER(M33))),"E_MISSING_INPUT",IF(J33&lt;=0,"E_NONPOSITIVE_PARAMETER",IF(NOT(AND(E33="Yes",F33&lt;&gt;"",G33&lt;&gt;"",H33="Yes")),"E_APPLICABILITY_UNCONFIRMED",IF(OR(K33="",N33=""),"E_MISSING_INPUT",IF(OR(M33&lt;=0,M33&gt;=1),"E_OUT_OF_RANGE",""))))))))</f>
        <v/>
      </c>
      <c r="AC33" s="21" t="str">
        <f t="shared" si="41"/>
        <v/>
      </c>
      <c r="AD33" s="22">
        <f t="shared" si="42"/>
        <v>0</v>
      </c>
    </row>
    <row r="34" spans="1:30" x14ac:dyDescent="0.2">
      <c r="A34" s="10"/>
      <c r="B34" s="10"/>
      <c r="C34" s="12"/>
      <c r="D34" s="10"/>
      <c r="E34" s="17"/>
      <c r="F34" s="10"/>
      <c r="G34" s="10"/>
      <c r="H34" s="17"/>
      <c r="I34" s="17"/>
      <c r="J34" s="17"/>
      <c r="K34" s="17"/>
      <c r="L34" s="10"/>
      <c r="M34" s="17"/>
      <c r="N34" s="17"/>
      <c r="O34" s="10"/>
      <c r="P34" s="21" t="str">
        <f t="shared" si="30"/>
        <v/>
      </c>
      <c r="Q34" s="21" t="str">
        <f t="shared" si="31"/>
        <v/>
      </c>
      <c r="R34" s="21" t="str">
        <f t="shared" si="32"/>
        <v/>
      </c>
      <c r="S34" s="21" t="str">
        <f t="shared" si="33"/>
        <v/>
      </c>
      <c r="T34" s="21" t="str">
        <f>IF(AB34="","",AB34&amp;": "&amp;SUBSTITUTE(IFERROR(INDEX(nMSG_Text,MATCH(AB34,nMSG_Code,0)),""),"[input]",AC34))</f>
        <v/>
      </c>
      <c r="U34" s="21" t="str">
        <f t="shared" si="34"/>
        <v/>
      </c>
      <c r="V34" s="21" t="str">
        <f t="shared" si="35"/>
        <v/>
      </c>
      <c r="W34" s="21" t="str">
        <f t="shared" si="36"/>
        <v/>
      </c>
      <c r="X34" s="21" t="str">
        <f t="shared" si="37"/>
        <v/>
      </c>
      <c r="Y34" s="21" t="str">
        <f t="shared" si="38"/>
        <v/>
      </c>
      <c r="Z34" s="22">
        <f t="shared" si="39"/>
        <v>1</v>
      </c>
      <c r="AA34" s="21" t="str">
        <f t="shared" si="40"/>
        <v/>
      </c>
      <c r="AB34" s="21" t="str">
        <f>IF(Z34=1,"",IF(OR(A34="",I34="",J34="",M34=""),"E_MISSING_INPUT",IF(ISNA(MATCH(I34,nLIST_TimeUnit,0)),"E_INVALID_UNIT",IF(OR(NOT(ISNUMBER(J34)),NOT(ISNUMBER(M34))),"E_MISSING_INPUT",IF(J34&lt;=0,"E_NONPOSITIVE_PARAMETER",IF(NOT(AND(E34="Yes",F34&lt;&gt;"",G34&lt;&gt;"",H34="Yes")),"E_APPLICABILITY_UNCONFIRMED",IF(OR(K34="",N34=""),"E_MISSING_INPUT",IF(OR(M34&lt;=0,M34&gt;=1),"E_OUT_OF_RANGE",""))))))))</f>
        <v/>
      </c>
      <c r="AC34" s="21" t="str">
        <f t="shared" si="41"/>
        <v/>
      </c>
      <c r="AD34" s="22">
        <f t="shared" si="42"/>
        <v>0</v>
      </c>
    </row>
    <row r="35" spans="1:30" x14ac:dyDescent="0.2">
      <c r="A35" s="24" t="s">
        <v>289</v>
      </c>
      <c r="B35" s="23"/>
      <c r="C35" s="23"/>
      <c r="D35" s="23"/>
      <c r="E35" s="23"/>
      <c r="F35" s="23"/>
      <c r="G35" s="23"/>
      <c r="H35" s="23"/>
      <c r="I35" s="23"/>
      <c r="J35" s="23"/>
      <c r="K35" s="23"/>
      <c r="L35" s="23"/>
      <c r="M35" s="23"/>
      <c r="N35" s="23"/>
      <c r="O35" s="23"/>
      <c r="P35" s="23"/>
      <c r="Q35" s="23"/>
      <c r="R35" s="23"/>
      <c r="S35" s="23"/>
      <c r="T35" s="23"/>
      <c r="U35" s="23"/>
      <c r="V35" s="23"/>
      <c r="W35" s="23"/>
      <c r="X35" s="23"/>
      <c r="Y35" s="23"/>
      <c r="Z35" s="23"/>
      <c r="AA35" s="23"/>
      <c r="AB35" s="23"/>
      <c r="AC35" s="23"/>
      <c r="AD35" s="23"/>
    </row>
    <row r="36" spans="1:30" x14ac:dyDescent="0.2">
      <c r="A36" s="9" t="s">
        <v>1076</v>
      </c>
      <c r="B36" s="9" t="s">
        <v>335</v>
      </c>
      <c r="C36" s="11">
        <v>1</v>
      </c>
      <c r="D36" s="9" t="s">
        <v>1077</v>
      </c>
      <c r="E36" s="16" t="s">
        <v>83</v>
      </c>
      <c r="F36" s="9" t="s">
        <v>1058</v>
      </c>
      <c r="G36" s="9" t="s">
        <v>1059</v>
      </c>
      <c r="H36" s="16" t="s">
        <v>83</v>
      </c>
      <c r="I36" s="16" t="s">
        <v>65</v>
      </c>
      <c r="J36" s="16">
        <v>24</v>
      </c>
      <c r="K36" s="16" t="s">
        <v>81</v>
      </c>
      <c r="L36" s="9" t="s">
        <v>1078</v>
      </c>
      <c r="M36" s="16">
        <v>0.9</v>
      </c>
      <c r="N36" s="16" t="s">
        <v>81</v>
      </c>
      <c r="O36" s="9" t="s">
        <v>1078</v>
      </c>
      <c r="P36" s="21" t="str">
        <f>IF(Z36=1,"",IF(AB36&lt;&gt;"",AB36&amp;": no result is shown",IF(I36="minutes",FIXED(R36,0,TRUE),FIXED(R36,1,TRUE))&amp;" "&amp;I36&amp;" to reach "&amp;IF(100*M36=0,"0",IF(ABS(100*M36)&lt;0.0001,FIXED(100*M36/10^INT(LOG10(ABS(100*M36))),2,TRUE)&amp;" x 10^"&amp;INT(LOG10(ABS(100*M36))),FIXED(ROUND(100*M36,2-INT(LOG10(ABS(100*M36)))),MAX(0,2-INT(LOG10(ABS(100*M36)))),TRUE)))&amp;"% of steady state ("&amp;FIXED(Q36,2,TRUE)&amp;" half-lives)"))</f>
        <v>79.7 hours to reach 90.0% of steady state (3.32 half-lives)</v>
      </c>
      <c r="Q36" s="21">
        <f>IF(AD36=1,-LOG(1-M36,2),"")</f>
        <v>3.3219280948873626</v>
      </c>
      <c r="R36" s="21">
        <f>IF(AD36=1,Q36*J36,"")</f>
        <v>79.72627427729671</v>
      </c>
      <c r="S36" s="21" t="str">
        <f>IF(Z36=1,"",AB36)</f>
        <v/>
      </c>
      <c r="T36" s="21" t="str">
        <f>IF(AB36="","",AB36&amp;": "&amp;SUBSTITUTE(IFERROR(INDEX(nMSG_Text,MATCH(AB36,nMSG_Code,0)),""),"[input]",AC36))</f>
        <v/>
      </c>
      <c r="U36" s="21" t="str">
        <f>IF(Z36=1,"","t_half = "&amp;J36&amp;" "&amp;I36&amp;" ["&amp;IF(K36="","status not recorded",K36)&amp;IF(L36&lt;&gt;"","; "&amp;L36,"")&amp;"]"&amp;"; "&amp;"f_target = "&amp;M36&amp;" "&amp;"(fraction)"&amp;" ["&amp;IF(N36="","status not recorded",N36)&amp;IF(O36&lt;&gt;"","; "&amp;O36,"")&amp;"]")</f>
        <v>t_half = 24 hours [hypothetical example; V15 V17]; f_target = 0.9 (fraction) [hypothetical example; V15 V17]</v>
      </c>
      <c r="V36" s="21" t="str">
        <f>IF(Z36=1,"","Model: "&amp;IF(E36="Yes","confirmed","not confirmed")&amp;". Parameter used: "&amp;IF(F36="","not stated",F36)&amp;". Reference time: "&amp;IF(G36="","not stated",G36)&amp;". Parameter_Status: "&amp;IF(H36="Yes","confirmed","not confirmed")&amp;".")</f>
        <v>Model: confirmed. Parameter used: Hypothetical teaching value from the vector file. Reference time: Reference amount at time zero. Parameter_Status: confirmed.</v>
      </c>
      <c r="W36" s="21" t="str">
        <f>IF(Z36=1,"","Assumes constant input from zero. Intermittent dosing compares corresponding points in the dosing cycle. Toxicity need not wait for steady state.")</f>
        <v>Assumes constant input from zero. Intermittent dosing compares corresponding points in the dosing cycle. Toxicity need not wait for steady state.</v>
      </c>
      <c r="X36" s="21" t="str">
        <f>IF(Z36=1,"","n = -log2(1 - f); time = n x t_half")</f>
        <v>n = -log2(1 - f); time = n x t_half</v>
      </c>
      <c r="Y36" s="21" t="str">
        <f>IF(Z36=1,"","CALC-SPEC 1.0")</f>
        <v>CALC-SPEC 1.0</v>
      </c>
      <c r="Z36" s="22">
        <f>IF(AND(A36="",J36="",M36=""),1,0)</f>
        <v>0</v>
      </c>
      <c r="AA36" s="21" t="str">
        <f>IF(A36="","",B36&amp;"|"&amp;C36&amp;"|"&amp;A36)</f>
        <v>VEC-V17|1|Q2-V17</v>
      </c>
      <c r="AB36" s="21" t="str">
        <f>IF(Z36=1,"",IF(OR(A36="",I36="",J36="",M36=""),"E_MISSING_INPUT",IF(ISNA(MATCH(I36,nLIST_TimeUnit,0)),"E_INVALID_UNIT",IF(OR(NOT(ISNUMBER(J36)),NOT(ISNUMBER(M36))),"E_MISSING_INPUT",IF(J36&lt;=0,"E_NONPOSITIVE_PARAMETER",IF(NOT(AND(E36="Yes",F36&lt;&gt;"",G36&lt;&gt;"",H36="Yes")),"E_APPLICABILITY_UNCONFIRMED",IF(OR(K36="",N36=""),"E_MISSING_INPUT",IF(OR(M36&lt;=0,M36&gt;=1),"E_OUT_OF_RANGE",""))))))))</f>
        <v/>
      </c>
      <c r="AC36" s="21" t="str">
        <f>IF(AB36&lt;&gt;"E_MISSING_INPUT","",IF(A36="","a Calc_ID",IF(I36="","a time unit",IF(NOT(ISNUMBER(J36)),"a numeric t_half",IF(NOT(ISNUMBER(M36)),"a numeric target fraction",IF(K36="","the Parameter_Status of t_half","the Parameter_Status of the target fraction"))))))</f>
        <v/>
      </c>
      <c r="AD36" s="22">
        <f>IF(AND(Z36=0,AB36=""),1,0)</f>
        <v>1</v>
      </c>
    </row>
    <row r="39" spans="1:30" ht="17.25" x14ac:dyDescent="0.3">
      <c r="A39" s="6" t="s">
        <v>1079</v>
      </c>
    </row>
    <row r="40" spans="1:30" x14ac:dyDescent="0.2">
      <c r="A40" s="7" t="s">
        <v>1023</v>
      </c>
    </row>
    <row r="41" spans="1:30" x14ac:dyDescent="0.2">
      <c r="A41" s="2" t="s">
        <v>1024</v>
      </c>
      <c r="E41" s="2" t="s">
        <v>1027</v>
      </c>
      <c r="I41" s="2" t="s">
        <v>1024</v>
      </c>
      <c r="P41" s="2" t="s">
        <v>1040</v>
      </c>
      <c r="Y41" s="2" t="s">
        <v>1052</v>
      </c>
    </row>
    <row r="42" spans="1:30" ht="66" customHeight="1" x14ac:dyDescent="0.2">
      <c r="A42" s="8" t="s">
        <v>1025</v>
      </c>
      <c r="B42" s="8" t="s">
        <v>274</v>
      </c>
      <c r="C42" s="8" t="s">
        <v>275</v>
      </c>
      <c r="D42" s="8" t="s">
        <v>1026</v>
      </c>
      <c r="E42" s="8" t="s">
        <v>1028</v>
      </c>
      <c r="F42" s="8" t="s">
        <v>1029</v>
      </c>
      <c r="G42" s="8" t="s">
        <v>1030</v>
      </c>
      <c r="H42" s="8" t="s">
        <v>1031</v>
      </c>
      <c r="I42" s="8" t="s">
        <v>1033</v>
      </c>
      <c r="J42" s="8" t="s">
        <v>1034</v>
      </c>
      <c r="K42" s="8" t="s">
        <v>1035</v>
      </c>
      <c r="L42" s="8" t="s">
        <v>1036</v>
      </c>
      <c r="M42" s="8" t="s">
        <v>1080</v>
      </c>
      <c r="N42" s="8" t="s">
        <v>1081</v>
      </c>
      <c r="O42" s="8" t="s">
        <v>1082</v>
      </c>
      <c r="P42" s="19" t="s">
        <v>1083</v>
      </c>
      <c r="Q42" s="19" t="s">
        <v>1084</v>
      </c>
      <c r="R42" s="19" t="s">
        <v>1046</v>
      </c>
      <c r="S42" s="19" t="s">
        <v>1047</v>
      </c>
      <c r="T42" s="19" t="s">
        <v>1048</v>
      </c>
      <c r="U42" s="19" t="s">
        <v>1049</v>
      </c>
      <c r="V42" s="19" t="s">
        <v>1050</v>
      </c>
      <c r="W42" s="19" t="s">
        <v>1051</v>
      </c>
      <c r="X42" s="19" t="s">
        <v>895</v>
      </c>
      <c r="Y42" s="19" t="s">
        <v>897</v>
      </c>
      <c r="Z42" s="19" t="s">
        <v>1053</v>
      </c>
      <c r="AA42" s="19" t="s">
        <v>930</v>
      </c>
      <c r="AB42" s="19" t="s">
        <v>1054</v>
      </c>
      <c r="AC42" s="19" t="s">
        <v>1055</v>
      </c>
    </row>
    <row r="43" spans="1:30" x14ac:dyDescent="0.2">
      <c r="A43" s="10"/>
      <c r="B43" s="10"/>
      <c r="C43" s="12"/>
      <c r="D43" s="10"/>
      <c r="E43" s="17"/>
      <c r="F43" s="10"/>
      <c r="G43" s="10"/>
      <c r="H43" s="17"/>
      <c r="I43" s="17"/>
      <c r="J43" s="17"/>
      <c r="K43" s="17"/>
      <c r="L43" s="10"/>
      <c r="M43" s="17"/>
      <c r="N43" s="17"/>
      <c r="O43" s="10"/>
      <c r="P43" s="21" t="str">
        <f t="shared" ref="P43:P50" si="43">IF(Y43=1,"",IF(AA43&lt;&gt;"",AA43&amp;": no result is shown","Accumulation factor R = "&amp;FIXED(Q43,2,TRUE)&amp;" at corresponding points in the dosing cycle"))</f>
        <v/>
      </c>
      <c r="Q43" s="21" t="str">
        <f t="shared" ref="Q43:Q50" si="44">IF(AC43=1,1/(1-2^(-M43/J43)),"")</f>
        <v/>
      </c>
      <c r="R43" s="21" t="str">
        <f t="shared" ref="R43:R50" si="45">IF(Y43=1,"",AA43)</f>
        <v/>
      </c>
      <c r="S43" s="21" t="str">
        <f>IF(AA43="","",AA43&amp;": "&amp;SUBSTITUTE(IFERROR(INDEX(nMSG_Text,MATCH(AA43,nMSG_Code,0)),""),"[input]",AB43))</f>
        <v/>
      </c>
      <c r="T43" s="21" t="str">
        <f t="shared" ref="T43:T50" si="46">IF(Y43=1,"","t_half = "&amp;J43&amp;" "&amp;I43&amp;" ["&amp;IF(K43="","status not recorded",K43)&amp;IF(L43&lt;&gt;"","; "&amp;L43,"")&amp;"]"&amp;"; "&amp;"tau = "&amp;M43&amp;" "&amp;I43&amp;" ["&amp;IF(N43="","status not recorded",N43)&amp;IF(O43&lt;&gt;"","; "&amp;O43,"")&amp;"]")</f>
        <v/>
      </c>
      <c r="U43" s="21" t="str">
        <f t="shared" ref="U43:U50" si="47">IF(Y43=1,"","Model: "&amp;IF(E43="Yes","confirmed","not confirmed")&amp;". Parameter used: "&amp;IF(F43="","not stated",F43)&amp;". Reference time: "&amp;IF(G43="","not stated",G43)&amp;". Parameter_Status: "&amp;IF(H43="Yes","confirmed","not confirmed")&amp;".")</f>
        <v/>
      </c>
      <c r="V43" s="21" t="str">
        <f t="shared" ref="V43:V50" si="48">IF(Y43=1,"","Model-based repeated-dose comparison. It is not a toxicity multiplier and does not give the time of clinical onset.")</f>
        <v/>
      </c>
      <c r="W43" s="21" t="str">
        <f t="shared" ref="W43:W50" si="49">IF(Y43=1,"","R = 1 / (1 - 2^(-tau / t_half))")</f>
        <v/>
      </c>
      <c r="X43" s="21" t="str">
        <f t="shared" ref="X43:X50" si="50">IF(Y43=1,"","CALC-SPEC 1.0")</f>
        <v/>
      </c>
      <c r="Y43" s="22">
        <f t="shared" ref="Y43:Y50" si="51">IF(AND(A43="",J43="",M43=""),1,0)</f>
        <v>1</v>
      </c>
      <c r="Z43" s="21" t="str">
        <f t="shared" ref="Z43:Z50" si="52">IF(A43="","",B43&amp;"|"&amp;C43&amp;"|"&amp;A43)</f>
        <v/>
      </c>
      <c r="AA43" s="21" t="str">
        <f>IF(Y43=1,"",IF(OR(A43="",I43="",J43="",M43=""),"E_MISSING_INPUT",IF(ISNA(MATCH(I43,nLIST_TimeUnit,0)),"E_INVALID_UNIT",IF(OR(NOT(ISNUMBER(J43)),NOT(ISNUMBER(M43))),"E_MISSING_INPUT",IF(OR(J43&lt;=0,M43&lt;=0),"E_NONPOSITIVE_PARAMETER",IF(NOT(AND(E43="Yes",F43&lt;&gt;"",G43&lt;&gt;"",H43="Yes")),"E_APPLICABILITY_UNCONFIRMED",IF(OR(K43="",N43=""),"E_MISSING_INPUT","")))))))</f>
        <v/>
      </c>
      <c r="AB43" s="21" t="str">
        <f t="shared" ref="AB43:AB50" si="53">IF(AA43&lt;&gt;"E_MISSING_INPUT","",IF(A43="","a Calc_ID",IF(I43="","a time unit",IF(NOT(ISNUMBER(J43)),"a numeric t_half",IF(NOT(ISNUMBER(M43)),"a numeric tau",IF(K43="","the Parameter_Status of t_half","the Parameter_Status of tau"))))))</f>
        <v/>
      </c>
      <c r="AC43" s="22">
        <f t="shared" ref="AC43:AC50" si="54">IF(AND(Y43=0,AA43=""),1,0)</f>
        <v>0</v>
      </c>
    </row>
    <row r="44" spans="1:30" x14ac:dyDescent="0.2">
      <c r="A44" s="10"/>
      <c r="B44" s="10"/>
      <c r="C44" s="12"/>
      <c r="D44" s="10"/>
      <c r="E44" s="17"/>
      <c r="F44" s="10"/>
      <c r="G44" s="10"/>
      <c r="H44" s="17"/>
      <c r="I44" s="17"/>
      <c r="J44" s="17"/>
      <c r="K44" s="17"/>
      <c r="L44" s="10"/>
      <c r="M44" s="17"/>
      <c r="N44" s="17"/>
      <c r="O44" s="10"/>
      <c r="P44" s="21" t="str">
        <f t="shared" si="43"/>
        <v/>
      </c>
      <c r="Q44" s="21" t="str">
        <f t="shared" si="44"/>
        <v/>
      </c>
      <c r="R44" s="21" t="str">
        <f t="shared" si="45"/>
        <v/>
      </c>
      <c r="S44" s="21" t="str">
        <f>IF(AA44="","",AA44&amp;": "&amp;SUBSTITUTE(IFERROR(INDEX(nMSG_Text,MATCH(AA44,nMSG_Code,0)),""),"[input]",AB44))</f>
        <v/>
      </c>
      <c r="T44" s="21" t="str">
        <f t="shared" si="46"/>
        <v/>
      </c>
      <c r="U44" s="21" t="str">
        <f t="shared" si="47"/>
        <v/>
      </c>
      <c r="V44" s="21" t="str">
        <f t="shared" si="48"/>
        <v/>
      </c>
      <c r="W44" s="21" t="str">
        <f t="shared" si="49"/>
        <v/>
      </c>
      <c r="X44" s="21" t="str">
        <f t="shared" si="50"/>
        <v/>
      </c>
      <c r="Y44" s="22">
        <f t="shared" si="51"/>
        <v>1</v>
      </c>
      <c r="Z44" s="21" t="str">
        <f t="shared" si="52"/>
        <v/>
      </c>
      <c r="AA44" s="21" t="str">
        <f>IF(Y44=1,"",IF(OR(A44="",I44="",J44="",M44=""),"E_MISSING_INPUT",IF(ISNA(MATCH(I44,nLIST_TimeUnit,0)),"E_INVALID_UNIT",IF(OR(NOT(ISNUMBER(J44)),NOT(ISNUMBER(M44))),"E_MISSING_INPUT",IF(OR(J44&lt;=0,M44&lt;=0),"E_NONPOSITIVE_PARAMETER",IF(NOT(AND(E44="Yes",F44&lt;&gt;"",G44&lt;&gt;"",H44="Yes")),"E_APPLICABILITY_UNCONFIRMED",IF(OR(K44="",N44=""),"E_MISSING_INPUT","")))))))</f>
        <v/>
      </c>
      <c r="AB44" s="21" t="str">
        <f t="shared" si="53"/>
        <v/>
      </c>
      <c r="AC44" s="22">
        <f t="shared" si="54"/>
        <v>0</v>
      </c>
    </row>
    <row r="45" spans="1:30" x14ac:dyDescent="0.2">
      <c r="A45" s="10"/>
      <c r="B45" s="10"/>
      <c r="C45" s="12"/>
      <c r="D45" s="10"/>
      <c r="E45" s="17"/>
      <c r="F45" s="10"/>
      <c r="G45" s="10"/>
      <c r="H45" s="17"/>
      <c r="I45" s="17"/>
      <c r="J45" s="17"/>
      <c r="K45" s="17"/>
      <c r="L45" s="10"/>
      <c r="M45" s="17"/>
      <c r="N45" s="17"/>
      <c r="O45" s="10"/>
      <c r="P45" s="21" t="str">
        <f t="shared" si="43"/>
        <v/>
      </c>
      <c r="Q45" s="21" t="str">
        <f t="shared" si="44"/>
        <v/>
      </c>
      <c r="R45" s="21" t="str">
        <f t="shared" si="45"/>
        <v/>
      </c>
      <c r="S45" s="21" t="str">
        <f>IF(AA45="","",AA45&amp;": "&amp;SUBSTITUTE(IFERROR(INDEX(nMSG_Text,MATCH(AA45,nMSG_Code,0)),""),"[input]",AB45))</f>
        <v/>
      </c>
      <c r="T45" s="21" t="str">
        <f t="shared" si="46"/>
        <v/>
      </c>
      <c r="U45" s="21" t="str">
        <f t="shared" si="47"/>
        <v/>
      </c>
      <c r="V45" s="21" t="str">
        <f t="shared" si="48"/>
        <v/>
      </c>
      <c r="W45" s="21" t="str">
        <f t="shared" si="49"/>
        <v/>
      </c>
      <c r="X45" s="21" t="str">
        <f t="shared" si="50"/>
        <v/>
      </c>
      <c r="Y45" s="22">
        <f t="shared" si="51"/>
        <v>1</v>
      </c>
      <c r="Z45" s="21" t="str">
        <f t="shared" si="52"/>
        <v/>
      </c>
      <c r="AA45" s="21" t="str">
        <f>IF(Y45=1,"",IF(OR(A45="",I45="",J45="",M45=""),"E_MISSING_INPUT",IF(ISNA(MATCH(I45,nLIST_TimeUnit,0)),"E_INVALID_UNIT",IF(OR(NOT(ISNUMBER(J45)),NOT(ISNUMBER(M45))),"E_MISSING_INPUT",IF(OR(J45&lt;=0,M45&lt;=0),"E_NONPOSITIVE_PARAMETER",IF(NOT(AND(E45="Yes",F45&lt;&gt;"",G45&lt;&gt;"",H45="Yes")),"E_APPLICABILITY_UNCONFIRMED",IF(OR(K45="",N45=""),"E_MISSING_INPUT","")))))))</f>
        <v/>
      </c>
      <c r="AB45" s="21" t="str">
        <f t="shared" si="53"/>
        <v/>
      </c>
      <c r="AC45" s="22">
        <f t="shared" si="54"/>
        <v>0</v>
      </c>
    </row>
    <row r="46" spans="1:30" x14ac:dyDescent="0.2">
      <c r="A46" s="10"/>
      <c r="B46" s="10"/>
      <c r="C46" s="12"/>
      <c r="D46" s="10"/>
      <c r="E46" s="17"/>
      <c r="F46" s="10"/>
      <c r="G46" s="10"/>
      <c r="H46" s="17"/>
      <c r="I46" s="17"/>
      <c r="J46" s="17"/>
      <c r="K46" s="17"/>
      <c r="L46" s="10"/>
      <c r="M46" s="17"/>
      <c r="N46" s="17"/>
      <c r="O46" s="10"/>
      <c r="P46" s="21" t="str">
        <f t="shared" si="43"/>
        <v/>
      </c>
      <c r="Q46" s="21" t="str">
        <f t="shared" si="44"/>
        <v/>
      </c>
      <c r="R46" s="21" t="str">
        <f t="shared" si="45"/>
        <v/>
      </c>
      <c r="S46" s="21" t="str">
        <f>IF(AA46="","",AA46&amp;": "&amp;SUBSTITUTE(IFERROR(INDEX(nMSG_Text,MATCH(AA46,nMSG_Code,0)),""),"[input]",AB46))</f>
        <v/>
      </c>
      <c r="T46" s="21" t="str">
        <f t="shared" si="46"/>
        <v/>
      </c>
      <c r="U46" s="21" t="str">
        <f t="shared" si="47"/>
        <v/>
      </c>
      <c r="V46" s="21" t="str">
        <f t="shared" si="48"/>
        <v/>
      </c>
      <c r="W46" s="21" t="str">
        <f t="shared" si="49"/>
        <v/>
      </c>
      <c r="X46" s="21" t="str">
        <f t="shared" si="50"/>
        <v/>
      </c>
      <c r="Y46" s="22">
        <f t="shared" si="51"/>
        <v>1</v>
      </c>
      <c r="Z46" s="21" t="str">
        <f t="shared" si="52"/>
        <v/>
      </c>
      <c r="AA46" s="21" t="str">
        <f>IF(Y46=1,"",IF(OR(A46="",I46="",J46="",M46=""),"E_MISSING_INPUT",IF(ISNA(MATCH(I46,nLIST_TimeUnit,0)),"E_INVALID_UNIT",IF(OR(NOT(ISNUMBER(J46)),NOT(ISNUMBER(M46))),"E_MISSING_INPUT",IF(OR(J46&lt;=0,M46&lt;=0),"E_NONPOSITIVE_PARAMETER",IF(NOT(AND(E46="Yes",F46&lt;&gt;"",G46&lt;&gt;"",H46="Yes")),"E_APPLICABILITY_UNCONFIRMED",IF(OR(K46="",N46=""),"E_MISSING_INPUT","")))))))</f>
        <v/>
      </c>
      <c r="AB46" s="21" t="str">
        <f t="shared" si="53"/>
        <v/>
      </c>
      <c r="AC46" s="22">
        <f t="shared" si="54"/>
        <v>0</v>
      </c>
    </row>
    <row r="47" spans="1:30" x14ac:dyDescent="0.2">
      <c r="A47" s="10"/>
      <c r="B47" s="10"/>
      <c r="C47" s="12"/>
      <c r="D47" s="10"/>
      <c r="E47" s="17"/>
      <c r="F47" s="10"/>
      <c r="G47" s="10"/>
      <c r="H47" s="17"/>
      <c r="I47" s="17"/>
      <c r="J47" s="17"/>
      <c r="K47" s="17"/>
      <c r="L47" s="10"/>
      <c r="M47" s="17"/>
      <c r="N47" s="17"/>
      <c r="O47" s="10"/>
      <c r="P47" s="21" t="str">
        <f t="shared" si="43"/>
        <v/>
      </c>
      <c r="Q47" s="21" t="str">
        <f t="shared" si="44"/>
        <v/>
      </c>
      <c r="R47" s="21" t="str">
        <f t="shared" si="45"/>
        <v/>
      </c>
      <c r="S47" s="21" t="str">
        <f>IF(AA47="","",AA47&amp;": "&amp;SUBSTITUTE(IFERROR(INDEX(nMSG_Text,MATCH(AA47,nMSG_Code,0)),""),"[input]",AB47))</f>
        <v/>
      </c>
      <c r="T47" s="21" t="str">
        <f t="shared" si="46"/>
        <v/>
      </c>
      <c r="U47" s="21" t="str">
        <f t="shared" si="47"/>
        <v/>
      </c>
      <c r="V47" s="21" t="str">
        <f t="shared" si="48"/>
        <v/>
      </c>
      <c r="W47" s="21" t="str">
        <f t="shared" si="49"/>
        <v/>
      </c>
      <c r="X47" s="21" t="str">
        <f t="shared" si="50"/>
        <v/>
      </c>
      <c r="Y47" s="22">
        <f t="shared" si="51"/>
        <v>1</v>
      </c>
      <c r="Z47" s="21" t="str">
        <f t="shared" si="52"/>
        <v/>
      </c>
      <c r="AA47" s="21" t="str">
        <f>IF(Y47=1,"",IF(OR(A47="",I47="",J47="",M47=""),"E_MISSING_INPUT",IF(ISNA(MATCH(I47,nLIST_TimeUnit,0)),"E_INVALID_UNIT",IF(OR(NOT(ISNUMBER(J47)),NOT(ISNUMBER(M47))),"E_MISSING_INPUT",IF(OR(J47&lt;=0,M47&lt;=0),"E_NONPOSITIVE_PARAMETER",IF(NOT(AND(E47="Yes",F47&lt;&gt;"",G47&lt;&gt;"",H47="Yes")),"E_APPLICABILITY_UNCONFIRMED",IF(OR(K47="",N47=""),"E_MISSING_INPUT","")))))))</f>
        <v/>
      </c>
      <c r="AB47" s="21" t="str">
        <f t="shared" si="53"/>
        <v/>
      </c>
      <c r="AC47" s="22">
        <f t="shared" si="54"/>
        <v>0</v>
      </c>
    </row>
    <row r="48" spans="1:30" x14ac:dyDescent="0.2">
      <c r="A48" s="10"/>
      <c r="B48" s="10"/>
      <c r="C48" s="12"/>
      <c r="D48" s="10"/>
      <c r="E48" s="17"/>
      <c r="F48" s="10"/>
      <c r="G48" s="10"/>
      <c r="H48" s="17"/>
      <c r="I48" s="17"/>
      <c r="J48" s="17"/>
      <c r="K48" s="17"/>
      <c r="L48" s="10"/>
      <c r="M48" s="17"/>
      <c r="N48" s="17"/>
      <c r="O48" s="10"/>
      <c r="P48" s="21" t="str">
        <f t="shared" si="43"/>
        <v/>
      </c>
      <c r="Q48" s="21" t="str">
        <f t="shared" si="44"/>
        <v/>
      </c>
      <c r="R48" s="21" t="str">
        <f t="shared" si="45"/>
        <v/>
      </c>
      <c r="S48" s="21" t="str">
        <f>IF(AA48="","",AA48&amp;": "&amp;SUBSTITUTE(IFERROR(INDEX(nMSG_Text,MATCH(AA48,nMSG_Code,0)),""),"[input]",AB48))</f>
        <v/>
      </c>
      <c r="T48" s="21" t="str">
        <f t="shared" si="46"/>
        <v/>
      </c>
      <c r="U48" s="21" t="str">
        <f t="shared" si="47"/>
        <v/>
      </c>
      <c r="V48" s="21" t="str">
        <f t="shared" si="48"/>
        <v/>
      </c>
      <c r="W48" s="21" t="str">
        <f t="shared" si="49"/>
        <v/>
      </c>
      <c r="X48" s="21" t="str">
        <f t="shared" si="50"/>
        <v/>
      </c>
      <c r="Y48" s="22">
        <f t="shared" si="51"/>
        <v>1</v>
      </c>
      <c r="Z48" s="21" t="str">
        <f t="shared" si="52"/>
        <v/>
      </c>
      <c r="AA48" s="21" t="str">
        <f>IF(Y48=1,"",IF(OR(A48="",I48="",J48="",M48=""),"E_MISSING_INPUT",IF(ISNA(MATCH(I48,nLIST_TimeUnit,0)),"E_INVALID_UNIT",IF(OR(NOT(ISNUMBER(J48)),NOT(ISNUMBER(M48))),"E_MISSING_INPUT",IF(OR(J48&lt;=0,M48&lt;=0),"E_NONPOSITIVE_PARAMETER",IF(NOT(AND(E48="Yes",F48&lt;&gt;"",G48&lt;&gt;"",H48="Yes")),"E_APPLICABILITY_UNCONFIRMED",IF(OR(K48="",N48=""),"E_MISSING_INPUT","")))))))</f>
        <v/>
      </c>
      <c r="AB48" s="21" t="str">
        <f t="shared" si="53"/>
        <v/>
      </c>
      <c r="AC48" s="22">
        <f t="shared" si="54"/>
        <v>0</v>
      </c>
    </row>
    <row r="49" spans="1:35" x14ac:dyDescent="0.2">
      <c r="A49" s="10"/>
      <c r="B49" s="10"/>
      <c r="C49" s="12"/>
      <c r="D49" s="10"/>
      <c r="E49" s="17"/>
      <c r="F49" s="10"/>
      <c r="G49" s="10"/>
      <c r="H49" s="17"/>
      <c r="I49" s="17"/>
      <c r="J49" s="17"/>
      <c r="K49" s="17"/>
      <c r="L49" s="10"/>
      <c r="M49" s="17"/>
      <c r="N49" s="17"/>
      <c r="O49" s="10"/>
      <c r="P49" s="21" t="str">
        <f t="shared" si="43"/>
        <v/>
      </c>
      <c r="Q49" s="21" t="str">
        <f t="shared" si="44"/>
        <v/>
      </c>
      <c r="R49" s="21" t="str">
        <f t="shared" si="45"/>
        <v/>
      </c>
      <c r="S49" s="21" t="str">
        <f>IF(AA49="","",AA49&amp;": "&amp;SUBSTITUTE(IFERROR(INDEX(nMSG_Text,MATCH(AA49,nMSG_Code,0)),""),"[input]",AB49))</f>
        <v/>
      </c>
      <c r="T49" s="21" t="str">
        <f t="shared" si="46"/>
        <v/>
      </c>
      <c r="U49" s="21" t="str">
        <f t="shared" si="47"/>
        <v/>
      </c>
      <c r="V49" s="21" t="str">
        <f t="shared" si="48"/>
        <v/>
      </c>
      <c r="W49" s="21" t="str">
        <f t="shared" si="49"/>
        <v/>
      </c>
      <c r="X49" s="21" t="str">
        <f t="shared" si="50"/>
        <v/>
      </c>
      <c r="Y49" s="22">
        <f t="shared" si="51"/>
        <v>1</v>
      </c>
      <c r="Z49" s="21" t="str">
        <f t="shared" si="52"/>
        <v/>
      </c>
      <c r="AA49" s="21" t="str">
        <f>IF(Y49=1,"",IF(OR(A49="",I49="",J49="",M49=""),"E_MISSING_INPUT",IF(ISNA(MATCH(I49,nLIST_TimeUnit,0)),"E_INVALID_UNIT",IF(OR(NOT(ISNUMBER(J49)),NOT(ISNUMBER(M49))),"E_MISSING_INPUT",IF(OR(J49&lt;=0,M49&lt;=0),"E_NONPOSITIVE_PARAMETER",IF(NOT(AND(E49="Yes",F49&lt;&gt;"",G49&lt;&gt;"",H49="Yes")),"E_APPLICABILITY_UNCONFIRMED",IF(OR(K49="",N49=""),"E_MISSING_INPUT","")))))))</f>
        <v/>
      </c>
      <c r="AB49" s="21" t="str">
        <f t="shared" si="53"/>
        <v/>
      </c>
      <c r="AC49" s="22">
        <f t="shared" si="54"/>
        <v>0</v>
      </c>
    </row>
    <row r="50" spans="1:35" x14ac:dyDescent="0.2">
      <c r="A50" s="10"/>
      <c r="B50" s="10"/>
      <c r="C50" s="12"/>
      <c r="D50" s="10"/>
      <c r="E50" s="17"/>
      <c r="F50" s="10"/>
      <c r="G50" s="10"/>
      <c r="H50" s="17"/>
      <c r="I50" s="17"/>
      <c r="J50" s="17"/>
      <c r="K50" s="17"/>
      <c r="L50" s="10"/>
      <c r="M50" s="17"/>
      <c r="N50" s="17"/>
      <c r="O50" s="10"/>
      <c r="P50" s="21" t="str">
        <f t="shared" si="43"/>
        <v/>
      </c>
      <c r="Q50" s="21" t="str">
        <f t="shared" si="44"/>
        <v/>
      </c>
      <c r="R50" s="21" t="str">
        <f t="shared" si="45"/>
        <v/>
      </c>
      <c r="S50" s="21" t="str">
        <f>IF(AA50="","",AA50&amp;": "&amp;SUBSTITUTE(IFERROR(INDEX(nMSG_Text,MATCH(AA50,nMSG_Code,0)),""),"[input]",AB50))</f>
        <v/>
      </c>
      <c r="T50" s="21" t="str">
        <f t="shared" si="46"/>
        <v/>
      </c>
      <c r="U50" s="21" t="str">
        <f t="shared" si="47"/>
        <v/>
      </c>
      <c r="V50" s="21" t="str">
        <f t="shared" si="48"/>
        <v/>
      </c>
      <c r="W50" s="21" t="str">
        <f t="shared" si="49"/>
        <v/>
      </c>
      <c r="X50" s="21" t="str">
        <f t="shared" si="50"/>
        <v/>
      </c>
      <c r="Y50" s="22">
        <f t="shared" si="51"/>
        <v>1</v>
      </c>
      <c r="Z50" s="21" t="str">
        <f t="shared" si="52"/>
        <v/>
      </c>
      <c r="AA50" s="21" t="str">
        <f>IF(Y50=1,"",IF(OR(A50="",I50="",J50="",M50=""),"E_MISSING_INPUT",IF(ISNA(MATCH(I50,nLIST_TimeUnit,0)),"E_INVALID_UNIT",IF(OR(NOT(ISNUMBER(J50)),NOT(ISNUMBER(M50))),"E_MISSING_INPUT",IF(OR(J50&lt;=0,M50&lt;=0),"E_NONPOSITIVE_PARAMETER",IF(NOT(AND(E50="Yes",F50&lt;&gt;"",G50&lt;&gt;"",H50="Yes")),"E_APPLICABILITY_UNCONFIRMED",IF(OR(K50="",N50=""),"E_MISSING_INPUT","")))))))</f>
        <v/>
      </c>
      <c r="AB50" s="21" t="str">
        <f t="shared" si="53"/>
        <v/>
      </c>
      <c r="AC50" s="22">
        <f t="shared" si="54"/>
        <v>0</v>
      </c>
    </row>
    <row r="51" spans="1:35" x14ac:dyDescent="0.2">
      <c r="A51" s="24" t="s">
        <v>289</v>
      </c>
      <c r="B51" s="23"/>
      <c r="C51" s="23"/>
      <c r="D51" s="23"/>
      <c r="E51" s="23"/>
      <c r="F51" s="23"/>
      <c r="G51" s="23"/>
      <c r="H51" s="23"/>
      <c r="I51" s="23"/>
      <c r="J51" s="23"/>
      <c r="K51" s="23"/>
      <c r="L51" s="23"/>
      <c r="M51" s="23"/>
      <c r="N51" s="23"/>
      <c r="O51" s="23"/>
      <c r="P51" s="23"/>
      <c r="Q51" s="23"/>
      <c r="R51" s="23"/>
      <c r="S51" s="23"/>
      <c r="T51" s="23"/>
      <c r="U51" s="23"/>
      <c r="V51" s="23"/>
      <c r="W51" s="23"/>
      <c r="X51" s="23"/>
      <c r="Y51" s="23"/>
      <c r="Z51" s="23"/>
      <c r="AA51" s="23"/>
      <c r="AB51" s="23"/>
      <c r="AC51" s="23"/>
    </row>
    <row r="52" spans="1:35" x14ac:dyDescent="0.2">
      <c r="A52" s="9" t="s">
        <v>1085</v>
      </c>
      <c r="B52" s="9" t="s">
        <v>337</v>
      </c>
      <c r="C52" s="11">
        <v>1</v>
      </c>
      <c r="D52" s="9" t="s">
        <v>1086</v>
      </c>
      <c r="E52" s="16" t="s">
        <v>83</v>
      </c>
      <c r="F52" s="9" t="s">
        <v>1058</v>
      </c>
      <c r="G52" s="9" t="s">
        <v>1059</v>
      </c>
      <c r="H52" s="16" t="s">
        <v>83</v>
      </c>
      <c r="I52" s="16" t="s">
        <v>65</v>
      </c>
      <c r="J52" s="16">
        <v>24</v>
      </c>
      <c r="K52" s="16" t="s">
        <v>81</v>
      </c>
      <c r="L52" s="9" t="s">
        <v>1087</v>
      </c>
      <c r="M52" s="16">
        <v>12</v>
      </c>
      <c r="N52" s="16" t="s">
        <v>81</v>
      </c>
      <c r="O52" s="9" t="s">
        <v>1087</v>
      </c>
      <c r="P52" s="21" t="str">
        <f>IF(Y52=1,"",IF(AA52&lt;&gt;"",AA52&amp;": no result is shown","Accumulation factor R = "&amp;FIXED(Q52,2,TRUE)&amp;" at corresponding points in the dosing cycle"))</f>
        <v>Accumulation factor R = 3.41 at corresponding points in the dosing cycle</v>
      </c>
      <c r="Q52" s="21">
        <f>IF(AC52=1,1/(1-2^(-M52/J52)),"")</f>
        <v>3.4142135623730945</v>
      </c>
      <c r="R52" s="21" t="str">
        <f>IF(Y52=1,"",AA52)</f>
        <v/>
      </c>
      <c r="S52" s="21" t="str">
        <f>IF(AA52="","",AA52&amp;": "&amp;SUBSTITUTE(IFERROR(INDEX(nMSG_Text,MATCH(AA52,nMSG_Code,0)),""),"[input]",AB52))</f>
        <v/>
      </c>
      <c r="T52" s="21" t="str">
        <f>IF(Y52=1,"","t_half = "&amp;J52&amp;" "&amp;I52&amp;" ["&amp;IF(K52="","status not recorded",K52)&amp;IF(L52&lt;&gt;"","; "&amp;L52,"")&amp;"]"&amp;"; "&amp;"tau = "&amp;M52&amp;" "&amp;I52&amp;" ["&amp;IF(N52="","status not recorded",N52)&amp;IF(O52&lt;&gt;"","; "&amp;O52,"")&amp;"]")</f>
        <v>t_half = 24 hours [hypothetical example; V15 V18]; tau = 12 hours [hypothetical example; V15 V18]</v>
      </c>
      <c r="U52" s="21" t="str">
        <f>IF(Y52=1,"","Model: "&amp;IF(E52="Yes","confirmed","not confirmed")&amp;". Parameter used: "&amp;IF(F52="","not stated",F52)&amp;". Reference time: "&amp;IF(G52="","not stated",G52)&amp;". Parameter_Status: "&amp;IF(H52="Yes","confirmed","not confirmed")&amp;".")</f>
        <v>Model: confirmed. Parameter used: Hypothetical teaching value from the vector file. Reference time: Reference amount at time zero. Parameter_Status: confirmed.</v>
      </c>
      <c r="V52" s="21" t="str">
        <f>IF(Y52=1,"","Model-based repeated-dose comparison. It is not a toxicity multiplier and does not give the time of clinical onset.")</f>
        <v>Model-based repeated-dose comparison. It is not a toxicity multiplier and does not give the time of clinical onset.</v>
      </c>
      <c r="W52" s="21" t="str">
        <f>IF(Y52=1,"","R = 1 / (1 - 2^(-tau / t_half))")</f>
        <v>R = 1 / (1 - 2^(-tau / t_half))</v>
      </c>
      <c r="X52" s="21" t="str">
        <f>IF(Y52=1,"","CALC-SPEC 1.0")</f>
        <v>CALC-SPEC 1.0</v>
      </c>
      <c r="Y52" s="22">
        <f>IF(AND(A52="",J52="",M52=""),1,0)</f>
        <v>0</v>
      </c>
      <c r="Z52" s="21" t="str">
        <f>IF(A52="","",B52&amp;"|"&amp;C52&amp;"|"&amp;A52)</f>
        <v>VEC-V18|1|Q3-V18</v>
      </c>
      <c r="AA52" s="21" t="str">
        <f>IF(Y52=1,"",IF(OR(A52="",I52="",J52="",M52=""),"E_MISSING_INPUT",IF(ISNA(MATCH(I52,nLIST_TimeUnit,0)),"E_INVALID_UNIT",IF(OR(NOT(ISNUMBER(J52)),NOT(ISNUMBER(M52))),"E_MISSING_INPUT",IF(OR(J52&lt;=0,M52&lt;=0),"E_NONPOSITIVE_PARAMETER",IF(NOT(AND(E52="Yes",F52&lt;&gt;"",G52&lt;&gt;"",H52="Yes")),"E_APPLICABILITY_UNCONFIRMED",IF(OR(K52="",N52=""),"E_MISSING_INPUT","")))))))</f>
        <v/>
      </c>
      <c r="AB52" s="21" t="str">
        <f>IF(AA52&lt;&gt;"E_MISSING_INPUT","",IF(A52="","a Calc_ID",IF(I52="","a time unit",IF(NOT(ISNUMBER(J52)),"a numeric t_half",IF(NOT(ISNUMBER(M52)),"a numeric tau",IF(K52="","the Parameter_Status of t_half","the Parameter_Status of tau"))))))</f>
        <v/>
      </c>
      <c r="AC52" s="22">
        <f>IF(AND(Y52=0,AA52=""),1,0)</f>
        <v>1</v>
      </c>
    </row>
    <row r="55" spans="1:35" ht="17.25" x14ac:dyDescent="0.3">
      <c r="A55" s="6" t="s">
        <v>1088</v>
      </c>
    </row>
    <row r="56" spans="1:35" x14ac:dyDescent="0.2">
      <c r="A56" s="7" t="s">
        <v>1023</v>
      </c>
    </row>
    <row r="57" spans="1:35" x14ac:dyDescent="0.2">
      <c r="A57" s="2" t="s">
        <v>1024</v>
      </c>
      <c r="E57" s="2" t="s">
        <v>1027</v>
      </c>
      <c r="I57" s="2" t="s">
        <v>1024</v>
      </c>
      <c r="S57" s="2" t="s">
        <v>1040</v>
      </c>
      <c r="AE57" s="2" t="s">
        <v>1052</v>
      </c>
    </row>
    <row r="58" spans="1:35" ht="66" customHeight="1" x14ac:dyDescent="0.2">
      <c r="A58" s="8" t="s">
        <v>1025</v>
      </c>
      <c r="B58" s="8" t="s">
        <v>274</v>
      </c>
      <c r="C58" s="8" t="s">
        <v>275</v>
      </c>
      <c r="D58" s="8" t="s">
        <v>1026</v>
      </c>
      <c r="E58" s="8" t="s">
        <v>1028</v>
      </c>
      <c r="F58" s="8" t="s">
        <v>1029</v>
      </c>
      <c r="G58" s="8" t="s">
        <v>1030</v>
      </c>
      <c r="H58" s="8" t="s">
        <v>1031</v>
      </c>
      <c r="I58" s="8" t="s">
        <v>1089</v>
      </c>
      <c r="J58" s="8" t="s">
        <v>1090</v>
      </c>
      <c r="K58" s="8" t="s">
        <v>1091</v>
      </c>
      <c r="L58" s="8" t="s">
        <v>1092</v>
      </c>
      <c r="M58" s="8" t="s">
        <v>1093</v>
      </c>
      <c r="N58" s="8" t="s">
        <v>1094</v>
      </c>
      <c r="O58" s="8" t="s">
        <v>1095</v>
      </c>
      <c r="P58" s="8" t="s">
        <v>1096</v>
      </c>
      <c r="Q58" s="8" t="s">
        <v>1097</v>
      </c>
      <c r="R58" s="8" t="s">
        <v>1098</v>
      </c>
      <c r="S58" s="19" t="s">
        <v>1099</v>
      </c>
      <c r="T58" s="19" t="s">
        <v>1100</v>
      </c>
      <c r="U58" s="19" t="s">
        <v>1101</v>
      </c>
      <c r="V58" s="19" t="s">
        <v>1102</v>
      </c>
      <c r="W58" s="19" t="s">
        <v>1103</v>
      </c>
      <c r="X58" s="19" t="s">
        <v>1046</v>
      </c>
      <c r="Y58" s="19" t="s">
        <v>1047</v>
      </c>
      <c r="Z58" s="19" t="s">
        <v>1048</v>
      </c>
      <c r="AA58" s="19" t="s">
        <v>1049</v>
      </c>
      <c r="AB58" s="19" t="s">
        <v>1050</v>
      </c>
      <c r="AC58" s="19" t="s">
        <v>1051</v>
      </c>
      <c r="AD58" s="19" t="s">
        <v>895</v>
      </c>
      <c r="AE58" s="19" t="s">
        <v>897</v>
      </c>
      <c r="AF58" s="19" t="s">
        <v>1053</v>
      </c>
      <c r="AG58" s="19" t="s">
        <v>930</v>
      </c>
      <c r="AH58" s="19" t="s">
        <v>1054</v>
      </c>
      <c r="AI58" s="19" t="s">
        <v>1055</v>
      </c>
    </row>
    <row r="59" spans="1:35" x14ac:dyDescent="0.2">
      <c r="A59" s="10"/>
      <c r="B59" s="10"/>
      <c r="C59" s="12"/>
      <c r="D59" s="10"/>
      <c r="E59" s="17"/>
      <c r="F59" s="10"/>
      <c r="G59" s="10"/>
      <c r="H59" s="17"/>
      <c r="I59" s="17"/>
      <c r="J59" s="17"/>
      <c r="K59" s="17"/>
      <c r="L59" s="10"/>
      <c r="M59" s="17"/>
      <c r="N59" s="17"/>
      <c r="O59" s="10"/>
      <c r="P59" s="17"/>
      <c r="Q59" s="17"/>
      <c r="R59" s="10"/>
      <c r="S59" s="21" t="str">
        <f t="shared" ref="S59:S66" si="55">IF(AE59=1,"",IF(AG59&lt;&gt;"",AG59&amp;": no result is shown","Half-life ratio "&amp;FIXED(T59,2,TRUE)&amp;"; average steady-state concentration ratio "&amp;FIXED(U59,2,TRUE)&amp;IF(V59&lt;&gt;""," (t_half "&amp;FIXED(V59,1,TRUE)&amp;" hours before, "&amp;FIXED(W59,1,TRUE)&amp;" hours after)","")))</f>
        <v/>
      </c>
      <c r="T59" s="21" t="str">
        <f t="shared" ref="T59:T66" si="56">IF(AI59=1,J59/M59,"")</f>
        <v/>
      </c>
      <c r="U59" s="21" t="str">
        <f t="shared" ref="U59:U66" si="57">IF(AI59=1,J59/M59,"")</f>
        <v/>
      </c>
      <c r="V59" s="21" t="str">
        <f t="shared" ref="V59:V66" si="58">IF(OR(AI59=0,P59=""),"",LN(2)*P59/(J59*IF(I59="mL/minute",0.06,1)))</f>
        <v/>
      </c>
      <c r="W59" s="21" t="str">
        <f t="shared" ref="W59:W66" si="59">IF(OR(AI59=0,P59=""),"",LN(2)*P59/(M59*IF(I59="mL/minute",0.06,1)))</f>
        <v/>
      </c>
      <c r="X59" s="21" t="str">
        <f t="shared" ref="X59:X66" si="60">IF(AE59=1,"",AG59)</f>
        <v/>
      </c>
      <c r="Y59" s="21" t="str">
        <f>IF(AG59="","",AG59&amp;": "&amp;SUBSTITUTE(IFERROR(INDEX(nMSG_Text,MATCH(AG59,nMSG_Code,0)),""),"[input]",AH59))</f>
        <v/>
      </c>
      <c r="Z59" s="21" t="str">
        <f t="shared" ref="Z59:Z66" si="61">IF(AE59=1,"","CL_before = "&amp;J59&amp;" "&amp;I59&amp;" ["&amp;IF(K59="","status not recorded",K59)&amp;IF(L59&lt;&gt;"","; "&amp;L59,"")&amp;"]"&amp;"; "&amp;"CL_after = "&amp;M59&amp;" "&amp;I59&amp;" ["&amp;IF(N59="","status not recorded",N59)&amp;IF(O59&lt;&gt;"","; "&amp;O59,"")&amp;"]"&amp;IF(P59&lt;&gt;"","; "&amp;"V_L = "&amp;P59&amp;" "&amp;"L"&amp;" ["&amp;IF(Q59="","status not recorded",Q59)&amp;IF(R59&lt;&gt;"","; "&amp;R59,"")&amp;"]",""))</f>
        <v/>
      </c>
      <c r="AA59" s="21" t="str">
        <f t="shared" ref="AA59:AA66" si="62">IF(AE59=1,"","Model: "&amp;IF(E59="Yes","confirmed","not confirmed")&amp;". Parameter used: "&amp;IF(F59="","not stated",F59)&amp;". Reference time: "&amp;IF(G59="","not stated",G59)&amp;". Parameter_Status: "&amp;IF(H59="Yes","confirmed","not confirmed")&amp;".")</f>
        <v/>
      </c>
      <c r="AB59" s="21" t="str">
        <f t="shared" ref="AB59:AB66" si="63">IF(AE59=1,"","Describes the eventual average steady state. It does not date the patient's onset; the transition depends on prior concentrations and when clearance changed.")</f>
        <v/>
      </c>
      <c r="AC59" s="21" t="str">
        <f t="shared" ref="AC59:AC66" si="64">IF(AE59=1,"","ratio = CL_before / CL_after (V constant); with V: t_half = ln 2 x V / CL for each period")</f>
        <v/>
      </c>
      <c r="AD59" s="21" t="str">
        <f t="shared" ref="AD59:AD66" si="65">IF(AE59=1,"","CALC-SPEC 1.0")</f>
        <v/>
      </c>
      <c r="AE59" s="22">
        <f t="shared" ref="AE59:AE66" si="66">IF(AND(A59="",J59="",M59=""),1,0)</f>
        <v>1</v>
      </c>
      <c r="AF59" s="21" t="str">
        <f t="shared" ref="AF59:AF66" si="67">IF(A59="","",B59&amp;"|"&amp;C59&amp;"|"&amp;A59)</f>
        <v/>
      </c>
      <c r="AG59" s="21" t="str">
        <f>IF(AE59=1,"",IF(OR(A59="",I59="",J59="",M59=""),"E_MISSING_INPUT",IF(ISNA(MATCH(I59,nLIST_CLUnit,0)),"E_INVALID_UNIT",IF(OR(NOT(ISNUMBER(J59)),NOT(ISNUMBER(M59)),AND(P59&lt;&gt;"",NOT(ISNUMBER(P59)))),"E_MISSING_INPUT",IF(OR(J59&lt;=0,M59&lt;=0,AND(ISNUMBER(P59),P59&lt;=0)),"E_NONPOSITIVE_PARAMETER",IF(NOT(AND(E59="Yes",F59&lt;&gt;"",G59&lt;&gt;"",H59="Yes")),"E_APPLICABILITY_UNCONFIRMED",IF(OR(K59="",N59="",AND(P59&lt;&gt;"",Q59="")),"E_MISSING_INPUT","")))))))</f>
        <v/>
      </c>
      <c r="AH59" s="21" t="str">
        <f t="shared" ref="AH59:AH66" si="68">IF(AG59&lt;&gt;"E_MISSING_INPUT","",IF(A59="","a Calc_ID",IF(I59="","a clearance unit",IF(NOT(ISNUMBER(J59)),"a numeric clearance before",IF(NOT(ISNUMBER(M59)),"a numeric clearance after",IF(AND(P59&lt;&gt;"",NOT(ISNUMBER(P59))),"a numeric volume","the Parameter_Status of each input"))))))</f>
        <v/>
      </c>
      <c r="AI59" s="22">
        <f t="shared" ref="AI59:AI66" si="69">IF(AND(AE59=0,AG59=""),1,0)</f>
        <v>0</v>
      </c>
    </row>
    <row r="60" spans="1:35" x14ac:dyDescent="0.2">
      <c r="A60" s="10"/>
      <c r="B60" s="10"/>
      <c r="C60" s="12"/>
      <c r="D60" s="10"/>
      <c r="E60" s="17"/>
      <c r="F60" s="10"/>
      <c r="G60" s="10"/>
      <c r="H60" s="17"/>
      <c r="I60" s="17"/>
      <c r="J60" s="17"/>
      <c r="K60" s="17"/>
      <c r="L60" s="10"/>
      <c r="M60" s="17"/>
      <c r="N60" s="17"/>
      <c r="O60" s="10"/>
      <c r="P60" s="17"/>
      <c r="Q60" s="17"/>
      <c r="R60" s="10"/>
      <c r="S60" s="21" t="str">
        <f t="shared" si="55"/>
        <v/>
      </c>
      <c r="T60" s="21" t="str">
        <f t="shared" si="56"/>
        <v/>
      </c>
      <c r="U60" s="21" t="str">
        <f t="shared" si="57"/>
        <v/>
      </c>
      <c r="V60" s="21" t="str">
        <f t="shared" si="58"/>
        <v/>
      </c>
      <c r="W60" s="21" t="str">
        <f t="shared" si="59"/>
        <v/>
      </c>
      <c r="X60" s="21" t="str">
        <f t="shared" si="60"/>
        <v/>
      </c>
      <c r="Y60" s="21" t="str">
        <f>IF(AG60="","",AG60&amp;": "&amp;SUBSTITUTE(IFERROR(INDEX(nMSG_Text,MATCH(AG60,nMSG_Code,0)),""),"[input]",AH60))</f>
        <v/>
      </c>
      <c r="Z60" s="21" t="str">
        <f t="shared" si="61"/>
        <v/>
      </c>
      <c r="AA60" s="21" t="str">
        <f t="shared" si="62"/>
        <v/>
      </c>
      <c r="AB60" s="21" t="str">
        <f t="shared" si="63"/>
        <v/>
      </c>
      <c r="AC60" s="21" t="str">
        <f t="shared" si="64"/>
        <v/>
      </c>
      <c r="AD60" s="21" t="str">
        <f t="shared" si="65"/>
        <v/>
      </c>
      <c r="AE60" s="22">
        <f t="shared" si="66"/>
        <v>1</v>
      </c>
      <c r="AF60" s="21" t="str">
        <f t="shared" si="67"/>
        <v/>
      </c>
      <c r="AG60" s="21" t="str">
        <f>IF(AE60=1,"",IF(OR(A60="",I60="",J60="",M60=""),"E_MISSING_INPUT",IF(ISNA(MATCH(I60,nLIST_CLUnit,0)),"E_INVALID_UNIT",IF(OR(NOT(ISNUMBER(J60)),NOT(ISNUMBER(M60)),AND(P60&lt;&gt;"",NOT(ISNUMBER(P60)))),"E_MISSING_INPUT",IF(OR(J60&lt;=0,M60&lt;=0,AND(ISNUMBER(P60),P60&lt;=0)),"E_NONPOSITIVE_PARAMETER",IF(NOT(AND(E60="Yes",F60&lt;&gt;"",G60&lt;&gt;"",H60="Yes")),"E_APPLICABILITY_UNCONFIRMED",IF(OR(K60="",N60="",AND(P60&lt;&gt;"",Q60="")),"E_MISSING_INPUT","")))))))</f>
        <v/>
      </c>
      <c r="AH60" s="21" t="str">
        <f t="shared" si="68"/>
        <v/>
      </c>
      <c r="AI60" s="22">
        <f t="shared" si="69"/>
        <v>0</v>
      </c>
    </row>
    <row r="61" spans="1:35" x14ac:dyDescent="0.2">
      <c r="A61" s="10"/>
      <c r="B61" s="10"/>
      <c r="C61" s="12"/>
      <c r="D61" s="10"/>
      <c r="E61" s="17"/>
      <c r="F61" s="10"/>
      <c r="G61" s="10"/>
      <c r="H61" s="17"/>
      <c r="I61" s="17"/>
      <c r="J61" s="17"/>
      <c r="K61" s="17"/>
      <c r="L61" s="10"/>
      <c r="M61" s="17"/>
      <c r="N61" s="17"/>
      <c r="O61" s="10"/>
      <c r="P61" s="17"/>
      <c r="Q61" s="17"/>
      <c r="R61" s="10"/>
      <c r="S61" s="21" t="str">
        <f t="shared" si="55"/>
        <v/>
      </c>
      <c r="T61" s="21" t="str">
        <f t="shared" si="56"/>
        <v/>
      </c>
      <c r="U61" s="21" t="str">
        <f t="shared" si="57"/>
        <v/>
      </c>
      <c r="V61" s="21" t="str">
        <f t="shared" si="58"/>
        <v/>
      </c>
      <c r="W61" s="21" t="str">
        <f t="shared" si="59"/>
        <v/>
      </c>
      <c r="X61" s="21" t="str">
        <f t="shared" si="60"/>
        <v/>
      </c>
      <c r="Y61" s="21" t="str">
        <f>IF(AG61="","",AG61&amp;": "&amp;SUBSTITUTE(IFERROR(INDEX(nMSG_Text,MATCH(AG61,nMSG_Code,0)),""),"[input]",AH61))</f>
        <v/>
      </c>
      <c r="Z61" s="21" t="str">
        <f t="shared" si="61"/>
        <v/>
      </c>
      <c r="AA61" s="21" t="str">
        <f t="shared" si="62"/>
        <v/>
      </c>
      <c r="AB61" s="21" t="str">
        <f t="shared" si="63"/>
        <v/>
      </c>
      <c r="AC61" s="21" t="str">
        <f t="shared" si="64"/>
        <v/>
      </c>
      <c r="AD61" s="21" t="str">
        <f t="shared" si="65"/>
        <v/>
      </c>
      <c r="AE61" s="22">
        <f t="shared" si="66"/>
        <v>1</v>
      </c>
      <c r="AF61" s="21" t="str">
        <f t="shared" si="67"/>
        <v/>
      </c>
      <c r="AG61" s="21" t="str">
        <f>IF(AE61=1,"",IF(OR(A61="",I61="",J61="",M61=""),"E_MISSING_INPUT",IF(ISNA(MATCH(I61,nLIST_CLUnit,0)),"E_INVALID_UNIT",IF(OR(NOT(ISNUMBER(J61)),NOT(ISNUMBER(M61)),AND(P61&lt;&gt;"",NOT(ISNUMBER(P61)))),"E_MISSING_INPUT",IF(OR(J61&lt;=0,M61&lt;=0,AND(ISNUMBER(P61),P61&lt;=0)),"E_NONPOSITIVE_PARAMETER",IF(NOT(AND(E61="Yes",F61&lt;&gt;"",G61&lt;&gt;"",H61="Yes")),"E_APPLICABILITY_UNCONFIRMED",IF(OR(K61="",N61="",AND(P61&lt;&gt;"",Q61="")),"E_MISSING_INPUT","")))))))</f>
        <v/>
      </c>
      <c r="AH61" s="21" t="str">
        <f t="shared" si="68"/>
        <v/>
      </c>
      <c r="AI61" s="22">
        <f t="shared" si="69"/>
        <v>0</v>
      </c>
    </row>
    <row r="62" spans="1:35" x14ac:dyDescent="0.2">
      <c r="A62" s="10"/>
      <c r="B62" s="10"/>
      <c r="C62" s="12"/>
      <c r="D62" s="10"/>
      <c r="E62" s="17"/>
      <c r="F62" s="10"/>
      <c r="G62" s="10"/>
      <c r="H62" s="17"/>
      <c r="I62" s="17"/>
      <c r="J62" s="17"/>
      <c r="K62" s="17"/>
      <c r="L62" s="10"/>
      <c r="M62" s="17"/>
      <c r="N62" s="17"/>
      <c r="O62" s="10"/>
      <c r="P62" s="17"/>
      <c r="Q62" s="17"/>
      <c r="R62" s="10"/>
      <c r="S62" s="21" t="str">
        <f t="shared" si="55"/>
        <v/>
      </c>
      <c r="T62" s="21" t="str">
        <f t="shared" si="56"/>
        <v/>
      </c>
      <c r="U62" s="21" t="str">
        <f t="shared" si="57"/>
        <v/>
      </c>
      <c r="V62" s="21" t="str">
        <f t="shared" si="58"/>
        <v/>
      </c>
      <c r="W62" s="21" t="str">
        <f t="shared" si="59"/>
        <v/>
      </c>
      <c r="X62" s="21" t="str">
        <f t="shared" si="60"/>
        <v/>
      </c>
      <c r="Y62" s="21" t="str">
        <f>IF(AG62="","",AG62&amp;": "&amp;SUBSTITUTE(IFERROR(INDEX(nMSG_Text,MATCH(AG62,nMSG_Code,0)),""),"[input]",AH62))</f>
        <v/>
      </c>
      <c r="Z62" s="21" t="str">
        <f t="shared" si="61"/>
        <v/>
      </c>
      <c r="AA62" s="21" t="str">
        <f t="shared" si="62"/>
        <v/>
      </c>
      <c r="AB62" s="21" t="str">
        <f t="shared" si="63"/>
        <v/>
      </c>
      <c r="AC62" s="21" t="str">
        <f t="shared" si="64"/>
        <v/>
      </c>
      <c r="AD62" s="21" t="str">
        <f t="shared" si="65"/>
        <v/>
      </c>
      <c r="AE62" s="22">
        <f t="shared" si="66"/>
        <v>1</v>
      </c>
      <c r="AF62" s="21" t="str">
        <f t="shared" si="67"/>
        <v/>
      </c>
      <c r="AG62" s="21" t="str">
        <f>IF(AE62=1,"",IF(OR(A62="",I62="",J62="",M62=""),"E_MISSING_INPUT",IF(ISNA(MATCH(I62,nLIST_CLUnit,0)),"E_INVALID_UNIT",IF(OR(NOT(ISNUMBER(J62)),NOT(ISNUMBER(M62)),AND(P62&lt;&gt;"",NOT(ISNUMBER(P62)))),"E_MISSING_INPUT",IF(OR(J62&lt;=0,M62&lt;=0,AND(ISNUMBER(P62),P62&lt;=0)),"E_NONPOSITIVE_PARAMETER",IF(NOT(AND(E62="Yes",F62&lt;&gt;"",G62&lt;&gt;"",H62="Yes")),"E_APPLICABILITY_UNCONFIRMED",IF(OR(K62="",N62="",AND(P62&lt;&gt;"",Q62="")),"E_MISSING_INPUT","")))))))</f>
        <v/>
      </c>
      <c r="AH62" s="21" t="str">
        <f t="shared" si="68"/>
        <v/>
      </c>
      <c r="AI62" s="22">
        <f t="shared" si="69"/>
        <v>0</v>
      </c>
    </row>
    <row r="63" spans="1:35" x14ac:dyDescent="0.2">
      <c r="A63" s="10"/>
      <c r="B63" s="10"/>
      <c r="C63" s="12"/>
      <c r="D63" s="10"/>
      <c r="E63" s="17"/>
      <c r="F63" s="10"/>
      <c r="G63" s="10"/>
      <c r="H63" s="17"/>
      <c r="I63" s="17"/>
      <c r="J63" s="17"/>
      <c r="K63" s="17"/>
      <c r="L63" s="10"/>
      <c r="M63" s="17"/>
      <c r="N63" s="17"/>
      <c r="O63" s="10"/>
      <c r="P63" s="17"/>
      <c r="Q63" s="17"/>
      <c r="R63" s="10"/>
      <c r="S63" s="21" t="str">
        <f t="shared" si="55"/>
        <v/>
      </c>
      <c r="T63" s="21" t="str">
        <f t="shared" si="56"/>
        <v/>
      </c>
      <c r="U63" s="21" t="str">
        <f t="shared" si="57"/>
        <v/>
      </c>
      <c r="V63" s="21" t="str">
        <f t="shared" si="58"/>
        <v/>
      </c>
      <c r="W63" s="21" t="str">
        <f t="shared" si="59"/>
        <v/>
      </c>
      <c r="X63" s="21" t="str">
        <f t="shared" si="60"/>
        <v/>
      </c>
      <c r="Y63" s="21" t="str">
        <f>IF(AG63="","",AG63&amp;": "&amp;SUBSTITUTE(IFERROR(INDEX(nMSG_Text,MATCH(AG63,nMSG_Code,0)),""),"[input]",AH63))</f>
        <v/>
      </c>
      <c r="Z63" s="21" t="str">
        <f t="shared" si="61"/>
        <v/>
      </c>
      <c r="AA63" s="21" t="str">
        <f t="shared" si="62"/>
        <v/>
      </c>
      <c r="AB63" s="21" t="str">
        <f t="shared" si="63"/>
        <v/>
      </c>
      <c r="AC63" s="21" t="str">
        <f t="shared" si="64"/>
        <v/>
      </c>
      <c r="AD63" s="21" t="str">
        <f t="shared" si="65"/>
        <v/>
      </c>
      <c r="AE63" s="22">
        <f t="shared" si="66"/>
        <v>1</v>
      </c>
      <c r="AF63" s="21" t="str">
        <f t="shared" si="67"/>
        <v/>
      </c>
      <c r="AG63" s="21" t="str">
        <f>IF(AE63=1,"",IF(OR(A63="",I63="",J63="",M63=""),"E_MISSING_INPUT",IF(ISNA(MATCH(I63,nLIST_CLUnit,0)),"E_INVALID_UNIT",IF(OR(NOT(ISNUMBER(J63)),NOT(ISNUMBER(M63)),AND(P63&lt;&gt;"",NOT(ISNUMBER(P63)))),"E_MISSING_INPUT",IF(OR(J63&lt;=0,M63&lt;=0,AND(ISNUMBER(P63),P63&lt;=0)),"E_NONPOSITIVE_PARAMETER",IF(NOT(AND(E63="Yes",F63&lt;&gt;"",G63&lt;&gt;"",H63="Yes")),"E_APPLICABILITY_UNCONFIRMED",IF(OR(K63="",N63="",AND(P63&lt;&gt;"",Q63="")),"E_MISSING_INPUT","")))))))</f>
        <v/>
      </c>
      <c r="AH63" s="21" t="str">
        <f t="shared" si="68"/>
        <v/>
      </c>
      <c r="AI63" s="22">
        <f t="shared" si="69"/>
        <v>0</v>
      </c>
    </row>
    <row r="64" spans="1:35" x14ac:dyDescent="0.2">
      <c r="A64" s="10"/>
      <c r="B64" s="10"/>
      <c r="C64" s="12"/>
      <c r="D64" s="10"/>
      <c r="E64" s="17"/>
      <c r="F64" s="10"/>
      <c r="G64" s="10"/>
      <c r="H64" s="17"/>
      <c r="I64" s="17"/>
      <c r="J64" s="17"/>
      <c r="K64" s="17"/>
      <c r="L64" s="10"/>
      <c r="M64" s="17"/>
      <c r="N64" s="17"/>
      <c r="O64" s="10"/>
      <c r="P64" s="17"/>
      <c r="Q64" s="17"/>
      <c r="R64" s="10"/>
      <c r="S64" s="21" t="str">
        <f t="shared" si="55"/>
        <v/>
      </c>
      <c r="T64" s="21" t="str">
        <f t="shared" si="56"/>
        <v/>
      </c>
      <c r="U64" s="21" t="str">
        <f t="shared" si="57"/>
        <v/>
      </c>
      <c r="V64" s="21" t="str">
        <f t="shared" si="58"/>
        <v/>
      </c>
      <c r="W64" s="21" t="str">
        <f t="shared" si="59"/>
        <v/>
      </c>
      <c r="X64" s="21" t="str">
        <f t="shared" si="60"/>
        <v/>
      </c>
      <c r="Y64" s="21" t="str">
        <f>IF(AG64="","",AG64&amp;": "&amp;SUBSTITUTE(IFERROR(INDEX(nMSG_Text,MATCH(AG64,nMSG_Code,0)),""),"[input]",AH64))</f>
        <v/>
      </c>
      <c r="Z64" s="21" t="str">
        <f t="shared" si="61"/>
        <v/>
      </c>
      <c r="AA64" s="21" t="str">
        <f t="shared" si="62"/>
        <v/>
      </c>
      <c r="AB64" s="21" t="str">
        <f t="shared" si="63"/>
        <v/>
      </c>
      <c r="AC64" s="21" t="str">
        <f t="shared" si="64"/>
        <v/>
      </c>
      <c r="AD64" s="21" t="str">
        <f t="shared" si="65"/>
        <v/>
      </c>
      <c r="AE64" s="22">
        <f t="shared" si="66"/>
        <v>1</v>
      </c>
      <c r="AF64" s="21" t="str">
        <f t="shared" si="67"/>
        <v/>
      </c>
      <c r="AG64" s="21" t="str">
        <f>IF(AE64=1,"",IF(OR(A64="",I64="",J64="",M64=""),"E_MISSING_INPUT",IF(ISNA(MATCH(I64,nLIST_CLUnit,0)),"E_INVALID_UNIT",IF(OR(NOT(ISNUMBER(J64)),NOT(ISNUMBER(M64)),AND(P64&lt;&gt;"",NOT(ISNUMBER(P64)))),"E_MISSING_INPUT",IF(OR(J64&lt;=0,M64&lt;=0,AND(ISNUMBER(P64),P64&lt;=0)),"E_NONPOSITIVE_PARAMETER",IF(NOT(AND(E64="Yes",F64&lt;&gt;"",G64&lt;&gt;"",H64="Yes")),"E_APPLICABILITY_UNCONFIRMED",IF(OR(K64="",N64="",AND(P64&lt;&gt;"",Q64="")),"E_MISSING_INPUT","")))))))</f>
        <v/>
      </c>
      <c r="AH64" s="21" t="str">
        <f t="shared" si="68"/>
        <v/>
      </c>
      <c r="AI64" s="22">
        <f t="shared" si="69"/>
        <v>0</v>
      </c>
    </row>
    <row r="65" spans="1:35" x14ac:dyDescent="0.2">
      <c r="A65" s="10"/>
      <c r="B65" s="10"/>
      <c r="C65" s="12"/>
      <c r="D65" s="10"/>
      <c r="E65" s="17"/>
      <c r="F65" s="10"/>
      <c r="G65" s="10"/>
      <c r="H65" s="17"/>
      <c r="I65" s="17"/>
      <c r="J65" s="17"/>
      <c r="K65" s="17"/>
      <c r="L65" s="10"/>
      <c r="M65" s="17"/>
      <c r="N65" s="17"/>
      <c r="O65" s="10"/>
      <c r="P65" s="17"/>
      <c r="Q65" s="17"/>
      <c r="R65" s="10"/>
      <c r="S65" s="21" t="str">
        <f t="shared" si="55"/>
        <v/>
      </c>
      <c r="T65" s="21" t="str">
        <f t="shared" si="56"/>
        <v/>
      </c>
      <c r="U65" s="21" t="str">
        <f t="shared" si="57"/>
        <v/>
      </c>
      <c r="V65" s="21" t="str">
        <f t="shared" si="58"/>
        <v/>
      </c>
      <c r="W65" s="21" t="str">
        <f t="shared" si="59"/>
        <v/>
      </c>
      <c r="X65" s="21" t="str">
        <f t="shared" si="60"/>
        <v/>
      </c>
      <c r="Y65" s="21" t="str">
        <f>IF(AG65="","",AG65&amp;": "&amp;SUBSTITUTE(IFERROR(INDEX(nMSG_Text,MATCH(AG65,nMSG_Code,0)),""),"[input]",AH65))</f>
        <v/>
      </c>
      <c r="Z65" s="21" t="str">
        <f t="shared" si="61"/>
        <v/>
      </c>
      <c r="AA65" s="21" t="str">
        <f t="shared" si="62"/>
        <v/>
      </c>
      <c r="AB65" s="21" t="str">
        <f t="shared" si="63"/>
        <v/>
      </c>
      <c r="AC65" s="21" t="str">
        <f t="shared" si="64"/>
        <v/>
      </c>
      <c r="AD65" s="21" t="str">
        <f t="shared" si="65"/>
        <v/>
      </c>
      <c r="AE65" s="22">
        <f t="shared" si="66"/>
        <v>1</v>
      </c>
      <c r="AF65" s="21" t="str">
        <f t="shared" si="67"/>
        <v/>
      </c>
      <c r="AG65" s="21" t="str">
        <f>IF(AE65=1,"",IF(OR(A65="",I65="",J65="",M65=""),"E_MISSING_INPUT",IF(ISNA(MATCH(I65,nLIST_CLUnit,0)),"E_INVALID_UNIT",IF(OR(NOT(ISNUMBER(J65)),NOT(ISNUMBER(M65)),AND(P65&lt;&gt;"",NOT(ISNUMBER(P65)))),"E_MISSING_INPUT",IF(OR(J65&lt;=0,M65&lt;=0,AND(ISNUMBER(P65),P65&lt;=0)),"E_NONPOSITIVE_PARAMETER",IF(NOT(AND(E65="Yes",F65&lt;&gt;"",G65&lt;&gt;"",H65="Yes")),"E_APPLICABILITY_UNCONFIRMED",IF(OR(K65="",N65="",AND(P65&lt;&gt;"",Q65="")),"E_MISSING_INPUT","")))))))</f>
        <v/>
      </c>
      <c r="AH65" s="21" t="str">
        <f t="shared" si="68"/>
        <v/>
      </c>
      <c r="AI65" s="22">
        <f t="shared" si="69"/>
        <v>0</v>
      </c>
    </row>
    <row r="66" spans="1:35" x14ac:dyDescent="0.2">
      <c r="A66" s="10"/>
      <c r="B66" s="10"/>
      <c r="C66" s="12"/>
      <c r="D66" s="10"/>
      <c r="E66" s="17"/>
      <c r="F66" s="10"/>
      <c r="G66" s="10"/>
      <c r="H66" s="17"/>
      <c r="I66" s="17"/>
      <c r="J66" s="17"/>
      <c r="K66" s="17"/>
      <c r="L66" s="10"/>
      <c r="M66" s="17"/>
      <c r="N66" s="17"/>
      <c r="O66" s="10"/>
      <c r="P66" s="17"/>
      <c r="Q66" s="17"/>
      <c r="R66" s="10"/>
      <c r="S66" s="21" t="str">
        <f t="shared" si="55"/>
        <v/>
      </c>
      <c r="T66" s="21" t="str">
        <f t="shared" si="56"/>
        <v/>
      </c>
      <c r="U66" s="21" t="str">
        <f t="shared" si="57"/>
        <v/>
      </c>
      <c r="V66" s="21" t="str">
        <f t="shared" si="58"/>
        <v/>
      </c>
      <c r="W66" s="21" t="str">
        <f t="shared" si="59"/>
        <v/>
      </c>
      <c r="X66" s="21" t="str">
        <f t="shared" si="60"/>
        <v/>
      </c>
      <c r="Y66" s="21" t="str">
        <f>IF(AG66="","",AG66&amp;": "&amp;SUBSTITUTE(IFERROR(INDEX(nMSG_Text,MATCH(AG66,nMSG_Code,0)),""),"[input]",AH66))</f>
        <v/>
      </c>
      <c r="Z66" s="21" t="str">
        <f t="shared" si="61"/>
        <v/>
      </c>
      <c r="AA66" s="21" t="str">
        <f t="shared" si="62"/>
        <v/>
      </c>
      <c r="AB66" s="21" t="str">
        <f t="shared" si="63"/>
        <v/>
      </c>
      <c r="AC66" s="21" t="str">
        <f t="shared" si="64"/>
        <v/>
      </c>
      <c r="AD66" s="21" t="str">
        <f t="shared" si="65"/>
        <v/>
      </c>
      <c r="AE66" s="22">
        <f t="shared" si="66"/>
        <v>1</v>
      </c>
      <c r="AF66" s="21" t="str">
        <f t="shared" si="67"/>
        <v/>
      </c>
      <c r="AG66" s="21" t="str">
        <f>IF(AE66=1,"",IF(OR(A66="",I66="",J66="",M66=""),"E_MISSING_INPUT",IF(ISNA(MATCH(I66,nLIST_CLUnit,0)),"E_INVALID_UNIT",IF(OR(NOT(ISNUMBER(J66)),NOT(ISNUMBER(M66)),AND(P66&lt;&gt;"",NOT(ISNUMBER(P66)))),"E_MISSING_INPUT",IF(OR(J66&lt;=0,M66&lt;=0,AND(ISNUMBER(P66),P66&lt;=0)),"E_NONPOSITIVE_PARAMETER",IF(NOT(AND(E66="Yes",F66&lt;&gt;"",G66&lt;&gt;"",H66="Yes")),"E_APPLICABILITY_UNCONFIRMED",IF(OR(K66="",N66="",AND(P66&lt;&gt;"",Q66="")),"E_MISSING_INPUT","")))))))</f>
        <v/>
      </c>
      <c r="AH66" s="21" t="str">
        <f t="shared" si="68"/>
        <v/>
      </c>
      <c r="AI66" s="22">
        <f t="shared" si="69"/>
        <v>0</v>
      </c>
    </row>
    <row r="67" spans="1:35" x14ac:dyDescent="0.2">
      <c r="A67" s="24" t="s">
        <v>288</v>
      </c>
      <c r="B67" s="23"/>
      <c r="C67" s="23"/>
      <c r="D67" s="23"/>
      <c r="E67" s="23"/>
      <c r="F67" s="23"/>
      <c r="G67" s="23"/>
      <c r="H67" s="23"/>
      <c r="I67" s="23"/>
      <c r="J67" s="23"/>
      <c r="K67" s="23"/>
      <c r="L67" s="23"/>
      <c r="M67" s="23"/>
      <c r="N67" s="23"/>
      <c r="O67" s="23"/>
      <c r="P67" s="23"/>
      <c r="Q67" s="23"/>
      <c r="R67" s="23"/>
      <c r="S67" s="23"/>
      <c r="T67" s="23"/>
      <c r="U67" s="23"/>
      <c r="V67" s="23"/>
      <c r="W67" s="23"/>
      <c r="X67" s="23"/>
      <c r="Y67" s="23"/>
      <c r="Z67" s="23"/>
      <c r="AA67" s="23"/>
      <c r="AB67" s="23"/>
      <c r="AC67" s="23"/>
      <c r="AD67" s="23"/>
      <c r="AE67" s="23"/>
      <c r="AF67" s="23"/>
      <c r="AG67" s="23"/>
      <c r="AH67" s="23"/>
      <c r="AI67" s="23"/>
    </row>
    <row r="68" spans="1:35" x14ac:dyDescent="0.2">
      <c r="A68" s="9" t="s">
        <v>1104</v>
      </c>
      <c r="B68" s="9" t="s">
        <v>295</v>
      </c>
      <c r="C68" s="11">
        <v>2</v>
      </c>
      <c r="D68" s="9" t="s">
        <v>1105</v>
      </c>
      <c r="E68" s="16" t="s">
        <v>83</v>
      </c>
      <c r="F68" s="9" t="s">
        <v>1106</v>
      </c>
      <c r="G68" s="9" t="s">
        <v>1107</v>
      </c>
      <c r="H68" s="16" t="s">
        <v>83</v>
      </c>
      <c r="I68" s="16" t="s">
        <v>74</v>
      </c>
      <c r="J68" s="16">
        <v>1</v>
      </c>
      <c r="K68" s="16" t="s">
        <v>80</v>
      </c>
      <c r="L68" s="9" t="s">
        <v>1108</v>
      </c>
      <c r="M68" s="16">
        <v>0.75</v>
      </c>
      <c r="N68" s="16" t="s">
        <v>80</v>
      </c>
      <c r="O68" s="9" t="s">
        <v>1108</v>
      </c>
      <c r="P68" s="16"/>
      <c r="Q68" s="16"/>
      <c r="R68" s="9"/>
      <c r="S68" s="21" t="str">
        <f t="shared" ref="S68:S71" si="70">IF(AE68=1,"",IF(AG68&lt;&gt;"",AG68&amp;": no result is shown","Half-life ratio "&amp;FIXED(T68,2,TRUE)&amp;"; average steady-state concentration ratio "&amp;FIXED(U68,2,TRUE)&amp;IF(V68&lt;&gt;""," (t_half "&amp;FIXED(V68,1,TRUE)&amp;" hours before, "&amp;FIXED(W68,1,TRUE)&amp;" hours after)","")))</f>
        <v>Half-life ratio 1.33; average steady-state concentration ratio 1.33</v>
      </c>
      <c r="T68" s="21">
        <f t="shared" ref="T68:T71" si="71">IF(AI68=1,J68/M68,"")</f>
        <v>1.3333333333333333</v>
      </c>
      <c r="U68" s="21">
        <f t="shared" ref="U68:U71" si="72">IF(AI68=1,J68/M68,"")</f>
        <v>1.3333333333333333</v>
      </c>
      <c r="V68" s="21" t="str">
        <f t="shared" ref="V68:V71" si="73">IF(OR(AI68=0,P68=""),"",LN(2)*P68/(J68*IF(I68="mL/minute",0.06,1)))</f>
        <v/>
      </c>
      <c r="W68" s="21" t="str">
        <f t="shared" ref="W68:W71" si="74">IF(OR(AI68=0,P68=""),"",LN(2)*P68/(M68*IF(I68="mL/minute",0.06,1)))</f>
        <v/>
      </c>
      <c r="X68" s="21" t="str">
        <f t="shared" ref="X68:X71" si="75">IF(AE68=1,"",AG68)</f>
        <v/>
      </c>
      <c r="Y68" s="21" t="str">
        <f>IF(AG68="","",AG68&amp;": "&amp;SUBSTITUTE(IFERROR(INDEX(nMSG_Text,MATCH(AG68,nMSG_Code,0)),""),"[input]",AH68))</f>
        <v/>
      </c>
      <c r="Z68" s="21" t="str">
        <f t="shared" ref="Z68:Z71" si="76">IF(AE68=1,"","CL_before = "&amp;J68&amp;" "&amp;I68&amp;" ["&amp;IF(K68="","status not recorded",K68)&amp;IF(L68&lt;&gt;"","; "&amp;L68,"")&amp;"]"&amp;"; "&amp;"CL_after = "&amp;M68&amp;" "&amp;I68&amp;" ["&amp;IF(N68="","status not recorded",N68)&amp;IF(O68&lt;&gt;"","; "&amp;O68,"")&amp;"]"&amp;IF(P68&lt;&gt;"","; "&amp;"V_L = "&amp;P68&amp;" "&amp;"L"&amp;" ["&amp;IF(Q68="","status not recorded",Q68)&amp;IF(R68&lt;&gt;"","; "&amp;R68,"")&amp;"]",""))</f>
        <v>CL_before = 1 L/hour [model assumption; Chapter 11, Worked exercise 11.2]; CL_after = 0.75 L/hour [model assumption; Chapter 11, Worked exercise 11.2]</v>
      </c>
      <c r="AA68" s="21" t="str">
        <f t="shared" ref="AA68:AA71" si="77">IF(AE68=1,"","Model: "&amp;IF(E68="Yes","confirmed","not confirmed")&amp;". Parameter used: "&amp;IF(F68="","not stated",F68)&amp;". Reference time: "&amp;IF(G68="","not stated",G68)&amp;". Parameter_Status: "&amp;IF(H68="Yes","confirmed","not confirmed")&amp;".")</f>
        <v>Model: confirmed. Parameter used: Relative total clearance (baseline = 1, entered on the L/hour scale; only the ratio is used); fe 0.5-0.7 from healthy volunteers given IV digoxin [LANOXIN US 12.3]. Reference time: Eventual average steady state after the renal change. Parameter_Status: confirmed.</v>
      </c>
      <c r="AB68" s="21" t="str">
        <f t="shared" ref="AB68:AB71" si="78">IF(AE68=1,"","Describes the eventual average steady state. It does not date the patient's onset; the transition depends on prior concentrations and when clearance changed.")</f>
        <v>Describes the eventual average steady state. It does not date the patient's onset; the transition depends on prior concentrations and when clearance changed.</v>
      </c>
      <c r="AC68" s="21" t="str">
        <f t="shared" ref="AC68:AC71" si="79">IF(AE68=1,"","ratio = CL_before / CL_after (V constant); with V: t_half = ln 2 x V / CL for each period")</f>
        <v>ratio = CL_before / CL_after (V constant); with V: t_half = ln 2 x V / CL for each period</v>
      </c>
      <c r="AD68" s="21" t="str">
        <f t="shared" ref="AD68:AD71" si="80">IF(AE68=1,"","CALC-SPEC 1.0")</f>
        <v>CALC-SPEC 1.0</v>
      </c>
      <c r="AE68" s="22">
        <f t="shared" ref="AE68:AE71" si="81">IF(AND(A68="",J68="",M68=""),1,0)</f>
        <v>0</v>
      </c>
      <c r="AF68" s="21" t="str">
        <f t="shared" ref="AF68:AF71" si="82">IF(A68="","",B68&amp;"|"&amp;C68&amp;"|"&amp;A68)</f>
        <v>EX-C04|2|Q4-C04-half-fe0.5</v>
      </c>
      <c r="AG68" s="21" t="str">
        <f>IF(AE68=1,"",IF(OR(A68="",I68="",J68="",M68=""),"E_MISSING_INPUT",IF(ISNA(MATCH(I68,nLIST_CLUnit,0)),"E_INVALID_UNIT",IF(OR(NOT(ISNUMBER(J68)),NOT(ISNUMBER(M68)),AND(P68&lt;&gt;"",NOT(ISNUMBER(P68)))),"E_MISSING_INPUT",IF(OR(J68&lt;=0,M68&lt;=0,AND(ISNUMBER(P68),P68&lt;=0)),"E_NONPOSITIVE_PARAMETER",IF(NOT(AND(E68="Yes",F68&lt;&gt;"",G68&lt;&gt;"",H68="Yes")),"E_APPLICABILITY_UNCONFIRMED",IF(OR(K68="",N68="",AND(P68&lt;&gt;"",Q68="")),"E_MISSING_INPUT","")))))))</f>
        <v/>
      </c>
      <c r="AH68" s="21" t="str">
        <f t="shared" ref="AH68:AH71" si="83">IF(AG68&lt;&gt;"E_MISSING_INPUT","",IF(A68="","a Calc_ID",IF(I68="","a clearance unit",IF(NOT(ISNUMBER(J68)),"a numeric clearance before",IF(NOT(ISNUMBER(M68)),"a numeric clearance after",IF(AND(P68&lt;&gt;"",NOT(ISNUMBER(P68))),"a numeric volume","the Parameter_Status of each input"))))))</f>
        <v/>
      </c>
      <c r="AI68" s="22">
        <f t="shared" ref="AI68:AI71" si="84">IF(AND(AE68=0,AG68=""),1,0)</f>
        <v>1</v>
      </c>
    </row>
    <row r="69" spans="1:35" x14ac:dyDescent="0.2">
      <c r="A69" s="9" t="s">
        <v>1109</v>
      </c>
      <c r="B69" s="9" t="s">
        <v>295</v>
      </c>
      <c r="C69" s="11">
        <v>2</v>
      </c>
      <c r="D69" s="9" t="s">
        <v>1110</v>
      </c>
      <c r="E69" s="16" t="s">
        <v>83</v>
      </c>
      <c r="F69" s="9" t="s">
        <v>1106</v>
      </c>
      <c r="G69" s="9" t="s">
        <v>1107</v>
      </c>
      <c r="H69" s="16" t="s">
        <v>83</v>
      </c>
      <c r="I69" s="16" t="s">
        <v>74</v>
      </c>
      <c r="J69" s="16">
        <v>1</v>
      </c>
      <c r="K69" s="16" t="s">
        <v>80</v>
      </c>
      <c r="L69" s="9" t="s">
        <v>1108</v>
      </c>
      <c r="M69" s="16">
        <v>0.65</v>
      </c>
      <c r="N69" s="16" t="s">
        <v>80</v>
      </c>
      <c r="O69" s="9" t="s">
        <v>1108</v>
      </c>
      <c r="P69" s="16"/>
      <c r="Q69" s="16"/>
      <c r="R69" s="9"/>
      <c r="S69" s="21" t="str">
        <f t="shared" si="70"/>
        <v>Half-life ratio 1.54; average steady-state concentration ratio 1.54</v>
      </c>
      <c r="T69" s="21">
        <f t="shared" si="71"/>
        <v>1.5384615384615383</v>
      </c>
      <c r="U69" s="21">
        <f t="shared" si="72"/>
        <v>1.5384615384615383</v>
      </c>
      <c r="V69" s="21" t="str">
        <f t="shared" si="73"/>
        <v/>
      </c>
      <c r="W69" s="21" t="str">
        <f t="shared" si="74"/>
        <v/>
      </c>
      <c r="X69" s="21" t="str">
        <f t="shared" si="75"/>
        <v/>
      </c>
      <c r="Y69" s="21" t="str">
        <f>IF(AG69="","",AG69&amp;": "&amp;SUBSTITUTE(IFERROR(INDEX(nMSG_Text,MATCH(AG69,nMSG_Code,0)),""),"[input]",AH69))</f>
        <v/>
      </c>
      <c r="Z69" s="21" t="str">
        <f t="shared" si="76"/>
        <v>CL_before = 1 L/hour [model assumption; Chapter 11, Worked exercise 11.2]; CL_after = 0.65 L/hour [model assumption; Chapter 11, Worked exercise 11.2]</v>
      </c>
      <c r="AA69" s="21" t="str">
        <f t="shared" si="77"/>
        <v>Model: confirmed. Parameter used: Relative total clearance (baseline = 1, entered on the L/hour scale; only the ratio is used); fe 0.5-0.7 from healthy volunteers given IV digoxin [LANOXIN US 12.3]. Reference time: Eventual average steady state after the renal change. Parameter_Status: confirmed.</v>
      </c>
      <c r="AB69" s="21" t="str">
        <f t="shared" si="78"/>
        <v>Describes the eventual average steady state. It does not date the patient's onset; the transition depends on prior concentrations and when clearance changed.</v>
      </c>
      <c r="AC69" s="21" t="str">
        <f t="shared" si="79"/>
        <v>ratio = CL_before / CL_after (V constant); with V: t_half = ln 2 x V / CL for each period</v>
      </c>
      <c r="AD69" s="21" t="str">
        <f t="shared" si="80"/>
        <v>CALC-SPEC 1.0</v>
      </c>
      <c r="AE69" s="22">
        <f t="shared" si="81"/>
        <v>0</v>
      </c>
      <c r="AF69" s="21" t="str">
        <f t="shared" si="82"/>
        <v>EX-C04|2|Q4-C04-half-fe0.7</v>
      </c>
      <c r="AG69" s="21" t="str">
        <f>IF(AE69=1,"",IF(OR(A69="",I69="",J69="",M69=""),"E_MISSING_INPUT",IF(ISNA(MATCH(I69,nLIST_CLUnit,0)),"E_INVALID_UNIT",IF(OR(NOT(ISNUMBER(J69)),NOT(ISNUMBER(M69)),AND(P69&lt;&gt;"",NOT(ISNUMBER(P69)))),"E_MISSING_INPUT",IF(OR(J69&lt;=0,M69&lt;=0,AND(ISNUMBER(P69),P69&lt;=0)),"E_NONPOSITIVE_PARAMETER",IF(NOT(AND(E69="Yes",F69&lt;&gt;"",G69&lt;&gt;"",H69="Yes")),"E_APPLICABILITY_UNCONFIRMED",IF(OR(K69="",N69="",AND(P69&lt;&gt;"",Q69="")),"E_MISSING_INPUT","")))))))</f>
        <v/>
      </c>
      <c r="AH69" s="21" t="str">
        <f t="shared" si="83"/>
        <v/>
      </c>
      <c r="AI69" s="22">
        <f t="shared" si="84"/>
        <v>1</v>
      </c>
    </row>
    <row r="70" spans="1:35" x14ac:dyDescent="0.2">
      <c r="A70" s="9" t="s">
        <v>1111</v>
      </c>
      <c r="B70" s="9" t="s">
        <v>295</v>
      </c>
      <c r="C70" s="11">
        <v>2</v>
      </c>
      <c r="D70" s="9" t="s">
        <v>1112</v>
      </c>
      <c r="E70" s="16" t="s">
        <v>83</v>
      </c>
      <c r="F70" s="9" t="s">
        <v>1106</v>
      </c>
      <c r="G70" s="9" t="s">
        <v>1107</v>
      </c>
      <c r="H70" s="16" t="s">
        <v>83</v>
      </c>
      <c r="I70" s="16" t="s">
        <v>74</v>
      </c>
      <c r="J70" s="16">
        <v>1</v>
      </c>
      <c r="K70" s="16" t="s">
        <v>80</v>
      </c>
      <c r="L70" s="9" t="s">
        <v>1108</v>
      </c>
      <c r="M70" s="16">
        <v>0.625</v>
      </c>
      <c r="N70" s="16" t="s">
        <v>80</v>
      </c>
      <c r="O70" s="9" t="s">
        <v>1108</v>
      </c>
      <c r="P70" s="16"/>
      <c r="Q70" s="16"/>
      <c r="R70" s="9"/>
      <c r="S70" s="21" t="str">
        <f t="shared" si="70"/>
        <v>Half-life ratio 1.60; average steady-state concentration ratio 1.60</v>
      </c>
      <c r="T70" s="21">
        <f t="shared" si="71"/>
        <v>1.6</v>
      </c>
      <c r="U70" s="21">
        <f t="shared" si="72"/>
        <v>1.6</v>
      </c>
      <c r="V70" s="21" t="str">
        <f t="shared" si="73"/>
        <v/>
      </c>
      <c r="W70" s="21" t="str">
        <f t="shared" si="74"/>
        <v/>
      </c>
      <c r="X70" s="21" t="str">
        <f t="shared" si="75"/>
        <v/>
      </c>
      <c r="Y70" s="21" t="str">
        <f>IF(AG70="","",AG70&amp;": "&amp;SUBSTITUTE(IFERROR(INDEX(nMSG_Text,MATCH(AG70,nMSG_Code,0)),""),"[input]",AH70))</f>
        <v/>
      </c>
      <c r="Z70" s="21" t="str">
        <f t="shared" si="76"/>
        <v>CL_before = 1 L/hour [model assumption; Chapter 11, Worked exercise 11.2]; CL_after = 0.625 L/hour [model assumption; Chapter 11, Worked exercise 11.2]</v>
      </c>
      <c r="AA70" s="21" t="str">
        <f t="shared" si="77"/>
        <v>Model: confirmed. Parameter used: Relative total clearance (baseline = 1, entered on the L/hour scale; only the ratio is used); fe 0.5-0.7 from healthy volunteers given IV digoxin [LANOXIN US 12.3]. Reference time: Eventual average steady state after the renal change. Parameter_Status: confirmed.</v>
      </c>
      <c r="AB70" s="21" t="str">
        <f t="shared" si="78"/>
        <v>Describes the eventual average steady state. It does not date the patient's onset; the transition depends on prior concentrations and when clearance changed.</v>
      </c>
      <c r="AC70" s="21" t="str">
        <f t="shared" si="79"/>
        <v>ratio = CL_before / CL_after (V constant); with V: t_half = ln 2 x V / CL for each period</v>
      </c>
      <c r="AD70" s="21" t="str">
        <f t="shared" si="80"/>
        <v>CALC-SPEC 1.0</v>
      </c>
      <c r="AE70" s="22">
        <f t="shared" si="81"/>
        <v>0</v>
      </c>
      <c r="AF70" s="21" t="str">
        <f t="shared" si="82"/>
        <v>EX-C04|2|Q4-C04-quarter-fe0.5</v>
      </c>
      <c r="AG70" s="21" t="str">
        <f>IF(AE70=1,"",IF(OR(A70="",I70="",J70="",M70=""),"E_MISSING_INPUT",IF(ISNA(MATCH(I70,nLIST_CLUnit,0)),"E_INVALID_UNIT",IF(OR(NOT(ISNUMBER(J70)),NOT(ISNUMBER(M70)),AND(P70&lt;&gt;"",NOT(ISNUMBER(P70)))),"E_MISSING_INPUT",IF(OR(J70&lt;=0,M70&lt;=0,AND(ISNUMBER(P70),P70&lt;=0)),"E_NONPOSITIVE_PARAMETER",IF(NOT(AND(E70="Yes",F70&lt;&gt;"",G70&lt;&gt;"",H70="Yes")),"E_APPLICABILITY_UNCONFIRMED",IF(OR(K70="",N70="",AND(P70&lt;&gt;"",Q70="")),"E_MISSING_INPUT","")))))))</f>
        <v/>
      </c>
      <c r="AH70" s="21" t="str">
        <f t="shared" si="83"/>
        <v/>
      </c>
      <c r="AI70" s="22">
        <f t="shared" si="84"/>
        <v>1</v>
      </c>
    </row>
    <row r="71" spans="1:35" x14ac:dyDescent="0.2">
      <c r="A71" s="9" t="s">
        <v>1113</v>
      </c>
      <c r="B71" s="9" t="s">
        <v>295</v>
      </c>
      <c r="C71" s="11">
        <v>2</v>
      </c>
      <c r="D71" s="9" t="s">
        <v>1114</v>
      </c>
      <c r="E71" s="16" t="s">
        <v>83</v>
      </c>
      <c r="F71" s="9" t="s">
        <v>1106</v>
      </c>
      <c r="G71" s="9" t="s">
        <v>1107</v>
      </c>
      <c r="H71" s="16" t="s">
        <v>83</v>
      </c>
      <c r="I71" s="16" t="s">
        <v>74</v>
      </c>
      <c r="J71" s="16">
        <v>1</v>
      </c>
      <c r="K71" s="16" t="s">
        <v>80</v>
      </c>
      <c r="L71" s="9" t="s">
        <v>1108</v>
      </c>
      <c r="M71" s="16">
        <v>0.47499999999999998</v>
      </c>
      <c r="N71" s="16" t="s">
        <v>80</v>
      </c>
      <c r="O71" s="9" t="s">
        <v>1108</v>
      </c>
      <c r="P71" s="16"/>
      <c r="Q71" s="16"/>
      <c r="R71" s="9"/>
      <c r="S71" s="21" t="str">
        <f t="shared" si="70"/>
        <v>Half-life ratio 2.11; average steady-state concentration ratio 2.11</v>
      </c>
      <c r="T71" s="21">
        <f t="shared" si="71"/>
        <v>2.1052631578947367</v>
      </c>
      <c r="U71" s="21">
        <f t="shared" si="72"/>
        <v>2.1052631578947367</v>
      </c>
      <c r="V71" s="21" t="str">
        <f t="shared" si="73"/>
        <v/>
      </c>
      <c r="W71" s="21" t="str">
        <f t="shared" si="74"/>
        <v/>
      </c>
      <c r="X71" s="21" t="str">
        <f t="shared" si="75"/>
        <v/>
      </c>
      <c r="Y71" s="21" t="str">
        <f>IF(AG71="","",AG71&amp;": "&amp;SUBSTITUTE(IFERROR(INDEX(nMSG_Text,MATCH(AG71,nMSG_Code,0)),""),"[input]",AH71))</f>
        <v/>
      </c>
      <c r="Z71" s="21" t="str">
        <f t="shared" si="76"/>
        <v>CL_before = 1 L/hour [model assumption; Chapter 11, Worked exercise 11.2]; CL_after = 0.475 L/hour [model assumption; Chapter 11, Worked exercise 11.2]</v>
      </c>
      <c r="AA71" s="21" t="str">
        <f t="shared" si="77"/>
        <v>Model: confirmed. Parameter used: Relative total clearance (baseline = 1, entered on the L/hour scale; only the ratio is used); fe 0.5-0.7 from healthy volunteers given IV digoxin [LANOXIN US 12.3]. Reference time: Eventual average steady state after the renal change. Parameter_Status: confirmed.</v>
      </c>
      <c r="AB71" s="21" t="str">
        <f t="shared" si="78"/>
        <v>Describes the eventual average steady state. It does not date the patient's onset; the transition depends on prior concentrations and when clearance changed.</v>
      </c>
      <c r="AC71" s="21" t="str">
        <f t="shared" si="79"/>
        <v>ratio = CL_before / CL_after (V constant); with V: t_half = ln 2 x V / CL for each period</v>
      </c>
      <c r="AD71" s="21" t="str">
        <f t="shared" si="80"/>
        <v>CALC-SPEC 1.0</v>
      </c>
      <c r="AE71" s="22">
        <f t="shared" si="81"/>
        <v>0</v>
      </c>
      <c r="AF71" s="21" t="str">
        <f t="shared" si="82"/>
        <v>EX-C04|2|Q4-C04-quarter-fe0.7</v>
      </c>
      <c r="AG71" s="21" t="str">
        <f>IF(AE71=1,"",IF(OR(A71="",I71="",J71="",M71=""),"E_MISSING_INPUT",IF(ISNA(MATCH(I71,nLIST_CLUnit,0)),"E_INVALID_UNIT",IF(OR(NOT(ISNUMBER(J71)),NOT(ISNUMBER(M71)),AND(P71&lt;&gt;"",NOT(ISNUMBER(P71)))),"E_MISSING_INPUT",IF(OR(J71&lt;=0,M71&lt;=0,AND(ISNUMBER(P71),P71&lt;=0)),"E_NONPOSITIVE_PARAMETER",IF(NOT(AND(E71="Yes",F71&lt;&gt;"",G71&lt;&gt;"",H71="Yes")),"E_APPLICABILITY_UNCONFIRMED",IF(OR(K71="",N71="",AND(P71&lt;&gt;"",Q71="")),"E_MISSING_INPUT","")))))))</f>
        <v/>
      </c>
      <c r="AH71" s="21" t="str">
        <f t="shared" si="83"/>
        <v/>
      </c>
      <c r="AI71" s="22">
        <f t="shared" si="84"/>
        <v>1</v>
      </c>
    </row>
    <row r="72" spans="1:35" x14ac:dyDescent="0.2">
      <c r="A72" s="24" t="s">
        <v>289</v>
      </c>
      <c r="B72" s="23"/>
      <c r="C72" s="23"/>
      <c r="D72" s="23"/>
      <c r="E72" s="23"/>
      <c r="F72" s="23"/>
      <c r="G72" s="23"/>
      <c r="H72" s="23"/>
      <c r="I72" s="23"/>
      <c r="J72" s="23"/>
      <c r="K72" s="23"/>
      <c r="L72" s="23"/>
      <c r="M72" s="23"/>
      <c r="N72" s="23"/>
      <c r="O72" s="23"/>
      <c r="P72" s="23"/>
      <c r="Q72" s="23"/>
      <c r="R72" s="23"/>
      <c r="S72" s="23"/>
      <c r="T72" s="23"/>
      <c r="U72" s="23"/>
      <c r="V72" s="23"/>
      <c r="W72" s="23"/>
      <c r="X72" s="23"/>
      <c r="Y72" s="23"/>
      <c r="Z72" s="23"/>
      <c r="AA72" s="23"/>
      <c r="AB72" s="23"/>
      <c r="AC72" s="23"/>
      <c r="AD72" s="23"/>
      <c r="AE72" s="23"/>
      <c r="AF72" s="23"/>
      <c r="AG72" s="23"/>
      <c r="AH72" s="23"/>
      <c r="AI72" s="23"/>
    </row>
    <row r="73" spans="1:35" x14ac:dyDescent="0.2">
      <c r="A73" s="9" t="s">
        <v>1115</v>
      </c>
      <c r="B73" s="9" t="s">
        <v>339</v>
      </c>
      <c r="C73" s="11">
        <v>1</v>
      </c>
      <c r="D73" s="9" t="s">
        <v>1116</v>
      </c>
      <c r="E73" s="16" t="s">
        <v>83</v>
      </c>
      <c r="F73" s="9" t="s">
        <v>1117</v>
      </c>
      <c r="G73" s="9" t="s">
        <v>1118</v>
      </c>
      <c r="H73" s="16" t="s">
        <v>83</v>
      </c>
      <c r="I73" s="16" t="s">
        <v>74</v>
      </c>
      <c r="J73" s="16">
        <v>5</v>
      </c>
      <c r="K73" s="16" t="s">
        <v>81</v>
      </c>
      <c r="L73" s="9" t="s">
        <v>1119</v>
      </c>
      <c r="M73" s="16">
        <v>2.5</v>
      </c>
      <c r="N73" s="16" t="s">
        <v>81</v>
      </c>
      <c r="O73" s="9" t="s">
        <v>1119</v>
      </c>
      <c r="P73" s="16"/>
      <c r="Q73" s="16"/>
      <c r="R73" s="9"/>
      <c r="S73" s="21" t="str">
        <f>IF(AE73=1,"",IF(AG73&lt;&gt;"",AG73&amp;": no result is shown","Half-life ratio "&amp;FIXED(T73,2,TRUE)&amp;"; average steady-state concentration ratio "&amp;FIXED(U73,2,TRUE)&amp;IF(V73&lt;&gt;""," (t_half "&amp;FIXED(V73,1,TRUE)&amp;" hours before, "&amp;FIXED(W73,1,TRUE)&amp;" hours after)","")))</f>
        <v>Half-life ratio 2.00; average steady-state concentration ratio 2.00</v>
      </c>
      <c r="T73" s="21">
        <f>IF(AI73=1,J73/M73,"")</f>
        <v>2</v>
      </c>
      <c r="U73" s="21">
        <f>IF(AI73=1,J73/M73,"")</f>
        <v>2</v>
      </c>
      <c r="V73" s="21" t="str">
        <f>IF(OR(AI73=0,P73=""),"",LN(2)*P73/(J73*IF(I73="mL/minute",0.06,1)))</f>
        <v/>
      </c>
      <c r="W73" s="21" t="str">
        <f>IF(OR(AI73=0,P73=""),"",LN(2)*P73/(M73*IF(I73="mL/minute",0.06,1)))</f>
        <v/>
      </c>
      <c r="X73" s="21" t="str">
        <f>IF(AE73=1,"",AG73)</f>
        <v/>
      </c>
      <c r="Y73" s="21" t="str">
        <f>IF(AG73="","",AG73&amp;": "&amp;SUBSTITUTE(IFERROR(INDEX(nMSG_Text,MATCH(AG73,nMSG_Code,0)),""),"[input]",AH73))</f>
        <v/>
      </c>
      <c r="Z73" s="21" t="str">
        <f>IF(AE73=1,"","CL_before = "&amp;J73&amp;" "&amp;I73&amp;" ["&amp;IF(K73="","status not recorded",K73)&amp;IF(L73&lt;&gt;"","; "&amp;L73,"")&amp;"]"&amp;"; "&amp;"CL_after = "&amp;M73&amp;" "&amp;I73&amp;" ["&amp;IF(N73="","status not recorded",N73)&amp;IF(O73&lt;&gt;"","; "&amp;O73,"")&amp;"]"&amp;IF(P73&lt;&gt;"","; "&amp;"V_L = "&amp;P73&amp;" "&amp;"L"&amp;" ["&amp;IF(Q73="","status not recorded",Q73)&amp;IF(R73&lt;&gt;"","; "&amp;R73,"")&amp;"]",""))</f>
        <v>CL_before = 5 L/hour [hypothetical example; V15 V19]; CL_after = 2.5 L/hour [hypothetical example; V15 V19]</v>
      </c>
      <c r="AA73" s="21" t="str">
        <f>IF(AE73=1,"","Model: "&amp;IF(E73="Yes","confirmed","not confirmed")&amp;". Parameter used: "&amp;IF(F73="","not stated",F73)&amp;". Reference time: "&amp;IF(G73="","not stated",G73)&amp;". Parameter_Status: "&amp;IF(H73="Yes","confirmed","not confirmed")&amp;".")</f>
        <v>Model: confirmed. Parameter used: Hypothetical clearances from the vector file. Reference time: Eventual average steady state. Parameter_Status: confirmed.</v>
      </c>
      <c r="AB73" s="21" t="str">
        <f>IF(AE73=1,"","Describes the eventual average steady state. It does not date the patient's onset; the transition depends on prior concentrations and when clearance changed.")</f>
        <v>Describes the eventual average steady state. It does not date the patient's onset; the transition depends on prior concentrations and when clearance changed.</v>
      </c>
      <c r="AC73" s="21" t="str">
        <f>IF(AE73=1,"","ratio = CL_before / CL_after (V constant); with V: t_half = ln 2 x V / CL for each period")</f>
        <v>ratio = CL_before / CL_after (V constant); with V: t_half = ln 2 x V / CL for each period</v>
      </c>
      <c r="AD73" s="21" t="str">
        <f>IF(AE73=1,"","CALC-SPEC 1.0")</f>
        <v>CALC-SPEC 1.0</v>
      </c>
      <c r="AE73" s="22">
        <f>IF(AND(A73="",J73="",M73=""),1,0)</f>
        <v>0</v>
      </c>
      <c r="AF73" s="21" t="str">
        <f>IF(A73="","",B73&amp;"|"&amp;C73&amp;"|"&amp;A73)</f>
        <v>VEC-V19|1|Q4-V19</v>
      </c>
      <c r="AG73" s="21" t="str">
        <f>IF(AE73=1,"",IF(OR(A73="",I73="",J73="",M73=""),"E_MISSING_INPUT",IF(ISNA(MATCH(I73,nLIST_CLUnit,0)),"E_INVALID_UNIT",IF(OR(NOT(ISNUMBER(J73)),NOT(ISNUMBER(M73)),AND(P73&lt;&gt;"",NOT(ISNUMBER(P73)))),"E_MISSING_INPUT",IF(OR(J73&lt;=0,M73&lt;=0,AND(ISNUMBER(P73),P73&lt;=0)),"E_NONPOSITIVE_PARAMETER",IF(NOT(AND(E73="Yes",F73&lt;&gt;"",G73&lt;&gt;"",H73="Yes")),"E_APPLICABILITY_UNCONFIRMED",IF(OR(K73="",N73="",AND(P73&lt;&gt;"",Q73="")),"E_MISSING_INPUT","")))))))</f>
        <v/>
      </c>
      <c r="AH73" s="21" t="str">
        <f>IF(AG73&lt;&gt;"E_MISSING_INPUT","",IF(A73="","a Calc_ID",IF(I73="","a clearance unit",IF(NOT(ISNUMBER(J73)),"a numeric clearance before",IF(NOT(ISNUMBER(M73)),"a numeric clearance after",IF(AND(P73&lt;&gt;"",NOT(ISNUMBER(P73))),"a numeric volume","the Parameter_Status of each input"))))))</f>
        <v/>
      </c>
      <c r="AI73" s="22">
        <f>IF(AND(AE73=0,AG73=""),1,0)</f>
        <v>1</v>
      </c>
    </row>
    <row r="76" spans="1:35" ht="17.25" x14ac:dyDescent="0.3">
      <c r="A76" s="6" t="s">
        <v>1120</v>
      </c>
    </row>
    <row r="77" spans="1:35" x14ac:dyDescent="0.2">
      <c r="A77" s="7" t="s">
        <v>1023</v>
      </c>
    </row>
    <row r="78" spans="1:35" x14ac:dyDescent="0.2">
      <c r="A78" s="2" t="s">
        <v>1024</v>
      </c>
      <c r="E78" s="2" t="s">
        <v>1027</v>
      </c>
      <c r="I78" s="2" t="s">
        <v>1024</v>
      </c>
      <c r="S78" s="2" t="s">
        <v>1040</v>
      </c>
      <c r="AC78" s="2" t="s">
        <v>1052</v>
      </c>
    </row>
    <row r="79" spans="1:35" ht="66" customHeight="1" x14ac:dyDescent="0.2">
      <c r="A79" s="8" t="s">
        <v>1025</v>
      </c>
      <c r="B79" s="8" t="s">
        <v>274</v>
      </c>
      <c r="C79" s="8" t="s">
        <v>275</v>
      </c>
      <c r="D79" s="8" t="s">
        <v>1026</v>
      </c>
      <c r="E79" s="8" t="s">
        <v>1028</v>
      </c>
      <c r="F79" s="8" t="s">
        <v>1029</v>
      </c>
      <c r="G79" s="8" t="s">
        <v>1030</v>
      </c>
      <c r="H79" s="8" t="s">
        <v>1031</v>
      </c>
      <c r="I79" s="8" t="s">
        <v>1033</v>
      </c>
      <c r="J79" s="8" t="s">
        <v>1121</v>
      </c>
      <c r="K79" s="8" t="s">
        <v>1122</v>
      </c>
      <c r="L79" s="8" t="s">
        <v>1123</v>
      </c>
      <c r="M79" s="8" t="s">
        <v>1124</v>
      </c>
      <c r="N79" s="8" t="s">
        <v>1125</v>
      </c>
      <c r="O79" s="8" t="s">
        <v>1126</v>
      </c>
      <c r="P79" s="8" t="s">
        <v>1127</v>
      </c>
      <c r="Q79" s="8" t="s">
        <v>1038</v>
      </c>
      <c r="R79" s="8" t="s">
        <v>1039</v>
      </c>
      <c r="S79" s="19" t="s">
        <v>1128</v>
      </c>
      <c r="T79" s="19" t="s">
        <v>1129</v>
      </c>
      <c r="U79" s="19" t="s">
        <v>1130</v>
      </c>
      <c r="V79" s="19" t="s">
        <v>1046</v>
      </c>
      <c r="W79" s="19" t="s">
        <v>1047</v>
      </c>
      <c r="X79" s="19" t="s">
        <v>1048</v>
      </c>
      <c r="Y79" s="19" t="s">
        <v>1049</v>
      </c>
      <c r="Z79" s="19" t="s">
        <v>1050</v>
      </c>
      <c r="AA79" s="19" t="s">
        <v>1051</v>
      </c>
      <c r="AB79" s="19" t="s">
        <v>895</v>
      </c>
      <c r="AC79" s="19" t="s">
        <v>897</v>
      </c>
      <c r="AD79" s="19" t="s">
        <v>1053</v>
      </c>
      <c r="AE79" s="19" t="s">
        <v>930</v>
      </c>
      <c r="AF79" s="19" t="s">
        <v>1054</v>
      </c>
      <c r="AG79" s="19" t="s">
        <v>1055</v>
      </c>
    </row>
    <row r="80" spans="1:35" x14ac:dyDescent="0.2">
      <c r="A80" s="10"/>
      <c r="B80" s="10"/>
      <c r="C80" s="12"/>
      <c r="D80" s="10"/>
      <c r="E80" s="17"/>
      <c r="F80" s="10"/>
      <c r="G80" s="10"/>
      <c r="H80" s="17"/>
      <c r="I80" s="17"/>
      <c r="J80" s="17"/>
      <c r="K80" s="17"/>
      <c r="L80" s="10"/>
      <c r="M80" s="17"/>
      <c r="N80" s="17"/>
      <c r="O80" s="10"/>
      <c r="P80" s="17"/>
      <c r="Q80" s="17"/>
      <c r="R80" s="10"/>
      <c r="S80" s="21" t="str">
        <f t="shared" ref="S80:S87" si="85">IF(AC80=1,"",IF(AE80&lt;&gt;"",AE80&amp;": no result is shown","Parent "&amp;IF(T80=0,"0",IF(ABS(T80)&lt;0.0001,FIXED(T80/10^INT(LOG10(ABS(T80))),2,TRUE)&amp;" x 10^"&amp;INT(LOG10(ABS(T80))),FIXED(ROUND(T80,2-INT(LOG10(ABS(T80)))),MAX(0,2-INT(LOG10(ABS(T80)))),TRUE)))&amp;"% and metabolite "&amp;IF(U80=0,"0",IF(ABS(U80)&lt;0.0001,FIXED(U80/10^INT(LOG10(ABS(U80))),2,TRUE)&amp;" x 10^"&amp;INT(LOG10(ABS(U80))),FIXED(ROUND(U80,2-INT(LOG10(ABS(U80)))),MAX(0,2-INT(LOG10(ABS(U80)))),TRUE)))&amp;"% remain, each of its own starting value"))</f>
        <v/>
      </c>
      <c r="T80" s="21" t="str">
        <f t="shared" ref="T80:T87" si="86">IF(AG80=1,100*2^(-P80/J80),"")</f>
        <v/>
      </c>
      <c r="U80" s="21" t="str">
        <f t="shared" ref="U80:U87" si="87">IF(AG80=1,100*2^(-P80/M80),"")</f>
        <v/>
      </c>
      <c r="V80" s="21" t="str">
        <f t="shared" ref="V80:V87" si="88">IF(AC80=1,"",AE80)</f>
        <v/>
      </c>
      <c r="W80" s="21" t="str">
        <f>IF(AE80="","",AE80&amp;": "&amp;SUBSTITUTE(IFERROR(INDEX(nMSG_Text,MATCH(AE80,nMSG_Code,0)),""),"[input]",AF80))</f>
        <v/>
      </c>
      <c r="X80" s="21" t="str">
        <f t="shared" ref="X80:X87" si="89">IF(AC80=1,"","Parent_t_half = "&amp;J80&amp;" "&amp;I80&amp;" ["&amp;IF(K80="","status not recorded",K80)&amp;IF(L80&lt;&gt;"","; "&amp;L80,"")&amp;"]"&amp;"; "&amp;"Metabolite_t_half = "&amp;M80&amp;" "&amp;I80&amp;" ["&amp;IF(N80="","status not recorded",N80)&amp;IF(O80&lt;&gt;"","; "&amp;O80,"")&amp;"]"&amp;"; "&amp;"t = "&amp;P80&amp;" "&amp;I80&amp;" ["&amp;IF(Q80="","status not recorded",Q80)&amp;IF(R80&lt;&gt;"","; "&amp;R80,"")&amp;"]")</f>
        <v/>
      </c>
      <c r="Y80" s="21" t="str">
        <f t="shared" ref="Y80:Y87" si="90">IF(AC80=1,"","Model: "&amp;IF(E80="Yes","confirmed","not confirmed")&amp;". Parameter used: "&amp;IF(F80="","not stated",F80)&amp;". Reference time: "&amp;IF(G80="","not stated",G80)&amp;". Parameter_Status: "&amp;IF(H80="Yes","confirmed","not confirmed")&amp;".")</f>
        <v/>
      </c>
      <c r="Z80" s="21" t="str">
        <f t="shared" ref="Z80:Z87" si="91">IF(AC80=1,"","Assumes no further formation or input. Continued metabolite formation, potency, distribution and nonlinear kinetics can make this calculation invalid.")</f>
        <v/>
      </c>
      <c r="AA80" s="21" t="str">
        <f t="shared" ref="AA80:AA87" si="92">IF(AC80=1,"","Two separate Q1 calculations, each normalized to its own starting value; their sum is never calculated")</f>
        <v/>
      </c>
      <c r="AB80" s="21" t="str">
        <f t="shared" ref="AB80:AB87" si="93">IF(AC80=1,"","CALC-SPEC 1.0")</f>
        <v/>
      </c>
      <c r="AC80" s="22">
        <f t="shared" ref="AC80:AC87" si="94">IF(AND(A80="",J80="",P80=""),1,0)</f>
        <v>1</v>
      </c>
      <c r="AD80" s="21" t="str">
        <f t="shared" ref="AD80:AD87" si="95">IF(A80="","",B80&amp;"|"&amp;C80&amp;"|"&amp;A80)</f>
        <v/>
      </c>
      <c r="AE80" s="21" t="str">
        <f>IF(AC80=1,"",IF(OR(A80="",I80="",J80="",M80="",P80=""),"E_MISSING_INPUT",IF(ISNA(MATCH(I80,nLIST_TimeUnit,0)),"E_INVALID_UNIT",IF(OR(NOT(ISNUMBER(J80)),NOT(ISNUMBER(M80)),NOT(ISNUMBER(P80))),"E_MISSING_INPUT",IF(OR(J80&lt;=0,M80&lt;=0),"E_NONPOSITIVE_PARAMETER",IF(NOT(AND(E80="Yes",F80&lt;&gt;"",G80&lt;&gt;"",H80="Yes")),"E_APPLICABILITY_UNCONFIRMED",IF(OR(K80="",N80="",Q80=""),"E_MISSING_INPUT",IF(P80&lt;0,"E_OUT_OF_RANGE",""))))))))</f>
        <v/>
      </c>
      <c r="AF80" s="21" t="str">
        <f t="shared" ref="AF80:AF87" si="96">IF(AE80&lt;&gt;"E_MISSING_INPUT","",IF(A80="","a Calc_ID",IF(I80="","a time unit",IF(NOT(ISNUMBER(J80)),"a numeric parent t_half",IF(NOT(ISNUMBER(M80)),"a numeric metabolite t_half",IF(NOT(ISNUMBER(P80)),"a numeric t","the Parameter_Status of each input"))))))</f>
        <v/>
      </c>
      <c r="AG80" s="22">
        <f t="shared" ref="AG80:AG87" si="97">IF(AND(AC80=0,AE80=""),1,0)</f>
        <v>0</v>
      </c>
    </row>
    <row r="81" spans="1:33" x14ac:dyDescent="0.2">
      <c r="A81" s="10"/>
      <c r="B81" s="10"/>
      <c r="C81" s="12"/>
      <c r="D81" s="10"/>
      <c r="E81" s="17"/>
      <c r="F81" s="10"/>
      <c r="G81" s="10"/>
      <c r="H81" s="17"/>
      <c r="I81" s="17"/>
      <c r="J81" s="17"/>
      <c r="K81" s="17"/>
      <c r="L81" s="10"/>
      <c r="M81" s="17"/>
      <c r="N81" s="17"/>
      <c r="O81" s="10"/>
      <c r="P81" s="17"/>
      <c r="Q81" s="17"/>
      <c r="R81" s="10"/>
      <c r="S81" s="21" t="str">
        <f t="shared" si="85"/>
        <v/>
      </c>
      <c r="T81" s="21" t="str">
        <f t="shared" si="86"/>
        <v/>
      </c>
      <c r="U81" s="21" t="str">
        <f t="shared" si="87"/>
        <v/>
      </c>
      <c r="V81" s="21" t="str">
        <f t="shared" si="88"/>
        <v/>
      </c>
      <c r="W81" s="21" t="str">
        <f>IF(AE81="","",AE81&amp;": "&amp;SUBSTITUTE(IFERROR(INDEX(nMSG_Text,MATCH(AE81,nMSG_Code,0)),""),"[input]",AF81))</f>
        <v/>
      </c>
      <c r="X81" s="21" t="str">
        <f t="shared" si="89"/>
        <v/>
      </c>
      <c r="Y81" s="21" t="str">
        <f t="shared" si="90"/>
        <v/>
      </c>
      <c r="Z81" s="21" t="str">
        <f t="shared" si="91"/>
        <v/>
      </c>
      <c r="AA81" s="21" t="str">
        <f t="shared" si="92"/>
        <v/>
      </c>
      <c r="AB81" s="21" t="str">
        <f t="shared" si="93"/>
        <v/>
      </c>
      <c r="AC81" s="22">
        <f t="shared" si="94"/>
        <v>1</v>
      </c>
      <c r="AD81" s="21" t="str">
        <f t="shared" si="95"/>
        <v/>
      </c>
      <c r="AE81" s="21" t="str">
        <f>IF(AC81=1,"",IF(OR(A81="",I81="",J81="",M81="",P81=""),"E_MISSING_INPUT",IF(ISNA(MATCH(I81,nLIST_TimeUnit,0)),"E_INVALID_UNIT",IF(OR(NOT(ISNUMBER(J81)),NOT(ISNUMBER(M81)),NOT(ISNUMBER(P81))),"E_MISSING_INPUT",IF(OR(J81&lt;=0,M81&lt;=0),"E_NONPOSITIVE_PARAMETER",IF(NOT(AND(E81="Yes",F81&lt;&gt;"",G81&lt;&gt;"",H81="Yes")),"E_APPLICABILITY_UNCONFIRMED",IF(OR(K81="",N81="",Q81=""),"E_MISSING_INPUT",IF(P81&lt;0,"E_OUT_OF_RANGE",""))))))))</f>
        <v/>
      </c>
      <c r="AF81" s="21" t="str">
        <f t="shared" si="96"/>
        <v/>
      </c>
      <c r="AG81" s="22">
        <f t="shared" si="97"/>
        <v>0</v>
      </c>
    </row>
    <row r="82" spans="1:33" x14ac:dyDescent="0.2">
      <c r="A82" s="10"/>
      <c r="B82" s="10"/>
      <c r="C82" s="12"/>
      <c r="D82" s="10"/>
      <c r="E82" s="17"/>
      <c r="F82" s="10"/>
      <c r="G82" s="10"/>
      <c r="H82" s="17"/>
      <c r="I82" s="17"/>
      <c r="J82" s="17"/>
      <c r="K82" s="17"/>
      <c r="L82" s="10"/>
      <c r="M82" s="17"/>
      <c r="N82" s="17"/>
      <c r="O82" s="10"/>
      <c r="P82" s="17"/>
      <c r="Q82" s="17"/>
      <c r="R82" s="10"/>
      <c r="S82" s="21" t="str">
        <f t="shared" si="85"/>
        <v/>
      </c>
      <c r="T82" s="21" t="str">
        <f t="shared" si="86"/>
        <v/>
      </c>
      <c r="U82" s="21" t="str">
        <f t="shared" si="87"/>
        <v/>
      </c>
      <c r="V82" s="21" t="str">
        <f t="shared" si="88"/>
        <v/>
      </c>
      <c r="W82" s="21" t="str">
        <f>IF(AE82="","",AE82&amp;": "&amp;SUBSTITUTE(IFERROR(INDEX(nMSG_Text,MATCH(AE82,nMSG_Code,0)),""),"[input]",AF82))</f>
        <v/>
      </c>
      <c r="X82" s="21" t="str">
        <f t="shared" si="89"/>
        <v/>
      </c>
      <c r="Y82" s="21" t="str">
        <f t="shared" si="90"/>
        <v/>
      </c>
      <c r="Z82" s="21" t="str">
        <f t="shared" si="91"/>
        <v/>
      </c>
      <c r="AA82" s="21" t="str">
        <f t="shared" si="92"/>
        <v/>
      </c>
      <c r="AB82" s="21" t="str">
        <f t="shared" si="93"/>
        <v/>
      </c>
      <c r="AC82" s="22">
        <f t="shared" si="94"/>
        <v>1</v>
      </c>
      <c r="AD82" s="21" t="str">
        <f t="shared" si="95"/>
        <v/>
      </c>
      <c r="AE82" s="21" t="str">
        <f>IF(AC82=1,"",IF(OR(A82="",I82="",J82="",M82="",P82=""),"E_MISSING_INPUT",IF(ISNA(MATCH(I82,nLIST_TimeUnit,0)),"E_INVALID_UNIT",IF(OR(NOT(ISNUMBER(J82)),NOT(ISNUMBER(M82)),NOT(ISNUMBER(P82))),"E_MISSING_INPUT",IF(OR(J82&lt;=0,M82&lt;=0),"E_NONPOSITIVE_PARAMETER",IF(NOT(AND(E82="Yes",F82&lt;&gt;"",G82&lt;&gt;"",H82="Yes")),"E_APPLICABILITY_UNCONFIRMED",IF(OR(K82="",N82="",Q82=""),"E_MISSING_INPUT",IF(P82&lt;0,"E_OUT_OF_RANGE",""))))))))</f>
        <v/>
      </c>
      <c r="AF82" s="21" t="str">
        <f t="shared" si="96"/>
        <v/>
      </c>
      <c r="AG82" s="22">
        <f t="shared" si="97"/>
        <v>0</v>
      </c>
    </row>
    <row r="83" spans="1:33" x14ac:dyDescent="0.2">
      <c r="A83" s="10"/>
      <c r="B83" s="10"/>
      <c r="C83" s="12"/>
      <c r="D83" s="10"/>
      <c r="E83" s="17"/>
      <c r="F83" s="10"/>
      <c r="G83" s="10"/>
      <c r="H83" s="17"/>
      <c r="I83" s="17"/>
      <c r="J83" s="17"/>
      <c r="K83" s="17"/>
      <c r="L83" s="10"/>
      <c r="M83" s="17"/>
      <c r="N83" s="17"/>
      <c r="O83" s="10"/>
      <c r="P83" s="17"/>
      <c r="Q83" s="17"/>
      <c r="R83" s="10"/>
      <c r="S83" s="21" t="str">
        <f t="shared" si="85"/>
        <v/>
      </c>
      <c r="T83" s="21" t="str">
        <f t="shared" si="86"/>
        <v/>
      </c>
      <c r="U83" s="21" t="str">
        <f t="shared" si="87"/>
        <v/>
      </c>
      <c r="V83" s="21" t="str">
        <f t="shared" si="88"/>
        <v/>
      </c>
      <c r="W83" s="21" t="str">
        <f>IF(AE83="","",AE83&amp;": "&amp;SUBSTITUTE(IFERROR(INDEX(nMSG_Text,MATCH(AE83,nMSG_Code,0)),""),"[input]",AF83))</f>
        <v/>
      </c>
      <c r="X83" s="21" t="str">
        <f t="shared" si="89"/>
        <v/>
      </c>
      <c r="Y83" s="21" t="str">
        <f t="shared" si="90"/>
        <v/>
      </c>
      <c r="Z83" s="21" t="str">
        <f t="shared" si="91"/>
        <v/>
      </c>
      <c r="AA83" s="21" t="str">
        <f t="shared" si="92"/>
        <v/>
      </c>
      <c r="AB83" s="21" t="str">
        <f t="shared" si="93"/>
        <v/>
      </c>
      <c r="AC83" s="22">
        <f t="shared" si="94"/>
        <v>1</v>
      </c>
      <c r="AD83" s="21" t="str">
        <f t="shared" si="95"/>
        <v/>
      </c>
      <c r="AE83" s="21" t="str">
        <f>IF(AC83=1,"",IF(OR(A83="",I83="",J83="",M83="",P83=""),"E_MISSING_INPUT",IF(ISNA(MATCH(I83,nLIST_TimeUnit,0)),"E_INVALID_UNIT",IF(OR(NOT(ISNUMBER(J83)),NOT(ISNUMBER(M83)),NOT(ISNUMBER(P83))),"E_MISSING_INPUT",IF(OR(J83&lt;=0,M83&lt;=0),"E_NONPOSITIVE_PARAMETER",IF(NOT(AND(E83="Yes",F83&lt;&gt;"",G83&lt;&gt;"",H83="Yes")),"E_APPLICABILITY_UNCONFIRMED",IF(OR(K83="",N83="",Q83=""),"E_MISSING_INPUT",IF(P83&lt;0,"E_OUT_OF_RANGE",""))))))))</f>
        <v/>
      </c>
      <c r="AF83" s="21" t="str">
        <f t="shared" si="96"/>
        <v/>
      </c>
      <c r="AG83" s="22">
        <f t="shared" si="97"/>
        <v>0</v>
      </c>
    </row>
    <row r="84" spans="1:33" x14ac:dyDescent="0.2">
      <c r="A84" s="10"/>
      <c r="B84" s="10"/>
      <c r="C84" s="12"/>
      <c r="D84" s="10"/>
      <c r="E84" s="17"/>
      <c r="F84" s="10"/>
      <c r="G84" s="10"/>
      <c r="H84" s="17"/>
      <c r="I84" s="17"/>
      <c r="J84" s="17"/>
      <c r="K84" s="17"/>
      <c r="L84" s="10"/>
      <c r="M84" s="17"/>
      <c r="N84" s="17"/>
      <c r="O84" s="10"/>
      <c r="P84" s="17"/>
      <c r="Q84" s="17"/>
      <c r="R84" s="10"/>
      <c r="S84" s="21" t="str">
        <f t="shared" si="85"/>
        <v/>
      </c>
      <c r="T84" s="21" t="str">
        <f t="shared" si="86"/>
        <v/>
      </c>
      <c r="U84" s="21" t="str">
        <f t="shared" si="87"/>
        <v/>
      </c>
      <c r="V84" s="21" t="str">
        <f t="shared" si="88"/>
        <v/>
      </c>
      <c r="W84" s="21" t="str">
        <f>IF(AE84="","",AE84&amp;": "&amp;SUBSTITUTE(IFERROR(INDEX(nMSG_Text,MATCH(AE84,nMSG_Code,0)),""),"[input]",AF84))</f>
        <v/>
      </c>
      <c r="X84" s="21" t="str">
        <f t="shared" si="89"/>
        <v/>
      </c>
      <c r="Y84" s="21" t="str">
        <f t="shared" si="90"/>
        <v/>
      </c>
      <c r="Z84" s="21" t="str">
        <f t="shared" si="91"/>
        <v/>
      </c>
      <c r="AA84" s="21" t="str">
        <f t="shared" si="92"/>
        <v/>
      </c>
      <c r="AB84" s="21" t="str">
        <f t="shared" si="93"/>
        <v/>
      </c>
      <c r="AC84" s="22">
        <f t="shared" si="94"/>
        <v>1</v>
      </c>
      <c r="AD84" s="21" t="str">
        <f t="shared" si="95"/>
        <v/>
      </c>
      <c r="AE84" s="21" t="str">
        <f>IF(AC84=1,"",IF(OR(A84="",I84="",J84="",M84="",P84=""),"E_MISSING_INPUT",IF(ISNA(MATCH(I84,nLIST_TimeUnit,0)),"E_INVALID_UNIT",IF(OR(NOT(ISNUMBER(J84)),NOT(ISNUMBER(M84)),NOT(ISNUMBER(P84))),"E_MISSING_INPUT",IF(OR(J84&lt;=0,M84&lt;=0),"E_NONPOSITIVE_PARAMETER",IF(NOT(AND(E84="Yes",F84&lt;&gt;"",G84&lt;&gt;"",H84="Yes")),"E_APPLICABILITY_UNCONFIRMED",IF(OR(K84="",N84="",Q84=""),"E_MISSING_INPUT",IF(P84&lt;0,"E_OUT_OF_RANGE",""))))))))</f>
        <v/>
      </c>
      <c r="AF84" s="21" t="str">
        <f t="shared" si="96"/>
        <v/>
      </c>
      <c r="AG84" s="22">
        <f t="shared" si="97"/>
        <v>0</v>
      </c>
    </row>
    <row r="85" spans="1:33" x14ac:dyDescent="0.2">
      <c r="A85" s="10"/>
      <c r="B85" s="10"/>
      <c r="C85" s="12"/>
      <c r="D85" s="10"/>
      <c r="E85" s="17"/>
      <c r="F85" s="10"/>
      <c r="G85" s="10"/>
      <c r="H85" s="17"/>
      <c r="I85" s="17"/>
      <c r="J85" s="17"/>
      <c r="K85" s="17"/>
      <c r="L85" s="10"/>
      <c r="M85" s="17"/>
      <c r="N85" s="17"/>
      <c r="O85" s="10"/>
      <c r="P85" s="17"/>
      <c r="Q85" s="17"/>
      <c r="R85" s="10"/>
      <c r="S85" s="21" t="str">
        <f t="shared" si="85"/>
        <v/>
      </c>
      <c r="T85" s="21" t="str">
        <f t="shared" si="86"/>
        <v/>
      </c>
      <c r="U85" s="21" t="str">
        <f t="shared" si="87"/>
        <v/>
      </c>
      <c r="V85" s="21" t="str">
        <f t="shared" si="88"/>
        <v/>
      </c>
      <c r="W85" s="21" t="str">
        <f>IF(AE85="","",AE85&amp;": "&amp;SUBSTITUTE(IFERROR(INDEX(nMSG_Text,MATCH(AE85,nMSG_Code,0)),""),"[input]",AF85))</f>
        <v/>
      </c>
      <c r="X85" s="21" t="str">
        <f t="shared" si="89"/>
        <v/>
      </c>
      <c r="Y85" s="21" t="str">
        <f t="shared" si="90"/>
        <v/>
      </c>
      <c r="Z85" s="21" t="str">
        <f t="shared" si="91"/>
        <v/>
      </c>
      <c r="AA85" s="21" t="str">
        <f t="shared" si="92"/>
        <v/>
      </c>
      <c r="AB85" s="21" t="str">
        <f t="shared" si="93"/>
        <v/>
      </c>
      <c r="AC85" s="22">
        <f t="shared" si="94"/>
        <v>1</v>
      </c>
      <c r="AD85" s="21" t="str">
        <f t="shared" si="95"/>
        <v/>
      </c>
      <c r="AE85" s="21" t="str">
        <f>IF(AC85=1,"",IF(OR(A85="",I85="",J85="",M85="",P85=""),"E_MISSING_INPUT",IF(ISNA(MATCH(I85,nLIST_TimeUnit,0)),"E_INVALID_UNIT",IF(OR(NOT(ISNUMBER(J85)),NOT(ISNUMBER(M85)),NOT(ISNUMBER(P85))),"E_MISSING_INPUT",IF(OR(J85&lt;=0,M85&lt;=0),"E_NONPOSITIVE_PARAMETER",IF(NOT(AND(E85="Yes",F85&lt;&gt;"",G85&lt;&gt;"",H85="Yes")),"E_APPLICABILITY_UNCONFIRMED",IF(OR(K85="",N85="",Q85=""),"E_MISSING_INPUT",IF(P85&lt;0,"E_OUT_OF_RANGE",""))))))))</f>
        <v/>
      </c>
      <c r="AF85" s="21" t="str">
        <f t="shared" si="96"/>
        <v/>
      </c>
      <c r="AG85" s="22">
        <f t="shared" si="97"/>
        <v>0</v>
      </c>
    </row>
    <row r="86" spans="1:33" x14ac:dyDescent="0.2">
      <c r="A86" s="10"/>
      <c r="B86" s="10"/>
      <c r="C86" s="12"/>
      <c r="D86" s="10"/>
      <c r="E86" s="17"/>
      <c r="F86" s="10"/>
      <c r="G86" s="10"/>
      <c r="H86" s="17"/>
      <c r="I86" s="17"/>
      <c r="J86" s="17"/>
      <c r="K86" s="17"/>
      <c r="L86" s="10"/>
      <c r="M86" s="17"/>
      <c r="N86" s="17"/>
      <c r="O86" s="10"/>
      <c r="P86" s="17"/>
      <c r="Q86" s="17"/>
      <c r="R86" s="10"/>
      <c r="S86" s="21" t="str">
        <f t="shared" si="85"/>
        <v/>
      </c>
      <c r="T86" s="21" t="str">
        <f t="shared" si="86"/>
        <v/>
      </c>
      <c r="U86" s="21" t="str">
        <f t="shared" si="87"/>
        <v/>
      </c>
      <c r="V86" s="21" t="str">
        <f t="shared" si="88"/>
        <v/>
      </c>
      <c r="W86" s="21" t="str">
        <f>IF(AE86="","",AE86&amp;": "&amp;SUBSTITUTE(IFERROR(INDEX(nMSG_Text,MATCH(AE86,nMSG_Code,0)),""),"[input]",AF86))</f>
        <v/>
      </c>
      <c r="X86" s="21" t="str">
        <f t="shared" si="89"/>
        <v/>
      </c>
      <c r="Y86" s="21" t="str">
        <f t="shared" si="90"/>
        <v/>
      </c>
      <c r="Z86" s="21" t="str">
        <f t="shared" si="91"/>
        <v/>
      </c>
      <c r="AA86" s="21" t="str">
        <f t="shared" si="92"/>
        <v/>
      </c>
      <c r="AB86" s="21" t="str">
        <f t="shared" si="93"/>
        <v/>
      </c>
      <c r="AC86" s="22">
        <f t="shared" si="94"/>
        <v>1</v>
      </c>
      <c r="AD86" s="21" t="str">
        <f t="shared" si="95"/>
        <v/>
      </c>
      <c r="AE86" s="21" t="str">
        <f>IF(AC86=1,"",IF(OR(A86="",I86="",J86="",M86="",P86=""),"E_MISSING_INPUT",IF(ISNA(MATCH(I86,nLIST_TimeUnit,0)),"E_INVALID_UNIT",IF(OR(NOT(ISNUMBER(J86)),NOT(ISNUMBER(M86)),NOT(ISNUMBER(P86))),"E_MISSING_INPUT",IF(OR(J86&lt;=0,M86&lt;=0),"E_NONPOSITIVE_PARAMETER",IF(NOT(AND(E86="Yes",F86&lt;&gt;"",G86&lt;&gt;"",H86="Yes")),"E_APPLICABILITY_UNCONFIRMED",IF(OR(K86="",N86="",Q86=""),"E_MISSING_INPUT",IF(P86&lt;0,"E_OUT_OF_RANGE",""))))))))</f>
        <v/>
      </c>
      <c r="AF86" s="21" t="str">
        <f t="shared" si="96"/>
        <v/>
      </c>
      <c r="AG86" s="22">
        <f t="shared" si="97"/>
        <v>0</v>
      </c>
    </row>
    <row r="87" spans="1:33" x14ac:dyDescent="0.2">
      <c r="A87" s="10"/>
      <c r="B87" s="10"/>
      <c r="C87" s="12"/>
      <c r="D87" s="10"/>
      <c r="E87" s="17"/>
      <c r="F87" s="10"/>
      <c r="G87" s="10"/>
      <c r="H87" s="17"/>
      <c r="I87" s="17"/>
      <c r="J87" s="17"/>
      <c r="K87" s="17"/>
      <c r="L87" s="10"/>
      <c r="M87" s="17"/>
      <c r="N87" s="17"/>
      <c r="O87" s="10"/>
      <c r="P87" s="17"/>
      <c r="Q87" s="17"/>
      <c r="R87" s="10"/>
      <c r="S87" s="21" t="str">
        <f t="shared" si="85"/>
        <v/>
      </c>
      <c r="T87" s="21" t="str">
        <f t="shared" si="86"/>
        <v/>
      </c>
      <c r="U87" s="21" t="str">
        <f t="shared" si="87"/>
        <v/>
      </c>
      <c r="V87" s="21" t="str">
        <f t="shared" si="88"/>
        <v/>
      </c>
      <c r="W87" s="21" t="str">
        <f>IF(AE87="","",AE87&amp;": "&amp;SUBSTITUTE(IFERROR(INDEX(nMSG_Text,MATCH(AE87,nMSG_Code,0)),""),"[input]",AF87))</f>
        <v/>
      </c>
      <c r="X87" s="21" t="str">
        <f t="shared" si="89"/>
        <v/>
      </c>
      <c r="Y87" s="21" t="str">
        <f t="shared" si="90"/>
        <v/>
      </c>
      <c r="Z87" s="21" t="str">
        <f t="shared" si="91"/>
        <v/>
      </c>
      <c r="AA87" s="21" t="str">
        <f t="shared" si="92"/>
        <v/>
      </c>
      <c r="AB87" s="21" t="str">
        <f t="shared" si="93"/>
        <v/>
      </c>
      <c r="AC87" s="22">
        <f t="shared" si="94"/>
        <v>1</v>
      </c>
      <c r="AD87" s="21" t="str">
        <f t="shared" si="95"/>
        <v/>
      </c>
      <c r="AE87" s="21" t="str">
        <f>IF(AC87=1,"",IF(OR(A87="",I87="",J87="",M87="",P87=""),"E_MISSING_INPUT",IF(ISNA(MATCH(I87,nLIST_TimeUnit,0)),"E_INVALID_UNIT",IF(OR(NOT(ISNUMBER(J87)),NOT(ISNUMBER(M87)),NOT(ISNUMBER(P87))),"E_MISSING_INPUT",IF(OR(J87&lt;=0,M87&lt;=0),"E_NONPOSITIVE_PARAMETER",IF(NOT(AND(E87="Yes",F87&lt;&gt;"",G87&lt;&gt;"",H87="Yes")),"E_APPLICABILITY_UNCONFIRMED",IF(OR(K87="",N87="",Q87=""),"E_MISSING_INPUT",IF(P87&lt;0,"E_OUT_OF_RANGE",""))))))))</f>
        <v/>
      </c>
      <c r="AF87" s="21" t="str">
        <f t="shared" si="96"/>
        <v/>
      </c>
      <c r="AG87" s="22">
        <f t="shared" si="97"/>
        <v>0</v>
      </c>
    </row>
    <row r="88" spans="1:33" x14ac:dyDescent="0.2">
      <c r="A88" s="24" t="s">
        <v>289</v>
      </c>
      <c r="B88" s="23"/>
      <c r="C88" s="23"/>
      <c r="D88" s="23"/>
      <c r="E88" s="23"/>
      <c r="F88" s="23"/>
      <c r="G88" s="23"/>
      <c r="H88" s="23"/>
      <c r="I88" s="23"/>
      <c r="J88" s="23"/>
      <c r="K88" s="23"/>
      <c r="L88" s="23"/>
      <c r="M88" s="23"/>
      <c r="N88" s="23"/>
      <c r="O88" s="23"/>
      <c r="P88" s="23"/>
      <c r="Q88" s="23"/>
      <c r="R88" s="23"/>
      <c r="S88" s="23"/>
      <c r="T88" s="23"/>
      <c r="U88" s="23"/>
      <c r="V88" s="23"/>
      <c r="W88" s="23"/>
      <c r="X88" s="23"/>
      <c r="Y88" s="23"/>
      <c r="Z88" s="23"/>
      <c r="AA88" s="23"/>
      <c r="AB88" s="23"/>
      <c r="AC88" s="23"/>
      <c r="AD88" s="23"/>
      <c r="AE88" s="23"/>
      <c r="AF88" s="23"/>
      <c r="AG88" s="23"/>
    </row>
    <row r="89" spans="1:33" x14ac:dyDescent="0.2">
      <c r="A89" s="9" t="s">
        <v>1131</v>
      </c>
      <c r="B89" s="9" t="s">
        <v>341</v>
      </c>
      <c r="C89" s="11">
        <v>1</v>
      </c>
      <c r="D89" s="9" t="s">
        <v>1132</v>
      </c>
      <c r="E89" s="16" t="s">
        <v>83</v>
      </c>
      <c r="F89" s="9" t="s">
        <v>1058</v>
      </c>
      <c r="G89" s="9" t="s">
        <v>1059</v>
      </c>
      <c r="H89" s="16" t="s">
        <v>83</v>
      </c>
      <c r="I89" s="16" t="s">
        <v>65</v>
      </c>
      <c r="J89" s="16">
        <v>6</v>
      </c>
      <c r="K89" s="16" t="s">
        <v>81</v>
      </c>
      <c r="L89" s="9" t="s">
        <v>1133</v>
      </c>
      <c r="M89" s="16">
        <v>72</v>
      </c>
      <c r="N89" s="16" t="s">
        <v>81</v>
      </c>
      <c r="O89" s="9" t="s">
        <v>1133</v>
      </c>
      <c r="P89" s="16">
        <v>48</v>
      </c>
      <c r="Q89" s="16" t="s">
        <v>81</v>
      </c>
      <c r="R89" s="9" t="s">
        <v>1133</v>
      </c>
      <c r="S89" s="21" t="str">
        <f>IF(AC89=1,"",IF(AE89&lt;&gt;"",AE89&amp;": no result is shown","Parent "&amp;IF(T89=0,"0",IF(ABS(T89)&lt;0.0001,FIXED(T89/10^INT(LOG10(ABS(T89))),2,TRUE)&amp;" x 10^"&amp;INT(LOG10(ABS(T89))),FIXED(ROUND(T89,2-INT(LOG10(ABS(T89)))),MAX(0,2-INT(LOG10(ABS(T89)))),TRUE)))&amp;"% and metabolite "&amp;IF(U89=0,"0",IF(ABS(U89)&lt;0.0001,FIXED(U89/10^INT(LOG10(ABS(U89))),2,TRUE)&amp;" x 10^"&amp;INT(LOG10(ABS(U89))),FIXED(ROUND(U89,2-INT(LOG10(ABS(U89)))),MAX(0,2-INT(LOG10(ABS(U89)))),TRUE)))&amp;"% remain, each of its own starting value"))</f>
        <v>Parent 0.391% and metabolite 63.0% remain, each of its own starting value</v>
      </c>
      <c r="T89" s="21">
        <f>IF(AG89=1,100*2^(-P89/J89),"")</f>
        <v>0.390625</v>
      </c>
      <c r="U89" s="21">
        <f>IF(AG89=1,100*2^(-P89/M89),"")</f>
        <v>62.996052494743658</v>
      </c>
      <c r="V89" s="21" t="str">
        <f>IF(AC89=1,"",AE89)</f>
        <v/>
      </c>
      <c r="W89" s="21" t="str">
        <f>IF(AE89="","",AE89&amp;": "&amp;SUBSTITUTE(IFERROR(INDEX(nMSG_Text,MATCH(AE89,nMSG_Code,0)),""),"[input]",AF89))</f>
        <v/>
      </c>
      <c r="X89" s="21" t="str">
        <f>IF(AC89=1,"","Parent_t_half = "&amp;J89&amp;" "&amp;I89&amp;" ["&amp;IF(K89="","status not recorded",K89)&amp;IF(L89&lt;&gt;"","; "&amp;L89,"")&amp;"]"&amp;"; "&amp;"Metabolite_t_half = "&amp;M89&amp;" "&amp;I89&amp;" ["&amp;IF(N89="","status not recorded",N89)&amp;IF(O89&lt;&gt;"","; "&amp;O89,"")&amp;"]"&amp;"; "&amp;"t = "&amp;P89&amp;" "&amp;I89&amp;" ["&amp;IF(Q89="","status not recorded",Q89)&amp;IF(R89&lt;&gt;"","; "&amp;R89,"")&amp;"]")</f>
        <v>Parent_t_half = 6 hours [hypothetical example; V15 V20]; Metabolite_t_half = 72 hours [hypothetical example; V15 V20]; t = 48 hours [hypothetical example; V15 V20]</v>
      </c>
      <c r="Y89" s="21" t="str">
        <f>IF(AC89=1,"","Model: "&amp;IF(E89="Yes","confirmed","not confirmed")&amp;". Parameter used: "&amp;IF(F89="","not stated",F89)&amp;". Reference time: "&amp;IF(G89="","not stated",G89)&amp;". Parameter_Status: "&amp;IF(H89="Yes","confirmed","not confirmed")&amp;".")</f>
        <v>Model: confirmed. Parameter used: Hypothetical teaching value from the vector file. Reference time: Reference amount at time zero. Parameter_Status: confirmed.</v>
      </c>
      <c r="Z89" s="21" t="str">
        <f>IF(AC89=1,"","Assumes no further formation or input. Continued metabolite formation, potency, distribution and nonlinear kinetics can make this calculation invalid.")</f>
        <v>Assumes no further formation or input. Continued metabolite formation, potency, distribution and nonlinear kinetics can make this calculation invalid.</v>
      </c>
      <c r="AA89" s="21" t="str">
        <f>IF(AC89=1,"","Two separate Q1 calculations, each normalized to its own starting value; their sum is never calculated")</f>
        <v>Two separate Q1 calculations, each normalized to its own starting value; their sum is never calculated</v>
      </c>
      <c r="AB89" s="21" t="str">
        <f>IF(AC89=1,"","CALC-SPEC 1.0")</f>
        <v>CALC-SPEC 1.0</v>
      </c>
      <c r="AC89" s="22">
        <f>IF(AND(A89="",J89="",P89=""),1,0)</f>
        <v>0</v>
      </c>
      <c r="AD89" s="21" t="str">
        <f>IF(A89="","",B89&amp;"|"&amp;C89&amp;"|"&amp;A89)</f>
        <v>VEC-V20|1|Q5-V20</v>
      </c>
      <c r="AE89" s="21" t="str">
        <f>IF(AC89=1,"",IF(OR(A89="",I89="",J89="",M89="",P89=""),"E_MISSING_INPUT",IF(ISNA(MATCH(I89,nLIST_TimeUnit,0)),"E_INVALID_UNIT",IF(OR(NOT(ISNUMBER(J89)),NOT(ISNUMBER(M89)),NOT(ISNUMBER(P89))),"E_MISSING_INPUT",IF(OR(J89&lt;=0,M89&lt;=0),"E_NONPOSITIVE_PARAMETER",IF(NOT(AND(E89="Yes",F89&lt;&gt;"",G89&lt;&gt;"",H89="Yes")),"E_APPLICABILITY_UNCONFIRMED",IF(OR(K89="",N89="",Q89=""),"E_MISSING_INPUT",IF(P89&lt;0,"E_OUT_OF_RANGE",""))))))))</f>
        <v/>
      </c>
      <c r="AF89" s="21" t="str">
        <f>IF(AE89&lt;&gt;"E_MISSING_INPUT","",IF(A89="","a Calc_ID",IF(I89="","a time unit",IF(NOT(ISNUMBER(J89)),"a numeric parent t_half",IF(NOT(ISNUMBER(M89)),"a numeric metabolite t_half",IF(NOT(ISNUMBER(P89)),"a numeric t","the Parameter_Status of each input"))))))</f>
        <v/>
      </c>
      <c r="AG89" s="22">
        <f>IF(AND(AC89=0,AE89=""),1,0)</f>
        <v>1</v>
      </c>
    </row>
    <row r="92" spans="1:33" ht="17.25" x14ac:dyDescent="0.3">
      <c r="A92" s="6" t="s">
        <v>1134</v>
      </c>
    </row>
    <row r="93" spans="1:33" x14ac:dyDescent="0.2">
      <c r="A93" s="7" t="s">
        <v>1023</v>
      </c>
    </row>
    <row r="94" spans="1:33" x14ac:dyDescent="0.2">
      <c r="A94" s="2" t="s">
        <v>1024</v>
      </c>
      <c r="E94" s="2" t="s">
        <v>1027</v>
      </c>
      <c r="I94" s="2" t="s">
        <v>1024</v>
      </c>
      <c r="P94" s="2" t="s">
        <v>1040</v>
      </c>
      <c r="Z94" s="2" t="s">
        <v>1052</v>
      </c>
    </row>
    <row r="95" spans="1:33" ht="66" customHeight="1" x14ac:dyDescent="0.2">
      <c r="A95" s="8" t="s">
        <v>1025</v>
      </c>
      <c r="B95" s="8" t="s">
        <v>274</v>
      </c>
      <c r="C95" s="8" t="s">
        <v>275</v>
      </c>
      <c r="D95" s="8" t="s">
        <v>1026</v>
      </c>
      <c r="E95" s="8" t="s">
        <v>1028</v>
      </c>
      <c r="F95" s="8" t="s">
        <v>1029</v>
      </c>
      <c r="G95" s="8" t="s">
        <v>1030</v>
      </c>
      <c r="H95" s="8" t="s">
        <v>1031</v>
      </c>
      <c r="I95" s="8" t="s">
        <v>1135</v>
      </c>
      <c r="J95" s="8" t="s">
        <v>1136</v>
      </c>
      <c r="K95" s="8" t="s">
        <v>1035</v>
      </c>
      <c r="L95" s="8" t="s">
        <v>1036</v>
      </c>
      <c r="M95" s="8" t="s">
        <v>1137</v>
      </c>
      <c r="N95" s="8" t="s">
        <v>1038</v>
      </c>
      <c r="O95" s="8" t="s">
        <v>1039</v>
      </c>
      <c r="P95" s="19" t="s">
        <v>1041</v>
      </c>
      <c r="Q95" s="19" t="s">
        <v>1042</v>
      </c>
      <c r="R95" s="19" t="s">
        <v>1043</v>
      </c>
      <c r="S95" s="19" t="s">
        <v>1046</v>
      </c>
      <c r="T95" s="19" t="s">
        <v>1047</v>
      </c>
      <c r="U95" s="19" t="s">
        <v>1048</v>
      </c>
      <c r="V95" s="19" t="s">
        <v>1049</v>
      </c>
      <c r="W95" s="19" t="s">
        <v>1050</v>
      </c>
      <c r="X95" s="19" t="s">
        <v>1051</v>
      </c>
      <c r="Y95" s="19" t="s">
        <v>895</v>
      </c>
      <c r="Z95" s="19" t="s">
        <v>897</v>
      </c>
      <c r="AA95" s="19" t="s">
        <v>1053</v>
      </c>
      <c r="AB95" s="19" t="s">
        <v>930</v>
      </c>
      <c r="AC95" s="19" t="s">
        <v>1054</v>
      </c>
      <c r="AD95" s="19" t="s">
        <v>1055</v>
      </c>
    </row>
    <row r="96" spans="1:33" x14ac:dyDescent="0.2">
      <c r="A96" s="10"/>
      <c r="B96" s="10"/>
      <c r="C96" s="12"/>
      <c r="D96" s="10"/>
      <c r="E96" s="17"/>
      <c r="F96" s="10"/>
      <c r="G96" s="10"/>
      <c r="H96" s="17"/>
      <c r="I96" s="17"/>
      <c r="J96" s="17"/>
      <c r="K96" s="17"/>
      <c r="L96" s="10"/>
      <c r="M96" s="17"/>
      <c r="N96" s="17"/>
      <c r="O96" s="10"/>
      <c r="P96" s="21" t="str">
        <f t="shared" ref="P96:P103" si="98">IF(Z96=1,"",IF(AB96&lt;&gt;"",AB96&amp;": no result is shown",IF(R96=0,"0",IF(ABS(R96)&lt;0.0001,FIXED(R96/10^INT(LOG10(ABS(R96))),2,TRUE)&amp;" x 10^"&amp;INT(LOG10(ABS(R96))),FIXED(ROUND(R96,2-INT(LOG10(ABS(R96)))),MAX(0,2-INT(LOG10(ABS(R96)))),TRUE)))&amp;"% of the post-infusion concentration remains after "&amp;M96&amp;" days (W_BIOLOGIC_MODEL_CAUTION)"))</f>
        <v/>
      </c>
      <c r="Q96" s="21" t="str">
        <f t="shared" ref="Q96:Q103" si="99">IF(AD96=1,2^(-M96/J96),"")</f>
        <v/>
      </c>
      <c r="R96" s="21" t="str">
        <f t="shared" ref="R96:R103" si="100">IF(AD96=1,100*Q96,"")</f>
        <v/>
      </c>
      <c r="S96" s="21" t="str">
        <f t="shared" ref="S96:S103" si="101">IF(Z96=1,"",IF(AB96&lt;&gt;"",AB96,"W_BIOLOGIC_MODEL_CAUTION"))</f>
        <v/>
      </c>
      <c r="T96" s="21" t="str">
        <f>IF(Z96=1,"",IF(AB96&lt;&gt;"",AB96&amp;": "&amp;SUBSTITUTE(IFERROR(INDEX(nMSG_Text,MATCH(AB96,nMSG_Code,0)),""),"[input]",AC96),"W_BIOLOGIC_MODEL_CAUTION: "&amp;SUBSTITUTE(IFERROR(INDEX(nMSG_Text,MATCH("W_BIOLOGIC_MODEL_CAUTION",nMSG_Code,0)),""),"[input]","")))</f>
        <v/>
      </c>
      <c r="U96" s="21" t="str">
        <f t="shared" ref="U96:U103" si="102">IF(Z96=1,"","t_half = "&amp;J96&amp;" "&amp;"days"&amp;" ["&amp;IF(K96="","status not recorded",K96)&amp;IF(L96&lt;&gt;"","; "&amp;L96,"")&amp;"]"&amp;"; "&amp;"t = "&amp;M96&amp;" "&amp;"days"&amp;" ["&amp;IF(N96="","status not recorded",N96)&amp;IF(O96&lt;&gt;"","; "&amp;O96,"")&amp;"]")</f>
        <v/>
      </c>
      <c r="V96" s="21" t="str">
        <f t="shared" ref="V96:V103" si="103">IF(Z96=1,"","Model: "&amp;IF(E96="Yes","confirmed","not confirmed")&amp;". Parameter used: "&amp;IF(F96="","not stated",F96)&amp;". Reference time: "&amp;IF(G96="","not stated",G96)&amp;". Parameter_Status: "&amp;IF(H96="Yes","confirmed","not confirmed")&amp;".")</f>
        <v/>
      </c>
      <c r="W96" s="21" t="str">
        <f t="shared" ref="W96:W103" si="104">IF(Z96=1,"","Antibody disposition can depend on dose, time, target burden and immunogenicity. Exposure persistence is not receptor occupancy, immune activity or biological persistence.")</f>
        <v/>
      </c>
      <c r="X96" s="21" t="str">
        <f t="shared" ref="X96:X103" si="105">IF(Z96=1,"","As Q1: fraction remaining = 2^(-t / t_half), t and t_half in days")</f>
        <v/>
      </c>
      <c r="Y96" s="21" t="str">
        <f t="shared" ref="Y96:Y103" si="106">IF(Z96=1,"","CALC-SPEC 1.0")</f>
        <v/>
      </c>
      <c r="Z96" s="22">
        <f t="shared" ref="Z96:Z103" si="107">IF(AND(A96="",J96="",M96=""),1,0)</f>
        <v>1</v>
      </c>
      <c r="AA96" s="21" t="str">
        <f t="shared" ref="AA96:AA103" si="108">IF(A96="","",B96&amp;"|"&amp;C96&amp;"|"&amp;A96)</f>
        <v/>
      </c>
      <c r="AB96" s="21" t="str">
        <f t="shared" ref="AB96:AB103" si="109">IF(Z96=1,"",IF(OR(A96="",I96="",J96="",M96=""),"E_MISSING_INPUT",IF(I96&lt;&gt;"days","E_INVALID_UNIT",IF(OR(NOT(ISNUMBER(J96)),NOT(ISNUMBER(M96))),"E_MISSING_INPUT",IF(J96&lt;=0,"E_NONPOSITIVE_PARAMETER",IF(NOT(AND(E96="Yes",F96&lt;&gt;"",G96&lt;&gt;"",H96="Yes")),"E_APPLICABILITY_UNCONFIRMED",IF(OR(K96="",N96=""),"E_MISSING_INPUT",IF(M96&lt;0,"E_OUT_OF_RANGE",""))))))))</f>
        <v/>
      </c>
      <c r="AC96" s="21" t="str">
        <f t="shared" ref="AC96:AC103" si="110">IF(AB96&lt;&gt;"E_MISSING_INPUT","",IF(A96="","a Calc_ID",IF(I96="","a time unit (days)",IF(NOT(ISNUMBER(J96)),"a numeric t_half",IF(NOT(ISNUMBER(M96)),"a numeric t",IF(K96="","the Parameter_Status of t_half","the Parameter_Status of t"))))))</f>
        <v/>
      </c>
      <c r="AD96" s="22">
        <f t="shared" ref="AD96:AD103" si="111">IF(AND(Z96=0,AB96=""),1,0)</f>
        <v>0</v>
      </c>
    </row>
    <row r="97" spans="1:30" x14ac:dyDescent="0.2">
      <c r="A97" s="10"/>
      <c r="B97" s="10"/>
      <c r="C97" s="12"/>
      <c r="D97" s="10"/>
      <c r="E97" s="17"/>
      <c r="F97" s="10"/>
      <c r="G97" s="10"/>
      <c r="H97" s="17"/>
      <c r="I97" s="17"/>
      <c r="J97" s="17"/>
      <c r="K97" s="17"/>
      <c r="L97" s="10"/>
      <c r="M97" s="17"/>
      <c r="N97" s="17"/>
      <c r="O97" s="10"/>
      <c r="P97" s="21" t="str">
        <f t="shared" si="98"/>
        <v/>
      </c>
      <c r="Q97" s="21" t="str">
        <f t="shared" si="99"/>
        <v/>
      </c>
      <c r="R97" s="21" t="str">
        <f t="shared" si="100"/>
        <v/>
      </c>
      <c r="S97" s="21" t="str">
        <f t="shared" si="101"/>
        <v/>
      </c>
      <c r="T97" s="21" t="str">
        <f>IF(Z97=1,"",IF(AB97&lt;&gt;"",AB97&amp;": "&amp;SUBSTITUTE(IFERROR(INDEX(nMSG_Text,MATCH(AB97,nMSG_Code,0)),""),"[input]",AC97),"W_BIOLOGIC_MODEL_CAUTION: "&amp;SUBSTITUTE(IFERROR(INDEX(nMSG_Text,MATCH("W_BIOLOGIC_MODEL_CAUTION",nMSG_Code,0)),""),"[input]","")))</f>
        <v/>
      </c>
      <c r="U97" s="21" t="str">
        <f t="shared" si="102"/>
        <v/>
      </c>
      <c r="V97" s="21" t="str">
        <f t="shared" si="103"/>
        <v/>
      </c>
      <c r="W97" s="21" t="str">
        <f t="shared" si="104"/>
        <v/>
      </c>
      <c r="X97" s="21" t="str">
        <f t="shared" si="105"/>
        <v/>
      </c>
      <c r="Y97" s="21" t="str">
        <f t="shared" si="106"/>
        <v/>
      </c>
      <c r="Z97" s="22">
        <f t="shared" si="107"/>
        <v>1</v>
      </c>
      <c r="AA97" s="21" t="str">
        <f t="shared" si="108"/>
        <v/>
      </c>
      <c r="AB97" s="21" t="str">
        <f t="shared" si="109"/>
        <v/>
      </c>
      <c r="AC97" s="21" t="str">
        <f t="shared" si="110"/>
        <v/>
      </c>
      <c r="AD97" s="22">
        <f t="shared" si="111"/>
        <v>0</v>
      </c>
    </row>
    <row r="98" spans="1:30" x14ac:dyDescent="0.2">
      <c r="A98" s="10"/>
      <c r="B98" s="10"/>
      <c r="C98" s="12"/>
      <c r="D98" s="10"/>
      <c r="E98" s="17"/>
      <c r="F98" s="10"/>
      <c r="G98" s="10"/>
      <c r="H98" s="17"/>
      <c r="I98" s="17"/>
      <c r="J98" s="17"/>
      <c r="K98" s="17"/>
      <c r="L98" s="10"/>
      <c r="M98" s="17"/>
      <c r="N98" s="17"/>
      <c r="O98" s="10"/>
      <c r="P98" s="21" t="str">
        <f t="shared" si="98"/>
        <v/>
      </c>
      <c r="Q98" s="21" t="str">
        <f t="shared" si="99"/>
        <v/>
      </c>
      <c r="R98" s="21" t="str">
        <f t="shared" si="100"/>
        <v/>
      </c>
      <c r="S98" s="21" t="str">
        <f t="shared" si="101"/>
        <v/>
      </c>
      <c r="T98" s="21" t="str">
        <f>IF(Z98=1,"",IF(AB98&lt;&gt;"",AB98&amp;": "&amp;SUBSTITUTE(IFERROR(INDEX(nMSG_Text,MATCH(AB98,nMSG_Code,0)),""),"[input]",AC98),"W_BIOLOGIC_MODEL_CAUTION: "&amp;SUBSTITUTE(IFERROR(INDEX(nMSG_Text,MATCH("W_BIOLOGIC_MODEL_CAUTION",nMSG_Code,0)),""),"[input]","")))</f>
        <v/>
      </c>
      <c r="U98" s="21" t="str">
        <f t="shared" si="102"/>
        <v/>
      </c>
      <c r="V98" s="21" t="str">
        <f t="shared" si="103"/>
        <v/>
      </c>
      <c r="W98" s="21" t="str">
        <f t="shared" si="104"/>
        <v/>
      </c>
      <c r="X98" s="21" t="str">
        <f t="shared" si="105"/>
        <v/>
      </c>
      <c r="Y98" s="21" t="str">
        <f t="shared" si="106"/>
        <v/>
      </c>
      <c r="Z98" s="22">
        <f t="shared" si="107"/>
        <v>1</v>
      </c>
      <c r="AA98" s="21" t="str">
        <f t="shared" si="108"/>
        <v/>
      </c>
      <c r="AB98" s="21" t="str">
        <f t="shared" si="109"/>
        <v/>
      </c>
      <c r="AC98" s="21" t="str">
        <f t="shared" si="110"/>
        <v/>
      </c>
      <c r="AD98" s="22">
        <f t="shared" si="111"/>
        <v>0</v>
      </c>
    </row>
    <row r="99" spans="1:30" x14ac:dyDescent="0.2">
      <c r="A99" s="10"/>
      <c r="B99" s="10"/>
      <c r="C99" s="12"/>
      <c r="D99" s="10"/>
      <c r="E99" s="17"/>
      <c r="F99" s="10"/>
      <c r="G99" s="10"/>
      <c r="H99" s="17"/>
      <c r="I99" s="17"/>
      <c r="J99" s="17"/>
      <c r="K99" s="17"/>
      <c r="L99" s="10"/>
      <c r="M99" s="17"/>
      <c r="N99" s="17"/>
      <c r="O99" s="10"/>
      <c r="P99" s="21" t="str">
        <f t="shared" si="98"/>
        <v/>
      </c>
      <c r="Q99" s="21" t="str">
        <f t="shared" si="99"/>
        <v/>
      </c>
      <c r="R99" s="21" t="str">
        <f t="shared" si="100"/>
        <v/>
      </c>
      <c r="S99" s="21" t="str">
        <f t="shared" si="101"/>
        <v/>
      </c>
      <c r="T99" s="21" t="str">
        <f>IF(Z99=1,"",IF(AB99&lt;&gt;"",AB99&amp;": "&amp;SUBSTITUTE(IFERROR(INDEX(nMSG_Text,MATCH(AB99,nMSG_Code,0)),""),"[input]",AC99),"W_BIOLOGIC_MODEL_CAUTION: "&amp;SUBSTITUTE(IFERROR(INDEX(nMSG_Text,MATCH("W_BIOLOGIC_MODEL_CAUTION",nMSG_Code,0)),""),"[input]","")))</f>
        <v/>
      </c>
      <c r="U99" s="21" t="str">
        <f t="shared" si="102"/>
        <v/>
      </c>
      <c r="V99" s="21" t="str">
        <f t="shared" si="103"/>
        <v/>
      </c>
      <c r="W99" s="21" t="str">
        <f t="shared" si="104"/>
        <v/>
      </c>
      <c r="X99" s="21" t="str">
        <f t="shared" si="105"/>
        <v/>
      </c>
      <c r="Y99" s="21" t="str">
        <f t="shared" si="106"/>
        <v/>
      </c>
      <c r="Z99" s="22">
        <f t="shared" si="107"/>
        <v>1</v>
      </c>
      <c r="AA99" s="21" t="str">
        <f t="shared" si="108"/>
        <v/>
      </c>
      <c r="AB99" s="21" t="str">
        <f t="shared" si="109"/>
        <v/>
      </c>
      <c r="AC99" s="21" t="str">
        <f t="shared" si="110"/>
        <v/>
      </c>
      <c r="AD99" s="22">
        <f t="shared" si="111"/>
        <v>0</v>
      </c>
    </row>
    <row r="100" spans="1:30" x14ac:dyDescent="0.2">
      <c r="A100" s="10"/>
      <c r="B100" s="10"/>
      <c r="C100" s="12"/>
      <c r="D100" s="10"/>
      <c r="E100" s="17"/>
      <c r="F100" s="10"/>
      <c r="G100" s="10"/>
      <c r="H100" s="17"/>
      <c r="I100" s="17"/>
      <c r="J100" s="17"/>
      <c r="K100" s="17"/>
      <c r="L100" s="10"/>
      <c r="M100" s="17"/>
      <c r="N100" s="17"/>
      <c r="O100" s="10"/>
      <c r="P100" s="21" t="str">
        <f t="shared" si="98"/>
        <v/>
      </c>
      <c r="Q100" s="21" t="str">
        <f t="shared" si="99"/>
        <v/>
      </c>
      <c r="R100" s="21" t="str">
        <f t="shared" si="100"/>
        <v/>
      </c>
      <c r="S100" s="21" t="str">
        <f t="shared" si="101"/>
        <v/>
      </c>
      <c r="T100" s="21" t="str">
        <f>IF(Z100=1,"",IF(AB100&lt;&gt;"",AB100&amp;": "&amp;SUBSTITUTE(IFERROR(INDEX(nMSG_Text,MATCH(AB100,nMSG_Code,0)),""),"[input]",AC100),"W_BIOLOGIC_MODEL_CAUTION: "&amp;SUBSTITUTE(IFERROR(INDEX(nMSG_Text,MATCH("W_BIOLOGIC_MODEL_CAUTION",nMSG_Code,0)),""),"[input]","")))</f>
        <v/>
      </c>
      <c r="U100" s="21" t="str">
        <f t="shared" si="102"/>
        <v/>
      </c>
      <c r="V100" s="21" t="str">
        <f t="shared" si="103"/>
        <v/>
      </c>
      <c r="W100" s="21" t="str">
        <f t="shared" si="104"/>
        <v/>
      </c>
      <c r="X100" s="21" t="str">
        <f t="shared" si="105"/>
        <v/>
      </c>
      <c r="Y100" s="21" t="str">
        <f t="shared" si="106"/>
        <v/>
      </c>
      <c r="Z100" s="22">
        <f t="shared" si="107"/>
        <v>1</v>
      </c>
      <c r="AA100" s="21" t="str">
        <f t="shared" si="108"/>
        <v/>
      </c>
      <c r="AB100" s="21" t="str">
        <f t="shared" si="109"/>
        <v/>
      </c>
      <c r="AC100" s="21" t="str">
        <f t="shared" si="110"/>
        <v/>
      </c>
      <c r="AD100" s="22">
        <f t="shared" si="111"/>
        <v>0</v>
      </c>
    </row>
    <row r="101" spans="1:30" x14ac:dyDescent="0.2">
      <c r="A101" s="10"/>
      <c r="B101" s="10"/>
      <c r="C101" s="12"/>
      <c r="D101" s="10"/>
      <c r="E101" s="17"/>
      <c r="F101" s="10"/>
      <c r="G101" s="10"/>
      <c r="H101" s="17"/>
      <c r="I101" s="17"/>
      <c r="J101" s="17"/>
      <c r="K101" s="17"/>
      <c r="L101" s="10"/>
      <c r="M101" s="17"/>
      <c r="N101" s="17"/>
      <c r="O101" s="10"/>
      <c r="P101" s="21" t="str">
        <f t="shared" si="98"/>
        <v/>
      </c>
      <c r="Q101" s="21" t="str">
        <f t="shared" si="99"/>
        <v/>
      </c>
      <c r="R101" s="21" t="str">
        <f t="shared" si="100"/>
        <v/>
      </c>
      <c r="S101" s="21" t="str">
        <f t="shared" si="101"/>
        <v/>
      </c>
      <c r="T101" s="21" t="str">
        <f>IF(Z101=1,"",IF(AB101&lt;&gt;"",AB101&amp;": "&amp;SUBSTITUTE(IFERROR(INDEX(nMSG_Text,MATCH(AB101,nMSG_Code,0)),""),"[input]",AC101),"W_BIOLOGIC_MODEL_CAUTION: "&amp;SUBSTITUTE(IFERROR(INDEX(nMSG_Text,MATCH("W_BIOLOGIC_MODEL_CAUTION",nMSG_Code,0)),""),"[input]","")))</f>
        <v/>
      </c>
      <c r="U101" s="21" t="str">
        <f t="shared" si="102"/>
        <v/>
      </c>
      <c r="V101" s="21" t="str">
        <f t="shared" si="103"/>
        <v/>
      </c>
      <c r="W101" s="21" t="str">
        <f t="shared" si="104"/>
        <v/>
      </c>
      <c r="X101" s="21" t="str">
        <f t="shared" si="105"/>
        <v/>
      </c>
      <c r="Y101" s="21" t="str">
        <f t="shared" si="106"/>
        <v/>
      </c>
      <c r="Z101" s="22">
        <f t="shared" si="107"/>
        <v>1</v>
      </c>
      <c r="AA101" s="21" t="str">
        <f t="shared" si="108"/>
        <v/>
      </c>
      <c r="AB101" s="21" t="str">
        <f t="shared" si="109"/>
        <v/>
      </c>
      <c r="AC101" s="21" t="str">
        <f t="shared" si="110"/>
        <v/>
      </c>
      <c r="AD101" s="22">
        <f t="shared" si="111"/>
        <v>0</v>
      </c>
    </row>
    <row r="102" spans="1:30" x14ac:dyDescent="0.2">
      <c r="A102" s="10"/>
      <c r="B102" s="10"/>
      <c r="C102" s="12"/>
      <c r="D102" s="10"/>
      <c r="E102" s="17"/>
      <c r="F102" s="10"/>
      <c r="G102" s="10"/>
      <c r="H102" s="17"/>
      <c r="I102" s="17"/>
      <c r="J102" s="17"/>
      <c r="K102" s="17"/>
      <c r="L102" s="10"/>
      <c r="M102" s="17"/>
      <c r="N102" s="17"/>
      <c r="O102" s="10"/>
      <c r="P102" s="21" t="str">
        <f t="shared" si="98"/>
        <v/>
      </c>
      <c r="Q102" s="21" t="str">
        <f t="shared" si="99"/>
        <v/>
      </c>
      <c r="R102" s="21" t="str">
        <f t="shared" si="100"/>
        <v/>
      </c>
      <c r="S102" s="21" t="str">
        <f t="shared" si="101"/>
        <v/>
      </c>
      <c r="T102" s="21" t="str">
        <f>IF(Z102=1,"",IF(AB102&lt;&gt;"",AB102&amp;": "&amp;SUBSTITUTE(IFERROR(INDEX(nMSG_Text,MATCH(AB102,nMSG_Code,0)),""),"[input]",AC102),"W_BIOLOGIC_MODEL_CAUTION: "&amp;SUBSTITUTE(IFERROR(INDEX(nMSG_Text,MATCH("W_BIOLOGIC_MODEL_CAUTION",nMSG_Code,0)),""),"[input]","")))</f>
        <v/>
      </c>
      <c r="U102" s="21" t="str">
        <f t="shared" si="102"/>
        <v/>
      </c>
      <c r="V102" s="21" t="str">
        <f t="shared" si="103"/>
        <v/>
      </c>
      <c r="W102" s="21" t="str">
        <f t="shared" si="104"/>
        <v/>
      </c>
      <c r="X102" s="21" t="str">
        <f t="shared" si="105"/>
        <v/>
      </c>
      <c r="Y102" s="21" t="str">
        <f t="shared" si="106"/>
        <v/>
      </c>
      <c r="Z102" s="22">
        <f t="shared" si="107"/>
        <v>1</v>
      </c>
      <c r="AA102" s="21" t="str">
        <f t="shared" si="108"/>
        <v/>
      </c>
      <c r="AB102" s="21" t="str">
        <f t="shared" si="109"/>
        <v/>
      </c>
      <c r="AC102" s="21" t="str">
        <f t="shared" si="110"/>
        <v/>
      </c>
      <c r="AD102" s="22">
        <f t="shared" si="111"/>
        <v>0</v>
      </c>
    </row>
    <row r="103" spans="1:30" x14ac:dyDescent="0.2">
      <c r="A103" s="10"/>
      <c r="B103" s="10"/>
      <c r="C103" s="12"/>
      <c r="D103" s="10"/>
      <c r="E103" s="17"/>
      <c r="F103" s="10"/>
      <c r="G103" s="10"/>
      <c r="H103" s="17"/>
      <c r="I103" s="17"/>
      <c r="J103" s="17"/>
      <c r="K103" s="17"/>
      <c r="L103" s="10"/>
      <c r="M103" s="17"/>
      <c r="N103" s="17"/>
      <c r="O103" s="10"/>
      <c r="P103" s="21" t="str">
        <f t="shared" si="98"/>
        <v/>
      </c>
      <c r="Q103" s="21" t="str">
        <f t="shared" si="99"/>
        <v/>
      </c>
      <c r="R103" s="21" t="str">
        <f t="shared" si="100"/>
        <v/>
      </c>
      <c r="S103" s="21" t="str">
        <f t="shared" si="101"/>
        <v/>
      </c>
      <c r="T103" s="21" t="str">
        <f>IF(Z103=1,"",IF(AB103&lt;&gt;"",AB103&amp;": "&amp;SUBSTITUTE(IFERROR(INDEX(nMSG_Text,MATCH(AB103,nMSG_Code,0)),""),"[input]",AC103),"W_BIOLOGIC_MODEL_CAUTION: "&amp;SUBSTITUTE(IFERROR(INDEX(nMSG_Text,MATCH("W_BIOLOGIC_MODEL_CAUTION",nMSG_Code,0)),""),"[input]","")))</f>
        <v/>
      </c>
      <c r="U103" s="21" t="str">
        <f t="shared" si="102"/>
        <v/>
      </c>
      <c r="V103" s="21" t="str">
        <f t="shared" si="103"/>
        <v/>
      </c>
      <c r="W103" s="21" t="str">
        <f t="shared" si="104"/>
        <v/>
      </c>
      <c r="X103" s="21" t="str">
        <f t="shared" si="105"/>
        <v/>
      </c>
      <c r="Y103" s="21" t="str">
        <f t="shared" si="106"/>
        <v/>
      </c>
      <c r="Z103" s="22">
        <f t="shared" si="107"/>
        <v>1</v>
      </c>
      <c r="AA103" s="21" t="str">
        <f t="shared" si="108"/>
        <v/>
      </c>
      <c r="AB103" s="21" t="str">
        <f t="shared" si="109"/>
        <v/>
      </c>
      <c r="AC103" s="21" t="str">
        <f t="shared" si="110"/>
        <v/>
      </c>
      <c r="AD103" s="22">
        <f t="shared" si="111"/>
        <v>0</v>
      </c>
    </row>
    <row r="104" spans="1:30" x14ac:dyDescent="0.2">
      <c r="A104" s="24" t="s">
        <v>288</v>
      </c>
      <c r="B104" s="23"/>
      <c r="C104" s="23"/>
      <c r="D104" s="23"/>
      <c r="E104" s="23"/>
      <c r="F104" s="23"/>
      <c r="G104" s="23"/>
      <c r="H104" s="23"/>
      <c r="I104" s="23"/>
      <c r="J104" s="23"/>
      <c r="K104" s="23"/>
      <c r="L104" s="23"/>
      <c r="M104" s="23"/>
      <c r="N104" s="23"/>
      <c r="O104" s="23"/>
      <c r="P104" s="23"/>
      <c r="Q104" s="23"/>
      <c r="R104" s="23"/>
      <c r="S104" s="23"/>
      <c r="T104" s="23"/>
      <c r="U104" s="23"/>
      <c r="V104" s="23"/>
      <c r="W104" s="23"/>
      <c r="X104" s="23"/>
      <c r="Y104" s="23"/>
      <c r="Z104" s="23"/>
      <c r="AA104" s="23"/>
      <c r="AB104" s="23"/>
      <c r="AC104" s="23"/>
      <c r="AD104" s="23"/>
    </row>
    <row r="105" spans="1:30" x14ac:dyDescent="0.2">
      <c r="A105" s="9" t="s">
        <v>1138</v>
      </c>
      <c r="B105" s="9" t="s">
        <v>299</v>
      </c>
      <c r="C105" s="11">
        <v>2</v>
      </c>
      <c r="D105" s="9" t="s">
        <v>1139</v>
      </c>
      <c r="E105" s="16" t="s">
        <v>83</v>
      </c>
      <c r="F105" s="9" t="s">
        <v>1140</v>
      </c>
      <c r="G105" s="9" t="s">
        <v>1141</v>
      </c>
      <c r="H105" s="16" t="s">
        <v>83</v>
      </c>
      <c r="I105" s="16" t="s">
        <v>66</v>
      </c>
      <c r="J105" s="16">
        <v>22</v>
      </c>
      <c r="K105" s="16" t="s">
        <v>77</v>
      </c>
      <c r="L105" s="9" t="s">
        <v>1142</v>
      </c>
      <c r="M105" s="16">
        <v>435</v>
      </c>
      <c r="N105" s="16" t="s">
        <v>79</v>
      </c>
      <c r="O105" s="9" t="s">
        <v>1143</v>
      </c>
      <c r="P105" s="21" t="str">
        <f t="shared" ref="P105:P106" si="112">IF(Z105=1,"",IF(AB105&lt;&gt;"",AB105&amp;": no result is shown",IF(R105=0,"0",IF(ABS(R105)&lt;0.0001,FIXED(R105/10^INT(LOG10(ABS(R105))),2,TRUE)&amp;" x 10^"&amp;INT(LOG10(ABS(R105))),FIXED(ROUND(R105,2-INT(LOG10(ABS(R105)))),MAX(0,2-INT(LOG10(ABS(R105)))),TRUE)))&amp;"% of the post-infusion concentration remains after "&amp;M105&amp;" days (W_BIOLOGIC_MODEL_CAUTION)"))</f>
        <v>0.000112% of the post-infusion concentration remains after 435 days (W_BIOLOGIC_MODEL_CAUTION)</v>
      </c>
      <c r="Q105" s="21">
        <f t="shared" ref="Q105:Q106" si="113">IF(AD105=1,2^(-M105/J105),"")</f>
        <v>1.1163901469344256E-6</v>
      </c>
      <c r="R105" s="21">
        <f t="shared" ref="R105:R106" si="114">IF(AD105=1,100*Q105,"")</f>
        <v>1.1163901469344257E-4</v>
      </c>
      <c r="S105" s="21" t="str">
        <f t="shared" ref="S105:S106" si="115">IF(Z105=1,"",IF(AB105&lt;&gt;"",AB105,"W_BIOLOGIC_MODEL_CAUTION"))</f>
        <v>W_BIOLOGIC_MODEL_CAUTION</v>
      </c>
      <c r="T105" s="21" t="str">
        <f>IF(Z105=1,"",IF(AB105&lt;&gt;"",AB105&amp;": "&amp;SUBSTITUTE(IFERROR(INDEX(nMSG_Text,MATCH(AB105,nMSG_Code,0)),""),"[input]",AC105),"W_BIOLOGIC_MODEL_CAUTION: "&amp;SUBSTITUTE(IFERROR(INDEX(nMSG_Text,MATCH("W_BIOLOGIC_MODEL_CAUTION",nMSG_Code,0)),""),"[input]","")))</f>
        <v>W_BIOLOGIC_MODEL_CAUTION: Antibody disposition can be nonlinear or time-varying; this simple model may not apply.</v>
      </c>
      <c r="U105" s="21" t="str">
        <f t="shared" ref="U105:U106" si="116">IF(Z105=1,"","t_half = "&amp;J105&amp;" "&amp;"days"&amp;" ["&amp;IF(K105="","status not recorded",K105)&amp;IF(L105&lt;&gt;"","; "&amp;L105,"")&amp;"]"&amp;"; "&amp;"t = "&amp;M105&amp;" "&amp;"days"&amp;" ["&amp;IF(N105="","status not recorded",N105)&amp;IF(O105&lt;&gt;"","; "&amp;O105,"")&amp;"]")</f>
        <v>t_half = 22 days [label fact; RITUXAN US 12.3 (NHL, median)]; t = 435 days [case measurement; Intervals I01]</v>
      </c>
      <c r="V105" s="21" t="str">
        <f t="shared" ref="V105:V106" si="117">IF(Z105=1,"","Model: "&amp;IF(E105="Yes","confirmed","not confirmed")&amp;". Parameter used: "&amp;IF(F105="","not stated",F105)&amp;". Reference time: "&amp;IF(G105="","not stated",G105)&amp;". Parameter_Status: "&amp;IF(H105="Yes","confirmed","not confirmed")&amp;".")</f>
        <v>Model: confirmed. Parameter used: Rituximab terminal half-life, NHL patients, median 22 days (range 6.1-52) [RITUXAN US 12.3]; label fact for a population, not this patient. Reference time: Post-infusion concentration after the last infusion (3 March 2025). Parameter_Status: confirmed.</v>
      </c>
      <c r="W105" s="21" t="str">
        <f t="shared" ref="W105:W106" si="118">IF(Z105=1,"","Antibody disposition can depend on dose, time, target burden and immunogenicity. Exposure persistence is not receptor occupancy, immune activity or biological persistence.")</f>
        <v>Antibody disposition can depend on dose, time, target burden and immunogenicity. Exposure persistence is not receptor occupancy, immune activity or biological persistence.</v>
      </c>
      <c r="X105" s="21" t="str">
        <f t="shared" ref="X105:X106" si="119">IF(Z105=1,"","As Q1: fraction remaining = 2^(-t / t_half), t and t_half in days")</f>
        <v>As Q1: fraction remaining = 2^(-t / t_half), t and t_half in days</v>
      </c>
      <c r="Y105" s="21" t="str">
        <f t="shared" ref="Y105:Y106" si="120">IF(Z105=1,"","CALC-SPEC 1.0")</f>
        <v>CALC-SPEC 1.0</v>
      </c>
      <c r="Z105" s="22">
        <f t="shared" ref="Z105:Z106" si="121">IF(AND(A105="",J105="",M105=""),1,0)</f>
        <v>0</v>
      </c>
      <c r="AA105" s="21" t="str">
        <f t="shared" ref="AA105:AA106" si="122">IF(A105="","",B105&amp;"|"&amp;C105&amp;"|"&amp;A105)</f>
        <v>EX-C28|2|Q7-C28-435</v>
      </c>
      <c r="AB105" s="21" t="str">
        <f t="shared" ref="AB105:AB106" si="123">IF(Z105=1,"",IF(OR(A105="",I105="",J105="",M105=""),"E_MISSING_INPUT",IF(I105&lt;&gt;"days","E_INVALID_UNIT",IF(OR(NOT(ISNUMBER(J105)),NOT(ISNUMBER(M105))),"E_MISSING_INPUT",IF(J105&lt;=0,"E_NONPOSITIVE_PARAMETER",IF(NOT(AND(E105="Yes",F105&lt;&gt;"",G105&lt;&gt;"",H105="Yes")),"E_APPLICABILITY_UNCONFIRMED",IF(OR(K105="",N105=""),"E_MISSING_INPUT",IF(M105&lt;0,"E_OUT_OF_RANGE",""))))))))</f>
        <v/>
      </c>
      <c r="AC105" s="21" t="str">
        <f t="shared" ref="AC105:AC106" si="124">IF(AB105&lt;&gt;"E_MISSING_INPUT","",IF(A105="","a Calc_ID",IF(I105="","a time unit (days)",IF(NOT(ISNUMBER(J105)),"a numeric t_half",IF(NOT(ISNUMBER(M105)),"a numeric t",IF(K105="","the Parameter_Status of t_half","the Parameter_Status of t"))))))</f>
        <v/>
      </c>
      <c r="AD105" s="22">
        <f t="shared" ref="AD105:AD106" si="125">IF(AND(Z105=0,AB105=""),1,0)</f>
        <v>1</v>
      </c>
    </row>
    <row r="106" spans="1:30" x14ac:dyDescent="0.2">
      <c r="A106" s="9" t="s">
        <v>1144</v>
      </c>
      <c r="B106" s="9" t="s">
        <v>299</v>
      </c>
      <c r="C106" s="11">
        <v>2</v>
      </c>
      <c r="D106" s="9" t="s">
        <v>1145</v>
      </c>
      <c r="E106" s="16" t="s">
        <v>83</v>
      </c>
      <c r="F106" s="9" t="s">
        <v>1140</v>
      </c>
      <c r="G106" s="9" t="s">
        <v>1141</v>
      </c>
      <c r="H106" s="16" t="s">
        <v>83</v>
      </c>
      <c r="I106" s="16" t="s">
        <v>66</v>
      </c>
      <c r="J106" s="16">
        <v>22</v>
      </c>
      <c r="K106" s="16" t="s">
        <v>77</v>
      </c>
      <c r="L106" s="9" t="s">
        <v>1142</v>
      </c>
      <c r="M106" s="16">
        <v>343</v>
      </c>
      <c r="N106" s="16" t="s">
        <v>79</v>
      </c>
      <c r="O106" s="9" t="s">
        <v>1146</v>
      </c>
      <c r="P106" s="21" t="str">
        <f t="shared" si="112"/>
        <v>0.00203% of the post-infusion concentration remains after 343 days (W_BIOLOGIC_MODEL_CAUTION)</v>
      </c>
      <c r="Q106" s="21">
        <f t="shared" si="113"/>
        <v>2.0261365173173599E-5</v>
      </c>
      <c r="R106" s="21">
        <f t="shared" si="114"/>
        <v>2.02613651731736E-3</v>
      </c>
      <c r="S106" s="21" t="str">
        <f t="shared" si="115"/>
        <v>W_BIOLOGIC_MODEL_CAUTION</v>
      </c>
      <c r="T106" s="21" t="str">
        <f>IF(Z106=1,"",IF(AB106&lt;&gt;"",AB106&amp;": "&amp;SUBSTITUTE(IFERROR(INDEX(nMSG_Text,MATCH(AB106,nMSG_Code,0)),""),"[input]",AC106),"W_BIOLOGIC_MODEL_CAUTION: "&amp;SUBSTITUTE(IFERROR(INDEX(nMSG_Text,MATCH("W_BIOLOGIC_MODEL_CAUTION",nMSG_Code,0)),""),"[input]","")))</f>
        <v>W_BIOLOGIC_MODEL_CAUTION: Antibody disposition can be nonlinear or time-varying; this simple model may not apply.</v>
      </c>
      <c r="U106" s="21" t="str">
        <f t="shared" si="116"/>
        <v>t_half = 22 days [label fact; RITUXAN US 12.3 (NHL, median)]; t = 343 days [case measurement; Intervals I02 (minimum)]</v>
      </c>
      <c r="V106" s="21" t="str">
        <f t="shared" si="117"/>
        <v>Model: confirmed. Parameter used: Rituximab terminal half-life, NHL patients, median 22 days (range 6.1-52) [RITUXAN US 12.3]; label fact for a population, not this patient. Reference time: Post-infusion concentration after the last infusion (3 March 2025). Parameter_Status: confirmed.</v>
      </c>
      <c r="W106" s="21" t="str">
        <f t="shared" si="118"/>
        <v>Antibody disposition can depend on dose, time, target burden and immunogenicity. Exposure persistence is not receptor occupancy, immune activity or biological persistence.</v>
      </c>
      <c r="X106" s="21" t="str">
        <f t="shared" si="119"/>
        <v>As Q1: fraction remaining = 2^(-t / t_half), t and t_half in days</v>
      </c>
      <c r="Y106" s="21" t="str">
        <f t="shared" si="120"/>
        <v>CALC-SPEC 1.0</v>
      </c>
      <c r="Z106" s="22">
        <f t="shared" si="121"/>
        <v>0</v>
      </c>
      <c r="AA106" s="21" t="str">
        <f t="shared" si="122"/>
        <v>EX-C28|2|Q7-C28-343</v>
      </c>
      <c r="AB106" s="21" t="str">
        <f t="shared" si="123"/>
        <v/>
      </c>
      <c r="AC106" s="21" t="str">
        <f t="shared" si="124"/>
        <v/>
      </c>
      <c r="AD106" s="22">
        <f t="shared" si="125"/>
        <v>1</v>
      </c>
    </row>
    <row r="107" spans="1:30" x14ac:dyDescent="0.2">
      <c r="A107" s="24" t="s">
        <v>289</v>
      </c>
      <c r="B107" s="23"/>
      <c r="C107" s="23"/>
      <c r="D107" s="23"/>
      <c r="E107" s="23"/>
      <c r="F107" s="23"/>
      <c r="G107" s="23"/>
      <c r="H107" s="23"/>
      <c r="I107" s="23"/>
      <c r="J107" s="23"/>
      <c r="K107" s="23"/>
      <c r="L107" s="23"/>
      <c r="M107" s="23"/>
      <c r="N107" s="23"/>
      <c r="O107" s="23"/>
      <c r="P107" s="23"/>
      <c r="Q107" s="23"/>
      <c r="R107" s="23"/>
      <c r="S107" s="23"/>
      <c r="T107" s="23"/>
      <c r="U107" s="23"/>
      <c r="V107" s="23"/>
      <c r="W107" s="23"/>
      <c r="X107" s="23"/>
      <c r="Y107" s="23"/>
      <c r="Z107" s="23"/>
      <c r="AA107" s="23"/>
      <c r="AB107" s="23"/>
      <c r="AC107" s="23"/>
      <c r="AD107" s="23"/>
    </row>
    <row r="108" spans="1:30" x14ac:dyDescent="0.2">
      <c r="A108" s="9" t="s">
        <v>1147</v>
      </c>
      <c r="B108" s="9" t="s">
        <v>345</v>
      </c>
      <c r="C108" s="11">
        <v>1</v>
      </c>
      <c r="D108" s="9" t="s">
        <v>1148</v>
      </c>
      <c r="E108" s="16" t="s">
        <v>83</v>
      </c>
      <c r="F108" s="9" t="s">
        <v>1058</v>
      </c>
      <c r="G108" s="9" t="s">
        <v>1059</v>
      </c>
      <c r="H108" s="16" t="s">
        <v>83</v>
      </c>
      <c r="I108" s="16" t="s">
        <v>66</v>
      </c>
      <c r="J108" s="16">
        <v>21</v>
      </c>
      <c r="K108" s="16" t="s">
        <v>81</v>
      </c>
      <c r="L108" s="9" t="s">
        <v>1149</v>
      </c>
      <c r="M108" s="16">
        <v>42</v>
      </c>
      <c r="N108" s="16" t="s">
        <v>81</v>
      </c>
      <c r="O108" s="9" t="s">
        <v>1149</v>
      </c>
      <c r="P108" s="21" t="str">
        <f>IF(Z108=1,"",IF(AB108&lt;&gt;"",AB108&amp;": no result is shown",IF(R108=0,"0",IF(ABS(R108)&lt;0.0001,FIXED(R108/10^INT(LOG10(ABS(R108))),2,TRUE)&amp;" x 10^"&amp;INT(LOG10(ABS(R108))),FIXED(ROUND(R108,2-INT(LOG10(ABS(R108)))),MAX(0,2-INT(LOG10(ABS(R108)))),TRUE)))&amp;"% of the post-infusion concentration remains after "&amp;M108&amp;" days (W_BIOLOGIC_MODEL_CAUTION)"))</f>
        <v>25.0% of the post-infusion concentration remains after 42 days (W_BIOLOGIC_MODEL_CAUTION)</v>
      </c>
      <c r="Q108" s="21">
        <f>IF(AD108=1,2^(-M108/J108),"")</f>
        <v>0.25</v>
      </c>
      <c r="R108" s="21">
        <f>IF(AD108=1,100*Q108,"")</f>
        <v>25</v>
      </c>
      <c r="S108" s="21" t="str">
        <f>IF(Z108=1,"",IF(AB108&lt;&gt;"",AB108,"W_BIOLOGIC_MODEL_CAUTION"))</f>
        <v>W_BIOLOGIC_MODEL_CAUTION</v>
      </c>
      <c r="T108" s="21" t="str">
        <f>IF(Z108=1,"",IF(AB108&lt;&gt;"",AB108&amp;": "&amp;SUBSTITUTE(IFERROR(INDEX(nMSG_Text,MATCH(AB108,nMSG_Code,0)),""),"[input]",AC108),"W_BIOLOGIC_MODEL_CAUTION: "&amp;SUBSTITUTE(IFERROR(INDEX(nMSG_Text,MATCH("W_BIOLOGIC_MODEL_CAUTION",nMSG_Code,0)),""),"[input]","")))</f>
        <v>W_BIOLOGIC_MODEL_CAUTION: Antibody disposition can be nonlinear or time-varying; this simple model may not apply.</v>
      </c>
      <c r="U108" s="21" t="str">
        <f>IF(Z108=1,"","t_half = "&amp;J108&amp;" "&amp;"days"&amp;" ["&amp;IF(K108="","status not recorded",K108)&amp;IF(L108&lt;&gt;"","; "&amp;L108,"")&amp;"]"&amp;"; "&amp;"t = "&amp;M108&amp;" "&amp;"days"&amp;" ["&amp;IF(N108="","status not recorded",N108)&amp;IF(O108&lt;&gt;"","; "&amp;O108,"")&amp;"]")</f>
        <v>t_half = 21 days [hypothetical example; V15 V22]; t = 42 days [hypothetical example; V15 V22]</v>
      </c>
      <c r="V108" s="21" t="str">
        <f>IF(Z108=1,"","Model: "&amp;IF(E108="Yes","confirmed","not confirmed")&amp;". Parameter used: "&amp;IF(F108="","not stated",F108)&amp;". Reference time: "&amp;IF(G108="","not stated",G108)&amp;". Parameter_Status: "&amp;IF(H108="Yes","confirmed","not confirmed")&amp;".")</f>
        <v>Model: confirmed. Parameter used: Hypothetical teaching value from the vector file. Reference time: Reference amount at time zero. Parameter_Status: confirmed.</v>
      </c>
      <c r="W108" s="21" t="str">
        <f>IF(Z108=1,"","Antibody disposition can depend on dose, time, target burden and immunogenicity. Exposure persistence is not receptor occupancy, immune activity or biological persistence.")</f>
        <v>Antibody disposition can depend on dose, time, target burden and immunogenicity. Exposure persistence is not receptor occupancy, immune activity or biological persistence.</v>
      </c>
      <c r="X108" s="21" t="str">
        <f>IF(Z108=1,"","As Q1: fraction remaining = 2^(-t / t_half), t and t_half in days")</f>
        <v>As Q1: fraction remaining = 2^(-t / t_half), t and t_half in days</v>
      </c>
      <c r="Y108" s="21" t="str">
        <f>IF(Z108=1,"","CALC-SPEC 1.0")</f>
        <v>CALC-SPEC 1.0</v>
      </c>
      <c r="Z108" s="22">
        <f>IF(AND(A108="",J108="",M108=""),1,0)</f>
        <v>0</v>
      </c>
      <c r="AA108" s="21" t="str">
        <f>IF(A108="","",B108&amp;"|"&amp;C108&amp;"|"&amp;A108)</f>
        <v>VEC-V22|1|Q7-V22</v>
      </c>
      <c r="AB108" s="21" t="str">
        <f>IF(Z108=1,"",IF(OR(A108="",I108="",J108="",M108=""),"E_MISSING_INPUT",IF(I108&lt;&gt;"days","E_INVALID_UNIT",IF(OR(NOT(ISNUMBER(J108)),NOT(ISNUMBER(M108))),"E_MISSING_INPUT",IF(J108&lt;=0,"E_NONPOSITIVE_PARAMETER",IF(NOT(AND(E108="Yes",F108&lt;&gt;"",G108&lt;&gt;"",H108="Yes")),"E_APPLICABILITY_UNCONFIRMED",IF(OR(K108="",N108=""),"E_MISSING_INPUT",IF(M108&lt;0,"E_OUT_OF_RANGE",""))))))))</f>
        <v/>
      </c>
      <c r="AC108" s="21" t="str">
        <f>IF(AB108&lt;&gt;"E_MISSING_INPUT","",IF(A108="","a Calc_ID",IF(I108="","a time unit (days)",IF(NOT(ISNUMBER(J108)),"a numeric t_half",IF(NOT(ISNUMBER(M108)),"a numeric t",IF(K108="","the Parameter_Status of t_half","the Parameter_Status of t"))))))</f>
        <v/>
      </c>
      <c r="AD108" s="22">
        <f>IF(AND(Z108=0,AB108=""),1,0)</f>
        <v>1</v>
      </c>
    </row>
    <row r="111" spans="1:30" ht="17.25" x14ac:dyDescent="0.3">
      <c r="A111" s="6" t="s">
        <v>1150</v>
      </c>
    </row>
    <row r="112" spans="1:30" x14ac:dyDescent="0.2">
      <c r="A112" s="7" t="s">
        <v>1023</v>
      </c>
    </row>
    <row r="113" spans="1:35" x14ac:dyDescent="0.2">
      <c r="A113" s="2" t="s">
        <v>1024</v>
      </c>
      <c r="E113" s="2" t="s">
        <v>1027</v>
      </c>
      <c r="I113" s="2" t="s">
        <v>1024</v>
      </c>
      <c r="S113" s="2" t="s">
        <v>1040</v>
      </c>
      <c r="AE113" s="2" t="s">
        <v>1052</v>
      </c>
    </row>
    <row r="114" spans="1:35" ht="66" customHeight="1" x14ac:dyDescent="0.2">
      <c r="A114" s="8" t="s">
        <v>1025</v>
      </c>
      <c r="B114" s="8" t="s">
        <v>274</v>
      </c>
      <c r="C114" s="8" t="s">
        <v>275</v>
      </c>
      <c r="D114" s="8" t="s">
        <v>1026</v>
      </c>
      <c r="E114" s="8" t="s">
        <v>1028</v>
      </c>
      <c r="F114" s="8" t="s">
        <v>1029</v>
      </c>
      <c r="G114" s="8" t="s">
        <v>1030</v>
      </c>
      <c r="H114" s="8" t="s">
        <v>1031</v>
      </c>
      <c r="I114" s="8" t="s">
        <v>1033</v>
      </c>
      <c r="J114" s="8" t="s">
        <v>1151</v>
      </c>
      <c r="K114" s="8" t="s">
        <v>1152</v>
      </c>
      <c r="L114" s="8" t="s">
        <v>1153</v>
      </c>
      <c r="M114" s="8" t="s">
        <v>1154</v>
      </c>
      <c r="N114" s="8" t="s">
        <v>1155</v>
      </c>
      <c r="O114" s="8" t="s">
        <v>1156</v>
      </c>
      <c r="P114" s="8" t="s">
        <v>1127</v>
      </c>
      <c r="Q114" s="8" t="s">
        <v>1038</v>
      </c>
      <c r="R114" s="8" t="s">
        <v>1039</v>
      </c>
      <c r="S114" s="19" t="s">
        <v>1157</v>
      </c>
      <c r="T114" s="19" t="s">
        <v>1158</v>
      </c>
      <c r="U114" s="19" t="s">
        <v>1159</v>
      </c>
      <c r="V114" s="19" t="s">
        <v>1160</v>
      </c>
      <c r="W114" s="19" t="s">
        <v>1161</v>
      </c>
      <c r="X114" s="19" t="s">
        <v>1046</v>
      </c>
      <c r="Y114" s="19" t="s">
        <v>1047</v>
      </c>
      <c r="Z114" s="19" t="s">
        <v>1048</v>
      </c>
      <c r="AA114" s="19" t="s">
        <v>1049</v>
      </c>
      <c r="AB114" s="19" t="s">
        <v>1050</v>
      </c>
      <c r="AC114" s="19" t="s">
        <v>1051</v>
      </c>
      <c r="AD114" s="19" t="s">
        <v>895</v>
      </c>
      <c r="AE114" s="19" t="s">
        <v>897</v>
      </c>
      <c r="AF114" s="19" t="s">
        <v>1053</v>
      </c>
      <c r="AG114" s="19" t="s">
        <v>930</v>
      </c>
      <c r="AH114" s="19" t="s">
        <v>1054</v>
      </c>
      <c r="AI114" s="19" t="s">
        <v>1055</v>
      </c>
    </row>
    <row r="115" spans="1:35" x14ac:dyDescent="0.2">
      <c r="A115" s="10"/>
      <c r="B115" s="10"/>
      <c r="C115" s="12"/>
      <c r="D115" s="10"/>
      <c r="E115" s="17"/>
      <c r="F115" s="10"/>
      <c r="G115" s="10"/>
      <c r="H115" s="17"/>
      <c r="I115" s="17"/>
      <c r="J115" s="17"/>
      <c r="K115" s="17"/>
      <c r="L115" s="10"/>
      <c r="M115" s="17"/>
      <c r="N115" s="17"/>
      <c r="O115" s="10"/>
      <c r="P115" s="17"/>
      <c r="Q115" s="17"/>
      <c r="R115" s="10"/>
      <c r="S115" s="21" t="str">
        <f t="shared" ref="S115:S122" si="126">IF(AE115=1,"",IF(AG115&lt;&gt;"",AG115&amp;": no result is shown","From "&amp;IF(V115=0,"0",IF(ABS(V115)&lt;0.0001,FIXED(V115/10^INT(LOG10(ABS(V115))),2,TRUE)&amp;" x 10^"&amp;INT(LOG10(ABS(V115))),FIXED(ROUND(V115,2-INT(LOG10(ABS(V115)))),MAX(0,2-INT(LOG10(ABS(V115)))),TRUE)))&amp;"% (t_half "&amp;J115&amp;" "&amp;I115&amp;") to "&amp;IF(W115=0,"0",IF(ABS(W115)&lt;0.0001,FIXED(W115/10^INT(LOG10(ABS(W115))),2,TRUE)&amp;" x 10^"&amp;INT(LOG10(ABS(W115))),FIXED(ROUND(W115,2-INT(LOG10(ABS(W115)))),MAX(0,2-INT(LOG10(ABS(W115)))),TRUE)))&amp;"% (t_half "&amp;M115&amp;" "&amp;I115&amp;") remaining; scenario range, not a confidence interval"))</f>
        <v/>
      </c>
      <c r="T115" s="21" t="str">
        <f t="shared" ref="T115:T122" si="127">IF(AI115=1,2^(-P115/J115),"")</f>
        <v/>
      </c>
      <c r="U115" s="21" t="str">
        <f t="shared" ref="U115:U122" si="128">IF(AI115=1,2^(-P115/M115),"")</f>
        <v/>
      </c>
      <c r="V115" s="21" t="str">
        <f t="shared" ref="V115:V122" si="129">IF(AI115=1,100*T115,"")</f>
        <v/>
      </c>
      <c r="W115" s="21" t="str">
        <f t="shared" ref="W115:W122" si="130">IF(AI115=1,100*U115,"")</f>
        <v/>
      </c>
      <c r="X115" s="21" t="str">
        <f t="shared" ref="X115:X122" si="131">IF(AE115=1,"",IF(AG115&lt;&gt;"",AG115,"I_SCENARIO_NOT_CI"))</f>
        <v/>
      </c>
      <c r="Y115" s="21" t="str">
        <f>IF(AE115=1,"",IF(AG115&lt;&gt;"",AG115&amp;": "&amp;SUBSTITUTE(IFERROR(INDEX(nMSG_Text,MATCH(AG115,nMSG_Code,0)),""),"[input]",AH115),"I_SCENARIO_NOT_CI: "&amp;SUBSTITUTE(IFERROR(INDEX(nMSG_Text,MATCH("I_SCENARIO_NOT_CI",nMSG_Code,0)),""),"[input]","")))</f>
        <v/>
      </c>
      <c r="Z115" s="21" t="str">
        <f t="shared" ref="Z115:Z122" si="132">IF(AE115=1,"","t_half_lower = "&amp;J115&amp;" "&amp;I115&amp;" ["&amp;IF(K115="","status not recorded",K115)&amp;IF(L115&lt;&gt;"","; "&amp;L115,"")&amp;"]"&amp;"; "&amp;"t_half_upper = "&amp;M115&amp;" "&amp;I115&amp;" ["&amp;IF(N115="","status not recorded",N115)&amp;IF(O115&lt;&gt;"","; "&amp;O115,"")&amp;"]"&amp;"; "&amp;"t = "&amp;P115&amp;" "&amp;I115&amp;" ["&amp;IF(Q115="","status not recorded",Q115)&amp;IF(R115&lt;&gt;"","; "&amp;R115,"")&amp;"]")</f>
        <v/>
      </c>
      <c r="AA115" s="21" t="str">
        <f t="shared" ref="AA115:AA122" si="133">IF(AE115=1,"","Model: "&amp;IF(E115="Yes","confirmed","not confirmed")&amp;". Parameter used: "&amp;IF(F115="","not stated",F115)&amp;". Reference time: "&amp;IF(G115="","not stated",G115)&amp;". Parameter_Status: "&amp;IF(H115="Yes","confirmed","not confirmed")&amp;".")</f>
        <v/>
      </c>
      <c r="AB115" s="21" t="str">
        <f t="shared" ref="AB115:AB122" si="134">IF(AE115=1,"","Assumption-based scenario range, not a confidence interval.")</f>
        <v/>
      </c>
      <c r="AC115" s="21" t="str">
        <f t="shared" ref="AC115:AC122" si="135">IF(AE115=1,"","Q1 evaluated at each half-life bound; no midpoint or average is calculated")</f>
        <v/>
      </c>
      <c r="AD115" s="21" t="str">
        <f t="shared" ref="AD115:AD122" si="136">IF(AE115=1,"","CALC-SPEC 1.0")</f>
        <v/>
      </c>
      <c r="AE115" s="22">
        <f t="shared" ref="AE115:AE122" si="137">IF(AND(A115="",J115="",P115=""),1,0)</f>
        <v>1</v>
      </c>
      <c r="AF115" s="21" t="str">
        <f t="shared" ref="AF115:AF122" si="138">IF(A115="","",B115&amp;"|"&amp;C115&amp;"|"&amp;A115)</f>
        <v/>
      </c>
      <c r="AG115" s="21" t="str">
        <f>IF(AE115=1,"",IF(OR(A115="",I115="",J115="",M115="",P115=""),"E_MISSING_INPUT",IF(ISNA(MATCH(I115,nLIST_TimeUnit,0)),"E_INVALID_UNIT",IF(OR(NOT(ISNUMBER(J115)),NOT(ISNUMBER(M115)),NOT(ISNUMBER(P115))),"E_MISSING_INPUT",IF(OR(J115&lt;=0,M115&lt;=0),"E_NONPOSITIVE_PARAMETER",IF(NOT(AND(E115="Yes",F115&lt;&gt;"",G115&lt;&gt;"",H115="Yes")),"E_APPLICABILITY_UNCONFIRMED",IF(OR(K115="",N115="",Q115=""),"E_MISSING_INPUT",IF(J115&gt;M115,"E_REVERSED_BOUNDS",IF(P115&lt;0,"E_OUT_OF_RANGE","")))))))))</f>
        <v/>
      </c>
      <c r="AH115" s="21" t="str">
        <f t="shared" ref="AH115:AH122" si="139">IF(AG115&lt;&gt;"E_MISSING_INPUT","",IF(A115="","a Calc_ID",IF(I115="","a time unit",IF(NOT(ISNUMBER(J115)),"a numeric lower t_half",IF(NOT(ISNUMBER(M115)),"a numeric upper t_half",IF(NOT(ISNUMBER(P115)),"a numeric t","the Parameter_Status of each input"))))))</f>
        <v/>
      </c>
      <c r="AI115" s="22">
        <f t="shared" ref="AI115:AI122" si="140">IF(AND(AE115=0,AG115=""),1,0)</f>
        <v>0</v>
      </c>
    </row>
    <row r="116" spans="1:35" x14ac:dyDescent="0.2">
      <c r="A116" s="10"/>
      <c r="B116" s="10"/>
      <c r="C116" s="12"/>
      <c r="D116" s="10"/>
      <c r="E116" s="17"/>
      <c r="F116" s="10"/>
      <c r="G116" s="10"/>
      <c r="H116" s="17"/>
      <c r="I116" s="17"/>
      <c r="J116" s="17"/>
      <c r="K116" s="17"/>
      <c r="L116" s="10"/>
      <c r="M116" s="17"/>
      <c r="N116" s="17"/>
      <c r="O116" s="10"/>
      <c r="P116" s="17"/>
      <c r="Q116" s="17"/>
      <c r="R116" s="10"/>
      <c r="S116" s="21" t="str">
        <f t="shared" si="126"/>
        <v/>
      </c>
      <c r="T116" s="21" t="str">
        <f t="shared" si="127"/>
        <v/>
      </c>
      <c r="U116" s="21" t="str">
        <f t="shared" si="128"/>
        <v/>
      </c>
      <c r="V116" s="21" t="str">
        <f t="shared" si="129"/>
        <v/>
      </c>
      <c r="W116" s="21" t="str">
        <f t="shared" si="130"/>
        <v/>
      </c>
      <c r="X116" s="21" t="str">
        <f t="shared" si="131"/>
        <v/>
      </c>
      <c r="Y116" s="21" t="str">
        <f>IF(AE116=1,"",IF(AG116&lt;&gt;"",AG116&amp;": "&amp;SUBSTITUTE(IFERROR(INDEX(nMSG_Text,MATCH(AG116,nMSG_Code,0)),""),"[input]",AH116),"I_SCENARIO_NOT_CI: "&amp;SUBSTITUTE(IFERROR(INDEX(nMSG_Text,MATCH("I_SCENARIO_NOT_CI",nMSG_Code,0)),""),"[input]","")))</f>
        <v/>
      </c>
      <c r="Z116" s="21" t="str">
        <f t="shared" si="132"/>
        <v/>
      </c>
      <c r="AA116" s="21" t="str">
        <f t="shared" si="133"/>
        <v/>
      </c>
      <c r="AB116" s="21" t="str">
        <f t="shared" si="134"/>
        <v/>
      </c>
      <c r="AC116" s="21" t="str">
        <f t="shared" si="135"/>
        <v/>
      </c>
      <c r="AD116" s="21" t="str">
        <f t="shared" si="136"/>
        <v/>
      </c>
      <c r="AE116" s="22">
        <f t="shared" si="137"/>
        <v>1</v>
      </c>
      <c r="AF116" s="21" t="str">
        <f t="shared" si="138"/>
        <v/>
      </c>
      <c r="AG116" s="21" t="str">
        <f>IF(AE116=1,"",IF(OR(A116="",I116="",J116="",M116="",P116=""),"E_MISSING_INPUT",IF(ISNA(MATCH(I116,nLIST_TimeUnit,0)),"E_INVALID_UNIT",IF(OR(NOT(ISNUMBER(J116)),NOT(ISNUMBER(M116)),NOT(ISNUMBER(P116))),"E_MISSING_INPUT",IF(OR(J116&lt;=0,M116&lt;=0),"E_NONPOSITIVE_PARAMETER",IF(NOT(AND(E116="Yes",F116&lt;&gt;"",G116&lt;&gt;"",H116="Yes")),"E_APPLICABILITY_UNCONFIRMED",IF(OR(K116="",N116="",Q116=""),"E_MISSING_INPUT",IF(J116&gt;M116,"E_REVERSED_BOUNDS",IF(P116&lt;0,"E_OUT_OF_RANGE","")))))))))</f>
        <v/>
      </c>
      <c r="AH116" s="21" t="str">
        <f t="shared" si="139"/>
        <v/>
      </c>
      <c r="AI116" s="22">
        <f t="shared" si="140"/>
        <v>0</v>
      </c>
    </row>
    <row r="117" spans="1:35" x14ac:dyDescent="0.2">
      <c r="A117" s="10"/>
      <c r="B117" s="10"/>
      <c r="C117" s="12"/>
      <c r="D117" s="10"/>
      <c r="E117" s="17"/>
      <c r="F117" s="10"/>
      <c r="G117" s="10"/>
      <c r="H117" s="17"/>
      <c r="I117" s="17"/>
      <c r="J117" s="17"/>
      <c r="K117" s="17"/>
      <c r="L117" s="10"/>
      <c r="M117" s="17"/>
      <c r="N117" s="17"/>
      <c r="O117" s="10"/>
      <c r="P117" s="17"/>
      <c r="Q117" s="17"/>
      <c r="R117" s="10"/>
      <c r="S117" s="21" t="str">
        <f t="shared" si="126"/>
        <v/>
      </c>
      <c r="T117" s="21" t="str">
        <f t="shared" si="127"/>
        <v/>
      </c>
      <c r="U117" s="21" t="str">
        <f t="shared" si="128"/>
        <v/>
      </c>
      <c r="V117" s="21" t="str">
        <f t="shared" si="129"/>
        <v/>
      </c>
      <c r="W117" s="21" t="str">
        <f t="shared" si="130"/>
        <v/>
      </c>
      <c r="X117" s="21" t="str">
        <f t="shared" si="131"/>
        <v/>
      </c>
      <c r="Y117" s="21" t="str">
        <f>IF(AE117=1,"",IF(AG117&lt;&gt;"",AG117&amp;": "&amp;SUBSTITUTE(IFERROR(INDEX(nMSG_Text,MATCH(AG117,nMSG_Code,0)),""),"[input]",AH117),"I_SCENARIO_NOT_CI: "&amp;SUBSTITUTE(IFERROR(INDEX(nMSG_Text,MATCH("I_SCENARIO_NOT_CI",nMSG_Code,0)),""),"[input]","")))</f>
        <v/>
      </c>
      <c r="Z117" s="21" t="str">
        <f t="shared" si="132"/>
        <v/>
      </c>
      <c r="AA117" s="21" t="str">
        <f t="shared" si="133"/>
        <v/>
      </c>
      <c r="AB117" s="21" t="str">
        <f t="shared" si="134"/>
        <v/>
      </c>
      <c r="AC117" s="21" t="str">
        <f t="shared" si="135"/>
        <v/>
      </c>
      <c r="AD117" s="21" t="str">
        <f t="shared" si="136"/>
        <v/>
      </c>
      <c r="AE117" s="22">
        <f t="shared" si="137"/>
        <v>1</v>
      </c>
      <c r="AF117" s="21" t="str">
        <f t="shared" si="138"/>
        <v/>
      </c>
      <c r="AG117" s="21" t="str">
        <f>IF(AE117=1,"",IF(OR(A117="",I117="",J117="",M117="",P117=""),"E_MISSING_INPUT",IF(ISNA(MATCH(I117,nLIST_TimeUnit,0)),"E_INVALID_UNIT",IF(OR(NOT(ISNUMBER(J117)),NOT(ISNUMBER(M117)),NOT(ISNUMBER(P117))),"E_MISSING_INPUT",IF(OR(J117&lt;=0,M117&lt;=0),"E_NONPOSITIVE_PARAMETER",IF(NOT(AND(E117="Yes",F117&lt;&gt;"",G117&lt;&gt;"",H117="Yes")),"E_APPLICABILITY_UNCONFIRMED",IF(OR(K117="",N117="",Q117=""),"E_MISSING_INPUT",IF(J117&gt;M117,"E_REVERSED_BOUNDS",IF(P117&lt;0,"E_OUT_OF_RANGE","")))))))))</f>
        <v/>
      </c>
      <c r="AH117" s="21" t="str">
        <f t="shared" si="139"/>
        <v/>
      </c>
      <c r="AI117" s="22">
        <f t="shared" si="140"/>
        <v>0</v>
      </c>
    </row>
    <row r="118" spans="1:35" x14ac:dyDescent="0.2">
      <c r="A118" s="10"/>
      <c r="B118" s="10"/>
      <c r="C118" s="12"/>
      <c r="D118" s="10"/>
      <c r="E118" s="17"/>
      <c r="F118" s="10"/>
      <c r="G118" s="10"/>
      <c r="H118" s="17"/>
      <c r="I118" s="17"/>
      <c r="J118" s="17"/>
      <c r="K118" s="17"/>
      <c r="L118" s="10"/>
      <c r="M118" s="17"/>
      <c r="N118" s="17"/>
      <c r="O118" s="10"/>
      <c r="P118" s="17"/>
      <c r="Q118" s="17"/>
      <c r="R118" s="10"/>
      <c r="S118" s="21" t="str">
        <f t="shared" si="126"/>
        <v/>
      </c>
      <c r="T118" s="21" t="str">
        <f t="shared" si="127"/>
        <v/>
      </c>
      <c r="U118" s="21" t="str">
        <f t="shared" si="128"/>
        <v/>
      </c>
      <c r="V118" s="21" t="str">
        <f t="shared" si="129"/>
        <v/>
      </c>
      <c r="W118" s="21" t="str">
        <f t="shared" si="130"/>
        <v/>
      </c>
      <c r="X118" s="21" t="str">
        <f t="shared" si="131"/>
        <v/>
      </c>
      <c r="Y118" s="21" t="str">
        <f>IF(AE118=1,"",IF(AG118&lt;&gt;"",AG118&amp;": "&amp;SUBSTITUTE(IFERROR(INDEX(nMSG_Text,MATCH(AG118,nMSG_Code,0)),""),"[input]",AH118),"I_SCENARIO_NOT_CI: "&amp;SUBSTITUTE(IFERROR(INDEX(nMSG_Text,MATCH("I_SCENARIO_NOT_CI",nMSG_Code,0)),""),"[input]","")))</f>
        <v/>
      </c>
      <c r="Z118" s="21" t="str">
        <f t="shared" si="132"/>
        <v/>
      </c>
      <c r="AA118" s="21" t="str">
        <f t="shared" si="133"/>
        <v/>
      </c>
      <c r="AB118" s="21" t="str">
        <f t="shared" si="134"/>
        <v/>
      </c>
      <c r="AC118" s="21" t="str">
        <f t="shared" si="135"/>
        <v/>
      </c>
      <c r="AD118" s="21" t="str">
        <f t="shared" si="136"/>
        <v/>
      </c>
      <c r="AE118" s="22">
        <f t="shared" si="137"/>
        <v>1</v>
      </c>
      <c r="AF118" s="21" t="str">
        <f t="shared" si="138"/>
        <v/>
      </c>
      <c r="AG118" s="21" t="str">
        <f>IF(AE118=1,"",IF(OR(A118="",I118="",J118="",M118="",P118=""),"E_MISSING_INPUT",IF(ISNA(MATCH(I118,nLIST_TimeUnit,0)),"E_INVALID_UNIT",IF(OR(NOT(ISNUMBER(J118)),NOT(ISNUMBER(M118)),NOT(ISNUMBER(P118))),"E_MISSING_INPUT",IF(OR(J118&lt;=0,M118&lt;=0),"E_NONPOSITIVE_PARAMETER",IF(NOT(AND(E118="Yes",F118&lt;&gt;"",G118&lt;&gt;"",H118="Yes")),"E_APPLICABILITY_UNCONFIRMED",IF(OR(K118="",N118="",Q118=""),"E_MISSING_INPUT",IF(J118&gt;M118,"E_REVERSED_BOUNDS",IF(P118&lt;0,"E_OUT_OF_RANGE","")))))))))</f>
        <v/>
      </c>
      <c r="AH118" s="21" t="str">
        <f t="shared" si="139"/>
        <v/>
      </c>
      <c r="AI118" s="22">
        <f t="shared" si="140"/>
        <v>0</v>
      </c>
    </row>
    <row r="119" spans="1:35" x14ac:dyDescent="0.2">
      <c r="A119" s="10"/>
      <c r="B119" s="10"/>
      <c r="C119" s="12"/>
      <c r="D119" s="10"/>
      <c r="E119" s="17"/>
      <c r="F119" s="10"/>
      <c r="G119" s="10"/>
      <c r="H119" s="17"/>
      <c r="I119" s="17"/>
      <c r="J119" s="17"/>
      <c r="K119" s="17"/>
      <c r="L119" s="10"/>
      <c r="M119" s="17"/>
      <c r="N119" s="17"/>
      <c r="O119" s="10"/>
      <c r="P119" s="17"/>
      <c r="Q119" s="17"/>
      <c r="R119" s="10"/>
      <c r="S119" s="21" t="str">
        <f t="shared" si="126"/>
        <v/>
      </c>
      <c r="T119" s="21" t="str">
        <f t="shared" si="127"/>
        <v/>
      </c>
      <c r="U119" s="21" t="str">
        <f t="shared" si="128"/>
        <v/>
      </c>
      <c r="V119" s="21" t="str">
        <f t="shared" si="129"/>
        <v/>
      </c>
      <c r="W119" s="21" t="str">
        <f t="shared" si="130"/>
        <v/>
      </c>
      <c r="X119" s="21" t="str">
        <f t="shared" si="131"/>
        <v/>
      </c>
      <c r="Y119" s="21" t="str">
        <f>IF(AE119=1,"",IF(AG119&lt;&gt;"",AG119&amp;": "&amp;SUBSTITUTE(IFERROR(INDEX(nMSG_Text,MATCH(AG119,nMSG_Code,0)),""),"[input]",AH119),"I_SCENARIO_NOT_CI: "&amp;SUBSTITUTE(IFERROR(INDEX(nMSG_Text,MATCH("I_SCENARIO_NOT_CI",nMSG_Code,0)),""),"[input]","")))</f>
        <v/>
      </c>
      <c r="Z119" s="21" t="str">
        <f t="shared" si="132"/>
        <v/>
      </c>
      <c r="AA119" s="21" t="str">
        <f t="shared" si="133"/>
        <v/>
      </c>
      <c r="AB119" s="21" t="str">
        <f t="shared" si="134"/>
        <v/>
      </c>
      <c r="AC119" s="21" t="str">
        <f t="shared" si="135"/>
        <v/>
      </c>
      <c r="AD119" s="21" t="str">
        <f t="shared" si="136"/>
        <v/>
      </c>
      <c r="AE119" s="22">
        <f t="shared" si="137"/>
        <v>1</v>
      </c>
      <c r="AF119" s="21" t="str">
        <f t="shared" si="138"/>
        <v/>
      </c>
      <c r="AG119" s="21" t="str">
        <f>IF(AE119=1,"",IF(OR(A119="",I119="",J119="",M119="",P119=""),"E_MISSING_INPUT",IF(ISNA(MATCH(I119,nLIST_TimeUnit,0)),"E_INVALID_UNIT",IF(OR(NOT(ISNUMBER(J119)),NOT(ISNUMBER(M119)),NOT(ISNUMBER(P119))),"E_MISSING_INPUT",IF(OR(J119&lt;=0,M119&lt;=0),"E_NONPOSITIVE_PARAMETER",IF(NOT(AND(E119="Yes",F119&lt;&gt;"",G119&lt;&gt;"",H119="Yes")),"E_APPLICABILITY_UNCONFIRMED",IF(OR(K119="",N119="",Q119=""),"E_MISSING_INPUT",IF(J119&gt;M119,"E_REVERSED_BOUNDS",IF(P119&lt;0,"E_OUT_OF_RANGE","")))))))))</f>
        <v/>
      </c>
      <c r="AH119" s="21" t="str">
        <f t="shared" si="139"/>
        <v/>
      </c>
      <c r="AI119" s="22">
        <f t="shared" si="140"/>
        <v>0</v>
      </c>
    </row>
    <row r="120" spans="1:35" x14ac:dyDescent="0.2">
      <c r="A120" s="10"/>
      <c r="B120" s="10"/>
      <c r="C120" s="12"/>
      <c r="D120" s="10"/>
      <c r="E120" s="17"/>
      <c r="F120" s="10"/>
      <c r="G120" s="10"/>
      <c r="H120" s="17"/>
      <c r="I120" s="17"/>
      <c r="J120" s="17"/>
      <c r="K120" s="17"/>
      <c r="L120" s="10"/>
      <c r="M120" s="17"/>
      <c r="N120" s="17"/>
      <c r="O120" s="10"/>
      <c r="P120" s="17"/>
      <c r="Q120" s="17"/>
      <c r="R120" s="10"/>
      <c r="S120" s="21" t="str">
        <f t="shared" si="126"/>
        <v/>
      </c>
      <c r="T120" s="21" t="str">
        <f t="shared" si="127"/>
        <v/>
      </c>
      <c r="U120" s="21" t="str">
        <f t="shared" si="128"/>
        <v/>
      </c>
      <c r="V120" s="21" t="str">
        <f t="shared" si="129"/>
        <v/>
      </c>
      <c r="W120" s="21" t="str">
        <f t="shared" si="130"/>
        <v/>
      </c>
      <c r="X120" s="21" t="str">
        <f t="shared" si="131"/>
        <v/>
      </c>
      <c r="Y120" s="21" t="str">
        <f>IF(AE120=1,"",IF(AG120&lt;&gt;"",AG120&amp;": "&amp;SUBSTITUTE(IFERROR(INDEX(nMSG_Text,MATCH(AG120,nMSG_Code,0)),""),"[input]",AH120),"I_SCENARIO_NOT_CI: "&amp;SUBSTITUTE(IFERROR(INDEX(nMSG_Text,MATCH("I_SCENARIO_NOT_CI",nMSG_Code,0)),""),"[input]","")))</f>
        <v/>
      </c>
      <c r="Z120" s="21" t="str">
        <f t="shared" si="132"/>
        <v/>
      </c>
      <c r="AA120" s="21" t="str">
        <f t="shared" si="133"/>
        <v/>
      </c>
      <c r="AB120" s="21" t="str">
        <f t="shared" si="134"/>
        <v/>
      </c>
      <c r="AC120" s="21" t="str">
        <f t="shared" si="135"/>
        <v/>
      </c>
      <c r="AD120" s="21" t="str">
        <f t="shared" si="136"/>
        <v/>
      </c>
      <c r="AE120" s="22">
        <f t="shared" si="137"/>
        <v>1</v>
      </c>
      <c r="AF120" s="21" t="str">
        <f t="shared" si="138"/>
        <v/>
      </c>
      <c r="AG120" s="21" t="str">
        <f>IF(AE120=1,"",IF(OR(A120="",I120="",J120="",M120="",P120=""),"E_MISSING_INPUT",IF(ISNA(MATCH(I120,nLIST_TimeUnit,0)),"E_INVALID_UNIT",IF(OR(NOT(ISNUMBER(J120)),NOT(ISNUMBER(M120)),NOT(ISNUMBER(P120))),"E_MISSING_INPUT",IF(OR(J120&lt;=0,M120&lt;=0),"E_NONPOSITIVE_PARAMETER",IF(NOT(AND(E120="Yes",F120&lt;&gt;"",G120&lt;&gt;"",H120="Yes")),"E_APPLICABILITY_UNCONFIRMED",IF(OR(K120="",N120="",Q120=""),"E_MISSING_INPUT",IF(J120&gt;M120,"E_REVERSED_BOUNDS",IF(P120&lt;0,"E_OUT_OF_RANGE","")))))))))</f>
        <v/>
      </c>
      <c r="AH120" s="21" t="str">
        <f t="shared" si="139"/>
        <v/>
      </c>
      <c r="AI120" s="22">
        <f t="shared" si="140"/>
        <v>0</v>
      </c>
    </row>
    <row r="121" spans="1:35" x14ac:dyDescent="0.2">
      <c r="A121" s="10"/>
      <c r="B121" s="10"/>
      <c r="C121" s="12"/>
      <c r="D121" s="10"/>
      <c r="E121" s="17"/>
      <c r="F121" s="10"/>
      <c r="G121" s="10"/>
      <c r="H121" s="17"/>
      <c r="I121" s="17"/>
      <c r="J121" s="17"/>
      <c r="K121" s="17"/>
      <c r="L121" s="10"/>
      <c r="M121" s="17"/>
      <c r="N121" s="17"/>
      <c r="O121" s="10"/>
      <c r="P121" s="17"/>
      <c r="Q121" s="17"/>
      <c r="R121" s="10"/>
      <c r="S121" s="21" t="str">
        <f t="shared" si="126"/>
        <v/>
      </c>
      <c r="T121" s="21" t="str">
        <f t="shared" si="127"/>
        <v/>
      </c>
      <c r="U121" s="21" t="str">
        <f t="shared" si="128"/>
        <v/>
      </c>
      <c r="V121" s="21" t="str">
        <f t="shared" si="129"/>
        <v/>
      </c>
      <c r="W121" s="21" t="str">
        <f t="shared" si="130"/>
        <v/>
      </c>
      <c r="X121" s="21" t="str">
        <f t="shared" si="131"/>
        <v/>
      </c>
      <c r="Y121" s="21" t="str">
        <f>IF(AE121=1,"",IF(AG121&lt;&gt;"",AG121&amp;": "&amp;SUBSTITUTE(IFERROR(INDEX(nMSG_Text,MATCH(AG121,nMSG_Code,0)),""),"[input]",AH121),"I_SCENARIO_NOT_CI: "&amp;SUBSTITUTE(IFERROR(INDEX(nMSG_Text,MATCH("I_SCENARIO_NOT_CI",nMSG_Code,0)),""),"[input]","")))</f>
        <v/>
      </c>
      <c r="Z121" s="21" t="str">
        <f t="shared" si="132"/>
        <v/>
      </c>
      <c r="AA121" s="21" t="str">
        <f t="shared" si="133"/>
        <v/>
      </c>
      <c r="AB121" s="21" t="str">
        <f t="shared" si="134"/>
        <v/>
      </c>
      <c r="AC121" s="21" t="str">
        <f t="shared" si="135"/>
        <v/>
      </c>
      <c r="AD121" s="21" t="str">
        <f t="shared" si="136"/>
        <v/>
      </c>
      <c r="AE121" s="22">
        <f t="shared" si="137"/>
        <v>1</v>
      </c>
      <c r="AF121" s="21" t="str">
        <f t="shared" si="138"/>
        <v/>
      </c>
      <c r="AG121" s="21" t="str">
        <f>IF(AE121=1,"",IF(OR(A121="",I121="",J121="",M121="",P121=""),"E_MISSING_INPUT",IF(ISNA(MATCH(I121,nLIST_TimeUnit,0)),"E_INVALID_UNIT",IF(OR(NOT(ISNUMBER(J121)),NOT(ISNUMBER(M121)),NOT(ISNUMBER(P121))),"E_MISSING_INPUT",IF(OR(J121&lt;=0,M121&lt;=0),"E_NONPOSITIVE_PARAMETER",IF(NOT(AND(E121="Yes",F121&lt;&gt;"",G121&lt;&gt;"",H121="Yes")),"E_APPLICABILITY_UNCONFIRMED",IF(OR(K121="",N121="",Q121=""),"E_MISSING_INPUT",IF(J121&gt;M121,"E_REVERSED_BOUNDS",IF(P121&lt;0,"E_OUT_OF_RANGE","")))))))))</f>
        <v/>
      </c>
      <c r="AH121" s="21" t="str">
        <f t="shared" si="139"/>
        <v/>
      </c>
      <c r="AI121" s="22">
        <f t="shared" si="140"/>
        <v>0</v>
      </c>
    </row>
    <row r="122" spans="1:35" x14ac:dyDescent="0.2">
      <c r="A122" s="10"/>
      <c r="B122" s="10"/>
      <c r="C122" s="12"/>
      <c r="D122" s="10"/>
      <c r="E122" s="17"/>
      <c r="F122" s="10"/>
      <c r="G122" s="10"/>
      <c r="H122" s="17"/>
      <c r="I122" s="17"/>
      <c r="J122" s="17"/>
      <c r="K122" s="17"/>
      <c r="L122" s="10"/>
      <c r="M122" s="17"/>
      <c r="N122" s="17"/>
      <c r="O122" s="10"/>
      <c r="P122" s="17"/>
      <c r="Q122" s="17"/>
      <c r="R122" s="10"/>
      <c r="S122" s="21" t="str">
        <f t="shared" si="126"/>
        <v/>
      </c>
      <c r="T122" s="21" t="str">
        <f t="shared" si="127"/>
        <v/>
      </c>
      <c r="U122" s="21" t="str">
        <f t="shared" si="128"/>
        <v/>
      </c>
      <c r="V122" s="21" t="str">
        <f t="shared" si="129"/>
        <v/>
      </c>
      <c r="W122" s="21" t="str">
        <f t="shared" si="130"/>
        <v/>
      </c>
      <c r="X122" s="21" t="str">
        <f t="shared" si="131"/>
        <v/>
      </c>
      <c r="Y122" s="21" t="str">
        <f>IF(AE122=1,"",IF(AG122&lt;&gt;"",AG122&amp;": "&amp;SUBSTITUTE(IFERROR(INDEX(nMSG_Text,MATCH(AG122,nMSG_Code,0)),""),"[input]",AH122),"I_SCENARIO_NOT_CI: "&amp;SUBSTITUTE(IFERROR(INDEX(nMSG_Text,MATCH("I_SCENARIO_NOT_CI",nMSG_Code,0)),""),"[input]","")))</f>
        <v/>
      </c>
      <c r="Z122" s="21" t="str">
        <f t="shared" si="132"/>
        <v/>
      </c>
      <c r="AA122" s="21" t="str">
        <f t="shared" si="133"/>
        <v/>
      </c>
      <c r="AB122" s="21" t="str">
        <f t="shared" si="134"/>
        <v/>
      </c>
      <c r="AC122" s="21" t="str">
        <f t="shared" si="135"/>
        <v/>
      </c>
      <c r="AD122" s="21" t="str">
        <f t="shared" si="136"/>
        <v/>
      </c>
      <c r="AE122" s="22">
        <f t="shared" si="137"/>
        <v>1</v>
      </c>
      <c r="AF122" s="21" t="str">
        <f t="shared" si="138"/>
        <v/>
      </c>
      <c r="AG122" s="21" t="str">
        <f>IF(AE122=1,"",IF(OR(A122="",I122="",J122="",M122="",P122=""),"E_MISSING_INPUT",IF(ISNA(MATCH(I122,nLIST_TimeUnit,0)),"E_INVALID_UNIT",IF(OR(NOT(ISNUMBER(J122)),NOT(ISNUMBER(M122)),NOT(ISNUMBER(P122))),"E_MISSING_INPUT",IF(OR(J122&lt;=0,M122&lt;=0),"E_NONPOSITIVE_PARAMETER",IF(NOT(AND(E122="Yes",F122&lt;&gt;"",G122&lt;&gt;"",H122="Yes")),"E_APPLICABILITY_UNCONFIRMED",IF(OR(K122="",N122="",Q122=""),"E_MISSING_INPUT",IF(J122&gt;M122,"E_REVERSED_BOUNDS",IF(P122&lt;0,"E_OUT_OF_RANGE","")))))))))</f>
        <v/>
      </c>
      <c r="AH122" s="21" t="str">
        <f t="shared" si="139"/>
        <v/>
      </c>
      <c r="AI122" s="22">
        <f t="shared" si="140"/>
        <v>0</v>
      </c>
    </row>
    <row r="123" spans="1:35" x14ac:dyDescent="0.2">
      <c r="A123" s="24" t="s">
        <v>288</v>
      </c>
      <c r="B123" s="23"/>
      <c r="C123" s="23"/>
      <c r="D123" s="23"/>
      <c r="E123" s="23"/>
      <c r="F123" s="23"/>
      <c r="G123" s="23"/>
      <c r="H123" s="23"/>
      <c r="I123" s="23"/>
      <c r="J123" s="23"/>
      <c r="K123" s="23"/>
      <c r="L123" s="23"/>
      <c r="M123" s="23"/>
      <c r="N123" s="23"/>
      <c r="O123" s="23"/>
      <c r="P123" s="23"/>
      <c r="Q123" s="23"/>
      <c r="R123" s="23"/>
      <c r="S123" s="23"/>
      <c r="T123" s="23"/>
      <c r="U123" s="23"/>
      <c r="V123" s="23"/>
      <c r="W123" s="23"/>
      <c r="X123" s="23"/>
      <c r="Y123" s="23"/>
      <c r="Z123" s="23"/>
      <c r="AA123" s="23"/>
      <c r="AB123" s="23"/>
      <c r="AC123" s="23"/>
      <c r="AD123" s="23"/>
      <c r="AE123" s="23"/>
      <c r="AF123" s="23"/>
      <c r="AG123" s="23"/>
      <c r="AH123" s="23"/>
      <c r="AI123" s="23"/>
    </row>
    <row r="124" spans="1:35" x14ac:dyDescent="0.2">
      <c r="A124" s="9" t="s">
        <v>1162</v>
      </c>
      <c r="B124" s="9" t="s">
        <v>295</v>
      </c>
      <c r="C124" s="11">
        <v>2</v>
      </c>
      <c r="D124" s="9" t="s">
        <v>1163</v>
      </c>
      <c r="E124" s="16" t="s">
        <v>83</v>
      </c>
      <c r="F124" s="9" t="s">
        <v>1164</v>
      </c>
      <c r="G124" s="9" t="s">
        <v>1165</v>
      </c>
      <c r="H124" s="16" t="s">
        <v>83</v>
      </c>
      <c r="I124" s="16" t="s">
        <v>66</v>
      </c>
      <c r="J124" s="16">
        <v>1.5</v>
      </c>
      <c r="K124" s="16" t="s">
        <v>77</v>
      </c>
      <c r="L124" s="9" t="s">
        <v>1166</v>
      </c>
      <c r="M124" s="16">
        <v>2</v>
      </c>
      <c r="N124" s="16" t="s">
        <v>77</v>
      </c>
      <c r="O124" s="9" t="s">
        <v>1166</v>
      </c>
      <c r="P124" s="16">
        <v>3</v>
      </c>
      <c r="Q124" s="16" t="s">
        <v>79</v>
      </c>
      <c r="R124" s="9" t="s">
        <v>1167</v>
      </c>
      <c r="S124" s="21" t="str">
        <f t="shared" ref="S124:S127" si="141">IF(AE124=1,"",IF(AG124&lt;&gt;"",AG124&amp;": no result is shown","From "&amp;IF(V124=0,"0",IF(ABS(V124)&lt;0.0001,FIXED(V124/10^INT(LOG10(ABS(V124))),2,TRUE)&amp;" x 10^"&amp;INT(LOG10(ABS(V124))),FIXED(ROUND(V124,2-INT(LOG10(ABS(V124)))),MAX(0,2-INT(LOG10(ABS(V124)))),TRUE)))&amp;"% (t_half "&amp;J124&amp;" "&amp;I124&amp;") to "&amp;IF(W124=0,"0",IF(ABS(W124)&lt;0.0001,FIXED(W124/10^INT(LOG10(ABS(W124))),2,TRUE)&amp;" x 10^"&amp;INT(LOG10(ABS(W124))),FIXED(ROUND(W124,2-INT(LOG10(ABS(W124)))),MAX(0,2-INT(LOG10(ABS(W124)))),TRUE)))&amp;"% (t_half "&amp;M124&amp;" "&amp;I124&amp;") remaining; scenario range, not a confidence interval"))</f>
        <v>From 25.0% (t_half 1.5 days) to 35.4% (t_half 2 days) remaining; scenario range, not a confidence interval</v>
      </c>
      <c r="T124" s="21">
        <f t="shared" ref="T124:T127" si="142">IF(AI124=1,2^(-P124/J124),"")</f>
        <v>0.25</v>
      </c>
      <c r="U124" s="21">
        <f t="shared" ref="U124:U127" si="143">IF(AI124=1,2^(-P124/M124),"")</f>
        <v>0.35355339059327379</v>
      </c>
      <c r="V124" s="21">
        <f t="shared" ref="V124:V127" si="144">IF(AI124=1,100*T124,"")</f>
        <v>25</v>
      </c>
      <c r="W124" s="21">
        <f t="shared" ref="W124:W127" si="145">IF(AI124=1,100*U124,"")</f>
        <v>35.355339059327378</v>
      </c>
      <c r="X124" s="21" t="str">
        <f t="shared" ref="X124:X127" si="146">IF(AE124=1,"",IF(AG124&lt;&gt;"",AG124,"I_SCENARIO_NOT_CI"))</f>
        <v>I_SCENARIO_NOT_CI</v>
      </c>
      <c r="Y124" s="21" t="str">
        <f>IF(AE124=1,"",IF(AG124&lt;&gt;"",AG124&amp;": "&amp;SUBSTITUTE(IFERROR(INDEX(nMSG_Text,MATCH(AG124,nMSG_Code,0)),""),"[input]",AH124),"I_SCENARIO_NOT_CI: "&amp;SUBSTITUTE(IFERROR(INDEX(nMSG_Text,MATCH("I_SCENARIO_NOT_CI",nMSG_Code,0)),""),"[input]","")))</f>
        <v>I_SCENARIO_NOT_CI: Scenario range from assumed parameters, not a confidence interval.</v>
      </c>
      <c r="Z124" s="21" t="str">
        <f t="shared" ref="Z124:Z127" si="147">IF(AE124=1,"","t_half_lower = "&amp;J124&amp;" "&amp;I124&amp;" ["&amp;IF(K124="","status not recorded",K124)&amp;IF(L124&lt;&gt;"","; "&amp;L124,"")&amp;"]"&amp;"; "&amp;"t_half_upper = "&amp;M124&amp;" "&amp;I124&amp;" ["&amp;IF(N124="","status not recorded",N124)&amp;IF(O124&lt;&gt;"","; "&amp;O124,"")&amp;"]"&amp;"; "&amp;"t = "&amp;P124&amp;" "&amp;I124&amp;" ["&amp;IF(Q124="","status not recorded",Q124)&amp;IF(R124&lt;&gt;"","; "&amp;R124,"")&amp;"]")</f>
        <v>t_half_lower = 1.5 days [label fact; LANOXIN US 12.3]; t_half_upper = 2 days [label fact; LANOXIN US 12.3]; t = 3 days [case measurement; Intervals I06 (5 to 8 July)]</v>
      </c>
      <c r="AA124" s="21" t="str">
        <f t="shared" ref="AA124:AA127" si="148">IF(AE124=1,"","Model: "&amp;IF(E124="Yes","confirmed","not confirmed")&amp;". Parameter used: "&amp;IF(F124="","not stated",F124)&amp;". Reference time: "&amp;IF(G124="","not stated",G124)&amp;". Parameter_Status: "&amp;IF(H124="Yes","confirmed","not confirmed")&amp;".")</f>
        <v>Model: confirmed. Parameter used: Terminal elimination half-life 1.5-2 days, healthy volunteers with normal renal function [LANOXIN US 12.3]; not the patient's population. Reference time: Concentration when digoxin was withheld on 5 July 2026; no further doses; t = 3 days to the improvement on 8 July. Parameter_Status: confirmed.</v>
      </c>
      <c r="AB124" s="21" t="str">
        <f t="shared" ref="AB124:AB127" si="149">IF(AE124=1,"","Assumption-based scenario range, not a confidence interval.")</f>
        <v>Assumption-based scenario range, not a confidence interval.</v>
      </c>
      <c r="AC124" s="21" t="str">
        <f t="shared" ref="AC124:AC127" si="150">IF(AE124=1,"","Q1 evaluated at each half-life bound; no midpoint or average is calculated")</f>
        <v>Q1 evaluated at each half-life bound; no midpoint or average is calculated</v>
      </c>
      <c r="AD124" s="21" t="str">
        <f t="shared" ref="AD124:AD127" si="151">IF(AE124=1,"","CALC-SPEC 1.0")</f>
        <v>CALC-SPEC 1.0</v>
      </c>
      <c r="AE124" s="22">
        <f t="shared" ref="AE124:AE127" si="152">IF(AND(A124="",J124="",P124=""),1,0)</f>
        <v>0</v>
      </c>
      <c r="AF124" s="21" t="str">
        <f t="shared" ref="AF124:AF127" si="153">IF(A124="","",B124&amp;"|"&amp;C124&amp;"|"&amp;A124)</f>
        <v>EX-C04|2|Q8-C04-normal</v>
      </c>
      <c r="AG124" s="21" t="str">
        <f>IF(AE124=1,"",IF(OR(A124="",I124="",J124="",M124="",P124=""),"E_MISSING_INPUT",IF(ISNA(MATCH(I124,nLIST_TimeUnit,0)),"E_INVALID_UNIT",IF(OR(NOT(ISNUMBER(J124)),NOT(ISNUMBER(M124)),NOT(ISNUMBER(P124))),"E_MISSING_INPUT",IF(OR(J124&lt;=0,M124&lt;=0),"E_NONPOSITIVE_PARAMETER",IF(NOT(AND(E124="Yes",F124&lt;&gt;"",G124&lt;&gt;"",H124="Yes")),"E_APPLICABILITY_UNCONFIRMED",IF(OR(K124="",N124="",Q124=""),"E_MISSING_INPUT",IF(J124&gt;M124,"E_REVERSED_BOUNDS",IF(P124&lt;0,"E_OUT_OF_RANGE","")))))))))</f>
        <v/>
      </c>
      <c r="AH124" s="21" t="str">
        <f t="shared" ref="AH124:AH127" si="154">IF(AG124&lt;&gt;"E_MISSING_INPUT","",IF(A124="","a Calc_ID",IF(I124="","a time unit",IF(NOT(ISNUMBER(J124)),"a numeric lower t_half",IF(NOT(ISNUMBER(M124)),"a numeric upper t_half",IF(NOT(ISNUMBER(P124)),"a numeric t","the Parameter_Status of each input"))))))</f>
        <v/>
      </c>
      <c r="AI124" s="22">
        <f t="shared" ref="AI124:AI127" si="155">IF(AND(AE124=0,AG124=""),1,0)</f>
        <v>1</v>
      </c>
    </row>
    <row r="125" spans="1:35" x14ac:dyDescent="0.2">
      <c r="A125" s="9" t="s">
        <v>1168</v>
      </c>
      <c r="B125" s="9" t="s">
        <v>295</v>
      </c>
      <c r="C125" s="11">
        <v>2</v>
      </c>
      <c r="D125" s="9" t="s">
        <v>1169</v>
      </c>
      <c r="E125" s="16" t="s">
        <v>83</v>
      </c>
      <c r="F125" s="9" t="s">
        <v>1170</v>
      </c>
      <c r="G125" s="9" t="s">
        <v>1165</v>
      </c>
      <c r="H125" s="16" t="s">
        <v>83</v>
      </c>
      <c r="I125" s="16" t="s">
        <v>66</v>
      </c>
      <c r="J125" s="16">
        <v>3.5</v>
      </c>
      <c r="K125" s="16" t="s">
        <v>77</v>
      </c>
      <c r="L125" s="9" t="s">
        <v>1166</v>
      </c>
      <c r="M125" s="16">
        <v>5</v>
      </c>
      <c r="N125" s="16" t="s">
        <v>77</v>
      </c>
      <c r="O125" s="9" t="s">
        <v>1166</v>
      </c>
      <c r="P125" s="16">
        <v>3</v>
      </c>
      <c r="Q125" s="16" t="s">
        <v>79</v>
      </c>
      <c r="R125" s="9" t="s">
        <v>1167</v>
      </c>
      <c r="S125" s="21" t="str">
        <f t="shared" si="141"/>
        <v>From 55.2% (t_half 3.5 days) to 66.0% (t_half 5 days) remaining; scenario range, not a confidence interval</v>
      </c>
      <c r="T125" s="21">
        <f t="shared" si="142"/>
        <v>0.55204475683690624</v>
      </c>
      <c r="U125" s="21">
        <f t="shared" si="143"/>
        <v>0.65975395538644721</v>
      </c>
      <c r="V125" s="21">
        <f t="shared" si="144"/>
        <v>55.204475683690625</v>
      </c>
      <c r="W125" s="21">
        <f t="shared" si="145"/>
        <v>65.975395538644719</v>
      </c>
      <c r="X125" s="21" t="str">
        <f t="shared" si="146"/>
        <v>I_SCENARIO_NOT_CI</v>
      </c>
      <c r="Y125" s="21" t="str">
        <f>IF(AE125=1,"",IF(AG125&lt;&gt;"",AG125&amp;": "&amp;SUBSTITUTE(IFERROR(INDEX(nMSG_Text,MATCH(AG125,nMSG_Code,0)),""),"[input]",AH125),"I_SCENARIO_NOT_CI: "&amp;SUBSTITUTE(IFERROR(INDEX(nMSG_Text,MATCH("I_SCENARIO_NOT_CI",nMSG_Code,0)),""),"[input]","")))</f>
        <v>I_SCENARIO_NOT_CI: Scenario range from assumed parameters, not a confidence interval.</v>
      </c>
      <c r="Z125" s="21" t="str">
        <f t="shared" si="147"/>
        <v>t_half_lower = 3.5 days [label fact; LANOXIN US 12.3]; t_half_upper = 5 days [label fact; LANOXIN US 12.3]; t = 3 days [case measurement; Intervals I06 (5 to 8 July)]</v>
      </c>
      <c r="AA125" s="21" t="str">
        <f t="shared" si="148"/>
        <v>Model: confirmed. Parameter used: Terminal elimination half-life 3.5-5 days, anuric patients [LANOXIN US 12.3]; not the patient's population. Reference time: Concentration when digoxin was withheld on 5 July 2026; no further doses; t = 3 days to the improvement on 8 July. Parameter_Status: confirmed.</v>
      </c>
      <c r="AB125" s="21" t="str">
        <f t="shared" si="149"/>
        <v>Assumption-based scenario range, not a confidence interval.</v>
      </c>
      <c r="AC125" s="21" t="str">
        <f t="shared" si="150"/>
        <v>Q1 evaluated at each half-life bound; no midpoint or average is calculated</v>
      </c>
      <c r="AD125" s="21" t="str">
        <f t="shared" si="151"/>
        <v>CALC-SPEC 1.0</v>
      </c>
      <c r="AE125" s="22">
        <f t="shared" si="152"/>
        <v>0</v>
      </c>
      <c r="AF125" s="21" t="str">
        <f t="shared" si="153"/>
        <v>EX-C04|2|Q8-C04-anuric</v>
      </c>
      <c r="AG125" s="21" t="str">
        <f>IF(AE125=1,"",IF(OR(A125="",I125="",J125="",M125="",P125=""),"E_MISSING_INPUT",IF(ISNA(MATCH(I125,nLIST_TimeUnit,0)),"E_INVALID_UNIT",IF(OR(NOT(ISNUMBER(J125)),NOT(ISNUMBER(M125)),NOT(ISNUMBER(P125))),"E_MISSING_INPUT",IF(OR(J125&lt;=0,M125&lt;=0),"E_NONPOSITIVE_PARAMETER",IF(NOT(AND(E125="Yes",F125&lt;&gt;"",G125&lt;&gt;"",H125="Yes")),"E_APPLICABILITY_UNCONFIRMED",IF(OR(K125="",N125="",Q125=""),"E_MISSING_INPUT",IF(J125&gt;M125,"E_REVERSED_BOUNDS",IF(P125&lt;0,"E_OUT_OF_RANGE","")))))))))</f>
        <v/>
      </c>
      <c r="AH125" s="21" t="str">
        <f t="shared" si="154"/>
        <v/>
      </c>
      <c r="AI125" s="22">
        <f t="shared" si="155"/>
        <v>1</v>
      </c>
    </row>
    <row r="126" spans="1:35" x14ac:dyDescent="0.2">
      <c r="A126" s="9" t="s">
        <v>1171</v>
      </c>
      <c r="B126" s="9" t="s">
        <v>299</v>
      </c>
      <c r="C126" s="11">
        <v>2</v>
      </c>
      <c r="D126" s="9" t="s">
        <v>1172</v>
      </c>
      <c r="E126" s="16" t="s">
        <v>83</v>
      </c>
      <c r="F126" s="9" t="s">
        <v>1140</v>
      </c>
      <c r="G126" s="9" t="s">
        <v>1141</v>
      </c>
      <c r="H126" s="16" t="s">
        <v>83</v>
      </c>
      <c r="I126" s="16" t="s">
        <v>66</v>
      </c>
      <c r="J126" s="16">
        <v>6.1</v>
      </c>
      <c r="K126" s="16" t="s">
        <v>77</v>
      </c>
      <c r="L126" s="9" t="s">
        <v>1173</v>
      </c>
      <c r="M126" s="16">
        <v>52</v>
      </c>
      <c r="N126" s="16" t="s">
        <v>77</v>
      </c>
      <c r="O126" s="9" t="s">
        <v>1173</v>
      </c>
      <c r="P126" s="16">
        <v>435</v>
      </c>
      <c r="Q126" s="16" t="s">
        <v>79</v>
      </c>
      <c r="R126" s="9" t="s">
        <v>1143</v>
      </c>
      <c r="S126" s="21" t="str">
        <f t="shared" si="141"/>
        <v>From 3.41 x 10^-20% (t_half 6.1 days) to 0.303% (t_half 52 days) remaining; scenario range, not a confidence interval</v>
      </c>
      <c r="T126" s="21">
        <f t="shared" si="142"/>
        <v>3.4127687908932027E-22</v>
      </c>
      <c r="U126" s="21">
        <f t="shared" si="143"/>
        <v>3.0322730461636491E-3</v>
      </c>
      <c r="V126" s="21">
        <f t="shared" si="144"/>
        <v>3.4127687908932026E-20</v>
      </c>
      <c r="W126" s="21">
        <f t="shared" si="145"/>
        <v>0.30322730461636493</v>
      </c>
      <c r="X126" s="21" t="str">
        <f t="shared" si="146"/>
        <v>I_SCENARIO_NOT_CI</v>
      </c>
      <c r="Y126" s="21" t="str">
        <f>IF(AE126=1,"",IF(AG126&lt;&gt;"",AG126&amp;": "&amp;SUBSTITUTE(IFERROR(INDEX(nMSG_Text,MATCH(AG126,nMSG_Code,0)),""),"[input]",AH126),"I_SCENARIO_NOT_CI: "&amp;SUBSTITUTE(IFERROR(INDEX(nMSG_Text,MATCH("I_SCENARIO_NOT_CI",nMSG_Code,0)),""),"[input]","")))</f>
        <v>I_SCENARIO_NOT_CI: Scenario range from assumed parameters, not a confidence interval.</v>
      </c>
      <c r="Z126" s="21" t="str">
        <f t="shared" si="147"/>
        <v>t_half_lower = 6.1 days [label fact; RITUXAN US 12.3 (NHL range)]; t_half_upper = 52 days [label fact; RITUXAN US 12.3 (NHL range)]; t = 435 days [case measurement; Intervals I01]</v>
      </c>
      <c r="AA126" s="21" t="str">
        <f t="shared" si="148"/>
        <v>Model: confirmed. Parameter used: Rituximab terminal half-life, NHL patients, median 22 days (range 6.1-52) [RITUXAN US 12.3]; label fact for a population, not this patient. Reference time: Post-infusion concentration after the last infusion (3 March 2025). Parameter_Status: confirmed.</v>
      </c>
      <c r="AB126" s="21" t="str">
        <f t="shared" si="149"/>
        <v>Assumption-based scenario range, not a confidence interval.</v>
      </c>
      <c r="AC126" s="21" t="str">
        <f t="shared" si="150"/>
        <v>Q1 evaluated at each half-life bound; no midpoint or average is calculated</v>
      </c>
      <c r="AD126" s="21" t="str">
        <f t="shared" si="151"/>
        <v>CALC-SPEC 1.0</v>
      </c>
      <c r="AE126" s="22">
        <f t="shared" si="152"/>
        <v>0</v>
      </c>
      <c r="AF126" s="21" t="str">
        <f t="shared" si="153"/>
        <v>EX-C28|2|Q8-C28-435</v>
      </c>
      <c r="AG126" s="21" t="str">
        <f>IF(AE126=1,"",IF(OR(A126="",I126="",J126="",M126="",P126=""),"E_MISSING_INPUT",IF(ISNA(MATCH(I126,nLIST_TimeUnit,0)),"E_INVALID_UNIT",IF(OR(NOT(ISNUMBER(J126)),NOT(ISNUMBER(M126)),NOT(ISNUMBER(P126))),"E_MISSING_INPUT",IF(OR(J126&lt;=0,M126&lt;=0),"E_NONPOSITIVE_PARAMETER",IF(NOT(AND(E126="Yes",F126&lt;&gt;"",G126&lt;&gt;"",H126="Yes")),"E_APPLICABILITY_UNCONFIRMED",IF(OR(K126="",N126="",Q126=""),"E_MISSING_INPUT",IF(J126&gt;M126,"E_REVERSED_BOUNDS",IF(P126&lt;0,"E_OUT_OF_RANGE","")))))))))</f>
        <v/>
      </c>
      <c r="AH126" s="21" t="str">
        <f t="shared" si="154"/>
        <v/>
      </c>
      <c r="AI126" s="22">
        <f t="shared" si="155"/>
        <v>1</v>
      </c>
    </row>
    <row r="127" spans="1:35" x14ac:dyDescent="0.2">
      <c r="A127" s="9" t="s">
        <v>1174</v>
      </c>
      <c r="B127" s="9" t="s">
        <v>299</v>
      </c>
      <c r="C127" s="11">
        <v>2</v>
      </c>
      <c r="D127" s="9" t="s">
        <v>1175</v>
      </c>
      <c r="E127" s="16" t="s">
        <v>83</v>
      </c>
      <c r="F127" s="9" t="s">
        <v>1140</v>
      </c>
      <c r="G127" s="9" t="s">
        <v>1141</v>
      </c>
      <c r="H127" s="16" t="s">
        <v>83</v>
      </c>
      <c r="I127" s="16" t="s">
        <v>66</v>
      </c>
      <c r="J127" s="16">
        <v>6.1</v>
      </c>
      <c r="K127" s="16" t="s">
        <v>77</v>
      </c>
      <c r="L127" s="9" t="s">
        <v>1173</v>
      </c>
      <c r="M127" s="16">
        <v>52</v>
      </c>
      <c r="N127" s="16" t="s">
        <v>77</v>
      </c>
      <c r="O127" s="9" t="s">
        <v>1173</v>
      </c>
      <c r="P127" s="16">
        <v>343</v>
      </c>
      <c r="Q127" s="16" t="s">
        <v>79</v>
      </c>
      <c r="R127" s="9" t="s">
        <v>1146</v>
      </c>
      <c r="S127" s="21" t="str">
        <f t="shared" si="141"/>
        <v>From 1.18 x 10^-15% (t_half 6.1 days) to 1.03% (t_half 52 days) remaining; scenario range, not a confidence interval</v>
      </c>
      <c r="T127" s="21">
        <f t="shared" si="142"/>
        <v>1.1836720461790147E-17</v>
      </c>
      <c r="U127" s="21">
        <f t="shared" si="143"/>
        <v>1.0336174586237675E-2</v>
      </c>
      <c r="V127" s="21">
        <f t="shared" si="144"/>
        <v>1.1836720461790147E-15</v>
      </c>
      <c r="W127" s="21">
        <f t="shared" si="145"/>
        <v>1.0336174586237674</v>
      </c>
      <c r="X127" s="21" t="str">
        <f t="shared" si="146"/>
        <v>I_SCENARIO_NOT_CI</v>
      </c>
      <c r="Y127" s="21" t="str">
        <f>IF(AE127=1,"",IF(AG127&lt;&gt;"",AG127&amp;": "&amp;SUBSTITUTE(IFERROR(INDEX(nMSG_Text,MATCH(AG127,nMSG_Code,0)),""),"[input]",AH127),"I_SCENARIO_NOT_CI: "&amp;SUBSTITUTE(IFERROR(INDEX(nMSG_Text,MATCH("I_SCENARIO_NOT_CI",nMSG_Code,0)),""),"[input]","")))</f>
        <v>I_SCENARIO_NOT_CI: Scenario range from assumed parameters, not a confidence interval.</v>
      </c>
      <c r="Z127" s="21" t="str">
        <f t="shared" si="147"/>
        <v>t_half_lower = 6.1 days [label fact; RITUXAN US 12.3 (NHL range)]; t_half_upper = 52 days [label fact; RITUXAN US 12.3 (NHL range)]; t = 343 days [case measurement; Intervals I02 (minimum)]</v>
      </c>
      <c r="AA127" s="21" t="str">
        <f t="shared" si="148"/>
        <v>Model: confirmed. Parameter used: Rituximab terminal half-life, NHL patients, median 22 days (range 6.1-52) [RITUXAN US 12.3]; label fact for a population, not this patient. Reference time: Post-infusion concentration after the last infusion (3 March 2025). Parameter_Status: confirmed.</v>
      </c>
      <c r="AB127" s="21" t="str">
        <f t="shared" si="149"/>
        <v>Assumption-based scenario range, not a confidence interval.</v>
      </c>
      <c r="AC127" s="21" t="str">
        <f t="shared" si="150"/>
        <v>Q1 evaluated at each half-life bound; no midpoint or average is calculated</v>
      </c>
      <c r="AD127" s="21" t="str">
        <f t="shared" si="151"/>
        <v>CALC-SPEC 1.0</v>
      </c>
      <c r="AE127" s="22">
        <f t="shared" si="152"/>
        <v>0</v>
      </c>
      <c r="AF127" s="21" t="str">
        <f t="shared" si="153"/>
        <v>EX-C28|2|Q8-C28-343</v>
      </c>
      <c r="AG127" s="21" t="str">
        <f>IF(AE127=1,"",IF(OR(A127="",I127="",J127="",M127="",P127=""),"E_MISSING_INPUT",IF(ISNA(MATCH(I127,nLIST_TimeUnit,0)),"E_INVALID_UNIT",IF(OR(NOT(ISNUMBER(J127)),NOT(ISNUMBER(M127)),NOT(ISNUMBER(P127))),"E_MISSING_INPUT",IF(OR(J127&lt;=0,M127&lt;=0),"E_NONPOSITIVE_PARAMETER",IF(NOT(AND(E127="Yes",F127&lt;&gt;"",G127&lt;&gt;"",H127="Yes")),"E_APPLICABILITY_UNCONFIRMED",IF(OR(K127="",N127="",Q127=""),"E_MISSING_INPUT",IF(J127&gt;M127,"E_REVERSED_BOUNDS",IF(P127&lt;0,"E_OUT_OF_RANGE","")))))))))</f>
        <v/>
      </c>
      <c r="AH127" s="21" t="str">
        <f t="shared" si="154"/>
        <v/>
      </c>
      <c r="AI127" s="22">
        <f t="shared" si="155"/>
        <v>1</v>
      </c>
    </row>
    <row r="128" spans="1:35" x14ac:dyDescent="0.2">
      <c r="A128" s="24" t="s">
        <v>289</v>
      </c>
      <c r="B128" s="23"/>
      <c r="C128" s="23"/>
      <c r="D128" s="23"/>
      <c r="E128" s="23"/>
      <c r="F128" s="23"/>
      <c r="G128" s="23"/>
      <c r="H128" s="23"/>
      <c r="I128" s="23"/>
      <c r="J128" s="23"/>
      <c r="K128" s="23"/>
      <c r="L128" s="23"/>
      <c r="M128" s="23"/>
      <c r="N128" s="23"/>
      <c r="O128" s="23"/>
      <c r="P128" s="23"/>
      <c r="Q128" s="23"/>
      <c r="R128" s="23"/>
      <c r="S128" s="23"/>
      <c r="T128" s="23"/>
      <c r="U128" s="23"/>
      <c r="V128" s="23"/>
      <c r="W128" s="23"/>
      <c r="X128" s="23"/>
      <c r="Y128" s="23"/>
      <c r="Z128" s="23"/>
      <c r="AA128" s="23"/>
      <c r="AB128" s="23"/>
      <c r="AC128" s="23"/>
      <c r="AD128" s="23"/>
      <c r="AE128" s="23"/>
      <c r="AF128" s="23"/>
      <c r="AG128" s="23"/>
      <c r="AH128" s="23"/>
      <c r="AI128" s="23"/>
    </row>
    <row r="129" spans="1:36" x14ac:dyDescent="0.2">
      <c r="A129" s="9" t="s">
        <v>1176</v>
      </c>
      <c r="B129" s="9" t="s">
        <v>347</v>
      </c>
      <c r="C129" s="11">
        <v>1</v>
      </c>
      <c r="D129" s="9" t="s">
        <v>1177</v>
      </c>
      <c r="E129" s="16" t="s">
        <v>83</v>
      </c>
      <c r="F129" s="9" t="s">
        <v>1058</v>
      </c>
      <c r="G129" s="9" t="s">
        <v>1059</v>
      </c>
      <c r="H129" s="16" t="s">
        <v>83</v>
      </c>
      <c r="I129" s="16" t="s">
        <v>65</v>
      </c>
      <c r="J129" s="16">
        <v>18</v>
      </c>
      <c r="K129" s="16" t="s">
        <v>81</v>
      </c>
      <c r="L129" s="9" t="s">
        <v>1178</v>
      </c>
      <c r="M129" s="16">
        <v>36</v>
      </c>
      <c r="N129" s="16" t="s">
        <v>81</v>
      </c>
      <c r="O129" s="9" t="s">
        <v>1178</v>
      </c>
      <c r="P129" s="16">
        <v>72</v>
      </c>
      <c r="Q129" s="16" t="s">
        <v>81</v>
      </c>
      <c r="R129" s="9" t="s">
        <v>1178</v>
      </c>
      <c r="S129" s="21" t="str">
        <f>IF(AE129=1,"",IF(AG129&lt;&gt;"",AG129&amp;": no result is shown","From "&amp;IF(V129=0,"0",IF(ABS(V129)&lt;0.0001,FIXED(V129/10^INT(LOG10(ABS(V129))),2,TRUE)&amp;" x 10^"&amp;INT(LOG10(ABS(V129))),FIXED(ROUND(V129,2-INT(LOG10(ABS(V129)))),MAX(0,2-INT(LOG10(ABS(V129)))),TRUE)))&amp;"% (t_half "&amp;J129&amp;" "&amp;I129&amp;") to "&amp;IF(W129=0,"0",IF(ABS(W129)&lt;0.0001,FIXED(W129/10^INT(LOG10(ABS(W129))),2,TRUE)&amp;" x 10^"&amp;INT(LOG10(ABS(W129))),FIXED(ROUND(W129,2-INT(LOG10(ABS(W129)))),MAX(0,2-INT(LOG10(ABS(W129)))),TRUE)))&amp;"% (t_half "&amp;M129&amp;" "&amp;I129&amp;") remaining; scenario range, not a confidence interval"))</f>
        <v>From 6.25% (t_half 18 hours) to 25.0% (t_half 36 hours) remaining; scenario range, not a confidence interval</v>
      </c>
      <c r="T129" s="21">
        <f>IF(AI129=1,2^(-P129/J129),"")</f>
        <v>6.25E-2</v>
      </c>
      <c r="U129" s="21">
        <f>IF(AI129=1,2^(-P129/M129),"")</f>
        <v>0.25</v>
      </c>
      <c r="V129" s="21">
        <f>IF(AI129=1,100*T129,"")</f>
        <v>6.25</v>
      </c>
      <c r="W129" s="21">
        <f>IF(AI129=1,100*U129,"")</f>
        <v>25</v>
      </c>
      <c r="X129" s="21" t="str">
        <f>IF(AE129=1,"",IF(AG129&lt;&gt;"",AG129,"I_SCENARIO_NOT_CI"))</f>
        <v>I_SCENARIO_NOT_CI</v>
      </c>
      <c r="Y129" s="21" t="str">
        <f>IF(AE129=1,"",IF(AG129&lt;&gt;"",AG129&amp;": "&amp;SUBSTITUTE(IFERROR(INDEX(nMSG_Text,MATCH(AG129,nMSG_Code,0)),""),"[input]",AH129),"I_SCENARIO_NOT_CI: "&amp;SUBSTITUTE(IFERROR(INDEX(nMSG_Text,MATCH("I_SCENARIO_NOT_CI",nMSG_Code,0)),""),"[input]","")))</f>
        <v>I_SCENARIO_NOT_CI: Scenario range from assumed parameters, not a confidence interval.</v>
      </c>
      <c r="Z129" s="21" t="str">
        <f>IF(AE129=1,"","t_half_lower = "&amp;J129&amp;" "&amp;I129&amp;" ["&amp;IF(K129="","status not recorded",K129)&amp;IF(L129&lt;&gt;"","; "&amp;L129,"")&amp;"]"&amp;"; "&amp;"t_half_upper = "&amp;M129&amp;" "&amp;I129&amp;" ["&amp;IF(N129="","status not recorded",N129)&amp;IF(O129&lt;&gt;"","; "&amp;O129,"")&amp;"]"&amp;"; "&amp;"t = "&amp;P129&amp;" "&amp;I129&amp;" ["&amp;IF(Q129="","status not recorded",Q129)&amp;IF(R129&lt;&gt;"","; "&amp;R129,"")&amp;"]")</f>
        <v>t_half_lower = 18 hours [hypothetical example; V15 V23]; t_half_upper = 36 hours [hypothetical example; V15 V23]; t = 72 hours [hypothetical example; V15 V23]</v>
      </c>
      <c r="AA129" s="21" t="str">
        <f>IF(AE129=1,"","Model: "&amp;IF(E129="Yes","confirmed","not confirmed")&amp;". Parameter used: "&amp;IF(F129="","not stated",F129)&amp;". Reference time: "&amp;IF(G129="","not stated",G129)&amp;". Parameter_Status: "&amp;IF(H129="Yes","confirmed","not confirmed")&amp;".")</f>
        <v>Model: confirmed. Parameter used: Hypothetical teaching value from the vector file. Reference time: Reference amount at time zero. Parameter_Status: confirmed.</v>
      </c>
      <c r="AB129" s="21" t="str">
        <f>IF(AE129=1,"","Assumption-based scenario range, not a confidence interval.")</f>
        <v>Assumption-based scenario range, not a confidence interval.</v>
      </c>
      <c r="AC129" s="21" t="str">
        <f>IF(AE129=1,"","Q1 evaluated at each half-life bound; no midpoint or average is calculated")</f>
        <v>Q1 evaluated at each half-life bound; no midpoint or average is calculated</v>
      </c>
      <c r="AD129" s="21" t="str">
        <f>IF(AE129=1,"","CALC-SPEC 1.0")</f>
        <v>CALC-SPEC 1.0</v>
      </c>
      <c r="AE129" s="22">
        <f>IF(AND(A129="",J129="",P129=""),1,0)</f>
        <v>0</v>
      </c>
      <c r="AF129" s="21" t="str">
        <f>IF(A129="","",B129&amp;"|"&amp;C129&amp;"|"&amp;A129)</f>
        <v>VEC-V23|1|Q8-V23</v>
      </c>
      <c r="AG129" s="21" t="str">
        <f>IF(AE129=1,"",IF(OR(A129="",I129="",J129="",M129="",P129=""),"E_MISSING_INPUT",IF(ISNA(MATCH(I129,nLIST_TimeUnit,0)),"E_INVALID_UNIT",IF(OR(NOT(ISNUMBER(J129)),NOT(ISNUMBER(M129)),NOT(ISNUMBER(P129))),"E_MISSING_INPUT",IF(OR(J129&lt;=0,M129&lt;=0),"E_NONPOSITIVE_PARAMETER",IF(NOT(AND(E129="Yes",F129&lt;&gt;"",G129&lt;&gt;"",H129="Yes")),"E_APPLICABILITY_UNCONFIRMED",IF(OR(K129="",N129="",Q129=""),"E_MISSING_INPUT",IF(J129&gt;M129,"E_REVERSED_BOUNDS",IF(P129&lt;0,"E_OUT_OF_RANGE","")))))))))</f>
        <v/>
      </c>
      <c r="AH129" s="21" t="str">
        <f>IF(AG129&lt;&gt;"E_MISSING_INPUT","",IF(A129="","a Calc_ID",IF(I129="","a time unit",IF(NOT(ISNUMBER(J129)),"a numeric lower t_half",IF(NOT(ISNUMBER(M129)),"a numeric upper t_half",IF(NOT(ISNUMBER(P129)),"a numeric t","the Parameter_Status of each input"))))))</f>
        <v/>
      </c>
      <c r="AI129" s="22">
        <f>IF(AND(AE129=0,AG129=""),1,0)</f>
        <v>1</v>
      </c>
    </row>
    <row r="132" spans="1:36" ht="17.25" x14ac:dyDescent="0.3">
      <c r="A132" s="6" t="s">
        <v>1179</v>
      </c>
    </row>
    <row r="133" spans="1:36" x14ac:dyDescent="0.2">
      <c r="A133" s="7" t="s">
        <v>1023</v>
      </c>
    </row>
    <row r="134" spans="1:36" x14ac:dyDescent="0.2">
      <c r="A134" s="2" t="s">
        <v>1024</v>
      </c>
      <c r="E134" s="2" t="s">
        <v>1180</v>
      </c>
      <c r="J134" s="2" t="s">
        <v>1040</v>
      </c>
      <c r="U134" s="2" t="s">
        <v>1052</v>
      </c>
    </row>
    <row r="135" spans="1:36" ht="66" customHeight="1" x14ac:dyDescent="0.2">
      <c r="A135" s="8" t="s">
        <v>1025</v>
      </c>
      <c r="B135" s="8" t="s">
        <v>274</v>
      </c>
      <c r="C135" s="8" t="s">
        <v>275</v>
      </c>
      <c r="D135" s="8" t="s">
        <v>1026</v>
      </c>
      <c r="E135" s="8" t="s">
        <v>1181</v>
      </c>
      <c r="F135" s="8" t="s">
        <v>1182</v>
      </c>
      <c r="G135" s="8" t="s">
        <v>1183</v>
      </c>
      <c r="H135" s="8" t="s">
        <v>1184</v>
      </c>
      <c r="I135" s="8" t="s">
        <v>1185</v>
      </c>
      <c r="J135" s="19" t="s">
        <v>1186</v>
      </c>
      <c r="K135" s="19" t="s">
        <v>1187</v>
      </c>
      <c r="L135" s="19" t="s">
        <v>1188</v>
      </c>
      <c r="M135" s="19" t="s">
        <v>1189</v>
      </c>
      <c r="N135" s="19" t="s">
        <v>1190</v>
      </c>
      <c r="O135" s="19" t="s">
        <v>1046</v>
      </c>
      <c r="P135" s="19" t="s">
        <v>1047</v>
      </c>
      <c r="Q135" s="19" t="s">
        <v>1048</v>
      </c>
      <c r="R135" s="19" t="s">
        <v>1050</v>
      </c>
      <c r="S135" s="19" t="s">
        <v>1051</v>
      </c>
      <c r="T135" s="19" t="s">
        <v>895</v>
      </c>
      <c r="U135" s="19" t="s">
        <v>897</v>
      </c>
      <c r="V135" s="19" t="s">
        <v>1053</v>
      </c>
      <c r="W135" s="19" t="s">
        <v>1191</v>
      </c>
      <c r="X135" s="19" t="s">
        <v>1192</v>
      </c>
      <c r="Y135" s="19" t="s">
        <v>1193</v>
      </c>
      <c r="Z135" s="19" t="s">
        <v>1194</v>
      </c>
      <c r="AA135" s="19" t="s">
        <v>1195</v>
      </c>
      <c r="AB135" s="19" t="s">
        <v>1196</v>
      </c>
      <c r="AC135" s="19" t="s">
        <v>1197</v>
      </c>
      <c r="AD135" s="19" t="s">
        <v>1198</v>
      </c>
      <c r="AE135" s="19" t="s">
        <v>1199</v>
      </c>
      <c r="AF135" s="19" t="s">
        <v>930</v>
      </c>
      <c r="AG135" s="19" t="s">
        <v>1054</v>
      </c>
      <c r="AH135" s="19" t="s">
        <v>1055</v>
      </c>
      <c r="AI135" s="19" t="s">
        <v>1200</v>
      </c>
      <c r="AJ135" s="19" t="s">
        <v>1201</v>
      </c>
    </row>
    <row r="136" spans="1:36" x14ac:dyDescent="0.2">
      <c r="A136" s="10"/>
      <c r="B136" s="10"/>
      <c r="C136" s="12"/>
      <c r="D136" s="10"/>
      <c r="E136" s="10"/>
      <c r="F136" s="10"/>
      <c r="G136" s="17"/>
      <c r="H136" s="17"/>
      <c r="I136" s="10"/>
      <c r="J136" s="21" t="str">
        <f t="shared" ref="J136:J143" si="156">IF(U136=1,"",IF(AF136&lt;&gt;"",AF136&amp;": no result is shown"&amp;IF(AF136="E_INVALID_UNIT"," (infusion rates must be in mg/hour; mL/hour needs a concentration and is not supported in CALC-SPEC 1.0)",""),FIXED(K136,1,TRUE)&amp;" mg infused before onset"&amp;IF(L136&lt;&gt;"","; "&amp;FIXED(L136,1,TRUE)&amp;"% of the planned "&amp;G136&amp;" mg","")&amp;" ("&amp;M136&amp;" segments; "&amp;N136&amp;")"))</f>
        <v/>
      </c>
      <c r="K136" s="21" t="str">
        <f t="shared" ref="K136:K143" si="157">IF(AH136=1,IF(AD136=1,AI136,AJ136),"")</f>
        <v/>
      </c>
      <c r="L136" s="21" t="str">
        <f t="shared" ref="L136:L143" si="158">IF(AND(AH136=1,ISNUMBER(G136)),100*K136/G136,"")</f>
        <v/>
      </c>
      <c r="M136" s="21" t="str">
        <f t="shared" ref="M136:M143" si="159">IF(U136=1,"",AC136)</f>
        <v/>
      </c>
      <c r="N136" s="21" t="str">
        <f t="shared" ref="N136:N143" si="160">IF(AH136=0,"",IF(AD136=1,"UTC","local clock"))</f>
        <v/>
      </c>
      <c r="O136" s="21" t="str">
        <f t="shared" ref="O136:O143" si="161">IF(U136=1,"",IF(AF136&lt;&gt;"",AF136,IF(AD136=0,"W_TZ_UNKNOWN","")))</f>
        <v/>
      </c>
      <c r="P136" s="21" t="str">
        <f>IF(U136=1,"",IF(AF136&lt;&gt;"",AF136&amp;": "&amp;SUBSTITUTE(IFERROR(INDEX(nMSG_Text,MATCH(AF136,nMSG_Code,0)),""),"[input]",AG136),IF(AD136=0,"W_TZ_UNKNOWN: "&amp;SUBSTITUTE(IFERROR(INDEX(nMSG_Text,MATCH("W_TZ_UNKNOWN",nMSG_Code,0)),""),"[input]",""),"")))</f>
        <v/>
      </c>
      <c r="Q136" s="21" t="str">
        <f t="shared" ref="Q136:Q143" si="162">IF(U136=1,"","Rate segments of exposure episode "&amp;E136&amp;" (Administrations); onset "&amp;F136&amp;IF(G136&lt;&gt;"","; planned dose = "&amp;G136&amp;" mg ["&amp;H136&amp;IF(I136&lt;&gt;"","; "&amp;I136,"")&amp;"]",""))</f>
        <v/>
      </c>
      <c r="R136" s="21" t="str">
        <f t="shared" ref="R136:R143" si="163">IF(U136=1,"","Amount infused, not systemic or effect-site exposure. Assumes the recorded times without interruption and ignores line dead volume.")</f>
        <v/>
      </c>
      <c r="S136" s="21" t="str">
        <f t="shared" ref="S136:S143" si="164">IF(U136=1,"","Amount = sum over segments of rate (mg/hour) x hours of that segment before onset")</f>
        <v/>
      </c>
      <c r="T136" s="21" t="str">
        <f t="shared" ref="T136:T143" si="165">IF(U136=1,"","CALC-SPEC 1.0")</f>
        <v/>
      </c>
      <c r="U136" s="22">
        <f t="shared" ref="U136:U143" si="166">IF(AND(A136="",E136="",F136=""),1,0)</f>
        <v>1</v>
      </c>
      <c r="V136" s="21" t="str">
        <f t="shared" ref="V136:V143" si="167">IF(A136="","",B136&amp;"|"&amp;C136&amp;"|"&amp;A136)</f>
        <v/>
      </c>
      <c r="W136" s="21" t="str">
        <f t="shared" ref="W136:W143" si="168">B136&amp;"|"&amp;C136&amp;"|"&amp;E136</f>
        <v>||</v>
      </c>
      <c r="X136" s="22">
        <f>IF(F136="",0,IFERROR(MATCH(B136&amp;"|"&amp;C136&amp;"|"&amp;F136,nTP_Key,0),0))</f>
        <v>0</v>
      </c>
      <c r="Y136" s="22">
        <f>IF(X136=0,0,INDEX(nTP_HT,X136))</f>
        <v>0</v>
      </c>
      <c r="Z136" s="22">
        <f>IF(X136=0,0,INDEX(nTP_OK,X136))</f>
        <v>0</v>
      </c>
      <c r="AA136" s="22">
        <f>IF(X136=0,0,INDEX(nTP_Loc_n,X136))</f>
        <v>0</v>
      </c>
      <c r="AB136" s="22">
        <f>IF(X136=0,0,INDEX(nTP_UTC_n,X136))</f>
        <v>0</v>
      </c>
      <c r="AC136" s="22">
        <f>COUNTIFS(nADM_SelKey,W136,nADM_Kind,"INFUSION_SEGMENT")</f>
        <v>0</v>
      </c>
      <c r="AD136" s="22">
        <f>IF(AND(Z136=1,COUNTIFS(nADM_SelKey,W136,nADM_Kind,"INFUSION_SEGMENT",nADM_SegOK,0)=0),1,0)</f>
        <v>0</v>
      </c>
      <c r="AE136" s="21" t="str">
        <f>IF(SUMPRODUCT((nADM_SelKey=W136)*(nADM_Kind="INFUSION_SEGMENT")*(LEFT(nADM_Seg_Check,2)="E_"))=0,"",INDEX(nADM_Seg_Check,MATCH(1,INDEX((nADM_SelKey=W136)*(nADM_Kind="INFUSION_SEGMENT")*(LEFT(nADM_Seg_Check,2)="E_"),0),0)))</f>
        <v/>
      </c>
      <c r="AF136" s="21" t="str">
        <f>IF(U136=1,"",IF(OR(A136="",E136="",F136=""),"E_MISSING_INPUT",IF(X136=0,"E_MISSING_INPUT",IF(INDEX(nTP_Err,X136)&lt;&gt;"",INDEX(nTP_Err,X136),IF(Y136=0,"E_MISSING_INPUT",IF(AC136=0,"E_MISSING_INPUT",IF(AE136&lt;&gt;"",AE136,IF(AND(G136&lt;&gt;"",NOT(ISNUMBER(G136))),"E_MISSING_INPUT",IF(AND(ISNUMBER(G136),G136&lt;=0),"E_NONPOSITIVE_PARAMETER",IF(AND(ISNUMBER(G136),H136=""),"E_MISSING_INPUT",""))))))))))</f>
        <v/>
      </c>
      <c r="AG136" s="21" t="str">
        <f t="shared" ref="AG136:AG143" si="169">IF(AF136&lt;&gt;"E_MISSING_INPUT","",IF(A136="","a Calc_ID",IF(E136="","an Exposure_Episode_ID",IF(F136="","an onset record ID",IF(X136=0,"the onset record "&amp;F136,IF(Y136=0,"an onset time of day (timestamp)",IF(AC136=0,"INFUSION_SEGMENT rows on Administrations for "&amp;E136,IF(AE136&lt;&gt;"","segment start and end timestamps and a rate in mg/hour","a numeric planned dose with its Parameter_Status"))))))))</f>
        <v/>
      </c>
      <c r="AH136" s="22">
        <f t="shared" ref="AH136:AH143" si="170">IF(AND(U136=0,AF136=""),1,0)</f>
        <v>0</v>
      </c>
      <c r="AI136" s="21">
        <f>IF(X136=0,0,SUMPRODUCT((nADM_SelKey=W136)*(nADM_Kind="INFUSION_SEGMENT")*nADM_Rate_n*(((((nADM_SegE_UTC_n+AB136)-ABS(nADM_SegE_UTC_n-AB136))/2)-nADM_SegS_UTC_n)+ABS((((nADM_SegE_UTC_n+AB136)-ABS(nADM_SegE_UTC_n-AB136))/2)-nADM_SegS_UTC_n))/2)/60)</f>
        <v>0</v>
      </c>
      <c r="AJ136" s="21">
        <f>IF(X136=0,0,SUMPRODUCT((nADM_SelKey=W136)*(nADM_Kind="INFUSION_SEGMENT")*nADM_Rate_n*(((((nADM_SegE_Loc_n+AA136)-ABS(nADM_SegE_Loc_n-AA136))/2)-nADM_SegS_Loc_n)+ABS((((nADM_SegE_Loc_n+AA136)-ABS(nADM_SegE_Loc_n-AA136))/2)-nADM_SegS_Loc_n))/2)/60)</f>
        <v>0</v>
      </c>
    </row>
    <row r="137" spans="1:36" x14ac:dyDescent="0.2">
      <c r="A137" s="10"/>
      <c r="B137" s="10"/>
      <c r="C137" s="12"/>
      <c r="D137" s="10"/>
      <c r="E137" s="10"/>
      <c r="F137" s="10"/>
      <c r="G137" s="17"/>
      <c r="H137" s="17"/>
      <c r="I137" s="10"/>
      <c r="J137" s="21" t="str">
        <f t="shared" si="156"/>
        <v/>
      </c>
      <c r="K137" s="21" t="str">
        <f t="shared" si="157"/>
        <v/>
      </c>
      <c r="L137" s="21" t="str">
        <f t="shared" si="158"/>
        <v/>
      </c>
      <c r="M137" s="21" t="str">
        <f t="shared" si="159"/>
        <v/>
      </c>
      <c r="N137" s="21" t="str">
        <f t="shared" si="160"/>
        <v/>
      </c>
      <c r="O137" s="21" t="str">
        <f t="shared" si="161"/>
        <v/>
      </c>
      <c r="P137" s="21" t="str">
        <f>IF(U137=1,"",IF(AF137&lt;&gt;"",AF137&amp;": "&amp;SUBSTITUTE(IFERROR(INDEX(nMSG_Text,MATCH(AF137,nMSG_Code,0)),""),"[input]",AG137),IF(AD137=0,"W_TZ_UNKNOWN: "&amp;SUBSTITUTE(IFERROR(INDEX(nMSG_Text,MATCH("W_TZ_UNKNOWN",nMSG_Code,0)),""),"[input]",""),"")))</f>
        <v/>
      </c>
      <c r="Q137" s="21" t="str">
        <f t="shared" si="162"/>
        <v/>
      </c>
      <c r="R137" s="21" t="str">
        <f t="shared" si="163"/>
        <v/>
      </c>
      <c r="S137" s="21" t="str">
        <f t="shared" si="164"/>
        <v/>
      </c>
      <c r="T137" s="21" t="str">
        <f t="shared" si="165"/>
        <v/>
      </c>
      <c r="U137" s="22">
        <f t="shared" si="166"/>
        <v>1</v>
      </c>
      <c r="V137" s="21" t="str">
        <f t="shared" si="167"/>
        <v/>
      </c>
      <c r="W137" s="21" t="str">
        <f t="shared" si="168"/>
        <v>||</v>
      </c>
      <c r="X137" s="22">
        <f>IF(F137="",0,IFERROR(MATCH(B137&amp;"|"&amp;C137&amp;"|"&amp;F137,nTP_Key,0),0))</f>
        <v>0</v>
      </c>
      <c r="Y137" s="22">
        <f>IF(X137=0,0,INDEX(nTP_HT,X137))</f>
        <v>0</v>
      </c>
      <c r="Z137" s="22">
        <f>IF(X137=0,0,INDEX(nTP_OK,X137))</f>
        <v>0</v>
      </c>
      <c r="AA137" s="22">
        <f>IF(X137=0,0,INDEX(nTP_Loc_n,X137))</f>
        <v>0</v>
      </c>
      <c r="AB137" s="22">
        <f>IF(X137=0,0,INDEX(nTP_UTC_n,X137))</f>
        <v>0</v>
      </c>
      <c r="AC137" s="22">
        <f>COUNTIFS(nADM_SelKey,W137,nADM_Kind,"INFUSION_SEGMENT")</f>
        <v>0</v>
      </c>
      <c r="AD137" s="22">
        <f>IF(AND(Z137=1,COUNTIFS(nADM_SelKey,W137,nADM_Kind,"INFUSION_SEGMENT",nADM_SegOK,0)=0),1,0)</f>
        <v>0</v>
      </c>
      <c r="AE137" s="21" t="str">
        <f>IF(SUMPRODUCT((nADM_SelKey=W137)*(nADM_Kind="INFUSION_SEGMENT")*(LEFT(nADM_Seg_Check,2)="E_"))=0,"",INDEX(nADM_Seg_Check,MATCH(1,INDEX((nADM_SelKey=W137)*(nADM_Kind="INFUSION_SEGMENT")*(LEFT(nADM_Seg_Check,2)="E_"),0),0)))</f>
        <v/>
      </c>
      <c r="AF137" s="21" t="str">
        <f>IF(U137=1,"",IF(OR(A137="",E137="",F137=""),"E_MISSING_INPUT",IF(X137=0,"E_MISSING_INPUT",IF(INDEX(nTP_Err,X137)&lt;&gt;"",INDEX(nTP_Err,X137),IF(Y137=0,"E_MISSING_INPUT",IF(AC137=0,"E_MISSING_INPUT",IF(AE137&lt;&gt;"",AE137,IF(AND(G137&lt;&gt;"",NOT(ISNUMBER(G137))),"E_MISSING_INPUT",IF(AND(ISNUMBER(G137),G137&lt;=0),"E_NONPOSITIVE_PARAMETER",IF(AND(ISNUMBER(G137),H137=""),"E_MISSING_INPUT",""))))))))))</f>
        <v/>
      </c>
      <c r="AG137" s="21" t="str">
        <f t="shared" si="169"/>
        <v/>
      </c>
      <c r="AH137" s="22">
        <f t="shared" si="170"/>
        <v>0</v>
      </c>
      <c r="AI137" s="21">
        <f>IF(X137=0,0,SUMPRODUCT((nADM_SelKey=W137)*(nADM_Kind="INFUSION_SEGMENT")*nADM_Rate_n*(((((nADM_SegE_UTC_n+AB137)-ABS(nADM_SegE_UTC_n-AB137))/2)-nADM_SegS_UTC_n)+ABS((((nADM_SegE_UTC_n+AB137)-ABS(nADM_SegE_UTC_n-AB137))/2)-nADM_SegS_UTC_n))/2)/60)</f>
        <v>0</v>
      </c>
      <c r="AJ137" s="21">
        <f>IF(X137=0,0,SUMPRODUCT((nADM_SelKey=W137)*(nADM_Kind="INFUSION_SEGMENT")*nADM_Rate_n*(((((nADM_SegE_Loc_n+AA137)-ABS(nADM_SegE_Loc_n-AA137))/2)-nADM_SegS_Loc_n)+ABS((((nADM_SegE_Loc_n+AA137)-ABS(nADM_SegE_Loc_n-AA137))/2)-nADM_SegS_Loc_n))/2)/60)</f>
        <v>0</v>
      </c>
    </row>
    <row r="138" spans="1:36" x14ac:dyDescent="0.2">
      <c r="A138" s="10"/>
      <c r="B138" s="10"/>
      <c r="C138" s="12"/>
      <c r="D138" s="10"/>
      <c r="E138" s="10"/>
      <c r="F138" s="10"/>
      <c r="G138" s="17"/>
      <c r="H138" s="17"/>
      <c r="I138" s="10"/>
      <c r="J138" s="21" t="str">
        <f t="shared" si="156"/>
        <v/>
      </c>
      <c r="K138" s="21" t="str">
        <f t="shared" si="157"/>
        <v/>
      </c>
      <c r="L138" s="21" t="str">
        <f t="shared" si="158"/>
        <v/>
      </c>
      <c r="M138" s="21" t="str">
        <f t="shared" si="159"/>
        <v/>
      </c>
      <c r="N138" s="21" t="str">
        <f t="shared" si="160"/>
        <v/>
      </c>
      <c r="O138" s="21" t="str">
        <f t="shared" si="161"/>
        <v/>
      </c>
      <c r="P138" s="21" t="str">
        <f>IF(U138=1,"",IF(AF138&lt;&gt;"",AF138&amp;": "&amp;SUBSTITUTE(IFERROR(INDEX(nMSG_Text,MATCH(AF138,nMSG_Code,0)),""),"[input]",AG138),IF(AD138=0,"W_TZ_UNKNOWN: "&amp;SUBSTITUTE(IFERROR(INDEX(nMSG_Text,MATCH("W_TZ_UNKNOWN",nMSG_Code,0)),""),"[input]",""),"")))</f>
        <v/>
      </c>
      <c r="Q138" s="21" t="str">
        <f t="shared" si="162"/>
        <v/>
      </c>
      <c r="R138" s="21" t="str">
        <f t="shared" si="163"/>
        <v/>
      </c>
      <c r="S138" s="21" t="str">
        <f t="shared" si="164"/>
        <v/>
      </c>
      <c r="T138" s="21" t="str">
        <f t="shared" si="165"/>
        <v/>
      </c>
      <c r="U138" s="22">
        <f t="shared" si="166"/>
        <v>1</v>
      </c>
      <c r="V138" s="21" t="str">
        <f t="shared" si="167"/>
        <v/>
      </c>
      <c r="W138" s="21" t="str">
        <f t="shared" si="168"/>
        <v>||</v>
      </c>
      <c r="X138" s="22">
        <f>IF(F138="",0,IFERROR(MATCH(B138&amp;"|"&amp;C138&amp;"|"&amp;F138,nTP_Key,0),0))</f>
        <v>0</v>
      </c>
      <c r="Y138" s="22">
        <f>IF(X138=0,0,INDEX(nTP_HT,X138))</f>
        <v>0</v>
      </c>
      <c r="Z138" s="22">
        <f>IF(X138=0,0,INDEX(nTP_OK,X138))</f>
        <v>0</v>
      </c>
      <c r="AA138" s="22">
        <f>IF(X138=0,0,INDEX(nTP_Loc_n,X138))</f>
        <v>0</v>
      </c>
      <c r="AB138" s="22">
        <f>IF(X138=0,0,INDEX(nTP_UTC_n,X138))</f>
        <v>0</v>
      </c>
      <c r="AC138" s="22">
        <f>COUNTIFS(nADM_SelKey,W138,nADM_Kind,"INFUSION_SEGMENT")</f>
        <v>0</v>
      </c>
      <c r="AD138" s="22">
        <f>IF(AND(Z138=1,COUNTIFS(nADM_SelKey,W138,nADM_Kind,"INFUSION_SEGMENT",nADM_SegOK,0)=0),1,0)</f>
        <v>0</v>
      </c>
      <c r="AE138" s="21" t="str">
        <f>IF(SUMPRODUCT((nADM_SelKey=W138)*(nADM_Kind="INFUSION_SEGMENT")*(LEFT(nADM_Seg_Check,2)="E_"))=0,"",INDEX(nADM_Seg_Check,MATCH(1,INDEX((nADM_SelKey=W138)*(nADM_Kind="INFUSION_SEGMENT")*(LEFT(nADM_Seg_Check,2)="E_"),0),0)))</f>
        <v/>
      </c>
      <c r="AF138" s="21" t="str">
        <f>IF(U138=1,"",IF(OR(A138="",E138="",F138=""),"E_MISSING_INPUT",IF(X138=0,"E_MISSING_INPUT",IF(INDEX(nTP_Err,X138)&lt;&gt;"",INDEX(nTP_Err,X138),IF(Y138=0,"E_MISSING_INPUT",IF(AC138=0,"E_MISSING_INPUT",IF(AE138&lt;&gt;"",AE138,IF(AND(G138&lt;&gt;"",NOT(ISNUMBER(G138))),"E_MISSING_INPUT",IF(AND(ISNUMBER(G138),G138&lt;=0),"E_NONPOSITIVE_PARAMETER",IF(AND(ISNUMBER(G138),H138=""),"E_MISSING_INPUT",""))))))))))</f>
        <v/>
      </c>
      <c r="AG138" s="21" t="str">
        <f t="shared" si="169"/>
        <v/>
      </c>
      <c r="AH138" s="22">
        <f t="shared" si="170"/>
        <v>0</v>
      </c>
      <c r="AI138" s="21">
        <f>IF(X138=0,0,SUMPRODUCT((nADM_SelKey=W138)*(nADM_Kind="INFUSION_SEGMENT")*nADM_Rate_n*(((((nADM_SegE_UTC_n+AB138)-ABS(nADM_SegE_UTC_n-AB138))/2)-nADM_SegS_UTC_n)+ABS((((nADM_SegE_UTC_n+AB138)-ABS(nADM_SegE_UTC_n-AB138))/2)-nADM_SegS_UTC_n))/2)/60)</f>
        <v>0</v>
      </c>
      <c r="AJ138" s="21">
        <f>IF(X138=0,0,SUMPRODUCT((nADM_SelKey=W138)*(nADM_Kind="INFUSION_SEGMENT")*nADM_Rate_n*(((((nADM_SegE_Loc_n+AA138)-ABS(nADM_SegE_Loc_n-AA138))/2)-nADM_SegS_Loc_n)+ABS((((nADM_SegE_Loc_n+AA138)-ABS(nADM_SegE_Loc_n-AA138))/2)-nADM_SegS_Loc_n))/2)/60)</f>
        <v>0</v>
      </c>
    </row>
    <row r="139" spans="1:36" x14ac:dyDescent="0.2">
      <c r="A139" s="10"/>
      <c r="B139" s="10"/>
      <c r="C139" s="12"/>
      <c r="D139" s="10"/>
      <c r="E139" s="10"/>
      <c r="F139" s="10"/>
      <c r="G139" s="17"/>
      <c r="H139" s="17"/>
      <c r="I139" s="10"/>
      <c r="J139" s="21" t="str">
        <f t="shared" si="156"/>
        <v/>
      </c>
      <c r="K139" s="21" t="str">
        <f t="shared" si="157"/>
        <v/>
      </c>
      <c r="L139" s="21" t="str">
        <f t="shared" si="158"/>
        <v/>
      </c>
      <c r="M139" s="21" t="str">
        <f t="shared" si="159"/>
        <v/>
      </c>
      <c r="N139" s="21" t="str">
        <f t="shared" si="160"/>
        <v/>
      </c>
      <c r="O139" s="21" t="str">
        <f t="shared" si="161"/>
        <v/>
      </c>
      <c r="P139" s="21" t="str">
        <f>IF(U139=1,"",IF(AF139&lt;&gt;"",AF139&amp;": "&amp;SUBSTITUTE(IFERROR(INDEX(nMSG_Text,MATCH(AF139,nMSG_Code,0)),""),"[input]",AG139),IF(AD139=0,"W_TZ_UNKNOWN: "&amp;SUBSTITUTE(IFERROR(INDEX(nMSG_Text,MATCH("W_TZ_UNKNOWN",nMSG_Code,0)),""),"[input]",""),"")))</f>
        <v/>
      </c>
      <c r="Q139" s="21" t="str">
        <f t="shared" si="162"/>
        <v/>
      </c>
      <c r="R139" s="21" t="str">
        <f t="shared" si="163"/>
        <v/>
      </c>
      <c r="S139" s="21" t="str">
        <f t="shared" si="164"/>
        <v/>
      </c>
      <c r="T139" s="21" t="str">
        <f t="shared" si="165"/>
        <v/>
      </c>
      <c r="U139" s="22">
        <f t="shared" si="166"/>
        <v>1</v>
      </c>
      <c r="V139" s="21" t="str">
        <f t="shared" si="167"/>
        <v/>
      </c>
      <c r="W139" s="21" t="str">
        <f t="shared" si="168"/>
        <v>||</v>
      </c>
      <c r="X139" s="22">
        <f>IF(F139="",0,IFERROR(MATCH(B139&amp;"|"&amp;C139&amp;"|"&amp;F139,nTP_Key,0),0))</f>
        <v>0</v>
      </c>
      <c r="Y139" s="22">
        <f>IF(X139=0,0,INDEX(nTP_HT,X139))</f>
        <v>0</v>
      </c>
      <c r="Z139" s="22">
        <f>IF(X139=0,0,INDEX(nTP_OK,X139))</f>
        <v>0</v>
      </c>
      <c r="AA139" s="22">
        <f>IF(X139=0,0,INDEX(nTP_Loc_n,X139))</f>
        <v>0</v>
      </c>
      <c r="AB139" s="22">
        <f>IF(X139=0,0,INDEX(nTP_UTC_n,X139))</f>
        <v>0</v>
      </c>
      <c r="AC139" s="22">
        <f>COUNTIFS(nADM_SelKey,W139,nADM_Kind,"INFUSION_SEGMENT")</f>
        <v>0</v>
      </c>
      <c r="AD139" s="22">
        <f>IF(AND(Z139=1,COUNTIFS(nADM_SelKey,W139,nADM_Kind,"INFUSION_SEGMENT",nADM_SegOK,0)=0),1,0)</f>
        <v>0</v>
      </c>
      <c r="AE139" s="21" t="str">
        <f>IF(SUMPRODUCT((nADM_SelKey=W139)*(nADM_Kind="INFUSION_SEGMENT")*(LEFT(nADM_Seg_Check,2)="E_"))=0,"",INDEX(nADM_Seg_Check,MATCH(1,INDEX((nADM_SelKey=W139)*(nADM_Kind="INFUSION_SEGMENT")*(LEFT(nADM_Seg_Check,2)="E_"),0),0)))</f>
        <v/>
      </c>
      <c r="AF139" s="21" t="str">
        <f>IF(U139=1,"",IF(OR(A139="",E139="",F139=""),"E_MISSING_INPUT",IF(X139=0,"E_MISSING_INPUT",IF(INDEX(nTP_Err,X139)&lt;&gt;"",INDEX(nTP_Err,X139),IF(Y139=0,"E_MISSING_INPUT",IF(AC139=0,"E_MISSING_INPUT",IF(AE139&lt;&gt;"",AE139,IF(AND(G139&lt;&gt;"",NOT(ISNUMBER(G139))),"E_MISSING_INPUT",IF(AND(ISNUMBER(G139),G139&lt;=0),"E_NONPOSITIVE_PARAMETER",IF(AND(ISNUMBER(G139),H139=""),"E_MISSING_INPUT",""))))))))))</f>
        <v/>
      </c>
      <c r="AG139" s="21" t="str">
        <f t="shared" si="169"/>
        <v/>
      </c>
      <c r="AH139" s="22">
        <f t="shared" si="170"/>
        <v>0</v>
      </c>
      <c r="AI139" s="21">
        <f>IF(X139=0,0,SUMPRODUCT((nADM_SelKey=W139)*(nADM_Kind="INFUSION_SEGMENT")*nADM_Rate_n*(((((nADM_SegE_UTC_n+AB139)-ABS(nADM_SegE_UTC_n-AB139))/2)-nADM_SegS_UTC_n)+ABS((((nADM_SegE_UTC_n+AB139)-ABS(nADM_SegE_UTC_n-AB139))/2)-nADM_SegS_UTC_n))/2)/60)</f>
        <v>0</v>
      </c>
      <c r="AJ139" s="21">
        <f>IF(X139=0,0,SUMPRODUCT((nADM_SelKey=W139)*(nADM_Kind="INFUSION_SEGMENT")*nADM_Rate_n*(((((nADM_SegE_Loc_n+AA139)-ABS(nADM_SegE_Loc_n-AA139))/2)-nADM_SegS_Loc_n)+ABS((((nADM_SegE_Loc_n+AA139)-ABS(nADM_SegE_Loc_n-AA139))/2)-nADM_SegS_Loc_n))/2)/60)</f>
        <v>0</v>
      </c>
    </row>
    <row r="140" spans="1:36" x14ac:dyDescent="0.2">
      <c r="A140" s="10"/>
      <c r="B140" s="10"/>
      <c r="C140" s="12"/>
      <c r="D140" s="10"/>
      <c r="E140" s="10"/>
      <c r="F140" s="10"/>
      <c r="G140" s="17"/>
      <c r="H140" s="17"/>
      <c r="I140" s="10"/>
      <c r="J140" s="21" t="str">
        <f t="shared" si="156"/>
        <v/>
      </c>
      <c r="K140" s="21" t="str">
        <f t="shared" si="157"/>
        <v/>
      </c>
      <c r="L140" s="21" t="str">
        <f t="shared" si="158"/>
        <v/>
      </c>
      <c r="M140" s="21" t="str">
        <f t="shared" si="159"/>
        <v/>
      </c>
      <c r="N140" s="21" t="str">
        <f t="shared" si="160"/>
        <v/>
      </c>
      <c r="O140" s="21" t="str">
        <f t="shared" si="161"/>
        <v/>
      </c>
      <c r="P140" s="21" t="str">
        <f>IF(U140=1,"",IF(AF140&lt;&gt;"",AF140&amp;": "&amp;SUBSTITUTE(IFERROR(INDEX(nMSG_Text,MATCH(AF140,nMSG_Code,0)),""),"[input]",AG140),IF(AD140=0,"W_TZ_UNKNOWN: "&amp;SUBSTITUTE(IFERROR(INDEX(nMSG_Text,MATCH("W_TZ_UNKNOWN",nMSG_Code,0)),""),"[input]",""),"")))</f>
        <v/>
      </c>
      <c r="Q140" s="21" t="str">
        <f t="shared" si="162"/>
        <v/>
      </c>
      <c r="R140" s="21" t="str">
        <f t="shared" si="163"/>
        <v/>
      </c>
      <c r="S140" s="21" t="str">
        <f t="shared" si="164"/>
        <v/>
      </c>
      <c r="T140" s="21" t="str">
        <f t="shared" si="165"/>
        <v/>
      </c>
      <c r="U140" s="22">
        <f t="shared" si="166"/>
        <v>1</v>
      </c>
      <c r="V140" s="21" t="str">
        <f t="shared" si="167"/>
        <v/>
      </c>
      <c r="W140" s="21" t="str">
        <f t="shared" si="168"/>
        <v>||</v>
      </c>
      <c r="X140" s="22">
        <f>IF(F140="",0,IFERROR(MATCH(B140&amp;"|"&amp;C140&amp;"|"&amp;F140,nTP_Key,0),0))</f>
        <v>0</v>
      </c>
      <c r="Y140" s="22">
        <f>IF(X140=0,0,INDEX(nTP_HT,X140))</f>
        <v>0</v>
      </c>
      <c r="Z140" s="22">
        <f>IF(X140=0,0,INDEX(nTP_OK,X140))</f>
        <v>0</v>
      </c>
      <c r="AA140" s="22">
        <f>IF(X140=0,0,INDEX(nTP_Loc_n,X140))</f>
        <v>0</v>
      </c>
      <c r="AB140" s="22">
        <f>IF(X140=0,0,INDEX(nTP_UTC_n,X140))</f>
        <v>0</v>
      </c>
      <c r="AC140" s="22">
        <f>COUNTIFS(nADM_SelKey,W140,nADM_Kind,"INFUSION_SEGMENT")</f>
        <v>0</v>
      </c>
      <c r="AD140" s="22">
        <f>IF(AND(Z140=1,COUNTIFS(nADM_SelKey,W140,nADM_Kind,"INFUSION_SEGMENT",nADM_SegOK,0)=0),1,0)</f>
        <v>0</v>
      </c>
      <c r="AE140" s="21" t="str">
        <f>IF(SUMPRODUCT((nADM_SelKey=W140)*(nADM_Kind="INFUSION_SEGMENT")*(LEFT(nADM_Seg_Check,2)="E_"))=0,"",INDEX(nADM_Seg_Check,MATCH(1,INDEX((nADM_SelKey=W140)*(nADM_Kind="INFUSION_SEGMENT")*(LEFT(nADM_Seg_Check,2)="E_"),0),0)))</f>
        <v/>
      </c>
      <c r="AF140" s="21" t="str">
        <f>IF(U140=1,"",IF(OR(A140="",E140="",F140=""),"E_MISSING_INPUT",IF(X140=0,"E_MISSING_INPUT",IF(INDEX(nTP_Err,X140)&lt;&gt;"",INDEX(nTP_Err,X140),IF(Y140=0,"E_MISSING_INPUT",IF(AC140=0,"E_MISSING_INPUT",IF(AE140&lt;&gt;"",AE140,IF(AND(G140&lt;&gt;"",NOT(ISNUMBER(G140))),"E_MISSING_INPUT",IF(AND(ISNUMBER(G140),G140&lt;=0),"E_NONPOSITIVE_PARAMETER",IF(AND(ISNUMBER(G140),H140=""),"E_MISSING_INPUT",""))))))))))</f>
        <v/>
      </c>
      <c r="AG140" s="21" t="str">
        <f t="shared" si="169"/>
        <v/>
      </c>
      <c r="AH140" s="22">
        <f t="shared" si="170"/>
        <v>0</v>
      </c>
      <c r="AI140" s="21">
        <f>IF(X140=0,0,SUMPRODUCT((nADM_SelKey=W140)*(nADM_Kind="INFUSION_SEGMENT")*nADM_Rate_n*(((((nADM_SegE_UTC_n+AB140)-ABS(nADM_SegE_UTC_n-AB140))/2)-nADM_SegS_UTC_n)+ABS((((nADM_SegE_UTC_n+AB140)-ABS(nADM_SegE_UTC_n-AB140))/2)-nADM_SegS_UTC_n))/2)/60)</f>
        <v>0</v>
      </c>
      <c r="AJ140" s="21">
        <f>IF(X140=0,0,SUMPRODUCT((nADM_SelKey=W140)*(nADM_Kind="INFUSION_SEGMENT")*nADM_Rate_n*(((((nADM_SegE_Loc_n+AA140)-ABS(nADM_SegE_Loc_n-AA140))/2)-nADM_SegS_Loc_n)+ABS((((nADM_SegE_Loc_n+AA140)-ABS(nADM_SegE_Loc_n-AA140))/2)-nADM_SegS_Loc_n))/2)/60)</f>
        <v>0</v>
      </c>
    </row>
    <row r="141" spans="1:36" x14ac:dyDescent="0.2">
      <c r="A141" s="10"/>
      <c r="B141" s="10"/>
      <c r="C141" s="12"/>
      <c r="D141" s="10"/>
      <c r="E141" s="10"/>
      <c r="F141" s="10"/>
      <c r="G141" s="17"/>
      <c r="H141" s="17"/>
      <c r="I141" s="10"/>
      <c r="J141" s="21" t="str">
        <f t="shared" si="156"/>
        <v/>
      </c>
      <c r="K141" s="21" t="str">
        <f t="shared" si="157"/>
        <v/>
      </c>
      <c r="L141" s="21" t="str">
        <f t="shared" si="158"/>
        <v/>
      </c>
      <c r="M141" s="21" t="str">
        <f t="shared" si="159"/>
        <v/>
      </c>
      <c r="N141" s="21" t="str">
        <f t="shared" si="160"/>
        <v/>
      </c>
      <c r="O141" s="21" t="str">
        <f t="shared" si="161"/>
        <v/>
      </c>
      <c r="P141" s="21" t="str">
        <f>IF(U141=1,"",IF(AF141&lt;&gt;"",AF141&amp;": "&amp;SUBSTITUTE(IFERROR(INDEX(nMSG_Text,MATCH(AF141,nMSG_Code,0)),""),"[input]",AG141),IF(AD141=0,"W_TZ_UNKNOWN: "&amp;SUBSTITUTE(IFERROR(INDEX(nMSG_Text,MATCH("W_TZ_UNKNOWN",nMSG_Code,0)),""),"[input]",""),"")))</f>
        <v/>
      </c>
      <c r="Q141" s="21" t="str">
        <f t="shared" si="162"/>
        <v/>
      </c>
      <c r="R141" s="21" t="str">
        <f t="shared" si="163"/>
        <v/>
      </c>
      <c r="S141" s="21" t="str">
        <f t="shared" si="164"/>
        <v/>
      </c>
      <c r="T141" s="21" t="str">
        <f t="shared" si="165"/>
        <v/>
      </c>
      <c r="U141" s="22">
        <f t="shared" si="166"/>
        <v>1</v>
      </c>
      <c r="V141" s="21" t="str">
        <f t="shared" si="167"/>
        <v/>
      </c>
      <c r="W141" s="21" t="str">
        <f t="shared" si="168"/>
        <v>||</v>
      </c>
      <c r="X141" s="22">
        <f>IF(F141="",0,IFERROR(MATCH(B141&amp;"|"&amp;C141&amp;"|"&amp;F141,nTP_Key,0),0))</f>
        <v>0</v>
      </c>
      <c r="Y141" s="22">
        <f>IF(X141=0,0,INDEX(nTP_HT,X141))</f>
        <v>0</v>
      </c>
      <c r="Z141" s="22">
        <f>IF(X141=0,0,INDEX(nTP_OK,X141))</f>
        <v>0</v>
      </c>
      <c r="AA141" s="22">
        <f>IF(X141=0,0,INDEX(nTP_Loc_n,X141))</f>
        <v>0</v>
      </c>
      <c r="AB141" s="22">
        <f>IF(X141=0,0,INDEX(nTP_UTC_n,X141))</f>
        <v>0</v>
      </c>
      <c r="AC141" s="22">
        <f>COUNTIFS(nADM_SelKey,W141,nADM_Kind,"INFUSION_SEGMENT")</f>
        <v>0</v>
      </c>
      <c r="AD141" s="22">
        <f>IF(AND(Z141=1,COUNTIFS(nADM_SelKey,W141,nADM_Kind,"INFUSION_SEGMENT",nADM_SegOK,0)=0),1,0)</f>
        <v>0</v>
      </c>
      <c r="AE141" s="21" t="str">
        <f>IF(SUMPRODUCT((nADM_SelKey=W141)*(nADM_Kind="INFUSION_SEGMENT")*(LEFT(nADM_Seg_Check,2)="E_"))=0,"",INDEX(nADM_Seg_Check,MATCH(1,INDEX((nADM_SelKey=W141)*(nADM_Kind="INFUSION_SEGMENT")*(LEFT(nADM_Seg_Check,2)="E_"),0),0)))</f>
        <v/>
      </c>
      <c r="AF141" s="21" t="str">
        <f>IF(U141=1,"",IF(OR(A141="",E141="",F141=""),"E_MISSING_INPUT",IF(X141=0,"E_MISSING_INPUT",IF(INDEX(nTP_Err,X141)&lt;&gt;"",INDEX(nTP_Err,X141),IF(Y141=0,"E_MISSING_INPUT",IF(AC141=0,"E_MISSING_INPUT",IF(AE141&lt;&gt;"",AE141,IF(AND(G141&lt;&gt;"",NOT(ISNUMBER(G141))),"E_MISSING_INPUT",IF(AND(ISNUMBER(G141),G141&lt;=0),"E_NONPOSITIVE_PARAMETER",IF(AND(ISNUMBER(G141),H141=""),"E_MISSING_INPUT",""))))))))))</f>
        <v/>
      </c>
      <c r="AG141" s="21" t="str">
        <f t="shared" si="169"/>
        <v/>
      </c>
      <c r="AH141" s="22">
        <f t="shared" si="170"/>
        <v>0</v>
      </c>
      <c r="AI141" s="21">
        <f>IF(X141=0,0,SUMPRODUCT((nADM_SelKey=W141)*(nADM_Kind="INFUSION_SEGMENT")*nADM_Rate_n*(((((nADM_SegE_UTC_n+AB141)-ABS(nADM_SegE_UTC_n-AB141))/2)-nADM_SegS_UTC_n)+ABS((((nADM_SegE_UTC_n+AB141)-ABS(nADM_SegE_UTC_n-AB141))/2)-nADM_SegS_UTC_n))/2)/60)</f>
        <v>0</v>
      </c>
      <c r="AJ141" s="21">
        <f>IF(X141=0,0,SUMPRODUCT((nADM_SelKey=W141)*(nADM_Kind="INFUSION_SEGMENT")*nADM_Rate_n*(((((nADM_SegE_Loc_n+AA141)-ABS(nADM_SegE_Loc_n-AA141))/2)-nADM_SegS_Loc_n)+ABS((((nADM_SegE_Loc_n+AA141)-ABS(nADM_SegE_Loc_n-AA141))/2)-nADM_SegS_Loc_n))/2)/60)</f>
        <v>0</v>
      </c>
    </row>
    <row r="142" spans="1:36" x14ac:dyDescent="0.2">
      <c r="A142" s="10"/>
      <c r="B142" s="10"/>
      <c r="C142" s="12"/>
      <c r="D142" s="10"/>
      <c r="E142" s="10"/>
      <c r="F142" s="10"/>
      <c r="G142" s="17"/>
      <c r="H142" s="17"/>
      <c r="I142" s="10"/>
      <c r="J142" s="21" t="str">
        <f t="shared" si="156"/>
        <v/>
      </c>
      <c r="K142" s="21" t="str">
        <f t="shared" si="157"/>
        <v/>
      </c>
      <c r="L142" s="21" t="str">
        <f t="shared" si="158"/>
        <v/>
      </c>
      <c r="M142" s="21" t="str">
        <f t="shared" si="159"/>
        <v/>
      </c>
      <c r="N142" s="21" t="str">
        <f t="shared" si="160"/>
        <v/>
      </c>
      <c r="O142" s="21" t="str">
        <f t="shared" si="161"/>
        <v/>
      </c>
      <c r="P142" s="21" t="str">
        <f>IF(U142=1,"",IF(AF142&lt;&gt;"",AF142&amp;": "&amp;SUBSTITUTE(IFERROR(INDEX(nMSG_Text,MATCH(AF142,nMSG_Code,0)),""),"[input]",AG142),IF(AD142=0,"W_TZ_UNKNOWN: "&amp;SUBSTITUTE(IFERROR(INDEX(nMSG_Text,MATCH("W_TZ_UNKNOWN",nMSG_Code,0)),""),"[input]",""),"")))</f>
        <v/>
      </c>
      <c r="Q142" s="21" t="str">
        <f t="shared" si="162"/>
        <v/>
      </c>
      <c r="R142" s="21" t="str">
        <f t="shared" si="163"/>
        <v/>
      </c>
      <c r="S142" s="21" t="str">
        <f t="shared" si="164"/>
        <v/>
      </c>
      <c r="T142" s="21" t="str">
        <f t="shared" si="165"/>
        <v/>
      </c>
      <c r="U142" s="22">
        <f t="shared" si="166"/>
        <v>1</v>
      </c>
      <c r="V142" s="21" t="str">
        <f t="shared" si="167"/>
        <v/>
      </c>
      <c r="W142" s="21" t="str">
        <f t="shared" si="168"/>
        <v>||</v>
      </c>
      <c r="X142" s="22">
        <f>IF(F142="",0,IFERROR(MATCH(B142&amp;"|"&amp;C142&amp;"|"&amp;F142,nTP_Key,0),0))</f>
        <v>0</v>
      </c>
      <c r="Y142" s="22">
        <f>IF(X142=0,0,INDEX(nTP_HT,X142))</f>
        <v>0</v>
      </c>
      <c r="Z142" s="22">
        <f>IF(X142=0,0,INDEX(nTP_OK,X142))</f>
        <v>0</v>
      </c>
      <c r="AA142" s="22">
        <f>IF(X142=0,0,INDEX(nTP_Loc_n,X142))</f>
        <v>0</v>
      </c>
      <c r="AB142" s="22">
        <f>IF(X142=0,0,INDEX(nTP_UTC_n,X142))</f>
        <v>0</v>
      </c>
      <c r="AC142" s="22">
        <f>COUNTIFS(nADM_SelKey,W142,nADM_Kind,"INFUSION_SEGMENT")</f>
        <v>0</v>
      </c>
      <c r="AD142" s="22">
        <f>IF(AND(Z142=1,COUNTIFS(nADM_SelKey,W142,nADM_Kind,"INFUSION_SEGMENT",nADM_SegOK,0)=0),1,0)</f>
        <v>0</v>
      </c>
      <c r="AE142" s="21" t="str">
        <f>IF(SUMPRODUCT((nADM_SelKey=W142)*(nADM_Kind="INFUSION_SEGMENT")*(LEFT(nADM_Seg_Check,2)="E_"))=0,"",INDEX(nADM_Seg_Check,MATCH(1,INDEX((nADM_SelKey=W142)*(nADM_Kind="INFUSION_SEGMENT")*(LEFT(nADM_Seg_Check,2)="E_"),0),0)))</f>
        <v/>
      </c>
      <c r="AF142" s="21" t="str">
        <f>IF(U142=1,"",IF(OR(A142="",E142="",F142=""),"E_MISSING_INPUT",IF(X142=0,"E_MISSING_INPUT",IF(INDEX(nTP_Err,X142)&lt;&gt;"",INDEX(nTP_Err,X142),IF(Y142=0,"E_MISSING_INPUT",IF(AC142=0,"E_MISSING_INPUT",IF(AE142&lt;&gt;"",AE142,IF(AND(G142&lt;&gt;"",NOT(ISNUMBER(G142))),"E_MISSING_INPUT",IF(AND(ISNUMBER(G142),G142&lt;=0),"E_NONPOSITIVE_PARAMETER",IF(AND(ISNUMBER(G142),H142=""),"E_MISSING_INPUT",""))))))))))</f>
        <v/>
      </c>
      <c r="AG142" s="21" t="str">
        <f t="shared" si="169"/>
        <v/>
      </c>
      <c r="AH142" s="22">
        <f t="shared" si="170"/>
        <v>0</v>
      </c>
      <c r="AI142" s="21">
        <f>IF(X142=0,0,SUMPRODUCT((nADM_SelKey=W142)*(nADM_Kind="INFUSION_SEGMENT")*nADM_Rate_n*(((((nADM_SegE_UTC_n+AB142)-ABS(nADM_SegE_UTC_n-AB142))/2)-nADM_SegS_UTC_n)+ABS((((nADM_SegE_UTC_n+AB142)-ABS(nADM_SegE_UTC_n-AB142))/2)-nADM_SegS_UTC_n))/2)/60)</f>
        <v>0</v>
      </c>
      <c r="AJ142" s="21">
        <f>IF(X142=0,0,SUMPRODUCT((nADM_SelKey=W142)*(nADM_Kind="INFUSION_SEGMENT")*nADM_Rate_n*(((((nADM_SegE_Loc_n+AA142)-ABS(nADM_SegE_Loc_n-AA142))/2)-nADM_SegS_Loc_n)+ABS((((nADM_SegE_Loc_n+AA142)-ABS(nADM_SegE_Loc_n-AA142))/2)-nADM_SegS_Loc_n))/2)/60)</f>
        <v>0</v>
      </c>
    </row>
    <row r="143" spans="1:36" x14ac:dyDescent="0.2">
      <c r="A143" s="10"/>
      <c r="B143" s="10"/>
      <c r="C143" s="12"/>
      <c r="D143" s="10"/>
      <c r="E143" s="10"/>
      <c r="F143" s="10"/>
      <c r="G143" s="17"/>
      <c r="H143" s="17"/>
      <c r="I143" s="10"/>
      <c r="J143" s="21" t="str">
        <f t="shared" si="156"/>
        <v/>
      </c>
      <c r="K143" s="21" t="str">
        <f t="shared" si="157"/>
        <v/>
      </c>
      <c r="L143" s="21" t="str">
        <f t="shared" si="158"/>
        <v/>
      </c>
      <c r="M143" s="21" t="str">
        <f t="shared" si="159"/>
        <v/>
      </c>
      <c r="N143" s="21" t="str">
        <f t="shared" si="160"/>
        <v/>
      </c>
      <c r="O143" s="21" t="str">
        <f t="shared" si="161"/>
        <v/>
      </c>
      <c r="P143" s="21" t="str">
        <f>IF(U143=1,"",IF(AF143&lt;&gt;"",AF143&amp;": "&amp;SUBSTITUTE(IFERROR(INDEX(nMSG_Text,MATCH(AF143,nMSG_Code,0)),""),"[input]",AG143),IF(AD143=0,"W_TZ_UNKNOWN: "&amp;SUBSTITUTE(IFERROR(INDEX(nMSG_Text,MATCH("W_TZ_UNKNOWN",nMSG_Code,0)),""),"[input]",""),"")))</f>
        <v/>
      </c>
      <c r="Q143" s="21" t="str">
        <f t="shared" si="162"/>
        <v/>
      </c>
      <c r="R143" s="21" t="str">
        <f t="shared" si="163"/>
        <v/>
      </c>
      <c r="S143" s="21" t="str">
        <f t="shared" si="164"/>
        <v/>
      </c>
      <c r="T143" s="21" t="str">
        <f t="shared" si="165"/>
        <v/>
      </c>
      <c r="U143" s="22">
        <f t="shared" si="166"/>
        <v>1</v>
      </c>
      <c r="V143" s="21" t="str">
        <f t="shared" si="167"/>
        <v/>
      </c>
      <c r="W143" s="21" t="str">
        <f t="shared" si="168"/>
        <v>||</v>
      </c>
      <c r="X143" s="22">
        <f>IF(F143="",0,IFERROR(MATCH(B143&amp;"|"&amp;C143&amp;"|"&amp;F143,nTP_Key,0),0))</f>
        <v>0</v>
      </c>
      <c r="Y143" s="22">
        <f>IF(X143=0,0,INDEX(nTP_HT,X143))</f>
        <v>0</v>
      </c>
      <c r="Z143" s="22">
        <f>IF(X143=0,0,INDEX(nTP_OK,X143))</f>
        <v>0</v>
      </c>
      <c r="AA143" s="22">
        <f>IF(X143=0,0,INDEX(nTP_Loc_n,X143))</f>
        <v>0</v>
      </c>
      <c r="AB143" s="22">
        <f>IF(X143=0,0,INDEX(nTP_UTC_n,X143))</f>
        <v>0</v>
      </c>
      <c r="AC143" s="22">
        <f>COUNTIFS(nADM_SelKey,W143,nADM_Kind,"INFUSION_SEGMENT")</f>
        <v>0</v>
      </c>
      <c r="AD143" s="22">
        <f>IF(AND(Z143=1,COUNTIFS(nADM_SelKey,W143,nADM_Kind,"INFUSION_SEGMENT",nADM_SegOK,0)=0),1,0)</f>
        <v>0</v>
      </c>
      <c r="AE143" s="21" t="str">
        <f>IF(SUMPRODUCT((nADM_SelKey=W143)*(nADM_Kind="INFUSION_SEGMENT")*(LEFT(nADM_Seg_Check,2)="E_"))=0,"",INDEX(nADM_Seg_Check,MATCH(1,INDEX((nADM_SelKey=W143)*(nADM_Kind="INFUSION_SEGMENT")*(LEFT(nADM_Seg_Check,2)="E_"),0),0)))</f>
        <v/>
      </c>
      <c r="AF143" s="21" t="str">
        <f>IF(U143=1,"",IF(OR(A143="",E143="",F143=""),"E_MISSING_INPUT",IF(X143=0,"E_MISSING_INPUT",IF(INDEX(nTP_Err,X143)&lt;&gt;"",INDEX(nTP_Err,X143),IF(Y143=0,"E_MISSING_INPUT",IF(AC143=0,"E_MISSING_INPUT",IF(AE143&lt;&gt;"",AE143,IF(AND(G143&lt;&gt;"",NOT(ISNUMBER(G143))),"E_MISSING_INPUT",IF(AND(ISNUMBER(G143),G143&lt;=0),"E_NONPOSITIVE_PARAMETER",IF(AND(ISNUMBER(G143),H143=""),"E_MISSING_INPUT",""))))))))))</f>
        <v/>
      </c>
      <c r="AG143" s="21" t="str">
        <f t="shared" si="169"/>
        <v/>
      </c>
      <c r="AH143" s="22">
        <f t="shared" si="170"/>
        <v>0</v>
      </c>
      <c r="AI143" s="21">
        <f>IF(X143=0,0,SUMPRODUCT((nADM_SelKey=W143)*(nADM_Kind="INFUSION_SEGMENT")*nADM_Rate_n*(((((nADM_SegE_UTC_n+AB143)-ABS(nADM_SegE_UTC_n-AB143))/2)-nADM_SegS_UTC_n)+ABS((((nADM_SegE_UTC_n+AB143)-ABS(nADM_SegE_UTC_n-AB143))/2)-nADM_SegS_UTC_n))/2)/60)</f>
        <v>0</v>
      </c>
      <c r="AJ143" s="21">
        <f>IF(X143=0,0,SUMPRODUCT((nADM_SelKey=W143)*(nADM_Kind="INFUSION_SEGMENT")*nADM_Rate_n*(((((nADM_SegE_Loc_n+AA143)-ABS(nADM_SegE_Loc_n-AA143))/2)-nADM_SegS_Loc_n)+ABS((((nADM_SegE_Loc_n+AA143)-ABS(nADM_SegE_Loc_n-AA143))/2)-nADM_SegS_Loc_n))/2)/60)</f>
        <v>0</v>
      </c>
    </row>
    <row r="144" spans="1:36" x14ac:dyDescent="0.2">
      <c r="A144" s="24" t="s">
        <v>288</v>
      </c>
      <c r="B144" s="23"/>
      <c r="C144" s="23"/>
      <c r="D144" s="23"/>
      <c r="E144" s="23"/>
      <c r="F144" s="23"/>
      <c r="G144" s="23"/>
      <c r="H144" s="23"/>
      <c r="I144" s="23"/>
      <c r="J144" s="23"/>
      <c r="K144" s="23"/>
      <c r="L144" s="23"/>
      <c r="M144" s="23"/>
      <c r="N144" s="23"/>
      <c r="O144" s="23"/>
      <c r="P144" s="23"/>
      <c r="Q144" s="23"/>
      <c r="R144" s="23"/>
      <c r="S144" s="23"/>
      <c r="T144" s="23"/>
      <c r="U144" s="23"/>
      <c r="V144" s="23"/>
      <c r="W144" s="23"/>
      <c r="X144" s="23"/>
      <c r="Y144" s="23"/>
      <c r="Z144" s="23"/>
      <c r="AA144" s="23"/>
      <c r="AB144" s="23"/>
      <c r="AC144" s="23"/>
      <c r="AD144" s="23"/>
      <c r="AE144" s="23"/>
      <c r="AF144" s="23"/>
      <c r="AG144" s="23"/>
      <c r="AH144" s="23"/>
      <c r="AI144" s="23"/>
      <c r="AJ144" s="23"/>
    </row>
    <row r="145" spans="1:36" x14ac:dyDescent="0.2">
      <c r="A145" s="9" t="s">
        <v>1202</v>
      </c>
      <c r="B145" s="9" t="s">
        <v>291</v>
      </c>
      <c r="C145" s="11">
        <v>2</v>
      </c>
      <c r="D145" s="9" t="s">
        <v>1203</v>
      </c>
      <c r="E145" s="9" t="s">
        <v>425</v>
      </c>
      <c r="F145" s="9" t="s">
        <v>952</v>
      </c>
      <c r="G145" s="16"/>
      <c r="H145" s="16"/>
      <c r="I145" s="9"/>
      <c r="J145" s="21" t="str">
        <f>IF(U145=1,"",IF(AF145&lt;&gt;"",AF145&amp;": no result is shown"&amp;IF(AF145="E_INVALID_UNIT"," (infusion rates must be in mg/hour; mL/hour needs a concentration and is not supported in CALC-SPEC 1.0)",""),FIXED(K145,1,TRUE)&amp;" mg infused before onset"&amp;IF(L145&lt;&gt;"","; "&amp;FIXED(L145,1,TRUE)&amp;"% of the planned "&amp;G145&amp;" mg","")&amp;" ("&amp;M145&amp;" segments; "&amp;N145&amp;")"))</f>
        <v>E_INVALID_UNIT: no result is shown (infusion rates must be in mg/hour; mL/hour needs a concentration and is not supported in CALC-SPEC 1.0)</v>
      </c>
      <c r="K145" s="21" t="str">
        <f>IF(AH145=1,IF(AD145=1,AI145,AJ145),"")</f>
        <v/>
      </c>
      <c r="L145" s="21" t="str">
        <f>IF(AND(AH145=1,ISNUMBER(G145)),100*K145/G145,"")</f>
        <v/>
      </c>
      <c r="M145" s="21">
        <f>IF(U145=1,"",AC145)</f>
        <v>1</v>
      </c>
      <c r="N145" s="21" t="str">
        <f>IF(AH145=0,"",IF(AD145=1,"UTC","local clock"))</f>
        <v/>
      </c>
      <c r="O145" s="21" t="str">
        <f>IF(U145=1,"",IF(AF145&lt;&gt;"",AF145,IF(AD145=0,"W_TZ_UNKNOWN","")))</f>
        <v>E_INVALID_UNIT</v>
      </c>
      <c r="P145" s="21" t="str">
        <f>IF(U145=1,"",IF(AF145&lt;&gt;"",AF145&amp;": "&amp;SUBSTITUTE(IFERROR(INDEX(nMSG_Text,MATCH(AF145,nMSG_Code,0)),""),"[input]",AG145),IF(AD145=0,"W_TZ_UNKNOWN: "&amp;SUBSTITUTE(IFERROR(INDEX(nMSG_Text,MATCH("W_TZ_UNKNOWN",nMSG_Code,0)),""),"[input]",""),"")))</f>
        <v>E_INVALID_UNIT: This unit is not supported here. Use one of the listed units.</v>
      </c>
      <c r="Q145" s="21" t="str">
        <f>IF(U145=1,"","Rate segments of exposure episode "&amp;E145&amp;" (Administrations); onset "&amp;F145&amp;IF(G145&lt;&gt;"","; planned dose = "&amp;G145&amp;" mg ["&amp;H145&amp;IF(I145&lt;&gt;"","; "&amp;I145,"")&amp;"]",""))</f>
        <v>Rate segments of exposure episode EX-A (Administrations); onset EV-1/ONSET</v>
      </c>
      <c r="R145" s="21" t="str">
        <f>IF(U145=1,"","Amount infused, not systemic or effect-site exposure. Assumes the recorded times without interruption and ignores line dead volume.")</f>
        <v>Amount infused, not systemic or effect-site exposure. Assumes the recorded times without interruption and ignores line dead volume.</v>
      </c>
      <c r="S145" s="21" t="str">
        <f>IF(U145=1,"","Amount = sum over segments of rate (mg/hour) x hours of that segment before onset")</f>
        <v>Amount = sum over segments of rate (mg/hour) x hours of that segment before onset</v>
      </c>
      <c r="T145" s="21" t="str">
        <f>IF(U145=1,"","CALC-SPEC 1.0")</f>
        <v>CALC-SPEC 1.0</v>
      </c>
      <c r="U145" s="22">
        <f>IF(AND(A145="",E145="",F145=""),1,0)</f>
        <v>0</v>
      </c>
      <c r="V145" s="21" t="str">
        <f>IF(A145="","",B145&amp;"|"&amp;C145&amp;"|"&amp;A145)</f>
        <v>EX-C01|2|Q9-C01</v>
      </c>
      <c r="W145" s="21" t="str">
        <f>B145&amp;"|"&amp;C145&amp;"|"&amp;E145</f>
        <v>EX-C01|2|EX-A</v>
      </c>
      <c r="X145" s="22">
        <f>IF(F145="",0,IFERROR(MATCH(B145&amp;"|"&amp;C145&amp;"|"&amp;F145,nTP_Key,0),0))</f>
        <v>280</v>
      </c>
      <c r="Y145" s="22">
        <f>IF(X145=0,0,INDEX(nTP_HT,X145))</f>
        <v>1</v>
      </c>
      <c r="Z145" s="22">
        <f>IF(X145=0,0,INDEX(nTP_OK,X145))</f>
        <v>1</v>
      </c>
      <c r="AA145" s="22">
        <f>IF(X145=0,0,INDEX(nTP_Loc_n,X145))</f>
        <v>66286635</v>
      </c>
      <c r="AB145" s="22">
        <f>IF(X145=0,0,INDEX(nTP_UTC_n,X145))</f>
        <v>66286935</v>
      </c>
      <c r="AC145" s="22">
        <f>COUNTIFS(nADM_SelKey,W145,nADM_Kind,"INFUSION_SEGMENT")</f>
        <v>1</v>
      </c>
      <c r="AD145" s="22">
        <f>IF(AND(Z145=1,COUNTIFS(nADM_SelKey,W145,nADM_Kind,"INFUSION_SEGMENT",nADM_SegOK,0)=0),1,0)</f>
        <v>1</v>
      </c>
      <c r="AE145" s="21" t="str">
        <f>IF(SUMPRODUCT((nADM_SelKey=W145)*(nADM_Kind="INFUSION_SEGMENT")*(LEFT(nADM_Seg_Check,2)="E_"))=0,"",INDEX(nADM_Seg_Check,MATCH(1,INDEX((nADM_SelKey=W145)*(nADM_Kind="INFUSION_SEGMENT")*(LEFT(nADM_Seg_Check,2)="E_"),0),0)))</f>
        <v>E_INVALID_UNIT</v>
      </c>
      <c r="AF145" s="21" t="str">
        <f>IF(U145=1,"",IF(OR(A145="",E145="",F145=""),"E_MISSING_INPUT",IF(X145=0,"E_MISSING_INPUT",IF(INDEX(nTP_Err,X145)&lt;&gt;"",INDEX(nTP_Err,X145),IF(Y145=0,"E_MISSING_INPUT",IF(AC145=0,"E_MISSING_INPUT",IF(AE145&lt;&gt;"",AE145,IF(AND(G145&lt;&gt;"",NOT(ISNUMBER(G145))),"E_MISSING_INPUT",IF(AND(ISNUMBER(G145),G145&lt;=0),"E_NONPOSITIVE_PARAMETER",IF(AND(ISNUMBER(G145),H145=""),"E_MISSING_INPUT",""))))))))))</f>
        <v>E_INVALID_UNIT</v>
      </c>
      <c r="AG145" s="21" t="str">
        <f>IF(AF145&lt;&gt;"E_MISSING_INPUT","",IF(A145="","a Calc_ID",IF(E145="","an Exposure_Episode_ID",IF(F145="","an onset record ID",IF(X145=0,"the onset record "&amp;F145,IF(Y145=0,"an onset time of day (timestamp)",IF(AC145=0,"INFUSION_SEGMENT rows on Administrations for "&amp;E145,IF(AE145&lt;&gt;"","segment start and end timestamps and a rate in mg/hour","a numeric planned dose with its Parameter_Status"))))))))</f>
        <v/>
      </c>
      <c r="AH145" s="22">
        <f>IF(AND(U145=0,AF145=""),1,0)</f>
        <v>0</v>
      </c>
      <c r="AI145" s="21">
        <f>IF(X145=0,0,SUMPRODUCT((nADM_SelKey=W145)*(nADM_Kind="INFUSION_SEGMENT")*nADM_Rate_n*(((((nADM_SegE_UTC_n+AB145)-ABS(nADM_SegE_UTC_n-AB145))/2)-nADM_SegS_UTC_n)+ABS((((nADM_SegE_UTC_n+AB145)-ABS(nADM_SegE_UTC_n-AB145))/2)-nADM_SegS_UTC_n))/2)/60)</f>
        <v>12.5</v>
      </c>
      <c r="AJ145" s="21">
        <f>IF(X145=0,0,SUMPRODUCT((nADM_SelKey=W145)*(nADM_Kind="INFUSION_SEGMENT")*nADM_Rate_n*(((((nADM_SegE_Loc_n+AA145)-ABS(nADM_SegE_Loc_n-AA145))/2)-nADM_SegS_Loc_n)+ABS((((nADM_SegE_Loc_n+AA145)-ABS(nADM_SegE_Loc_n-AA145))/2)-nADM_SegS_Loc_n))/2)/60)</f>
        <v>12.5</v>
      </c>
    </row>
    <row r="146" spans="1:36" x14ac:dyDescent="0.2">
      <c r="A146" s="24" t="s">
        <v>289</v>
      </c>
      <c r="B146" s="23"/>
      <c r="C146" s="23"/>
      <c r="D146" s="23"/>
      <c r="E146" s="23"/>
      <c r="F146" s="23"/>
      <c r="G146" s="23"/>
      <c r="H146" s="23"/>
      <c r="I146" s="23"/>
      <c r="J146" s="23"/>
      <c r="K146" s="23"/>
      <c r="L146" s="23"/>
      <c r="M146" s="23"/>
      <c r="N146" s="23"/>
      <c r="O146" s="23"/>
      <c r="P146" s="23"/>
      <c r="Q146" s="23"/>
      <c r="R146" s="23"/>
      <c r="S146" s="23"/>
      <c r="T146" s="23"/>
      <c r="U146" s="23"/>
      <c r="V146" s="23"/>
      <c r="W146" s="23"/>
      <c r="X146" s="23"/>
      <c r="Y146" s="23"/>
      <c r="Z146" s="23"/>
      <c r="AA146" s="23"/>
      <c r="AB146" s="23"/>
      <c r="AC146" s="23"/>
      <c r="AD146" s="23"/>
      <c r="AE146" s="23"/>
      <c r="AF146" s="23"/>
      <c r="AG146" s="23"/>
      <c r="AH146" s="23"/>
      <c r="AI146" s="23"/>
      <c r="AJ146" s="23"/>
    </row>
    <row r="147" spans="1:36" x14ac:dyDescent="0.2">
      <c r="A147" s="9" t="s">
        <v>1204</v>
      </c>
      <c r="B147" s="9" t="s">
        <v>351</v>
      </c>
      <c r="C147" s="11">
        <v>1</v>
      </c>
      <c r="D147" s="9" t="s">
        <v>1205</v>
      </c>
      <c r="E147" s="9" t="s">
        <v>494</v>
      </c>
      <c r="F147" s="9" t="s">
        <v>1005</v>
      </c>
      <c r="G147" s="16">
        <v>500</v>
      </c>
      <c r="H147" s="16" t="s">
        <v>81</v>
      </c>
      <c r="I147" s="9" t="s">
        <v>1206</v>
      </c>
      <c r="J147" s="21" t="str">
        <f>IF(U147=1,"",IF(AF147&lt;&gt;"",AF147&amp;": no result is shown"&amp;IF(AF147="E_INVALID_UNIT"," (infusion rates must be in mg/hour; mL/hour needs a concentration and is not supported in CALC-SPEC 1.0)",""),FIXED(K147,1,TRUE)&amp;" mg infused before onset"&amp;IF(L147&lt;&gt;"","; "&amp;FIXED(L147,1,TRUE)&amp;"% of the planned "&amp;G147&amp;" mg","")&amp;" ("&amp;M147&amp;" segments; "&amp;N147&amp;")"))</f>
        <v>58.3 mg infused before onset; 11.7% of the planned 500 mg (2 segments; UTC)</v>
      </c>
      <c r="K147" s="21">
        <f>IF(AH147=1,IF(AD147=1,AI147,AJ147),"")</f>
        <v>58.333333333333336</v>
      </c>
      <c r="L147" s="21">
        <f>IF(AND(AH147=1,ISNUMBER(G147)),100*K147/G147,"")</f>
        <v>11.666666666666668</v>
      </c>
      <c r="M147" s="21">
        <f>IF(U147=1,"",AC147)</f>
        <v>2</v>
      </c>
      <c r="N147" s="21" t="str">
        <f>IF(AH147=0,"",IF(AD147=1,"UTC","local clock"))</f>
        <v>UTC</v>
      </c>
      <c r="O147" s="21" t="str">
        <f>IF(U147=1,"",IF(AF147&lt;&gt;"",AF147,IF(AD147=0,"W_TZ_UNKNOWN","")))</f>
        <v/>
      </c>
      <c r="P147" s="21" t="str">
        <f>IF(U147=1,"",IF(AF147&lt;&gt;"",AF147&amp;": "&amp;SUBSTITUTE(IFERROR(INDEX(nMSG_Text,MATCH(AF147,nMSG_Code,0)),""),"[input]",AG147),IF(AD147=0,"W_TZ_UNKNOWN: "&amp;SUBSTITUTE(IFERROR(INDEX(nMSG_Text,MATCH("W_TZ_UNKNOWN",nMSG_Code,0)),""),"[input]",""),"")))</f>
        <v/>
      </c>
      <c r="Q147" s="21" t="str">
        <f>IF(U147=1,"","Rate segments of exposure episode "&amp;E147&amp;" (Administrations); onset "&amp;F147&amp;IF(G147&lt;&gt;"","; planned dose = "&amp;G147&amp;" mg ["&amp;H147&amp;IF(I147&lt;&gt;"","; "&amp;I147,"")&amp;"]",""))</f>
        <v>Rate segments of exposure episode EX1 (Administrations); onset EV1/ONSET; planned dose = 500 mg [hypothetical example; V15 V25]</v>
      </c>
      <c r="R147" s="21" t="str">
        <f>IF(U147=1,"","Amount infused, not systemic or effect-site exposure. Assumes the recorded times without interruption and ignores line dead volume.")</f>
        <v>Amount infused, not systemic or effect-site exposure. Assumes the recorded times without interruption and ignores line dead volume.</v>
      </c>
      <c r="S147" s="21" t="str">
        <f>IF(U147=1,"","Amount = sum over segments of rate (mg/hour) x hours of that segment before onset")</f>
        <v>Amount = sum over segments of rate (mg/hour) x hours of that segment before onset</v>
      </c>
      <c r="T147" s="21" t="str">
        <f>IF(U147=1,"","CALC-SPEC 1.0")</f>
        <v>CALC-SPEC 1.0</v>
      </c>
      <c r="U147" s="22">
        <f>IF(AND(A147="",E147="",F147=""),1,0)</f>
        <v>0</v>
      </c>
      <c r="V147" s="21" t="str">
        <f>IF(A147="","",B147&amp;"|"&amp;C147&amp;"|"&amp;A147)</f>
        <v>VEC-V25|1|Q9-V25</v>
      </c>
      <c r="W147" s="21" t="str">
        <f>B147&amp;"|"&amp;C147&amp;"|"&amp;E147</f>
        <v>VEC-V25|1|EX1</v>
      </c>
      <c r="X147" s="22">
        <f>IF(F147="",0,IFERROR(MATCH(B147&amp;"|"&amp;C147&amp;"|"&amp;F147,nTP_Key,0),0))</f>
        <v>300</v>
      </c>
      <c r="Y147" s="22">
        <f>IF(X147=0,0,INDEX(nTP_HT,X147))</f>
        <v>1</v>
      </c>
      <c r="Z147" s="22">
        <f>IF(X147=0,0,INDEX(nTP_OK,X147))</f>
        <v>1</v>
      </c>
      <c r="AA147" s="22">
        <f>IF(X147=0,0,INDEX(nTP_Loc_n,X147))</f>
        <v>66286670</v>
      </c>
      <c r="AB147" s="22">
        <f>IF(X147=0,0,INDEX(nTP_UTC_n,X147))</f>
        <v>66286970</v>
      </c>
      <c r="AC147" s="22">
        <f>COUNTIFS(nADM_SelKey,W147,nADM_Kind,"INFUSION_SEGMENT")</f>
        <v>2</v>
      </c>
      <c r="AD147" s="22">
        <f>IF(AND(Z147=1,COUNTIFS(nADM_SelKey,W147,nADM_Kind,"INFUSION_SEGMENT",nADM_SegOK,0)=0),1,0)</f>
        <v>1</v>
      </c>
      <c r="AE147" s="21" t="str">
        <f>IF(SUMPRODUCT((nADM_SelKey=W147)*(nADM_Kind="INFUSION_SEGMENT")*(LEFT(nADM_Seg_Check,2)="E_"))=0,"",INDEX(nADM_Seg_Check,MATCH(1,INDEX((nADM_SelKey=W147)*(nADM_Kind="INFUSION_SEGMENT")*(LEFT(nADM_Seg_Check,2)="E_"),0),0)))</f>
        <v/>
      </c>
      <c r="AF147" s="21" t="str">
        <f>IF(U147=1,"",IF(OR(A147="",E147="",F147=""),"E_MISSING_INPUT",IF(X147=0,"E_MISSING_INPUT",IF(INDEX(nTP_Err,X147)&lt;&gt;"",INDEX(nTP_Err,X147),IF(Y147=0,"E_MISSING_INPUT",IF(AC147=0,"E_MISSING_INPUT",IF(AE147&lt;&gt;"",AE147,IF(AND(G147&lt;&gt;"",NOT(ISNUMBER(G147))),"E_MISSING_INPUT",IF(AND(ISNUMBER(G147),G147&lt;=0),"E_NONPOSITIVE_PARAMETER",IF(AND(ISNUMBER(G147),H147=""),"E_MISSING_INPUT",""))))))))))</f>
        <v/>
      </c>
      <c r="AG147" s="21" t="str">
        <f>IF(AF147&lt;&gt;"E_MISSING_INPUT","",IF(A147="","a Calc_ID",IF(E147="","an Exposure_Episode_ID",IF(F147="","an onset record ID",IF(X147=0,"the onset record "&amp;F147,IF(Y147=0,"an onset time of day (timestamp)",IF(AC147=0,"INFUSION_SEGMENT rows on Administrations for "&amp;E147,IF(AE147&lt;&gt;"","segment start and end timestamps and a rate in mg/hour","a numeric planned dose with its Parameter_Status"))))))))</f>
        <v/>
      </c>
      <c r="AH147" s="22">
        <f>IF(AND(U147=0,AF147=""),1,0)</f>
        <v>1</v>
      </c>
      <c r="AI147" s="21">
        <f>IF(X147=0,0,SUMPRODUCT((nADM_SelKey=W147)*(nADM_Kind="INFUSION_SEGMENT")*nADM_Rate_n*(((((nADM_SegE_UTC_n+AB147)-ABS(nADM_SegE_UTC_n-AB147))/2)-nADM_SegS_UTC_n)+ABS((((nADM_SegE_UTC_n+AB147)-ABS(nADM_SegE_UTC_n-AB147))/2)-nADM_SegS_UTC_n))/2)/60)</f>
        <v>58.333333333333336</v>
      </c>
      <c r="AJ147" s="21">
        <f>IF(X147=0,0,SUMPRODUCT((nADM_SelKey=W147)*(nADM_Kind="INFUSION_SEGMENT")*nADM_Rate_n*(((((nADM_SegE_Loc_n+AA147)-ABS(nADM_SegE_Loc_n-AA147))/2)-nADM_SegS_Loc_n)+ABS((((nADM_SegE_Loc_n+AA147)-ABS(nADM_SegE_Loc_n-AA147))/2)-nADM_SegS_Loc_n))/2)/60)</f>
        <v>58.333333333333336</v>
      </c>
    </row>
    <row r="150" spans="1:36" ht="17.25" x14ac:dyDescent="0.3">
      <c r="A150" s="6" t="s">
        <v>1207</v>
      </c>
    </row>
    <row r="151" spans="1:36" x14ac:dyDescent="0.2">
      <c r="A151" s="7" t="s">
        <v>1023</v>
      </c>
    </row>
    <row r="152" spans="1:36" x14ac:dyDescent="0.2">
      <c r="A152" s="2" t="s">
        <v>1024</v>
      </c>
      <c r="E152" s="2" t="s">
        <v>1208</v>
      </c>
      <c r="I152" s="2" t="s">
        <v>1040</v>
      </c>
      <c r="V152" s="2" t="s">
        <v>1052</v>
      </c>
    </row>
    <row r="153" spans="1:36" ht="66" customHeight="1" x14ac:dyDescent="0.2">
      <c r="A153" s="8" t="s">
        <v>1025</v>
      </c>
      <c r="B153" s="8" t="s">
        <v>274</v>
      </c>
      <c r="C153" s="8" t="s">
        <v>275</v>
      </c>
      <c r="D153" s="8" t="s">
        <v>1026</v>
      </c>
      <c r="E153" s="8" t="s">
        <v>1209</v>
      </c>
      <c r="F153" s="8" t="s">
        <v>1210</v>
      </c>
      <c r="G153" s="8" t="s">
        <v>1211</v>
      </c>
      <c r="H153" s="8" t="s">
        <v>1212</v>
      </c>
      <c r="I153" s="19" t="s">
        <v>1213</v>
      </c>
      <c r="J153" s="19" t="s">
        <v>1214</v>
      </c>
      <c r="K153" s="19" t="s">
        <v>1215</v>
      </c>
      <c r="L153" s="19" t="s">
        <v>1216</v>
      </c>
      <c r="M153" s="19" t="s">
        <v>1217</v>
      </c>
      <c r="N153" s="19" t="s">
        <v>1218</v>
      </c>
      <c r="O153" s="19" t="s">
        <v>1219</v>
      </c>
      <c r="P153" s="19" t="s">
        <v>1046</v>
      </c>
      <c r="Q153" s="19" t="s">
        <v>1047</v>
      </c>
      <c r="R153" s="19" t="s">
        <v>1048</v>
      </c>
      <c r="S153" s="19" t="s">
        <v>1050</v>
      </c>
      <c r="T153" s="19" t="s">
        <v>1051</v>
      </c>
      <c r="U153" s="19" t="s">
        <v>895</v>
      </c>
      <c r="V153" s="19" t="s">
        <v>897</v>
      </c>
      <c r="W153" s="19" t="s">
        <v>1053</v>
      </c>
      <c r="X153" s="19" t="s">
        <v>1191</v>
      </c>
      <c r="Y153" s="19" t="s">
        <v>930</v>
      </c>
      <c r="Z153" s="19" t="s">
        <v>1054</v>
      </c>
      <c r="AA153" s="19" t="s">
        <v>1055</v>
      </c>
      <c r="AB153" s="19" t="s">
        <v>1220</v>
      </c>
      <c r="AC153" s="19" t="s">
        <v>1221</v>
      </c>
      <c r="AD153" s="19" t="s">
        <v>1222</v>
      </c>
      <c r="AE153" s="19" t="s">
        <v>1223</v>
      </c>
    </row>
    <row r="154" spans="1:36" x14ac:dyDescent="0.2">
      <c r="A154" s="10"/>
      <c r="B154" s="10"/>
      <c r="C154" s="12"/>
      <c r="D154" s="10"/>
      <c r="E154" s="10"/>
      <c r="F154" s="17"/>
      <c r="G154" s="17"/>
      <c r="H154" s="10"/>
      <c r="I154" s="21" t="str">
        <f t="shared" ref="I154:I161" si="171">IF(V154=1,"",IF(Y154&lt;&gt;"",Y154&amp;": no result is shown","Method A (sum of dose / BSA at each administration): "&amp;FIXED(J154,1,TRUE)&amp;" mg/m²"&amp;IF(M154&lt;L154," (lower bound from "&amp;M154&amp;" of "&amp;L154&amp;" administrations)","")&amp;IF(F154="","",IF(AE154&lt;&gt;"","; Method B: "&amp;AE154,"; Method B (total "&amp;K154&amp;" mg / "&amp;N154&amp;" m², "&amp;F154&amp;" BSA): "&amp;FIXED(O154,1,TRUE)&amp;" mg/m²"))))</f>
        <v/>
      </c>
      <c r="J154" s="21" t="str">
        <f>IF(AA154=1,SUMPRODUCT((nADM_SelKey=X154)*(nADM_Kind&lt;&gt;"INFUSION_SEGMENT")*nADM_HasDose*nADM_Dose_per_BSA),"")</f>
        <v/>
      </c>
      <c r="K154" s="21" t="str">
        <f>IF(AA154=1,SUMPRODUCT((nADM_SelKey=X154)*(nADM_Kind&lt;&gt;"INFUSION_SEGMENT")*nADM_HasDose*nADM_Dose_n),"")</f>
        <v/>
      </c>
      <c r="L154" s="21" t="str">
        <f>IF(V154=1,"",SUMPRODUCT((nADM_SelKey=X154)*(nADM_Kind&lt;&gt;"INFUSION_SEGMENT")*nADM_HasDose))</f>
        <v/>
      </c>
      <c r="M154" s="21" t="str">
        <f>IF(V154=1,"",SUMPRODUCT((nADM_SelKey=X154)*(nADM_Kind&lt;&gt;"INFUSION_SEGMENT")*nADM_HasDose*nADM_HasBSA))</f>
        <v/>
      </c>
      <c r="N154" s="21" t="str">
        <f>IF(OR(AA154=0,F154=""),"",IF(F154="STATED",IF(ISNUMBER(G154),G154,""),IF(F154="FIRST",IF(INDEX(nADM_HasBSA,AD154)=1,INDEX(nADM_BSA_n,AD154),""),IF(LOOKUP(2,1/((nADM_SelKey=X154)*(nADM_Kind&lt;&gt;"INFUSION_SEGMENT")*nADM_HasDose*(nADM_Sort_n=AC154)),nADM_HasBSA)=1,LOOKUP(2,1/((nADM_SelKey=X154)*(nADM_Kind&lt;&gt;"INFUSION_SEGMENT")*nADM_HasDose*(nADM_Sort_n=AC154)),nADM_BSA_n),""))))</f>
        <v/>
      </c>
      <c r="O154" s="21" t="str">
        <f t="shared" ref="O154:O161" si="172">IF(OR(AA154=0,F154="",AE154&lt;&gt;""),"",K154/N154)</f>
        <v/>
      </c>
      <c r="P154" s="21" t="str">
        <f t="shared" ref="P154:P161" si="173">IF(V154=1,"",IF(Y154&lt;&gt;"",Y154,MID(IF(M154&lt;L154,"; W_PARTIAL_BSA","")&amp;IF(AE154&lt;&gt;"","; "&amp;AE154&amp;" (Method B)",""),3,99)))</f>
        <v/>
      </c>
      <c r="Q154" s="21" t="str">
        <f>IF(V154=1,"",IF(Y154&lt;&gt;"",Y154&amp;": "&amp;SUBSTITUTE(IFERROR(INDEX(nMSG_Text,MATCH(Y154,nMSG_Code,0)),""),"[input]",Z154),MID(IF(M154&lt;L154," | W_PARTIAL_BSA: "&amp;SUBSTITUTE(IFERROR(INDEX(nMSG_Text,MATCH("W_PARTIAL_BSA",nMSG_Code,0)),""),"[input]",""),"")&amp;IF(AE154&lt;&gt;""," | "&amp;AE154&amp;" (Method B): "&amp;SUBSTITUTE(IFERROR(INDEX(nMSG_Text,MATCH(AE154,nMSG_Code,0)),""),"[input]","a BSA for Method B"),""),4,999)))</f>
        <v/>
      </c>
      <c r="R154" s="21" t="str">
        <f t="shared" ref="R154:R161" si="174">IF(V154=1,"","Doses (mg) and BSA (m2) recorded at each administration of "&amp;E154&amp;" on Administrations"&amp;IF(F154&lt;&gt;"","; Method B BSA: "&amp;F154&amp;IF(H154&lt;&gt;""," ("&amp;H154&amp;")",""),""))</f>
        <v/>
      </c>
      <c r="S154" s="21" t="str">
        <f t="shared" ref="S154:S161" si="175">IF(V154=1,"","Describes cumulative exposure. It is not a toxicity threshold.")</f>
        <v/>
      </c>
      <c r="T154" s="21" t="str">
        <f t="shared" ref="T154:T161" si="176">IF(V154=1,"","Method A (default): sum of dose_i / BSA_i; Method B (on request): total dose / one stated BSA")</f>
        <v/>
      </c>
      <c r="U154" s="21" t="str">
        <f t="shared" ref="U154:U161" si="177">IF(V154=1,"","CALC-SPEC 1.0")</f>
        <v/>
      </c>
      <c r="V154" s="22">
        <f t="shared" ref="V154:V161" si="178">IF(AND(A154="",E154=""),1,0)</f>
        <v>1</v>
      </c>
      <c r="W154" s="21" t="str">
        <f t="shared" ref="W154:W161" si="179">IF(A154="","",B154&amp;"|"&amp;C154&amp;"|"&amp;A154)</f>
        <v/>
      </c>
      <c r="X154" s="21" t="str">
        <f t="shared" ref="X154:X161" si="180">B154&amp;"|"&amp;C154&amp;"|"&amp;E154</f>
        <v>||</v>
      </c>
      <c r="Y154" s="21" t="str">
        <f>IF(V154=1,"",IF(OR(A154="",E154=""),"E_MISSING_INPUT",IF(SUMPRODUCT((nADM_SelKey=X154)*(nADM_Kind&lt;&gt;"INFUSION_SEGMENT"))=0,"E_MISSING_INPUT",IF(SUMPRODUCT((nADM_SelKey=X154)*(nADM_Kind&lt;&gt;"INFUSION_SEGMENT")*(1-nADM_HasDose))&gt;0,"E_MISSING_INPUT",IF(SUMPRODUCT((nADM_SelKey=X154)*(nADM_Kind&lt;&gt;"INFUSION_SEGMENT")*nADM_HasDose*(nADM_Dose_Unit&lt;&gt;"mg"))&gt;0,"E_INVALID_UNIT",IF(SUMPRODUCT((nADM_SelKey=X154)*(nADM_Kind&lt;&gt;"INFUSION_SEGMENT")*nADM_HasDose*(nADM_Dose_n&lt;=0))&gt;0,"E_NONPOSITIVE_PARAMETER",IF(SUMPRODUCT((nADM_SelKey=X154)*(nADM_Kind&lt;&gt;"INFUSION_SEGMENT")*nADM_HasDose*nADM_HasBSA*(nADM_BSA_n&lt;=0))&gt;0,"E_NONPOSITIVE_PARAMETER",IF(SUMPRODUCT((nADM_SelKey=X154)*(nADM_Kind&lt;&gt;"INFUSION_SEGMENT")*nADM_HasDose*nADM_HasBSA)=0,"E_MISSING_INPUT",""))))))))</f>
        <v/>
      </c>
      <c r="Z154" s="21" t="str">
        <f>IF(Y154&lt;&gt;"E_MISSING_INPUT","",IF(A154="","a Calc_ID",IF(E154="","an Exposure_Episode_ID",IF(SUMPRODUCT((nADM_SelKey=X154)*(nADM_Kind&lt;&gt;"INFUSION_SEGMENT"))=0,"administrations with a dose for "&amp;E154,IF(SUMPRODUCT((nADM_SelKey=X154)*(nADM_Kind&lt;&gt;"INFUSION_SEGMENT")*(1-nADM_HasDose))&gt;0,"the dose (mg) of every administration of "&amp;E154&amp;" ("&amp;SUMPRODUCT((nADM_SelKey=X154)*(nADM_Kind&lt;&gt;"INFUSION_SEGMENT")*(1-nADM_HasDose))&amp;" of "&amp;SUMPRODUCT((nADM_SelKey=X154)*(nADM_Kind&lt;&gt;"INFUSION_SEGMENT"))&amp;" have no dose)","the BSA recorded at one or more administrations of "&amp;E154&amp;" (none is recorded)")))))</f>
        <v/>
      </c>
      <c r="AA154" s="22">
        <f t="shared" ref="AA154:AA161" si="181">IF(AND(V154=0,Y154=""),1,0)</f>
        <v>0</v>
      </c>
      <c r="AB154" s="22">
        <f>IF(AA154=0,0,1000000000000-SUMPRODUCT(MAX((nADM_SelKey=X154)*(nADM_Kind&lt;&gt;"INFUSION_SEGMENT")*nADM_HasDose*(1000000000000-nADM_Sort_n))))</f>
        <v>0</v>
      </c>
      <c r="AC154" s="22">
        <f>IF(AA154=0,0,SUMPRODUCT(MAX((nADM_SelKey=X154)*(nADM_Kind&lt;&gt;"INFUSION_SEGMENT")*nADM_HasDose*nADM_Sort_n)))</f>
        <v>0</v>
      </c>
      <c r="AD154" s="22">
        <f>IF(AA154=0,0,MATCH(1,INDEX((nADM_SelKey=X154)*(nADM_Kind&lt;&gt;"INFUSION_SEGMENT")*nADM_HasDose*(nADM_Sort_n=AB154),0),0))</f>
        <v>0</v>
      </c>
      <c r="AE154" s="21" t="str">
        <f t="shared" ref="AE154:AE161" si="182">IF(OR(AA154=0,F154=""),"",IF(N154="","E_MISSING_INPUT",IF(N154&lt;=0,"E_NONPOSITIVE_PARAMETER","")))</f>
        <v/>
      </c>
    </row>
    <row r="155" spans="1:36" x14ac:dyDescent="0.2">
      <c r="A155" s="10"/>
      <c r="B155" s="10"/>
      <c r="C155" s="12"/>
      <c r="D155" s="10"/>
      <c r="E155" s="10"/>
      <c r="F155" s="17"/>
      <c r="G155" s="17"/>
      <c r="H155" s="10"/>
      <c r="I155" s="21" t="str">
        <f t="shared" si="171"/>
        <v/>
      </c>
      <c r="J155" s="21" t="str">
        <f>IF(AA155=1,SUMPRODUCT((nADM_SelKey=X155)*(nADM_Kind&lt;&gt;"INFUSION_SEGMENT")*nADM_HasDose*nADM_Dose_per_BSA),"")</f>
        <v/>
      </c>
      <c r="K155" s="21" t="str">
        <f>IF(AA155=1,SUMPRODUCT((nADM_SelKey=X155)*(nADM_Kind&lt;&gt;"INFUSION_SEGMENT")*nADM_HasDose*nADM_Dose_n),"")</f>
        <v/>
      </c>
      <c r="L155" s="21" t="str">
        <f>IF(V155=1,"",SUMPRODUCT((nADM_SelKey=X155)*(nADM_Kind&lt;&gt;"INFUSION_SEGMENT")*nADM_HasDose))</f>
        <v/>
      </c>
      <c r="M155" s="21" t="str">
        <f>IF(V155=1,"",SUMPRODUCT((nADM_SelKey=X155)*(nADM_Kind&lt;&gt;"INFUSION_SEGMENT")*nADM_HasDose*nADM_HasBSA))</f>
        <v/>
      </c>
      <c r="N155" s="21" t="str">
        <f>IF(OR(AA155=0,F155=""),"",IF(F155="STATED",IF(ISNUMBER(G155),G155,""),IF(F155="FIRST",IF(INDEX(nADM_HasBSA,AD155)=1,INDEX(nADM_BSA_n,AD155),""),IF(LOOKUP(2,1/((nADM_SelKey=X155)*(nADM_Kind&lt;&gt;"INFUSION_SEGMENT")*nADM_HasDose*(nADM_Sort_n=AC155)),nADM_HasBSA)=1,LOOKUP(2,1/((nADM_SelKey=X155)*(nADM_Kind&lt;&gt;"INFUSION_SEGMENT")*nADM_HasDose*(nADM_Sort_n=AC155)),nADM_BSA_n),""))))</f>
        <v/>
      </c>
      <c r="O155" s="21" t="str">
        <f t="shared" si="172"/>
        <v/>
      </c>
      <c r="P155" s="21" t="str">
        <f t="shared" si="173"/>
        <v/>
      </c>
      <c r="Q155" s="21" t="str">
        <f>IF(V155=1,"",IF(Y155&lt;&gt;"",Y155&amp;": "&amp;SUBSTITUTE(IFERROR(INDEX(nMSG_Text,MATCH(Y155,nMSG_Code,0)),""),"[input]",Z155),MID(IF(M155&lt;L155," | W_PARTIAL_BSA: "&amp;SUBSTITUTE(IFERROR(INDEX(nMSG_Text,MATCH("W_PARTIAL_BSA",nMSG_Code,0)),""),"[input]",""),"")&amp;IF(AE155&lt;&gt;""," | "&amp;AE155&amp;" (Method B): "&amp;SUBSTITUTE(IFERROR(INDEX(nMSG_Text,MATCH(AE155,nMSG_Code,0)),""),"[input]","a BSA for Method B"),""),4,999)))</f>
        <v/>
      </c>
      <c r="R155" s="21" t="str">
        <f t="shared" si="174"/>
        <v/>
      </c>
      <c r="S155" s="21" t="str">
        <f t="shared" si="175"/>
        <v/>
      </c>
      <c r="T155" s="21" t="str">
        <f t="shared" si="176"/>
        <v/>
      </c>
      <c r="U155" s="21" t="str">
        <f t="shared" si="177"/>
        <v/>
      </c>
      <c r="V155" s="22">
        <f t="shared" si="178"/>
        <v>1</v>
      </c>
      <c r="W155" s="21" t="str">
        <f t="shared" si="179"/>
        <v/>
      </c>
      <c r="X155" s="21" t="str">
        <f t="shared" si="180"/>
        <v>||</v>
      </c>
      <c r="Y155" s="21" t="str">
        <f>IF(V155=1,"",IF(OR(A155="",E155=""),"E_MISSING_INPUT",IF(SUMPRODUCT((nADM_SelKey=X155)*(nADM_Kind&lt;&gt;"INFUSION_SEGMENT"))=0,"E_MISSING_INPUT",IF(SUMPRODUCT((nADM_SelKey=X155)*(nADM_Kind&lt;&gt;"INFUSION_SEGMENT")*(1-nADM_HasDose))&gt;0,"E_MISSING_INPUT",IF(SUMPRODUCT((nADM_SelKey=X155)*(nADM_Kind&lt;&gt;"INFUSION_SEGMENT")*nADM_HasDose*(nADM_Dose_Unit&lt;&gt;"mg"))&gt;0,"E_INVALID_UNIT",IF(SUMPRODUCT((nADM_SelKey=X155)*(nADM_Kind&lt;&gt;"INFUSION_SEGMENT")*nADM_HasDose*(nADM_Dose_n&lt;=0))&gt;0,"E_NONPOSITIVE_PARAMETER",IF(SUMPRODUCT((nADM_SelKey=X155)*(nADM_Kind&lt;&gt;"INFUSION_SEGMENT")*nADM_HasDose*nADM_HasBSA*(nADM_BSA_n&lt;=0))&gt;0,"E_NONPOSITIVE_PARAMETER",IF(SUMPRODUCT((nADM_SelKey=X155)*(nADM_Kind&lt;&gt;"INFUSION_SEGMENT")*nADM_HasDose*nADM_HasBSA)=0,"E_MISSING_INPUT",""))))))))</f>
        <v/>
      </c>
      <c r="Z155" s="21" t="str">
        <f>IF(Y155&lt;&gt;"E_MISSING_INPUT","",IF(A155="","a Calc_ID",IF(E155="","an Exposure_Episode_ID",IF(SUMPRODUCT((nADM_SelKey=X155)*(nADM_Kind&lt;&gt;"INFUSION_SEGMENT"))=0,"administrations with a dose for "&amp;E155,IF(SUMPRODUCT((nADM_SelKey=X155)*(nADM_Kind&lt;&gt;"INFUSION_SEGMENT")*(1-nADM_HasDose))&gt;0,"the dose (mg) of every administration of "&amp;E155&amp;" ("&amp;SUMPRODUCT((nADM_SelKey=X155)*(nADM_Kind&lt;&gt;"INFUSION_SEGMENT")*(1-nADM_HasDose))&amp;" of "&amp;SUMPRODUCT((nADM_SelKey=X155)*(nADM_Kind&lt;&gt;"INFUSION_SEGMENT"))&amp;" have no dose)","the BSA recorded at one or more administrations of "&amp;E155&amp;" (none is recorded)")))))</f>
        <v/>
      </c>
      <c r="AA155" s="22">
        <f t="shared" si="181"/>
        <v>0</v>
      </c>
      <c r="AB155" s="22">
        <f>IF(AA155=0,0,1000000000000-SUMPRODUCT(MAX((nADM_SelKey=X155)*(nADM_Kind&lt;&gt;"INFUSION_SEGMENT")*nADM_HasDose*(1000000000000-nADM_Sort_n))))</f>
        <v>0</v>
      </c>
      <c r="AC155" s="22">
        <f>IF(AA155=0,0,SUMPRODUCT(MAX((nADM_SelKey=X155)*(nADM_Kind&lt;&gt;"INFUSION_SEGMENT")*nADM_HasDose*nADM_Sort_n)))</f>
        <v>0</v>
      </c>
      <c r="AD155" s="22">
        <f>IF(AA155=0,0,MATCH(1,INDEX((nADM_SelKey=X155)*(nADM_Kind&lt;&gt;"INFUSION_SEGMENT")*nADM_HasDose*(nADM_Sort_n=AB155),0),0))</f>
        <v>0</v>
      </c>
      <c r="AE155" s="21" t="str">
        <f t="shared" si="182"/>
        <v/>
      </c>
    </row>
    <row r="156" spans="1:36" x14ac:dyDescent="0.2">
      <c r="A156" s="10"/>
      <c r="B156" s="10"/>
      <c r="C156" s="12"/>
      <c r="D156" s="10"/>
      <c r="E156" s="10"/>
      <c r="F156" s="17"/>
      <c r="G156" s="17"/>
      <c r="H156" s="10"/>
      <c r="I156" s="21" t="str">
        <f t="shared" si="171"/>
        <v/>
      </c>
      <c r="J156" s="21" t="str">
        <f>IF(AA156=1,SUMPRODUCT((nADM_SelKey=X156)*(nADM_Kind&lt;&gt;"INFUSION_SEGMENT")*nADM_HasDose*nADM_Dose_per_BSA),"")</f>
        <v/>
      </c>
      <c r="K156" s="21" t="str">
        <f>IF(AA156=1,SUMPRODUCT((nADM_SelKey=X156)*(nADM_Kind&lt;&gt;"INFUSION_SEGMENT")*nADM_HasDose*nADM_Dose_n),"")</f>
        <v/>
      </c>
      <c r="L156" s="21" t="str">
        <f>IF(V156=1,"",SUMPRODUCT((nADM_SelKey=X156)*(nADM_Kind&lt;&gt;"INFUSION_SEGMENT")*nADM_HasDose))</f>
        <v/>
      </c>
      <c r="M156" s="21" t="str">
        <f>IF(V156=1,"",SUMPRODUCT((nADM_SelKey=X156)*(nADM_Kind&lt;&gt;"INFUSION_SEGMENT")*nADM_HasDose*nADM_HasBSA))</f>
        <v/>
      </c>
      <c r="N156" s="21" t="str">
        <f>IF(OR(AA156=0,F156=""),"",IF(F156="STATED",IF(ISNUMBER(G156),G156,""),IF(F156="FIRST",IF(INDEX(nADM_HasBSA,AD156)=1,INDEX(nADM_BSA_n,AD156),""),IF(LOOKUP(2,1/((nADM_SelKey=X156)*(nADM_Kind&lt;&gt;"INFUSION_SEGMENT")*nADM_HasDose*(nADM_Sort_n=AC156)),nADM_HasBSA)=1,LOOKUP(2,1/((nADM_SelKey=X156)*(nADM_Kind&lt;&gt;"INFUSION_SEGMENT")*nADM_HasDose*(nADM_Sort_n=AC156)),nADM_BSA_n),""))))</f>
        <v/>
      </c>
      <c r="O156" s="21" t="str">
        <f t="shared" si="172"/>
        <v/>
      </c>
      <c r="P156" s="21" t="str">
        <f t="shared" si="173"/>
        <v/>
      </c>
      <c r="Q156" s="21" t="str">
        <f>IF(V156=1,"",IF(Y156&lt;&gt;"",Y156&amp;": "&amp;SUBSTITUTE(IFERROR(INDEX(nMSG_Text,MATCH(Y156,nMSG_Code,0)),""),"[input]",Z156),MID(IF(M156&lt;L156," | W_PARTIAL_BSA: "&amp;SUBSTITUTE(IFERROR(INDEX(nMSG_Text,MATCH("W_PARTIAL_BSA",nMSG_Code,0)),""),"[input]",""),"")&amp;IF(AE156&lt;&gt;""," | "&amp;AE156&amp;" (Method B): "&amp;SUBSTITUTE(IFERROR(INDEX(nMSG_Text,MATCH(AE156,nMSG_Code,0)),""),"[input]","a BSA for Method B"),""),4,999)))</f>
        <v/>
      </c>
      <c r="R156" s="21" t="str">
        <f t="shared" si="174"/>
        <v/>
      </c>
      <c r="S156" s="21" t="str">
        <f t="shared" si="175"/>
        <v/>
      </c>
      <c r="T156" s="21" t="str">
        <f t="shared" si="176"/>
        <v/>
      </c>
      <c r="U156" s="21" t="str">
        <f t="shared" si="177"/>
        <v/>
      </c>
      <c r="V156" s="22">
        <f t="shared" si="178"/>
        <v>1</v>
      </c>
      <c r="W156" s="21" t="str">
        <f t="shared" si="179"/>
        <v/>
      </c>
      <c r="X156" s="21" t="str">
        <f t="shared" si="180"/>
        <v>||</v>
      </c>
      <c r="Y156" s="21" t="str">
        <f>IF(V156=1,"",IF(OR(A156="",E156=""),"E_MISSING_INPUT",IF(SUMPRODUCT((nADM_SelKey=X156)*(nADM_Kind&lt;&gt;"INFUSION_SEGMENT"))=0,"E_MISSING_INPUT",IF(SUMPRODUCT((nADM_SelKey=X156)*(nADM_Kind&lt;&gt;"INFUSION_SEGMENT")*(1-nADM_HasDose))&gt;0,"E_MISSING_INPUT",IF(SUMPRODUCT((nADM_SelKey=X156)*(nADM_Kind&lt;&gt;"INFUSION_SEGMENT")*nADM_HasDose*(nADM_Dose_Unit&lt;&gt;"mg"))&gt;0,"E_INVALID_UNIT",IF(SUMPRODUCT((nADM_SelKey=X156)*(nADM_Kind&lt;&gt;"INFUSION_SEGMENT")*nADM_HasDose*(nADM_Dose_n&lt;=0))&gt;0,"E_NONPOSITIVE_PARAMETER",IF(SUMPRODUCT((nADM_SelKey=X156)*(nADM_Kind&lt;&gt;"INFUSION_SEGMENT")*nADM_HasDose*nADM_HasBSA*(nADM_BSA_n&lt;=0))&gt;0,"E_NONPOSITIVE_PARAMETER",IF(SUMPRODUCT((nADM_SelKey=X156)*(nADM_Kind&lt;&gt;"INFUSION_SEGMENT")*nADM_HasDose*nADM_HasBSA)=0,"E_MISSING_INPUT",""))))))))</f>
        <v/>
      </c>
      <c r="Z156" s="21" t="str">
        <f>IF(Y156&lt;&gt;"E_MISSING_INPUT","",IF(A156="","a Calc_ID",IF(E156="","an Exposure_Episode_ID",IF(SUMPRODUCT((nADM_SelKey=X156)*(nADM_Kind&lt;&gt;"INFUSION_SEGMENT"))=0,"administrations with a dose for "&amp;E156,IF(SUMPRODUCT((nADM_SelKey=X156)*(nADM_Kind&lt;&gt;"INFUSION_SEGMENT")*(1-nADM_HasDose))&gt;0,"the dose (mg) of every administration of "&amp;E156&amp;" ("&amp;SUMPRODUCT((nADM_SelKey=X156)*(nADM_Kind&lt;&gt;"INFUSION_SEGMENT")*(1-nADM_HasDose))&amp;" of "&amp;SUMPRODUCT((nADM_SelKey=X156)*(nADM_Kind&lt;&gt;"INFUSION_SEGMENT"))&amp;" have no dose)","the BSA recorded at one or more administrations of "&amp;E156&amp;" (none is recorded)")))))</f>
        <v/>
      </c>
      <c r="AA156" s="22">
        <f t="shared" si="181"/>
        <v>0</v>
      </c>
      <c r="AB156" s="22">
        <f>IF(AA156=0,0,1000000000000-SUMPRODUCT(MAX((nADM_SelKey=X156)*(nADM_Kind&lt;&gt;"INFUSION_SEGMENT")*nADM_HasDose*(1000000000000-nADM_Sort_n))))</f>
        <v>0</v>
      </c>
      <c r="AC156" s="22">
        <f>IF(AA156=0,0,SUMPRODUCT(MAX((nADM_SelKey=X156)*(nADM_Kind&lt;&gt;"INFUSION_SEGMENT")*nADM_HasDose*nADM_Sort_n)))</f>
        <v>0</v>
      </c>
      <c r="AD156" s="22">
        <f>IF(AA156=0,0,MATCH(1,INDEX((nADM_SelKey=X156)*(nADM_Kind&lt;&gt;"INFUSION_SEGMENT")*nADM_HasDose*(nADM_Sort_n=AB156),0),0))</f>
        <v>0</v>
      </c>
      <c r="AE156" s="21" t="str">
        <f t="shared" si="182"/>
        <v/>
      </c>
    </row>
    <row r="157" spans="1:36" x14ac:dyDescent="0.2">
      <c r="A157" s="10"/>
      <c r="B157" s="10"/>
      <c r="C157" s="12"/>
      <c r="D157" s="10"/>
      <c r="E157" s="10"/>
      <c r="F157" s="17"/>
      <c r="G157" s="17"/>
      <c r="H157" s="10"/>
      <c r="I157" s="21" t="str">
        <f t="shared" si="171"/>
        <v/>
      </c>
      <c r="J157" s="21" t="str">
        <f>IF(AA157=1,SUMPRODUCT((nADM_SelKey=X157)*(nADM_Kind&lt;&gt;"INFUSION_SEGMENT")*nADM_HasDose*nADM_Dose_per_BSA),"")</f>
        <v/>
      </c>
      <c r="K157" s="21" t="str">
        <f>IF(AA157=1,SUMPRODUCT((nADM_SelKey=X157)*(nADM_Kind&lt;&gt;"INFUSION_SEGMENT")*nADM_HasDose*nADM_Dose_n),"")</f>
        <v/>
      </c>
      <c r="L157" s="21" t="str">
        <f>IF(V157=1,"",SUMPRODUCT((nADM_SelKey=X157)*(nADM_Kind&lt;&gt;"INFUSION_SEGMENT")*nADM_HasDose))</f>
        <v/>
      </c>
      <c r="M157" s="21" t="str">
        <f>IF(V157=1,"",SUMPRODUCT((nADM_SelKey=X157)*(nADM_Kind&lt;&gt;"INFUSION_SEGMENT")*nADM_HasDose*nADM_HasBSA))</f>
        <v/>
      </c>
      <c r="N157" s="21" t="str">
        <f>IF(OR(AA157=0,F157=""),"",IF(F157="STATED",IF(ISNUMBER(G157),G157,""),IF(F157="FIRST",IF(INDEX(nADM_HasBSA,AD157)=1,INDEX(nADM_BSA_n,AD157),""),IF(LOOKUP(2,1/((nADM_SelKey=X157)*(nADM_Kind&lt;&gt;"INFUSION_SEGMENT")*nADM_HasDose*(nADM_Sort_n=AC157)),nADM_HasBSA)=1,LOOKUP(2,1/((nADM_SelKey=X157)*(nADM_Kind&lt;&gt;"INFUSION_SEGMENT")*nADM_HasDose*(nADM_Sort_n=AC157)),nADM_BSA_n),""))))</f>
        <v/>
      </c>
      <c r="O157" s="21" t="str">
        <f t="shared" si="172"/>
        <v/>
      </c>
      <c r="P157" s="21" t="str">
        <f t="shared" si="173"/>
        <v/>
      </c>
      <c r="Q157" s="21" t="str">
        <f>IF(V157=1,"",IF(Y157&lt;&gt;"",Y157&amp;": "&amp;SUBSTITUTE(IFERROR(INDEX(nMSG_Text,MATCH(Y157,nMSG_Code,0)),""),"[input]",Z157),MID(IF(M157&lt;L157," | W_PARTIAL_BSA: "&amp;SUBSTITUTE(IFERROR(INDEX(nMSG_Text,MATCH("W_PARTIAL_BSA",nMSG_Code,0)),""),"[input]",""),"")&amp;IF(AE157&lt;&gt;""," | "&amp;AE157&amp;" (Method B): "&amp;SUBSTITUTE(IFERROR(INDEX(nMSG_Text,MATCH(AE157,nMSG_Code,0)),""),"[input]","a BSA for Method B"),""),4,999)))</f>
        <v/>
      </c>
      <c r="R157" s="21" t="str">
        <f t="shared" si="174"/>
        <v/>
      </c>
      <c r="S157" s="21" t="str">
        <f t="shared" si="175"/>
        <v/>
      </c>
      <c r="T157" s="21" t="str">
        <f t="shared" si="176"/>
        <v/>
      </c>
      <c r="U157" s="21" t="str">
        <f t="shared" si="177"/>
        <v/>
      </c>
      <c r="V157" s="22">
        <f t="shared" si="178"/>
        <v>1</v>
      </c>
      <c r="W157" s="21" t="str">
        <f t="shared" si="179"/>
        <v/>
      </c>
      <c r="X157" s="21" t="str">
        <f t="shared" si="180"/>
        <v>||</v>
      </c>
      <c r="Y157" s="21" t="str">
        <f>IF(V157=1,"",IF(OR(A157="",E157=""),"E_MISSING_INPUT",IF(SUMPRODUCT((nADM_SelKey=X157)*(nADM_Kind&lt;&gt;"INFUSION_SEGMENT"))=0,"E_MISSING_INPUT",IF(SUMPRODUCT((nADM_SelKey=X157)*(nADM_Kind&lt;&gt;"INFUSION_SEGMENT")*(1-nADM_HasDose))&gt;0,"E_MISSING_INPUT",IF(SUMPRODUCT((nADM_SelKey=X157)*(nADM_Kind&lt;&gt;"INFUSION_SEGMENT")*nADM_HasDose*(nADM_Dose_Unit&lt;&gt;"mg"))&gt;0,"E_INVALID_UNIT",IF(SUMPRODUCT((nADM_SelKey=X157)*(nADM_Kind&lt;&gt;"INFUSION_SEGMENT")*nADM_HasDose*(nADM_Dose_n&lt;=0))&gt;0,"E_NONPOSITIVE_PARAMETER",IF(SUMPRODUCT((nADM_SelKey=X157)*(nADM_Kind&lt;&gt;"INFUSION_SEGMENT")*nADM_HasDose*nADM_HasBSA*(nADM_BSA_n&lt;=0))&gt;0,"E_NONPOSITIVE_PARAMETER",IF(SUMPRODUCT((nADM_SelKey=X157)*(nADM_Kind&lt;&gt;"INFUSION_SEGMENT")*nADM_HasDose*nADM_HasBSA)=0,"E_MISSING_INPUT",""))))))))</f>
        <v/>
      </c>
      <c r="Z157" s="21" t="str">
        <f>IF(Y157&lt;&gt;"E_MISSING_INPUT","",IF(A157="","a Calc_ID",IF(E157="","an Exposure_Episode_ID",IF(SUMPRODUCT((nADM_SelKey=X157)*(nADM_Kind&lt;&gt;"INFUSION_SEGMENT"))=0,"administrations with a dose for "&amp;E157,IF(SUMPRODUCT((nADM_SelKey=X157)*(nADM_Kind&lt;&gt;"INFUSION_SEGMENT")*(1-nADM_HasDose))&gt;0,"the dose (mg) of every administration of "&amp;E157&amp;" ("&amp;SUMPRODUCT((nADM_SelKey=X157)*(nADM_Kind&lt;&gt;"INFUSION_SEGMENT")*(1-nADM_HasDose))&amp;" of "&amp;SUMPRODUCT((nADM_SelKey=X157)*(nADM_Kind&lt;&gt;"INFUSION_SEGMENT"))&amp;" have no dose)","the BSA recorded at one or more administrations of "&amp;E157&amp;" (none is recorded)")))))</f>
        <v/>
      </c>
      <c r="AA157" s="22">
        <f t="shared" si="181"/>
        <v>0</v>
      </c>
      <c r="AB157" s="22">
        <f>IF(AA157=0,0,1000000000000-SUMPRODUCT(MAX((nADM_SelKey=X157)*(nADM_Kind&lt;&gt;"INFUSION_SEGMENT")*nADM_HasDose*(1000000000000-nADM_Sort_n))))</f>
        <v>0</v>
      </c>
      <c r="AC157" s="22">
        <f>IF(AA157=0,0,SUMPRODUCT(MAX((nADM_SelKey=X157)*(nADM_Kind&lt;&gt;"INFUSION_SEGMENT")*nADM_HasDose*nADM_Sort_n)))</f>
        <v>0</v>
      </c>
      <c r="AD157" s="22">
        <f>IF(AA157=0,0,MATCH(1,INDEX((nADM_SelKey=X157)*(nADM_Kind&lt;&gt;"INFUSION_SEGMENT")*nADM_HasDose*(nADM_Sort_n=AB157),0),0))</f>
        <v>0</v>
      </c>
      <c r="AE157" s="21" t="str">
        <f t="shared" si="182"/>
        <v/>
      </c>
    </row>
    <row r="158" spans="1:36" x14ac:dyDescent="0.2">
      <c r="A158" s="10"/>
      <c r="B158" s="10"/>
      <c r="C158" s="12"/>
      <c r="D158" s="10"/>
      <c r="E158" s="10"/>
      <c r="F158" s="17"/>
      <c r="G158" s="17"/>
      <c r="H158" s="10"/>
      <c r="I158" s="21" t="str">
        <f t="shared" si="171"/>
        <v/>
      </c>
      <c r="J158" s="21" t="str">
        <f>IF(AA158=1,SUMPRODUCT((nADM_SelKey=X158)*(nADM_Kind&lt;&gt;"INFUSION_SEGMENT")*nADM_HasDose*nADM_Dose_per_BSA),"")</f>
        <v/>
      </c>
      <c r="K158" s="21" t="str">
        <f>IF(AA158=1,SUMPRODUCT((nADM_SelKey=X158)*(nADM_Kind&lt;&gt;"INFUSION_SEGMENT")*nADM_HasDose*nADM_Dose_n),"")</f>
        <v/>
      </c>
      <c r="L158" s="21" t="str">
        <f>IF(V158=1,"",SUMPRODUCT((nADM_SelKey=X158)*(nADM_Kind&lt;&gt;"INFUSION_SEGMENT")*nADM_HasDose))</f>
        <v/>
      </c>
      <c r="M158" s="21" t="str">
        <f>IF(V158=1,"",SUMPRODUCT((nADM_SelKey=X158)*(nADM_Kind&lt;&gt;"INFUSION_SEGMENT")*nADM_HasDose*nADM_HasBSA))</f>
        <v/>
      </c>
      <c r="N158" s="21" t="str">
        <f>IF(OR(AA158=0,F158=""),"",IF(F158="STATED",IF(ISNUMBER(G158),G158,""),IF(F158="FIRST",IF(INDEX(nADM_HasBSA,AD158)=1,INDEX(nADM_BSA_n,AD158),""),IF(LOOKUP(2,1/((nADM_SelKey=X158)*(nADM_Kind&lt;&gt;"INFUSION_SEGMENT")*nADM_HasDose*(nADM_Sort_n=AC158)),nADM_HasBSA)=1,LOOKUP(2,1/((nADM_SelKey=X158)*(nADM_Kind&lt;&gt;"INFUSION_SEGMENT")*nADM_HasDose*(nADM_Sort_n=AC158)),nADM_BSA_n),""))))</f>
        <v/>
      </c>
      <c r="O158" s="21" t="str">
        <f t="shared" si="172"/>
        <v/>
      </c>
      <c r="P158" s="21" t="str">
        <f t="shared" si="173"/>
        <v/>
      </c>
      <c r="Q158" s="21" t="str">
        <f>IF(V158=1,"",IF(Y158&lt;&gt;"",Y158&amp;": "&amp;SUBSTITUTE(IFERROR(INDEX(nMSG_Text,MATCH(Y158,nMSG_Code,0)),""),"[input]",Z158),MID(IF(M158&lt;L158," | W_PARTIAL_BSA: "&amp;SUBSTITUTE(IFERROR(INDEX(nMSG_Text,MATCH("W_PARTIAL_BSA",nMSG_Code,0)),""),"[input]",""),"")&amp;IF(AE158&lt;&gt;""," | "&amp;AE158&amp;" (Method B): "&amp;SUBSTITUTE(IFERROR(INDEX(nMSG_Text,MATCH(AE158,nMSG_Code,0)),""),"[input]","a BSA for Method B"),""),4,999)))</f>
        <v/>
      </c>
      <c r="R158" s="21" t="str">
        <f t="shared" si="174"/>
        <v/>
      </c>
      <c r="S158" s="21" t="str">
        <f t="shared" si="175"/>
        <v/>
      </c>
      <c r="T158" s="21" t="str">
        <f t="shared" si="176"/>
        <v/>
      </c>
      <c r="U158" s="21" t="str">
        <f t="shared" si="177"/>
        <v/>
      </c>
      <c r="V158" s="22">
        <f t="shared" si="178"/>
        <v>1</v>
      </c>
      <c r="W158" s="21" t="str">
        <f t="shared" si="179"/>
        <v/>
      </c>
      <c r="X158" s="21" t="str">
        <f t="shared" si="180"/>
        <v>||</v>
      </c>
      <c r="Y158" s="21" t="str">
        <f>IF(V158=1,"",IF(OR(A158="",E158=""),"E_MISSING_INPUT",IF(SUMPRODUCT((nADM_SelKey=X158)*(nADM_Kind&lt;&gt;"INFUSION_SEGMENT"))=0,"E_MISSING_INPUT",IF(SUMPRODUCT((nADM_SelKey=X158)*(nADM_Kind&lt;&gt;"INFUSION_SEGMENT")*(1-nADM_HasDose))&gt;0,"E_MISSING_INPUT",IF(SUMPRODUCT((nADM_SelKey=X158)*(nADM_Kind&lt;&gt;"INFUSION_SEGMENT")*nADM_HasDose*(nADM_Dose_Unit&lt;&gt;"mg"))&gt;0,"E_INVALID_UNIT",IF(SUMPRODUCT((nADM_SelKey=X158)*(nADM_Kind&lt;&gt;"INFUSION_SEGMENT")*nADM_HasDose*(nADM_Dose_n&lt;=0))&gt;0,"E_NONPOSITIVE_PARAMETER",IF(SUMPRODUCT((nADM_SelKey=X158)*(nADM_Kind&lt;&gt;"INFUSION_SEGMENT")*nADM_HasDose*nADM_HasBSA*(nADM_BSA_n&lt;=0))&gt;0,"E_NONPOSITIVE_PARAMETER",IF(SUMPRODUCT((nADM_SelKey=X158)*(nADM_Kind&lt;&gt;"INFUSION_SEGMENT")*nADM_HasDose*nADM_HasBSA)=0,"E_MISSING_INPUT",""))))))))</f>
        <v/>
      </c>
      <c r="Z158" s="21" t="str">
        <f>IF(Y158&lt;&gt;"E_MISSING_INPUT","",IF(A158="","a Calc_ID",IF(E158="","an Exposure_Episode_ID",IF(SUMPRODUCT((nADM_SelKey=X158)*(nADM_Kind&lt;&gt;"INFUSION_SEGMENT"))=0,"administrations with a dose for "&amp;E158,IF(SUMPRODUCT((nADM_SelKey=X158)*(nADM_Kind&lt;&gt;"INFUSION_SEGMENT")*(1-nADM_HasDose))&gt;0,"the dose (mg) of every administration of "&amp;E158&amp;" ("&amp;SUMPRODUCT((nADM_SelKey=X158)*(nADM_Kind&lt;&gt;"INFUSION_SEGMENT")*(1-nADM_HasDose))&amp;" of "&amp;SUMPRODUCT((nADM_SelKey=X158)*(nADM_Kind&lt;&gt;"INFUSION_SEGMENT"))&amp;" have no dose)","the BSA recorded at one or more administrations of "&amp;E158&amp;" (none is recorded)")))))</f>
        <v/>
      </c>
      <c r="AA158" s="22">
        <f t="shared" si="181"/>
        <v>0</v>
      </c>
      <c r="AB158" s="22">
        <f>IF(AA158=0,0,1000000000000-SUMPRODUCT(MAX((nADM_SelKey=X158)*(nADM_Kind&lt;&gt;"INFUSION_SEGMENT")*nADM_HasDose*(1000000000000-nADM_Sort_n))))</f>
        <v>0</v>
      </c>
      <c r="AC158" s="22">
        <f>IF(AA158=0,0,SUMPRODUCT(MAX((nADM_SelKey=X158)*(nADM_Kind&lt;&gt;"INFUSION_SEGMENT")*nADM_HasDose*nADM_Sort_n)))</f>
        <v>0</v>
      </c>
      <c r="AD158" s="22">
        <f>IF(AA158=0,0,MATCH(1,INDEX((nADM_SelKey=X158)*(nADM_Kind&lt;&gt;"INFUSION_SEGMENT")*nADM_HasDose*(nADM_Sort_n=AB158),0),0))</f>
        <v>0</v>
      </c>
      <c r="AE158" s="21" t="str">
        <f t="shared" si="182"/>
        <v/>
      </c>
    </row>
    <row r="159" spans="1:36" x14ac:dyDescent="0.2">
      <c r="A159" s="10"/>
      <c r="B159" s="10"/>
      <c r="C159" s="12"/>
      <c r="D159" s="10"/>
      <c r="E159" s="10"/>
      <c r="F159" s="17"/>
      <c r="G159" s="17"/>
      <c r="H159" s="10"/>
      <c r="I159" s="21" t="str">
        <f t="shared" si="171"/>
        <v/>
      </c>
      <c r="J159" s="21" t="str">
        <f>IF(AA159=1,SUMPRODUCT((nADM_SelKey=X159)*(nADM_Kind&lt;&gt;"INFUSION_SEGMENT")*nADM_HasDose*nADM_Dose_per_BSA),"")</f>
        <v/>
      </c>
      <c r="K159" s="21" t="str">
        <f>IF(AA159=1,SUMPRODUCT((nADM_SelKey=X159)*(nADM_Kind&lt;&gt;"INFUSION_SEGMENT")*nADM_HasDose*nADM_Dose_n),"")</f>
        <v/>
      </c>
      <c r="L159" s="21" t="str">
        <f>IF(V159=1,"",SUMPRODUCT((nADM_SelKey=X159)*(nADM_Kind&lt;&gt;"INFUSION_SEGMENT")*nADM_HasDose))</f>
        <v/>
      </c>
      <c r="M159" s="21" t="str">
        <f>IF(V159=1,"",SUMPRODUCT((nADM_SelKey=X159)*(nADM_Kind&lt;&gt;"INFUSION_SEGMENT")*nADM_HasDose*nADM_HasBSA))</f>
        <v/>
      </c>
      <c r="N159" s="21" t="str">
        <f>IF(OR(AA159=0,F159=""),"",IF(F159="STATED",IF(ISNUMBER(G159),G159,""),IF(F159="FIRST",IF(INDEX(nADM_HasBSA,AD159)=1,INDEX(nADM_BSA_n,AD159),""),IF(LOOKUP(2,1/((nADM_SelKey=X159)*(nADM_Kind&lt;&gt;"INFUSION_SEGMENT")*nADM_HasDose*(nADM_Sort_n=AC159)),nADM_HasBSA)=1,LOOKUP(2,1/((nADM_SelKey=X159)*(nADM_Kind&lt;&gt;"INFUSION_SEGMENT")*nADM_HasDose*(nADM_Sort_n=AC159)),nADM_BSA_n),""))))</f>
        <v/>
      </c>
      <c r="O159" s="21" t="str">
        <f t="shared" si="172"/>
        <v/>
      </c>
      <c r="P159" s="21" t="str">
        <f t="shared" si="173"/>
        <v/>
      </c>
      <c r="Q159" s="21" t="str">
        <f>IF(V159=1,"",IF(Y159&lt;&gt;"",Y159&amp;": "&amp;SUBSTITUTE(IFERROR(INDEX(nMSG_Text,MATCH(Y159,nMSG_Code,0)),""),"[input]",Z159),MID(IF(M159&lt;L159," | W_PARTIAL_BSA: "&amp;SUBSTITUTE(IFERROR(INDEX(nMSG_Text,MATCH("W_PARTIAL_BSA",nMSG_Code,0)),""),"[input]",""),"")&amp;IF(AE159&lt;&gt;""," | "&amp;AE159&amp;" (Method B): "&amp;SUBSTITUTE(IFERROR(INDEX(nMSG_Text,MATCH(AE159,nMSG_Code,0)),""),"[input]","a BSA for Method B"),""),4,999)))</f>
        <v/>
      </c>
      <c r="R159" s="21" t="str">
        <f t="shared" si="174"/>
        <v/>
      </c>
      <c r="S159" s="21" t="str">
        <f t="shared" si="175"/>
        <v/>
      </c>
      <c r="T159" s="21" t="str">
        <f t="shared" si="176"/>
        <v/>
      </c>
      <c r="U159" s="21" t="str">
        <f t="shared" si="177"/>
        <v/>
      </c>
      <c r="V159" s="22">
        <f t="shared" si="178"/>
        <v>1</v>
      </c>
      <c r="W159" s="21" t="str">
        <f t="shared" si="179"/>
        <v/>
      </c>
      <c r="X159" s="21" t="str">
        <f t="shared" si="180"/>
        <v>||</v>
      </c>
      <c r="Y159" s="21" t="str">
        <f>IF(V159=1,"",IF(OR(A159="",E159=""),"E_MISSING_INPUT",IF(SUMPRODUCT((nADM_SelKey=X159)*(nADM_Kind&lt;&gt;"INFUSION_SEGMENT"))=0,"E_MISSING_INPUT",IF(SUMPRODUCT((nADM_SelKey=X159)*(nADM_Kind&lt;&gt;"INFUSION_SEGMENT")*(1-nADM_HasDose))&gt;0,"E_MISSING_INPUT",IF(SUMPRODUCT((nADM_SelKey=X159)*(nADM_Kind&lt;&gt;"INFUSION_SEGMENT")*nADM_HasDose*(nADM_Dose_Unit&lt;&gt;"mg"))&gt;0,"E_INVALID_UNIT",IF(SUMPRODUCT((nADM_SelKey=X159)*(nADM_Kind&lt;&gt;"INFUSION_SEGMENT")*nADM_HasDose*(nADM_Dose_n&lt;=0))&gt;0,"E_NONPOSITIVE_PARAMETER",IF(SUMPRODUCT((nADM_SelKey=X159)*(nADM_Kind&lt;&gt;"INFUSION_SEGMENT")*nADM_HasDose*nADM_HasBSA*(nADM_BSA_n&lt;=0))&gt;0,"E_NONPOSITIVE_PARAMETER",IF(SUMPRODUCT((nADM_SelKey=X159)*(nADM_Kind&lt;&gt;"INFUSION_SEGMENT")*nADM_HasDose*nADM_HasBSA)=0,"E_MISSING_INPUT",""))))))))</f>
        <v/>
      </c>
      <c r="Z159" s="21" t="str">
        <f>IF(Y159&lt;&gt;"E_MISSING_INPUT","",IF(A159="","a Calc_ID",IF(E159="","an Exposure_Episode_ID",IF(SUMPRODUCT((nADM_SelKey=X159)*(nADM_Kind&lt;&gt;"INFUSION_SEGMENT"))=0,"administrations with a dose for "&amp;E159,IF(SUMPRODUCT((nADM_SelKey=X159)*(nADM_Kind&lt;&gt;"INFUSION_SEGMENT")*(1-nADM_HasDose))&gt;0,"the dose (mg) of every administration of "&amp;E159&amp;" ("&amp;SUMPRODUCT((nADM_SelKey=X159)*(nADM_Kind&lt;&gt;"INFUSION_SEGMENT")*(1-nADM_HasDose))&amp;" of "&amp;SUMPRODUCT((nADM_SelKey=X159)*(nADM_Kind&lt;&gt;"INFUSION_SEGMENT"))&amp;" have no dose)","the BSA recorded at one or more administrations of "&amp;E159&amp;" (none is recorded)")))))</f>
        <v/>
      </c>
      <c r="AA159" s="22">
        <f t="shared" si="181"/>
        <v>0</v>
      </c>
      <c r="AB159" s="22">
        <f>IF(AA159=0,0,1000000000000-SUMPRODUCT(MAX((nADM_SelKey=X159)*(nADM_Kind&lt;&gt;"INFUSION_SEGMENT")*nADM_HasDose*(1000000000000-nADM_Sort_n))))</f>
        <v>0</v>
      </c>
      <c r="AC159" s="22">
        <f>IF(AA159=0,0,SUMPRODUCT(MAX((nADM_SelKey=X159)*(nADM_Kind&lt;&gt;"INFUSION_SEGMENT")*nADM_HasDose*nADM_Sort_n)))</f>
        <v>0</v>
      </c>
      <c r="AD159" s="22">
        <f>IF(AA159=0,0,MATCH(1,INDEX((nADM_SelKey=X159)*(nADM_Kind&lt;&gt;"INFUSION_SEGMENT")*nADM_HasDose*(nADM_Sort_n=AB159),0),0))</f>
        <v>0</v>
      </c>
      <c r="AE159" s="21" t="str">
        <f t="shared" si="182"/>
        <v/>
      </c>
    </row>
    <row r="160" spans="1:36" x14ac:dyDescent="0.2">
      <c r="A160" s="10"/>
      <c r="B160" s="10"/>
      <c r="C160" s="12"/>
      <c r="D160" s="10"/>
      <c r="E160" s="10"/>
      <c r="F160" s="17"/>
      <c r="G160" s="17"/>
      <c r="H160" s="10"/>
      <c r="I160" s="21" t="str">
        <f t="shared" si="171"/>
        <v/>
      </c>
      <c r="J160" s="21" t="str">
        <f>IF(AA160=1,SUMPRODUCT((nADM_SelKey=X160)*(nADM_Kind&lt;&gt;"INFUSION_SEGMENT")*nADM_HasDose*nADM_Dose_per_BSA),"")</f>
        <v/>
      </c>
      <c r="K160" s="21" t="str">
        <f>IF(AA160=1,SUMPRODUCT((nADM_SelKey=X160)*(nADM_Kind&lt;&gt;"INFUSION_SEGMENT")*nADM_HasDose*nADM_Dose_n),"")</f>
        <v/>
      </c>
      <c r="L160" s="21" t="str">
        <f>IF(V160=1,"",SUMPRODUCT((nADM_SelKey=X160)*(nADM_Kind&lt;&gt;"INFUSION_SEGMENT")*nADM_HasDose))</f>
        <v/>
      </c>
      <c r="M160" s="21" t="str">
        <f>IF(V160=1,"",SUMPRODUCT((nADM_SelKey=X160)*(nADM_Kind&lt;&gt;"INFUSION_SEGMENT")*nADM_HasDose*nADM_HasBSA))</f>
        <v/>
      </c>
      <c r="N160" s="21" t="str">
        <f>IF(OR(AA160=0,F160=""),"",IF(F160="STATED",IF(ISNUMBER(G160),G160,""),IF(F160="FIRST",IF(INDEX(nADM_HasBSA,AD160)=1,INDEX(nADM_BSA_n,AD160),""),IF(LOOKUP(2,1/((nADM_SelKey=X160)*(nADM_Kind&lt;&gt;"INFUSION_SEGMENT")*nADM_HasDose*(nADM_Sort_n=AC160)),nADM_HasBSA)=1,LOOKUP(2,1/((nADM_SelKey=X160)*(nADM_Kind&lt;&gt;"INFUSION_SEGMENT")*nADM_HasDose*(nADM_Sort_n=AC160)),nADM_BSA_n),""))))</f>
        <v/>
      </c>
      <c r="O160" s="21" t="str">
        <f t="shared" si="172"/>
        <v/>
      </c>
      <c r="P160" s="21" t="str">
        <f t="shared" si="173"/>
        <v/>
      </c>
      <c r="Q160" s="21" t="str">
        <f>IF(V160=1,"",IF(Y160&lt;&gt;"",Y160&amp;": "&amp;SUBSTITUTE(IFERROR(INDEX(nMSG_Text,MATCH(Y160,nMSG_Code,0)),""),"[input]",Z160),MID(IF(M160&lt;L160," | W_PARTIAL_BSA: "&amp;SUBSTITUTE(IFERROR(INDEX(nMSG_Text,MATCH("W_PARTIAL_BSA",nMSG_Code,0)),""),"[input]",""),"")&amp;IF(AE160&lt;&gt;""," | "&amp;AE160&amp;" (Method B): "&amp;SUBSTITUTE(IFERROR(INDEX(nMSG_Text,MATCH(AE160,nMSG_Code,0)),""),"[input]","a BSA for Method B"),""),4,999)))</f>
        <v/>
      </c>
      <c r="R160" s="21" t="str">
        <f t="shared" si="174"/>
        <v/>
      </c>
      <c r="S160" s="21" t="str">
        <f t="shared" si="175"/>
        <v/>
      </c>
      <c r="T160" s="21" t="str">
        <f t="shared" si="176"/>
        <v/>
      </c>
      <c r="U160" s="21" t="str">
        <f t="shared" si="177"/>
        <v/>
      </c>
      <c r="V160" s="22">
        <f t="shared" si="178"/>
        <v>1</v>
      </c>
      <c r="W160" s="21" t="str">
        <f t="shared" si="179"/>
        <v/>
      </c>
      <c r="X160" s="21" t="str">
        <f t="shared" si="180"/>
        <v>||</v>
      </c>
      <c r="Y160" s="21" t="str">
        <f>IF(V160=1,"",IF(OR(A160="",E160=""),"E_MISSING_INPUT",IF(SUMPRODUCT((nADM_SelKey=X160)*(nADM_Kind&lt;&gt;"INFUSION_SEGMENT"))=0,"E_MISSING_INPUT",IF(SUMPRODUCT((nADM_SelKey=X160)*(nADM_Kind&lt;&gt;"INFUSION_SEGMENT")*(1-nADM_HasDose))&gt;0,"E_MISSING_INPUT",IF(SUMPRODUCT((nADM_SelKey=X160)*(nADM_Kind&lt;&gt;"INFUSION_SEGMENT")*nADM_HasDose*(nADM_Dose_Unit&lt;&gt;"mg"))&gt;0,"E_INVALID_UNIT",IF(SUMPRODUCT((nADM_SelKey=X160)*(nADM_Kind&lt;&gt;"INFUSION_SEGMENT")*nADM_HasDose*(nADM_Dose_n&lt;=0))&gt;0,"E_NONPOSITIVE_PARAMETER",IF(SUMPRODUCT((nADM_SelKey=X160)*(nADM_Kind&lt;&gt;"INFUSION_SEGMENT")*nADM_HasDose*nADM_HasBSA*(nADM_BSA_n&lt;=0))&gt;0,"E_NONPOSITIVE_PARAMETER",IF(SUMPRODUCT((nADM_SelKey=X160)*(nADM_Kind&lt;&gt;"INFUSION_SEGMENT")*nADM_HasDose*nADM_HasBSA)=0,"E_MISSING_INPUT",""))))))))</f>
        <v/>
      </c>
      <c r="Z160" s="21" t="str">
        <f>IF(Y160&lt;&gt;"E_MISSING_INPUT","",IF(A160="","a Calc_ID",IF(E160="","an Exposure_Episode_ID",IF(SUMPRODUCT((nADM_SelKey=X160)*(nADM_Kind&lt;&gt;"INFUSION_SEGMENT"))=0,"administrations with a dose for "&amp;E160,IF(SUMPRODUCT((nADM_SelKey=X160)*(nADM_Kind&lt;&gt;"INFUSION_SEGMENT")*(1-nADM_HasDose))&gt;0,"the dose (mg) of every administration of "&amp;E160&amp;" ("&amp;SUMPRODUCT((nADM_SelKey=X160)*(nADM_Kind&lt;&gt;"INFUSION_SEGMENT")*(1-nADM_HasDose))&amp;" of "&amp;SUMPRODUCT((nADM_SelKey=X160)*(nADM_Kind&lt;&gt;"INFUSION_SEGMENT"))&amp;" have no dose)","the BSA recorded at one or more administrations of "&amp;E160&amp;" (none is recorded)")))))</f>
        <v/>
      </c>
      <c r="AA160" s="22">
        <f t="shared" si="181"/>
        <v>0</v>
      </c>
      <c r="AB160" s="22">
        <f>IF(AA160=0,0,1000000000000-SUMPRODUCT(MAX((nADM_SelKey=X160)*(nADM_Kind&lt;&gt;"INFUSION_SEGMENT")*nADM_HasDose*(1000000000000-nADM_Sort_n))))</f>
        <v>0</v>
      </c>
      <c r="AC160" s="22">
        <f>IF(AA160=0,0,SUMPRODUCT(MAX((nADM_SelKey=X160)*(nADM_Kind&lt;&gt;"INFUSION_SEGMENT")*nADM_HasDose*nADM_Sort_n)))</f>
        <v>0</v>
      </c>
      <c r="AD160" s="22">
        <f>IF(AA160=0,0,MATCH(1,INDEX((nADM_SelKey=X160)*(nADM_Kind&lt;&gt;"INFUSION_SEGMENT")*nADM_HasDose*(nADM_Sort_n=AB160),0),0))</f>
        <v>0</v>
      </c>
      <c r="AE160" s="21" t="str">
        <f t="shared" si="182"/>
        <v/>
      </c>
    </row>
    <row r="161" spans="1:32" x14ac:dyDescent="0.2">
      <c r="A161" s="10"/>
      <c r="B161" s="10"/>
      <c r="C161" s="12"/>
      <c r="D161" s="10"/>
      <c r="E161" s="10"/>
      <c r="F161" s="17"/>
      <c r="G161" s="17"/>
      <c r="H161" s="10"/>
      <c r="I161" s="21" t="str">
        <f t="shared" si="171"/>
        <v/>
      </c>
      <c r="J161" s="21" t="str">
        <f>IF(AA161=1,SUMPRODUCT((nADM_SelKey=X161)*(nADM_Kind&lt;&gt;"INFUSION_SEGMENT")*nADM_HasDose*nADM_Dose_per_BSA),"")</f>
        <v/>
      </c>
      <c r="K161" s="21" t="str">
        <f>IF(AA161=1,SUMPRODUCT((nADM_SelKey=X161)*(nADM_Kind&lt;&gt;"INFUSION_SEGMENT")*nADM_HasDose*nADM_Dose_n),"")</f>
        <v/>
      </c>
      <c r="L161" s="21" t="str">
        <f>IF(V161=1,"",SUMPRODUCT((nADM_SelKey=X161)*(nADM_Kind&lt;&gt;"INFUSION_SEGMENT")*nADM_HasDose))</f>
        <v/>
      </c>
      <c r="M161" s="21" t="str">
        <f>IF(V161=1,"",SUMPRODUCT((nADM_SelKey=X161)*(nADM_Kind&lt;&gt;"INFUSION_SEGMENT")*nADM_HasDose*nADM_HasBSA))</f>
        <v/>
      </c>
      <c r="N161" s="21" t="str">
        <f>IF(OR(AA161=0,F161=""),"",IF(F161="STATED",IF(ISNUMBER(G161),G161,""),IF(F161="FIRST",IF(INDEX(nADM_HasBSA,AD161)=1,INDEX(nADM_BSA_n,AD161),""),IF(LOOKUP(2,1/((nADM_SelKey=X161)*(nADM_Kind&lt;&gt;"INFUSION_SEGMENT")*nADM_HasDose*(nADM_Sort_n=AC161)),nADM_HasBSA)=1,LOOKUP(2,1/((nADM_SelKey=X161)*(nADM_Kind&lt;&gt;"INFUSION_SEGMENT")*nADM_HasDose*(nADM_Sort_n=AC161)),nADM_BSA_n),""))))</f>
        <v/>
      </c>
      <c r="O161" s="21" t="str">
        <f t="shared" si="172"/>
        <v/>
      </c>
      <c r="P161" s="21" t="str">
        <f t="shared" si="173"/>
        <v/>
      </c>
      <c r="Q161" s="21" t="str">
        <f>IF(V161=1,"",IF(Y161&lt;&gt;"",Y161&amp;": "&amp;SUBSTITUTE(IFERROR(INDEX(nMSG_Text,MATCH(Y161,nMSG_Code,0)),""),"[input]",Z161),MID(IF(M161&lt;L161," | W_PARTIAL_BSA: "&amp;SUBSTITUTE(IFERROR(INDEX(nMSG_Text,MATCH("W_PARTIAL_BSA",nMSG_Code,0)),""),"[input]",""),"")&amp;IF(AE161&lt;&gt;""," | "&amp;AE161&amp;" (Method B): "&amp;SUBSTITUTE(IFERROR(INDEX(nMSG_Text,MATCH(AE161,nMSG_Code,0)),""),"[input]","a BSA for Method B"),""),4,999)))</f>
        <v/>
      </c>
      <c r="R161" s="21" t="str">
        <f t="shared" si="174"/>
        <v/>
      </c>
      <c r="S161" s="21" t="str">
        <f t="shared" si="175"/>
        <v/>
      </c>
      <c r="T161" s="21" t="str">
        <f t="shared" si="176"/>
        <v/>
      </c>
      <c r="U161" s="21" t="str">
        <f t="shared" si="177"/>
        <v/>
      </c>
      <c r="V161" s="22">
        <f t="shared" si="178"/>
        <v>1</v>
      </c>
      <c r="W161" s="21" t="str">
        <f t="shared" si="179"/>
        <v/>
      </c>
      <c r="X161" s="21" t="str">
        <f t="shared" si="180"/>
        <v>||</v>
      </c>
      <c r="Y161" s="21" t="str">
        <f>IF(V161=1,"",IF(OR(A161="",E161=""),"E_MISSING_INPUT",IF(SUMPRODUCT((nADM_SelKey=X161)*(nADM_Kind&lt;&gt;"INFUSION_SEGMENT"))=0,"E_MISSING_INPUT",IF(SUMPRODUCT((nADM_SelKey=X161)*(nADM_Kind&lt;&gt;"INFUSION_SEGMENT")*(1-nADM_HasDose))&gt;0,"E_MISSING_INPUT",IF(SUMPRODUCT((nADM_SelKey=X161)*(nADM_Kind&lt;&gt;"INFUSION_SEGMENT")*nADM_HasDose*(nADM_Dose_Unit&lt;&gt;"mg"))&gt;0,"E_INVALID_UNIT",IF(SUMPRODUCT((nADM_SelKey=X161)*(nADM_Kind&lt;&gt;"INFUSION_SEGMENT")*nADM_HasDose*(nADM_Dose_n&lt;=0))&gt;0,"E_NONPOSITIVE_PARAMETER",IF(SUMPRODUCT((nADM_SelKey=X161)*(nADM_Kind&lt;&gt;"INFUSION_SEGMENT")*nADM_HasDose*nADM_HasBSA*(nADM_BSA_n&lt;=0))&gt;0,"E_NONPOSITIVE_PARAMETER",IF(SUMPRODUCT((nADM_SelKey=X161)*(nADM_Kind&lt;&gt;"INFUSION_SEGMENT")*nADM_HasDose*nADM_HasBSA)=0,"E_MISSING_INPUT",""))))))))</f>
        <v/>
      </c>
      <c r="Z161" s="21" t="str">
        <f>IF(Y161&lt;&gt;"E_MISSING_INPUT","",IF(A161="","a Calc_ID",IF(E161="","an Exposure_Episode_ID",IF(SUMPRODUCT((nADM_SelKey=X161)*(nADM_Kind&lt;&gt;"INFUSION_SEGMENT"))=0,"administrations with a dose for "&amp;E161,IF(SUMPRODUCT((nADM_SelKey=X161)*(nADM_Kind&lt;&gt;"INFUSION_SEGMENT")*(1-nADM_HasDose))&gt;0,"the dose (mg) of every administration of "&amp;E161&amp;" ("&amp;SUMPRODUCT((nADM_SelKey=X161)*(nADM_Kind&lt;&gt;"INFUSION_SEGMENT")*(1-nADM_HasDose))&amp;" of "&amp;SUMPRODUCT((nADM_SelKey=X161)*(nADM_Kind&lt;&gt;"INFUSION_SEGMENT"))&amp;" have no dose)","the BSA recorded at one or more administrations of "&amp;E161&amp;" (none is recorded)")))))</f>
        <v/>
      </c>
      <c r="AA161" s="22">
        <f t="shared" si="181"/>
        <v>0</v>
      </c>
      <c r="AB161" s="22">
        <f>IF(AA161=0,0,1000000000000-SUMPRODUCT(MAX((nADM_SelKey=X161)*(nADM_Kind&lt;&gt;"INFUSION_SEGMENT")*nADM_HasDose*(1000000000000-nADM_Sort_n))))</f>
        <v>0</v>
      </c>
      <c r="AC161" s="22">
        <f>IF(AA161=0,0,SUMPRODUCT(MAX((nADM_SelKey=X161)*(nADM_Kind&lt;&gt;"INFUSION_SEGMENT")*nADM_HasDose*nADM_Sort_n)))</f>
        <v>0</v>
      </c>
      <c r="AD161" s="22">
        <f>IF(AA161=0,0,MATCH(1,INDEX((nADM_SelKey=X161)*(nADM_Kind&lt;&gt;"INFUSION_SEGMENT")*nADM_HasDose*(nADM_Sort_n=AB161),0),0))</f>
        <v>0</v>
      </c>
      <c r="AE161" s="21" t="str">
        <f t="shared" si="182"/>
        <v/>
      </c>
    </row>
    <row r="162" spans="1:32" x14ac:dyDescent="0.2">
      <c r="A162" s="24" t="s">
        <v>289</v>
      </c>
      <c r="B162" s="23"/>
      <c r="C162" s="23"/>
      <c r="D162" s="23"/>
      <c r="E162" s="23"/>
      <c r="F162" s="23"/>
      <c r="G162" s="23"/>
      <c r="H162" s="23"/>
      <c r="I162" s="23"/>
      <c r="J162" s="23"/>
      <c r="K162" s="23"/>
      <c r="L162" s="23"/>
      <c r="M162" s="23"/>
      <c r="N162" s="23"/>
      <c r="O162" s="23"/>
      <c r="P162" s="23"/>
      <c r="Q162" s="23"/>
      <c r="R162" s="23"/>
      <c r="S162" s="23"/>
      <c r="T162" s="23"/>
      <c r="U162" s="23"/>
      <c r="V162" s="23"/>
      <c r="W162" s="23"/>
      <c r="X162" s="23"/>
      <c r="Y162" s="23"/>
      <c r="Z162" s="23"/>
      <c r="AA162" s="23"/>
      <c r="AB162" s="23"/>
      <c r="AC162" s="23"/>
      <c r="AD162" s="23"/>
      <c r="AE162" s="23"/>
    </row>
    <row r="163" spans="1:32" x14ac:dyDescent="0.2">
      <c r="A163" s="9" t="s">
        <v>1224</v>
      </c>
      <c r="B163" s="9" t="s">
        <v>353</v>
      </c>
      <c r="C163" s="11">
        <v>1</v>
      </c>
      <c r="D163" s="9" t="s">
        <v>1225</v>
      </c>
      <c r="E163" s="9" t="s">
        <v>494</v>
      </c>
      <c r="F163" s="16" t="s">
        <v>127</v>
      </c>
      <c r="G163" s="16"/>
      <c r="H163" s="9" t="s">
        <v>1226</v>
      </c>
      <c r="I163" s="21" t="str">
        <f t="shared" ref="I163:I164" si="183">IF(V163=1,"",IF(Y163&lt;&gt;"",Y163&amp;": no result is shown","Method A (sum of dose / BSA at each administration): "&amp;FIXED(J163,1,TRUE)&amp;" mg/m²"&amp;IF(M163&lt;L163," (lower bound from "&amp;M163&amp;" of "&amp;L163&amp;" administrations)","")&amp;IF(F163="","",IF(AE163&lt;&gt;"","; Method B: "&amp;AE163,"; Method B (total "&amp;K163&amp;" mg / "&amp;N163&amp;" m², "&amp;F163&amp;" BSA): "&amp;FIXED(O163,1,TRUE)&amp;" mg/m²"))))</f>
        <v>Method A (sum of dose / BSA at each administration): 164.1 mg/m²; Method B (total 290 mg / 1.8 m², FIRST BSA): 161.1 mg/m²</v>
      </c>
      <c r="J163" s="21">
        <f>IF(AA163=1,SUMPRODUCT((nADM_SelKey=X163)*(nADM_Kind&lt;&gt;"INFUSION_SEGMENT")*nADM_HasDose*nADM_Dose_per_BSA),"")</f>
        <v>164.05228758169935</v>
      </c>
      <c r="K163" s="21">
        <f>IF(AA163=1,SUMPRODUCT((nADM_SelKey=X163)*(nADM_Kind&lt;&gt;"INFUSION_SEGMENT")*nADM_HasDose*nADM_Dose_n),"")</f>
        <v>290</v>
      </c>
      <c r="L163" s="21">
        <f>IF(V163=1,"",SUMPRODUCT((nADM_SelKey=X163)*(nADM_Kind&lt;&gt;"INFUSION_SEGMENT")*nADM_HasDose))</f>
        <v>3</v>
      </c>
      <c r="M163" s="21">
        <f>IF(V163=1,"",SUMPRODUCT((nADM_SelKey=X163)*(nADM_Kind&lt;&gt;"INFUSION_SEGMENT")*nADM_HasDose*nADM_HasBSA))</f>
        <v>3</v>
      </c>
      <c r="N163" s="21">
        <f>IF(OR(AA163=0,F163=""),"",IF(F163="STATED",IF(ISNUMBER(G163),G163,""),IF(F163="FIRST",IF(INDEX(nADM_HasBSA,AD163)=1,INDEX(nADM_BSA_n,AD163),""),IF(LOOKUP(2,1/((nADM_SelKey=X163)*(nADM_Kind&lt;&gt;"INFUSION_SEGMENT")*nADM_HasDose*(nADM_Sort_n=AC163)),nADM_HasBSA)=1,LOOKUP(2,1/((nADM_SelKey=X163)*(nADM_Kind&lt;&gt;"INFUSION_SEGMENT")*nADM_HasDose*(nADM_Sort_n=AC163)),nADM_BSA_n),""))))</f>
        <v>1.8</v>
      </c>
      <c r="O163" s="21">
        <f t="shared" ref="O163:O164" si="184">IF(OR(AA163=0,F163="",AE163&lt;&gt;""),"",K163/N163)</f>
        <v>161.11111111111111</v>
      </c>
      <c r="P163" s="21" t="str">
        <f t="shared" ref="P163:P164" si="185">IF(V163=1,"",IF(Y163&lt;&gt;"",Y163,MID(IF(M163&lt;L163,"; W_PARTIAL_BSA","")&amp;IF(AE163&lt;&gt;"","; "&amp;AE163&amp;" (Method B)",""),3,99)))</f>
        <v/>
      </c>
      <c r="Q163" s="21" t="str">
        <f>IF(V163=1,"",IF(Y163&lt;&gt;"",Y163&amp;": "&amp;SUBSTITUTE(IFERROR(INDEX(nMSG_Text,MATCH(Y163,nMSG_Code,0)),""),"[input]",Z163),MID(IF(M163&lt;L163," | W_PARTIAL_BSA: "&amp;SUBSTITUTE(IFERROR(INDEX(nMSG_Text,MATCH("W_PARTIAL_BSA",nMSG_Code,0)),""),"[input]",""),"")&amp;IF(AE163&lt;&gt;""," | "&amp;AE163&amp;" (Method B): "&amp;SUBSTITUTE(IFERROR(INDEX(nMSG_Text,MATCH(AE163,nMSG_Code,0)),""),"[input]","a BSA for Method B"),""),4,999)))</f>
        <v/>
      </c>
      <c r="R163" s="21" t="str">
        <f t="shared" ref="R163:R164" si="186">IF(V163=1,"","Doses (mg) and BSA (m2) recorded at each administration of "&amp;E163&amp;" on Administrations"&amp;IF(F163&lt;&gt;"","; Method B BSA: "&amp;F163&amp;IF(H163&lt;&gt;""," ("&amp;H163&amp;")",""),""))</f>
        <v>Doses (mg) and BSA (m2) recorded at each administration of EX1 on Administrations; Method B BSA: FIRST (BSA at the first administration)</v>
      </c>
      <c r="S163" s="21" t="str">
        <f t="shared" ref="S163:S164" si="187">IF(V163=1,"","Describes cumulative exposure. It is not a toxicity threshold.")</f>
        <v>Describes cumulative exposure. It is not a toxicity threshold.</v>
      </c>
      <c r="T163" s="21" t="str">
        <f t="shared" ref="T163:T164" si="188">IF(V163=1,"","Method A (default): sum of dose_i / BSA_i; Method B (on request): total dose / one stated BSA")</f>
        <v>Method A (default): sum of dose_i / BSA_i; Method B (on request): total dose / one stated BSA</v>
      </c>
      <c r="U163" s="21" t="str">
        <f t="shared" ref="U163:U164" si="189">IF(V163=1,"","CALC-SPEC 1.0")</f>
        <v>CALC-SPEC 1.0</v>
      </c>
      <c r="V163" s="22">
        <f t="shared" ref="V163:V164" si="190">IF(AND(A163="",E163=""),1,0)</f>
        <v>0</v>
      </c>
      <c r="W163" s="21" t="str">
        <f t="shared" ref="W163:W164" si="191">IF(A163="","",B163&amp;"|"&amp;C163&amp;"|"&amp;A163)</f>
        <v>VEC-V26|1|Q10-V26-first</v>
      </c>
      <c r="X163" s="21" t="str">
        <f t="shared" ref="X163:X164" si="192">B163&amp;"|"&amp;C163&amp;"|"&amp;E163</f>
        <v>VEC-V26|1|EX1</v>
      </c>
      <c r="Y163" s="21" t="str">
        <f>IF(V163=1,"",IF(OR(A163="",E163=""),"E_MISSING_INPUT",IF(SUMPRODUCT((nADM_SelKey=X163)*(nADM_Kind&lt;&gt;"INFUSION_SEGMENT"))=0,"E_MISSING_INPUT",IF(SUMPRODUCT((nADM_SelKey=X163)*(nADM_Kind&lt;&gt;"INFUSION_SEGMENT")*(1-nADM_HasDose))&gt;0,"E_MISSING_INPUT",IF(SUMPRODUCT((nADM_SelKey=X163)*(nADM_Kind&lt;&gt;"INFUSION_SEGMENT")*nADM_HasDose*(nADM_Dose_Unit&lt;&gt;"mg"))&gt;0,"E_INVALID_UNIT",IF(SUMPRODUCT((nADM_SelKey=X163)*(nADM_Kind&lt;&gt;"INFUSION_SEGMENT")*nADM_HasDose*(nADM_Dose_n&lt;=0))&gt;0,"E_NONPOSITIVE_PARAMETER",IF(SUMPRODUCT((nADM_SelKey=X163)*(nADM_Kind&lt;&gt;"INFUSION_SEGMENT")*nADM_HasDose*nADM_HasBSA*(nADM_BSA_n&lt;=0))&gt;0,"E_NONPOSITIVE_PARAMETER",IF(SUMPRODUCT((nADM_SelKey=X163)*(nADM_Kind&lt;&gt;"INFUSION_SEGMENT")*nADM_HasDose*nADM_HasBSA)=0,"E_MISSING_INPUT",""))))))))</f>
        <v/>
      </c>
      <c r="Z163" s="21" t="str">
        <f>IF(Y163&lt;&gt;"E_MISSING_INPUT","",IF(A163="","a Calc_ID",IF(E163="","an Exposure_Episode_ID",IF(SUMPRODUCT((nADM_SelKey=X163)*(nADM_Kind&lt;&gt;"INFUSION_SEGMENT"))=0,"administrations with a dose for "&amp;E163,IF(SUMPRODUCT((nADM_SelKey=X163)*(nADM_Kind&lt;&gt;"INFUSION_SEGMENT")*(1-nADM_HasDose))&gt;0,"the dose (mg) of every administration of "&amp;E163&amp;" ("&amp;SUMPRODUCT((nADM_SelKey=X163)*(nADM_Kind&lt;&gt;"INFUSION_SEGMENT")*(1-nADM_HasDose))&amp;" of "&amp;SUMPRODUCT((nADM_SelKey=X163)*(nADM_Kind&lt;&gt;"INFUSION_SEGMENT"))&amp;" have no dose)","the BSA recorded at one or more administrations of "&amp;E163&amp;" (none is recorded)")))))</f>
        <v/>
      </c>
      <c r="AA163" s="22">
        <f t="shared" ref="AA163:AA164" si="193">IF(AND(V163=0,Y163=""),1,0)</f>
        <v>1</v>
      </c>
      <c r="AB163" s="22">
        <f>IF(AA163=0,0,1000000000000-SUMPRODUCT(MAX((nADM_SelKey=X163)*(nADM_Kind&lt;&gt;"INFUSION_SEGMENT")*nADM_HasDose*(1000000000000-nADM_Sort_n))))</f>
        <v>0</v>
      </c>
      <c r="AC163" s="22">
        <f>IF(AA163=0,0,SUMPRODUCT(MAX((nADM_SelKey=X163)*(nADM_Kind&lt;&gt;"INFUSION_SEGMENT")*nADM_HasDose*nADM_Sort_n)))</f>
        <v>0</v>
      </c>
      <c r="AD163" s="22">
        <f>IF(AA163=0,0,MATCH(1,INDEX((nADM_SelKey=X163)*(nADM_Kind&lt;&gt;"INFUSION_SEGMENT")*nADM_HasDose*(nADM_Sort_n=AB163),0),0))</f>
        <v>72</v>
      </c>
      <c r="AE163" s="21" t="str">
        <f t="shared" ref="AE163:AE164" si="194">IF(OR(AA163=0,F163=""),"",IF(N163="","E_MISSING_INPUT",IF(N163&lt;=0,"E_NONPOSITIVE_PARAMETER","")))</f>
        <v/>
      </c>
    </row>
    <row r="164" spans="1:32" x14ac:dyDescent="0.2">
      <c r="A164" s="9" t="s">
        <v>1227</v>
      </c>
      <c r="B164" s="9" t="s">
        <v>353</v>
      </c>
      <c r="C164" s="11">
        <v>1</v>
      </c>
      <c r="D164" s="9" t="s">
        <v>1228</v>
      </c>
      <c r="E164" s="9" t="s">
        <v>494</v>
      </c>
      <c r="F164" s="16" t="s">
        <v>128</v>
      </c>
      <c r="G164" s="16"/>
      <c r="H164" s="9" t="s">
        <v>1229</v>
      </c>
      <c r="I164" s="21" t="str">
        <f t="shared" si="183"/>
        <v>Method A (sum of dose / BSA at each administration): 164.1 mg/m²; Method B (total 290 mg / 1.7 m², LAST BSA): 170.6 mg/m²</v>
      </c>
      <c r="J164" s="21">
        <f>IF(AA164=1,SUMPRODUCT((nADM_SelKey=X164)*(nADM_Kind&lt;&gt;"INFUSION_SEGMENT")*nADM_HasDose*nADM_Dose_per_BSA),"")</f>
        <v>164.05228758169935</v>
      </c>
      <c r="K164" s="21">
        <f>IF(AA164=1,SUMPRODUCT((nADM_SelKey=X164)*(nADM_Kind&lt;&gt;"INFUSION_SEGMENT")*nADM_HasDose*nADM_Dose_n),"")</f>
        <v>290</v>
      </c>
      <c r="L164" s="21">
        <f>IF(V164=1,"",SUMPRODUCT((nADM_SelKey=X164)*(nADM_Kind&lt;&gt;"INFUSION_SEGMENT")*nADM_HasDose))</f>
        <v>3</v>
      </c>
      <c r="M164" s="21">
        <f>IF(V164=1,"",SUMPRODUCT((nADM_SelKey=X164)*(nADM_Kind&lt;&gt;"INFUSION_SEGMENT")*nADM_HasDose*nADM_HasBSA))</f>
        <v>3</v>
      </c>
      <c r="N164" s="21">
        <f>IF(OR(AA164=0,F164=""),"",IF(F164="STATED",IF(ISNUMBER(G164),G164,""),IF(F164="FIRST",IF(INDEX(nADM_HasBSA,AD164)=1,INDEX(nADM_BSA_n,AD164),""),IF(LOOKUP(2,1/((nADM_SelKey=X164)*(nADM_Kind&lt;&gt;"INFUSION_SEGMENT")*nADM_HasDose*(nADM_Sort_n=AC164)),nADM_HasBSA)=1,LOOKUP(2,1/((nADM_SelKey=X164)*(nADM_Kind&lt;&gt;"INFUSION_SEGMENT")*nADM_HasDose*(nADM_Sort_n=AC164)),nADM_BSA_n),""))))</f>
        <v>1.7</v>
      </c>
      <c r="O164" s="21">
        <f t="shared" si="184"/>
        <v>170.58823529411765</v>
      </c>
      <c r="P164" s="21" t="str">
        <f t="shared" si="185"/>
        <v/>
      </c>
      <c r="Q164" s="21" t="str">
        <f>IF(V164=1,"",IF(Y164&lt;&gt;"",Y164&amp;": "&amp;SUBSTITUTE(IFERROR(INDEX(nMSG_Text,MATCH(Y164,nMSG_Code,0)),""),"[input]",Z164),MID(IF(M164&lt;L164," | W_PARTIAL_BSA: "&amp;SUBSTITUTE(IFERROR(INDEX(nMSG_Text,MATCH("W_PARTIAL_BSA",nMSG_Code,0)),""),"[input]",""),"")&amp;IF(AE164&lt;&gt;""," | "&amp;AE164&amp;" (Method B): "&amp;SUBSTITUTE(IFERROR(INDEX(nMSG_Text,MATCH(AE164,nMSG_Code,0)),""),"[input]","a BSA for Method B"),""),4,999)))</f>
        <v/>
      </c>
      <c r="R164" s="21" t="str">
        <f t="shared" si="186"/>
        <v>Doses (mg) and BSA (m2) recorded at each administration of EX1 on Administrations; Method B BSA: LAST (BSA at the last administration)</v>
      </c>
      <c r="S164" s="21" t="str">
        <f t="shared" si="187"/>
        <v>Describes cumulative exposure. It is not a toxicity threshold.</v>
      </c>
      <c r="T164" s="21" t="str">
        <f t="shared" si="188"/>
        <v>Method A (default): sum of dose_i / BSA_i; Method B (on request): total dose / one stated BSA</v>
      </c>
      <c r="U164" s="21" t="str">
        <f t="shared" si="189"/>
        <v>CALC-SPEC 1.0</v>
      </c>
      <c r="V164" s="22">
        <f t="shared" si="190"/>
        <v>0</v>
      </c>
      <c r="W164" s="21" t="str">
        <f t="shared" si="191"/>
        <v>VEC-V26|1|Q10-V26-last</v>
      </c>
      <c r="X164" s="21" t="str">
        <f t="shared" si="192"/>
        <v>VEC-V26|1|EX1</v>
      </c>
      <c r="Y164" s="21" t="str">
        <f>IF(V164=1,"",IF(OR(A164="",E164=""),"E_MISSING_INPUT",IF(SUMPRODUCT((nADM_SelKey=X164)*(nADM_Kind&lt;&gt;"INFUSION_SEGMENT"))=0,"E_MISSING_INPUT",IF(SUMPRODUCT((nADM_SelKey=X164)*(nADM_Kind&lt;&gt;"INFUSION_SEGMENT")*(1-nADM_HasDose))&gt;0,"E_MISSING_INPUT",IF(SUMPRODUCT((nADM_SelKey=X164)*(nADM_Kind&lt;&gt;"INFUSION_SEGMENT")*nADM_HasDose*(nADM_Dose_Unit&lt;&gt;"mg"))&gt;0,"E_INVALID_UNIT",IF(SUMPRODUCT((nADM_SelKey=X164)*(nADM_Kind&lt;&gt;"INFUSION_SEGMENT")*nADM_HasDose*(nADM_Dose_n&lt;=0))&gt;0,"E_NONPOSITIVE_PARAMETER",IF(SUMPRODUCT((nADM_SelKey=X164)*(nADM_Kind&lt;&gt;"INFUSION_SEGMENT")*nADM_HasDose*nADM_HasBSA*(nADM_BSA_n&lt;=0))&gt;0,"E_NONPOSITIVE_PARAMETER",IF(SUMPRODUCT((nADM_SelKey=X164)*(nADM_Kind&lt;&gt;"INFUSION_SEGMENT")*nADM_HasDose*nADM_HasBSA)=0,"E_MISSING_INPUT",""))))))))</f>
        <v/>
      </c>
      <c r="Z164" s="21" t="str">
        <f>IF(Y164&lt;&gt;"E_MISSING_INPUT","",IF(A164="","a Calc_ID",IF(E164="","an Exposure_Episode_ID",IF(SUMPRODUCT((nADM_SelKey=X164)*(nADM_Kind&lt;&gt;"INFUSION_SEGMENT"))=0,"administrations with a dose for "&amp;E164,IF(SUMPRODUCT((nADM_SelKey=X164)*(nADM_Kind&lt;&gt;"INFUSION_SEGMENT")*(1-nADM_HasDose))&gt;0,"the dose (mg) of every administration of "&amp;E164&amp;" ("&amp;SUMPRODUCT((nADM_SelKey=X164)*(nADM_Kind&lt;&gt;"INFUSION_SEGMENT")*(1-nADM_HasDose))&amp;" of "&amp;SUMPRODUCT((nADM_SelKey=X164)*(nADM_Kind&lt;&gt;"INFUSION_SEGMENT"))&amp;" have no dose)","the BSA recorded at one or more administrations of "&amp;E164&amp;" (none is recorded)")))))</f>
        <v/>
      </c>
      <c r="AA164" s="22">
        <f t="shared" si="193"/>
        <v>1</v>
      </c>
      <c r="AB164" s="22">
        <f>IF(AA164=0,0,1000000000000-SUMPRODUCT(MAX((nADM_SelKey=X164)*(nADM_Kind&lt;&gt;"INFUSION_SEGMENT")*nADM_HasDose*(1000000000000-nADM_Sort_n))))</f>
        <v>0</v>
      </c>
      <c r="AC164" s="22">
        <f>IF(AA164=0,0,SUMPRODUCT(MAX((nADM_SelKey=X164)*(nADM_Kind&lt;&gt;"INFUSION_SEGMENT")*nADM_HasDose*nADM_Sort_n)))</f>
        <v>0</v>
      </c>
      <c r="AD164" s="22">
        <f>IF(AA164=0,0,MATCH(1,INDEX((nADM_SelKey=X164)*(nADM_Kind&lt;&gt;"INFUSION_SEGMENT")*nADM_HasDose*(nADM_Sort_n=AB164),0),0))</f>
        <v>72</v>
      </c>
      <c r="AE164" s="21" t="str">
        <f t="shared" si="194"/>
        <v/>
      </c>
    </row>
    <row r="167" spans="1:32" ht="17.25" x14ac:dyDescent="0.3">
      <c r="A167" s="6" t="s">
        <v>1230</v>
      </c>
    </row>
    <row r="168" spans="1:32" x14ac:dyDescent="0.2">
      <c r="A168" s="7" t="s">
        <v>1023</v>
      </c>
    </row>
    <row r="169" spans="1:32" x14ac:dyDescent="0.2">
      <c r="A169" s="2" t="s">
        <v>1024</v>
      </c>
      <c r="E169" s="2" t="s">
        <v>1231</v>
      </c>
      <c r="G169" s="2" t="s">
        <v>1024</v>
      </c>
      <c r="Q169" s="2" t="s">
        <v>1040</v>
      </c>
      <c r="AB169" s="2" t="s">
        <v>1052</v>
      </c>
    </row>
    <row r="170" spans="1:32" ht="66" customHeight="1" x14ac:dyDescent="0.2">
      <c r="A170" s="8" t="s">
        <v>1025</v>
      </c>
      <c r="B170" s="8" t="s">
        <v>274</v>
      </c>
      <c r="C170" s="8" t="s">
        <v>275</v>
      </c>
      <c r="D170" s="8" t="s">
        <v>1026</v>
      </c>
      <c r="E170" s="8" t="s">
        <v>1232</v>
      </c>
      <c r="F170" s="8" t="s">
        <v>1233</v>
      </c>
      <c r="G170" s="8" t="s">
        <v>1234</v>
      </c>
      <c r="H170" s="8" t="s">
        <v>1235</v>
      </c>
      <c r="I170" s="8" t="s">
        <v>1236</v>
      </c>
      <c r="J170" s="8" t="s">
        <v>1237</v>
      </c>
      <c r="K170" s="8" t="s">
        <v>1238</v>
      </c>
      <c r="L170" s="8" t="s">
        <v>1239</v>
      </c>
      <c r="M170" s="8" t="s">
        <v>1240</v>
      </c>
      <c r="N170" s="8" t="s">
        <v>1241</v>
      </c>
      <c r="O170" s="8" t="s">
        <v>1242</v>
      </c>
      <c r="P170" s="8" t="s">
        <v>1243</v>
      </c>
      <c r="Q170" s="19" t="s">
        <v>1244</v>
      </c>
      <c r="R170" s="19" t="s">
        <v>1245</v>
      </c>
      <c r="S170" s="19" t="s">
        <v>1246</v>
      </c>
      <c r="T170" s="19" t="s">
        <v>1247</v>
      </c>
      <c r="U170" s="19" t="s">
        <v>1248</v>
      </c>
      <c r="V170" s="19" t="s">
        <v>1046</v>
      </c>
      <c r="W170" s="19" t="s">
        <v>1047</v>
      </c>
      <c r="X170" s="19" t="s">
        <v>1048</v>
      </c>
      <c r="Y170" s="19" t="s">
        <v>1050</v>
      </c>
      <c r="Z170" s="19" t="s">
        <v>1051</v>
      </c>
      <c r="AA170" s="19" t="s">
        <v>895</v>
      </c>
      <c r="AB170" s="19" t="s">
        <v>897</v>
      </c>
      <c r="AC170" s="19" t="s">
        <v>1053</v>
      </c>
      <c r="AD170" s="19" t="s">
        <v>930</v>
      </c>
      <c r="AE170" s="19" t="s">
        <v>1054</v>
      </c>
      <c r="AF170" s="19" t="s">
        <v>1055</v>
      </c>
    </row>
    <row r="171" spans="1:32" x14ac:dyDescent="0.2">
      <c r="A171" s="10"/>
      <c r="B171" s="10"/>
      <c r="C171" s="12"/>
      <c r="D171" s="10"/>
      <c r="E171" s="17"/>
      <c r="F171" s="10"/>
      <c r="G171" s="17"/>
      <c r="H171" s="17"/>
      <c r="I171" s="17"/>
      <c r="J171" s="17"/>
      <c r="K171" s="17"/>
      <c r="L171" s="17"/>
      <c r="M171" s="17"/>
      <c r="N171" s="17"/>
      <c r="O171" s="10"/>
      <c r="P171" s="17"/>
      <c r="Q171" s="21" t="str">
        <f t="shared" ref="Q171:Q178" si="195">IF(AB171=1,"",IF(AD171&lt;&gt;"",AD171&amp;": no result is shown",IF(P171="not recorded","Female "&amp;FIXED(T171,0,TRUE)&amp;" mL/minute; male "&amp;FIXED(U171,0,TRUE)&amp;" mL/minute (sex not recorded; both shown)",FIXED(S171,0,TRUE)&amp;" mL/minute estimated creatinine clearance ("&amp;P171&amp;")")))</f>
        <v/>
      </c>
      <c r="R171" s="21" t="str">
        <f t="shared" ref="R171:R178" si="196">IF(AF171=1,IF(M171="µmol/L",L171/88.4,L171),"")</f>
        <v/>
      </c>
      <c r="S171" s="21" t="str">
        <f t="shared" ref="S171:S178" si="197">IF(AND(AF171=1,P171&lt;&gt;"not recorded"),(140-G171)*I171/(72*R171)*IF(P171="female",0.85,1),"")</f>
        <v/>
      </c>
      <c r="T171" s="21" t="str">
        <f t="shared" ref="T171:T178" si="198">IF(AND(AF171=1,P171="not recorded"),0.85*(140-G171)*I171/(72*R171),"")</f>
        <v/>
      </c>
      <c r="U171" s="21" t="str">
        <f t="shared" ref="U171:U178" si="199">IF(AND(AF171=1,P171="not recorded"),(140-G171)*I171/(72*R171),"")</f>
        <v/>
      </c>
      <c r="V171" s="21" t="str">
        <f t="shared" ref="V171:V178" si="200">IF(AB171=1,"",IF(AD171&lt;&gt;"",AD171,IF(P171="not recorded","W_SEX_NOT_RECORDED","")))</f>
        <v/>
      </c>
      <c r="W171" s="21" t="str">
        <f>IF(AB171=1,"",IF(AD171&lt;&gt;"",AD171&amp;": "&amp;SUBSTITUTE(IFERROR(INDEX(nMSG_Text,MATCH(AD171,nMSG_Code,0)),""),"[input]",AE171),IF(P171="not recorded","W_SEX_NOT_RECORDED: "&amp;SUBSTITUTE(IFERROR(INDEX(nMSG_Text,MATCH("W_SEX_NOT_RECORDED",nMSG_Code,0)),""),"[input]",""),"")))</f>
        <v/>
      </c>
      <c r="X171" s="21" t="str">
        <f t="shared" ref="X171:X178" si="201">IF(AB171=1,"","age = "&amp;G171&amp;" years ["&amp;H171&amp;"]; weight = "&amp;I171&amp;" kg, "&amp;J171&amp;" ["&amp;K171&amp;"]; serum creatinine = "&amp;L171&amp;" "&amp;M171&amp;" ["&amp;N171&amp;IF(O171&lt;&gt;"","; "&amp;O171,"")&amp;"]; sex: "&amp;P171&amp;"; stability: "&amp;IF(E171="Yes","confirmed ("&amp;F171&amp;")","not confirmed"))</f>
        <v/>
      </c>
      <c r="Y171" s="21" t="str">
        <f t="shared" ref="Y171:Y178" si="202">IF(AB171=1,"","Assumes stable creatinine. It is not drug clearance and not a dosing recommendation.")</f>
        <v/>
      </c>
      <c r="Z171" s="21" t="str">
        <f t="shared" ref="Z171:Z178" si="203">IF(AB171=1,"","Cockcroft-Gault: CrCl = (140 - age) x weight / (72 x SCr), x 0.85 when female sex is recorded; umol/L / 88.4 = mg/dL")</f>
        <v/>
      </c>
      <c r="AA171" s="21" t="str">
        <f t="shared" ref="AA171:AA178" si="204">IF(AB171=1,"","CALC-SPEC 1.0")</f>
        <v/>
      </c>
      <c r="AB171" s="22">
        <f t="shared" ref="AB171:AB178" si="205">IF(AND(A171="",G171="",L171=""),1,0)</f>
        <v>1</v>
      </c>
      <c r="AC171" s="21" t="str">
        <f t="shared" ref="AC171:AC178" si="206">IF(A171="","",B171&amp;"|"&amp;C171&amp;"|"&amp;A171)</f>
        <v/>
      </c>
      <c r="AD171" s="21" t="str">
        <f>IF(AB171=1,"",IF(A171="","E_MISSING_INPUT",IF(E171&lt;&gt;"Yes","E_CREATININE_STABILITY_UNCONFIRMED",IF(OR(G171="",I171="",J171="",L171="",M171="",P171=""),"E_MISSING_INPUT",IF(OR(NOT(ISNUMBER(G171)),NOT(ISNUMBER(I171)),NOT(ISNUMBER(L171))),"E_MISSING_INPUT",IF(OR(I171&lt;=0,L171&lt;=0),"E_NONPOSITIVE_PARAMETER",IF(OR(G171&lt;18,G171&gt;120),"E_OUT_OF_RANGE",IF(ISNA(MATCH(M171,nLIST_SCrUnit,0)),"E_INVALID_UNIT",IF(OR(H171="",K171="",N171=""),"E_MISSING_INPUT","")))))))))</f>
        <v/>
      </c>
      <c r="AE171" s="21" t="str">
        <f t="shared" ref="AE171:AE178" si="207">IF(AD171&lt;&gt;"E_MISSING_INPUT","",IF(A171="","a Calc_ID",IF(NOT(ISNUMBER(G171)),"a numeric age",IF(NOT(ISNUMBER(I171)),"a numeric weight in kg",IF(J171="","the weight type",IF(NOT(ISNUMBER(L171)),"a numeric serum creatinine",IF(M171="","a creatinine unit",IF(P171="","sex as recorded (or not recorded)","the Parameter_Status of each input"))))))))</f>
        <v/>
      </c>
      <c r="AF171" s="22">
        <f t="shared" ref="AF171:AF178" si="208">IF(AND(AB171=0,AD171=""),1,0)</f>
        <v>0</v>
      </c>
    </row>
    <row r="172" spans="1:32" x14ac:dyDescent="0.2">
      <c r="A172" s="10"/>
      <c r="B172" s="10"/>
      <c r="C172" s="12"/>
      <c r="D172" s="10"/>
      <c r="E172" s="17"/>
      <c r="F172" s="10"/>
      <c r="G172" s="17"/>
      <c r="H172" s="17"/>
      <c r="I172" s="17"/>
      <c r="J172" s="17"/>
      <c r="K172" s="17"/>
      <c r="L172" s="17"/>
      <c r="M172" s="17"/>
      <c r="N172" s="17"/>
      <c r="O172" s="10"/>
      <c r="P172" s="17"/>
      <c r="Q172" s="21" t="str">
        <f t="shared" si="195"/>
        <v/>
      </c>
      <c r="R172" s="21" t="str">
        <f t="shared" si="196"/>
        <v/>
      </c>
      <c r="S172" s="21" t="str">
        <f t="shared" si="197"/>
        <v/>
      </c>
      <c r="T172" s="21" t="str">
        <f t="shared" si="198"/>
        <v/>
      </c>
      <c r="U172" s="21" t="str">
        <f t="shared" si="199"/>
        <v/>
      </c>
      <c r="V172" s="21" t="str">
        <f t="shared" si="200"/>
        <v/>
      </c>
      <c r="W172" s="21" t="str">
        <f>IF(AB172=1,"",IF(AD172&lt;&gt;"",AD172&amp;": "&amp;SUBSTITUTE(IFERROR(INDEX(nMSG_Text,MATCH(AD172,nMSG_Code,0)),""),"[input]",AE172),IF(P172="not recorded","W_SEX_NOT_RECORDED: "&amp;SUBSTITUTE(IFERROR(INDEX(nMSG_Text,MATCH("W_SEX_NOT_RECORDED",nMSG_Code,0)),""),"[input]",""),"")))</f>
        <v/>
      </c>
      <c r="X172" s="21" t="str">
        <f t="shared" si="201"/>
        <v/>
      </c>
      <c r="Y172" s="21" t="str">
        <f t="shared" si="202"/>
        <v/>
      </c>
      <c r="Z172" s="21" t="str">
        <f t="shared" si="203"/>
        <v/>
      </c>
      <c r="AA172" s="21" t="str">
        <f t="shared" si="204"/>
        <v/>
      </c>
      <c r="AB172" s="22">
        <f t="shared" si="205"/>
        <v>1</v>
      </c>
      <c r="AC172" s="21" t="str">
        <f t="shared" si="206"/>
        <v/>
      </c>
      <c r="AD172" s="21" t="str">
        <f>IF(AB172=1,"",IF(A172="","E_MISSING_INPUT",IF(E172&lt;&gt;"Yes","E_CREATININE_STABILITY_UNCONFIRMED",IF(OR(G172="",I172="",J172="",L172="",M172="",P172=""),"E_MISSING_INPUT",IF(OR(NOT(ISNUMBER(G172)),NOT(ISNUMBER(I172)),NOT(ISNUMBER(L172))),"E_MISSING_INPUT",IF(OR(I172&lt;=0,L172&lt;=0),"E_NONPOSITIVE_PARAMETER",IF(OR(G172&lt;18,G172&gt;120),"E_OUT_OF_RANGE",IF(ISNA(MATCH(M172,nLIST_SCrUnit,0)),"E_INVALID_UNIT",IF(OR(H172="",K172="",N172=""),"E_MISSING_INPUT","")))))))))</f>
        <v/>
      </c>
      <c r="AE172" s="21" t="str">
        <f t="shared" si="207"/>
        <v/>
      </c>
      <c r="AF172" s="22">
        <f t="shared" si="208"/>
        <v>0</v>
      </c>
    </row>
    <row r="173" spans="1:32" x14ac:dyDescent="0.2">
      <c r="A173" s="10"/>
      <c r="B173" s="10"/>
      <c r="C173" s="12"/>
      <c r="D173" s="10"/>
      <c r="E173" s="17"/>
      <c r="F173" s="10"/>
      <c r="G173" s="17"/>
      <c r="H173" s="17"/>
      <c r="I173" s="17"/>
      <c r="J173" s="17"/>
      <c r="K173" s="17"/>
      <c r="L173" s="17"/>
      <c r="M173" s="17"/>
      <c r="N173" s="17"/>
      <c r="O173" s="10"/>
      <c r="P173" s="17"/>
      <c r="Q173" s="21" t="str">
        <f t="shared" si="195"/>
        <v/>
      </c>
      <c r="R173" s="21" t="str">
        <f t="shared" si="196"/>
        <v/>
      </c>
      <c r="S173" s="21" t="str">
        <f t="shared" si="197"/>
        <v/>
      </c>
      <c r="T173" s="21" t="str">
        <f t="shared" si="198"/>
        <v/>
      </c>
      <c r="U173" s="21" t="str">
        <f t="shared" si="199"/>
        <v/>
      </c>
      <c r="V173" s="21" t="str">
        <f t="shared" si="200"/>
        <v/>
      </c>
      <c r="W173" s="21" t="str">
        <f>IF(AB173=1,"",IF(AD173&lt;&gt;"",AD173&amp;": "&amp;SUBSTITUTE(IFERROR(INDEX(nMSG_Text,MATCH(AD173,nMSG_Code,0)),""),"[input]",AE173),IF(P173="not recorded","W_SEX_NOT_RECORDED: "&amp;SUBSTITUTE(IFERROR(INDEX(nMSG_Text,MATCH("W_SEX_NOT_RECORDED",nMSG_Code,0)),""),"[input]",""),"")))</f>
        <v/>
      </c>
      <c r="X173" s="21" t="str">
        <f t="shared" si="201"/>
        <v/>
      </c>
      <c r="Y173" s="21" t="str">
        <f t="shared" si="202"/>
        <v/>
      </c>
      <c r="Z173" s="21" t="str">
        <f t="shared" si="203"/>
        <v/>
      </c>
      <c r="AA173" s="21" t="str">
        <f t="shared" si="204"/>
        <v/>
      </c>
      <c r="AB173" s="22">
        <f t="shared" si="205"/>
        <v>1</v>
      </c>
      <c r="AC173" s="21" t="str">
        <f t="shared" si="206"/>
        <v/>
      </c>
      <c r="AD173" s="21" t="str">
        <f>IF(AB173=1,"",IF(A173="","E_MISSING_INPUT",IF(E173&lt;&gt;"Yes","E_CREATININE_STABILITY_UNCONFIRMED",IF(OR(G173="",I173="",J173="",L173="",M173="",P173=""),"E_MISSING_INPUT",IF(OR(NOT(ISNUMBER(G173)),NOT(ISNUMBER(I173)),NOT(ISNUMBER(L173))),"E_MISSING_INPUT",IF(OR(I173&lt;=0,L173&lt;=0),"E_NONPOSITIVE_PARAMETER",IF(OR(G173&lt;18,G173&gt;120),"E_OUT_OF_RANGE",IF(ISNA(MATCH(M173,nLIST_SCrUnit,0)),"E_INVALID_UNIT",IF(OR(H173="",K173="",N173=""),"E_MISSING_INPUT","")))))))))</f>
        <v/>
      </c>
      <c r="AE173" s="21" t="str">
        <f t="shared" si="207"/>
        <v/>
      </c>
      <c r="AF173" s="22">
        <f t="shared" si="208"/>
        <v>0</v>
      </c>
    </row>
    <row r="174" spans="1:32" x14ac:dyDescent="0.2">
      <c r="A174" s="10"/>
      <c r="B174" s="10"/>
      <c r="C174" s="12"/>
      <c r="D174" s="10"/>
      <c r="E174" s="17"/>
      <c r="F174" s="10"/>
      <c r="G174" s="17"/>
      <c r="H174" s="17"/>
      <c r="I174" s="17"/>
      <c r="J174" s="17"/>
      <c r="K174" s="17"/>
      <c r="L174" s="17"/>
      <c r="M174" s="17"/>
      <c r="N174" s="17"/>
      <c r="O174" s="10"/>
      <c r="P174" s="17"/>
      <c r="Q174" s="21" t="str">
        <f t="shared" si="195"/>
        <v/>
      </c>
      <c r="R174" s="21" t="str">
        <f t="shared" si="196"/>
        <v/>
      </c>
      <c r="S174" s="21" t="str">
        <f t="shared" si="197"/>
        <v/>
      </c>
      <c r="T174" s="21" t="str">
        <f t="shared" si="198"/>
        <v/>
      </c>
      <c r="U174" s="21" t="str">
        <f t="shared" si="199"/>
        <v/>
      </c>
      <c r="V174" s="21" t="str">
        <f t="shared" si="200"/>
        <v/>
      </c>
      <c r="W174" s="21" t="str">
        <f>IF(AB174=1,"",IF(AD174&lt;&gt;"",AD174&amp;": "&amp;SUBSTITUTE(IFERROR(INDEX(nMSG_Text,MATCH(AD174,nMSG_Code,0)),""),"[input]",AE174),IF(P174="not recorded","W_SEX_NOT_RECORDED: "&amp;SUBSTITUTE(IFERROR(INDEX(nMSG_Text,MATCH("W_SEX_NOT_RECORDED",nMSG_Code,0)),""),"[input]",""),"")))</f>
        <v/>
      </c>
      <c r="X174" s="21" t="str">
        <f t="shared" si="201"/>
        <v/>
      </c>
      <c r="Y174" s="21" t="str">
        <f t="shared" si="202"/>
        <v/>
      </c>
      <c r="Z174" s="21" t="str">
        <f t="shared" si="203"/>
        <v/>
      </c>
      <c r="AA174" s="21" t="str">
        <f t="shared" si="204"/>
        <v/>
      </c>
      <c r="AB174" s="22">
        <f t="shared" si="205"/>
        <v>1</v>
      </c>
      <c r="AC174" s="21" t="str">
        <f t="shared" si="206"/>
        <v/>
      </c>
      <c r="AD174" s="21" t="str">
        <f>IF(AB174=1,"",IF(A174="","E_MISSING_INPUT",IF(E174&lt;&gt;"Yes","E_CREATININE_STABILITY_UNCONFIRMED",IF(OR(G174="",I174="",J174="",L174="",M174="",P174=""),"E_MISSING_INPUT",IF(OR(NOT(ISNUMBER(G174)),NOT(ISNUMBER(I174)),NOT(ISNUMBER(L174))),"E_MISSING_INPUT",IF(OR(I174&lt;=0,L174&lt;=0),"E_NONPOSITIVE_PARAMETER",IF(OR(G174&lt;18,G174&gt;120),"E_OUT_OF_RANGE",IF(ISNA(MATCH(M174,nLIST_SCrUnit,0)),"E_INVALID_UNIT",IF(OR(H174="",K174="",N174=""),"E_MISSING_INPUT","")))))))))</f>
        <v/>
      </c>
      <c r="AE174" s="21" t="str">
        <f t="shared" si="207"/>
        <v/>
      </c>
      <c r="AF174" s="22">
        <f t="shared" si="208"/>
        <v>0</v>
      </c>
    </row>
    <row r="175" spans="1:32" x14ac:dyDescent="0.2">
      <c r="A175" s="10"/>
      <c r="B175" s="10"/>
      <c r="C175" s="12"/>
      <c r="D175" s="10"/>
      <c r="E175" s="17"/>
      <c r="F175" s="10"/>
      <c r="G175" s="17"/>
      <c r="H175" s="17"/>
      <c r="I175" s="17"/>
      <c r="J175" s="17"/>
      <c r="K175" s="17"/>
      <c r="L175" s="17"/>
      <c r="M175" s="17"/>
      <c r="N175" s="17"/>
      <c r="O175" s="10"/>
      <c r="P175" s="17"/>
      <c r="Q175" s="21" t="str">
        <f t="shared" si="195"/>
        <v/>
      </c>
      <c r="R175" s="21" t="str">
        <f t="shared" si="196"/>
        <v/>
      </c>
      <c r="S175" s="21" t="str">
        <f t="shared" si="197"/>
        <v/>
      </c>
      <c r="T175" s="21" t="str">
        <f t="shared" si="198"/>
        <v/>
      </c>
      <c r="U175" s="21" t="str">
        <f t="shared" si="199"/>
        <v/>
      </c>
      <c r="V175" s="21" t="str">
        <f t="shared" si="200"/>
        <v/>
      </c>
      <c r="W175" s="21" t="str">
        <f>IF(AB175=1,"",IF(AD175&lt;&gt;"",AD175&amp;": "&amp;SUBSTITUTE(IFERROR(INDEX(nMSG_Text,MATCH(AD175,nMSG_Code,0)),""),"[input]",AE175),IF(P175="not recorded","W_SEX_NOT_RECORDED: "&amp;SUBSTITUTE(IFERROR(INDEX(nMSG_Text,MATCH("W_SEX_NOT_RECORDED",nMSG_Code,0)),""),"[input]",""),"")))</f>
        <v/>
      </c>
      <c r="X175" s="21" t="str">
        <f t="shared" si="201"/>
        <v/>
      </c>
      <c r="Y175" s="21" t="str">
        <f t="shared" si="202"/>
        <v/>
      </c>
      <c r="Z175" s="21" t="str">
        <f t="shared" si="203"/>
        <v/>
      </c>
      <c r="AA175" s="21" t="str">
        <f t="shared" si="204"/>
        <v/>
      </c>
      <c r="AB175" s="22">
        <f t="shared" si="205"/>
        <v>1</v>
      </c>
      <c r="AC175" s="21" t="str">
        <f t="shared" si="206"/>
        <v/>
      </c>
      <c r="AD175" s="21" t="str">
        <f>IF(AB175=1,"",IF(A175="","E_MISSING_INPUT",IF(E175&lt;&gt;"Yes","E_CREATININE_STABILITY_UNCONFIRMED",IF(OR(G175="",I175="",J175="",L175="",M175="",P175=""),"E_MISSING_INPUT",IF(OR(NOT(ISNUMBER(G175)),NOT(ISNUMBER(I175)),NOT(ISNUMBER(L175))),"E_MISSING_INPUT",IF(OR(I175&lt;=0,L175&lt;=0),"E_NONPOSITIVE_PARAMETER",IF(OR(G175&lt;18,G175&gt;120),"E_OUT_OF_RANGE",IF(ISNA(MATCH(M175,nLIST_SCrUnit,0)),"E_INVALID_UNIT",IF(OR(H175="",K175="",N175=""),"E_MISSING_INPUT","")))))))))</f>
        <v/>
      </c>
      <c r="AE175" s="21" t="str">
        <f t="shared" si="207"/>
        <v/>
      </c>
      <c r="AF175" s="22">
        <f t="shared" si="208"/>
        <v>0</v>
      </c>
    </row>
    <row r="176" spans="1:32" x14ac:dyDescent="0.2">
      <c r="A176" s="10"/>
      <c r="B176" s="10"/>
      <c r="C176" s="12"/>
      <c r="D176" s="10"/>
      <c r="E176" s="17"/>
      <c r="F176" s="10"/>
      <c r="G176" s="17"/>
      <c r="H176" s="17"/>
      <c r="I176" s="17"/>
      <c r="J176" s="17"/>
      <c r="K176" s="17"/>
      <c r="L176" s="17"/>
      <c r="M176" s="17"/>
      <c r="N176" s="17"/>
      <c r="O176" s="10"/>
      <c r="P176" s="17"/>
      <c r="Q176" s="21" t="str">
        <f t="shared" si="195"/>
        <v/>
      </c>
      <c r="R176" s="21" t="str">
        <f t="shared" si="196"/>
        <v/>
      </c>
      <c r="S176" s="21" t="str">
        <f t="shared" si="197"/>
        <v/>
      </c>
      <c r="T176" s="21" t="str">
        <f t="shared" si="198"/>
        <v/>
      </c>
      <c r="U176" s="21" t="str">
        <f t="shared" si="199"/>
        <v/>
      </c>
      <c r="V176" s="21" t="str">
        <f t="shared" si="200"/>
        <v/>
      </c>
      <c r="W176" s="21" t="str">
        <f>IF(AB176=1,"",IF(AD176&lt;&gt;"",AD176&amp;": "&amp;SUBSTITUTE(IFERROR(INDEX(nMSG_Text,MATCH(AD176,nMSG_Code,0)),""),"[input]",AE176),IF(P176="not recorded","W_SEX_NOT_RECORDED: "&amp;SUBSTITUTE(IFERROR(INDEX(nMSG_Text,MATCH("W_SEX_NOT_RECORDED",nMSG_Code,0)),""),"[input]",""),"")))</f>
        <v/>
      </c>
      <c r="X176" s="21" t="str">
        <f t="shared" si="201"/>
        <v/>
      </c>
      <c r="Y176" s="21" t="str">
        <f t="shared" si="202"/>
        <v/>
      </c>
      <c r="Z176" s="21" t="str">
        <f t="shared" si="203"/>
        <v/>
      </c>
      <c r="AA176" s="21" t="str">
        <f t="shared" si="204"/>
        <v/>
      </c>
      <c r="AB176" s="22">
        <f t="shared" si="205"/>
        <v>1</v>
      </c>
      <c r="AC176" s="21" t="str">
        <f t="shared" si="206"/>
        <v/>
      </c>
      <c r="AD176" s="21" t="str">
        <f>IF(AB176=1,"",IF(A176="","E_MISSING_INPUT",IF(E176&lt;&gt;"Yes","E_CREATININE_STABILITY_UNCONFIRMED",IF(OR(G176="",I176="",J176="",L176="",M176="",P176=""),"E_MISSING_INPUT",IF(OR(NOT(ISNUMBER(G176)),NOT(ISNUMBER(I176)),NOT(ISNUMBER(L176))),"E_MISSING_INPUT",IF(OR(I176&lt;=0,L176&lt;=0),"E_NONPOSITIVE_PARAMETER",IF(OR(G176&lt;18,G176&gt;120),"E_OUT_OF_RANGE",IF(ISNA(MATCH(M176,nLIST_SCrUnit,0)),"E_INVALID_UNIT",IF(OR(H176="",K176="",N176=""),"E_MISSING_INPUT","")))))))))</f>
        <v/>
      </c>
      <c r="AE176" s="21" t="str">
        <f t="shared" si="207"/>
        <v/>
      </c>
      <c r="AF176" s="22">
        <f t="shared" si="208"/>
        <v>0</v>
      </c>
    </row>
    <row r="177" spans="1:32" x14ac:dyDescent="0.2">
      <c r="A177" s="10"/>
      <c r="B177" s="10"/>
      <c r="C177" s="12"/>
      <c r="D177" s="10"/>
      <c r="E177" s="17"/>
      <c r="F177" s="10"/>
      <c r="G177" s="17"/>
      <c r="H177" s="17"/>
      <c r="I177" s="17"/>
      <c r="J177" s="17"/>
      <c r="K177" s="17"/>
      <c r="L177" s="17"/>
      <c r="M177" s="17"/>
      <c r="N177" s="17"/>
      <c r="O177" s="10"/>
      <c r="P177" s="17"/>
      <c r="Q177" s="21" t="str">
        <f t="shared" si="195"/>
        <v/>
      </c>
      <c r="R177" s="21" t="str">
        <f t="shared" si="196"/>
        <v/>
      </c>
      <c r="S177" s="21" t="str">
        <f t="shared" si="197"/>
        <v/>
      </c>
      <c r="T177" s="21" t="str">
        <f t="shared" si="198"/>
        <v/>
      </c>
      <c r="U177" s="21" t="str">
        <f t="shared" si="199"/>
        <v/>
      </c>
      <c r="V177" s="21" t="str">
        <f t="shared" si="200"/>
        <v/>
      </c>
      <c r="W177" s="21" t="str">
        <f>IF(AB177=1,"",IF(AD177&lt;&gt;"",AD177&amp;": "&amp;SUBSTITUTE(IFERROR(INDEX(nMSG_Text,MATCH(AD177,nMSG_Code,0)),""),"[input]",AE177),IF(P177="not recorded","W_SEX_NOT_RECORDED: "&amp;SUBSTITUTE(IFERROR(INDEX(nMSG_Text,MATCH("W_SEX_NOT_RECORDED",nMSG_Code,0)),""),"[input]",""),"")))</f>
        <v/>
      </c>
      <c r="X177" s="21" t="str">
        <f t="shared" si="201"/>
        <v/>
      </c>
      <c r="Y177" s="21" t="str">
        <f t="shared" si="202"/>
        <v/>
      </c>
      <c r="Z177" s="21" t="str">
        <f t="shared" si="203"/>
        <v/>
      </c>
      <c r="AA177" s="21" t="str">
        <f t="shared" si="204"/>
        <v/>
      </c>
      <c r="AB177" s="22">
        <f t="shared" si="205"/>
        <v>1</v>
      </c>
      <c r="AC177" s="21" t="str">
        <f t="shared" si="206"/>
        <v/>
      </c>
      <c r="AD177" s="21" t="str">
        <f>IF(AB177=1,"",IF(A177="","E_MISSING_INPUT",IF(E177&lt;&gt;"Yes","E_CREATININE_STABILITY_UNCONFIRMED",IF(OR(G177="",I177="",J177="",L177="",M177="",P177=""),"E_MISSING_INPUT",IF(OR(NOT(ISNUMBER(G177)),NOT(ISNUMBER(I177)),NOT(ISNUMBER(L177))),"E_MISSING_INPUT",IF(OR(I177&lt;=0,L177&lt;=0),"E_NONPOSITIVE_PARAMETER",IF(OR(G177&lt;18,G177&gt;120),"E_OUT_OF_RANGE",IF(ISNA(MATCH(M177,nLIST_SCrUnit,0)),"E_INVALID_UNIT",IF(OR(H177="",K177="",N177=""),"E_MISSING_INPUT","")))))))))</f>
        <v/>
      </c>
      <c r="AE177" s="21" t="str">
        <f t="shared" si="207"/>
        <v/>
      </c>
      <c r="AF177" s="22">
        <f t="shared" si="208"/>
        <v>0</v>
      </c>
    </row>
    <row r="178" spans="1:32" x14ac:dyDescent="0.2">
      <c r="A178" s="10"/>
      <c r="B178" s="10"/>
      <c r="C178" s="12"/>
      <c r="D178" s="10"/>
      <c r="E178" s="17"/>
      <c r="F178" s="10"/>
      <c r="G178" s="17"/>
      <c r="H178" s="17"/>
      <c r="I178" s="17"/>
      <c r="J178" s="17"/>
      <c r="K178" s="17"/>
      <c r="L178" s="17"/>
      <c r="M178" s="17"/>
      <c r="N178" s="17"/>
      <c r="O178" s="10"/>
      <c r="P178" s="17"/>
      <c r="Q178" s="21" t="str">
        <f t="shared" si="195"/>
        <v/>
      </c>
      <c r="R178" s="21" t="str">
        <f t="shared" si="196"/>
        <v/>
      </c>
      <c r="S178" s="21" t="str">
        <f t="shared" si="197"/>
        <v/>
      </c>
      <c r="T178" s="21" t="str">
        <f t="shared" si="198"/>
        <v/>
      </c>
      <c r="U178" s="21" t="str">
        <f t="shared" si="199"/>
        <v/>
      </c>
      <c r="V178" s="21" t="str">
        <f t="shared" si="200"/>
        <v/>
      </c>
      <c r="W178" s="21" t="str">
        <f>IF(AB178=1,"",IF(AD178&lt;&gt;"",AD178&amp;": "&amp;SUBSTITUTE(IFERROR(INDEX(nMSG_Text,MATCH(AD178,nMSG_Code,0)),""),"[input]",AE178),IF(P178="not recorded","W_SEX_NOT_RECORDED: "&amp;SUBSTITUTE(IFERROR(INDEX(nMSG_Text,MATCH("W_SEX_NOT_RECORDED",nMSG_Code,0)),""),"[input]",""),"")))</f>
        <v/>
      </c>
      <c r="X178" s="21" t="str">
        <f t="shared" si="201"/>
        <v/>
      </c>
      <c r="Y178" s="21" t="str">
        <f t="shared" si="202"/>
        <v/>
      </c>
      <c r="Z178" s="21" t="str">
        <f t="shared" si="203"/>
        <v/>
      </c>
      <c r="AA178" s="21" t="str">
        <f t="shared" si="204"/>
        <v/>
      </c>
      <c r="AB178" s="22">
        <f t="shared" si="205"/>
        <v>1</v>
      </c>
      <c r="AC178" s="21" t="str">
        <f t="shared" si="206"/>
        <v/>
      </c>
      <c r="AD178" s="21" t="str">
        <f>IF(AB178=1,"",IF(A178="","E_MISSING_INPUT",IF(E178&lt;&gt;"Yes","E_CREATININE_STABILITY_UNCONFIRMED",IF(OR(G178="",I178="",J178="",L178="",M178="",P178=""),"E_MISSING_INPUT",IF(OR(NOT(ISNUMBER(G178)),NOT(ISNUMBER(I178)),NOT(ISNUMBER(L178))),"E_MISSING_INPUT",IF(OR(I178&lt;=0,L178&lt;=0),"E_NONPOSITIVE_PARAMETER",IF(OR(G178&lt;18,G178&gt;120),"E_OUT_OF_RANGE",IF(ISNA(MATCH(M178,nLIST_SCrUnit,0)),"E_INVALID_UNIT",IF(OR(H178="",K178="",N178=""),"E_MISSING_INPUT","")))))))))</f>
        <v/>
      </c>
      <c r="AE178" s="21" t="str">
        <f t="shared" si="207"/>
        <v/>
      </c>
      <c r="AF178" s="22">
        <f t="shared" si="208"/>
        <v>0</v>
      </c>
    </row>
    <row r="179" spans="1:32" x14ac:dyDescent="0.2">
      <c r="A179" s="24" t="s">
        <v>288</v>
      </c>
      <c r="B179" s="23"/>
      <c r="C179" s="23"/>
      <c r="D179" s="23"/>
      <c r="E179" s="23"/>
      <c r="F179" s="23"/>
      <c r="G179" s="23"/>
      <c r="H179" s="23"/>
      <c r="I179" s="23"/>
      <c r="J179" s="23"/>
      <c r="K179" s="23"/>
      <c r="L179" s="23"/>
      <c r="M179" s="23"/>
      <c r="N179" s="23"/>
      <c r="O179" s="23"/>
      <c r="P179" s="23"/>
      <c r="Q179" s="23"/>
      <c r="R179" s="23"/>
      <c r="S179" s="23"/>
      <c r="T179" s="23"/>
      <c r="U179" s="23"/>
      <c r="V179" s="23"/>
      <c r="W179" s="23"/>
      <c r="X179" s="23"/>
      <c r="Y179" s="23"/>
      <c r="Z179" s="23"/>
      <c r="AA179" s="23"/>
      <c r="AB179" s="23"/>
      <c r="AC179" s="23"/>
      <c r="AD179" s="23"/>
      <c r="AE179" s="23"/>
      <c r="AF179" s="23"/>
    </row>
    <row r="180" spans="1:32" x14ac:dyDescent="0.2">
      <c r="A180" s="9" t="s">
        <v>1249</v>
      </c>
      <c r="B180" s="9" t="s">
        <v>295</v>
      </c>
      <c r="C180" s="11">
        <v>2</v>
      </c>
      <c r="D180" s="9" t="s">
        <v>1250</v>
      </c>
      <c r="E180" s="16" t="s">
        <v>83</v>
      </c>
      <c r="F180" s="9" t="s">
        <v>1251</v>
      </c>
      <c r="G180" s="16">
        <v>81</v>
      </c>
      <c r="H180" s="16" t="s">
        <v>79</v>
      </c>
      <c r="I180" s="16">
        <v>58</v>
      </c>
      <c r="J180" s="16" t="s">
        <v>90</v>
      </c>
      <c r="K180" s="16" t="s">
        <v>79</v>
      </c>
      <c r="L180" s="16">
        <v>1</v>
      </c>
      <c r="M180" s="16" t="s">
        <v>94</v>
      </c>
      <c r="N180" s="16" t="s">
        <v>79</v>
      </c>
      <c r="O180" s="9" t="s">
        <v>1252</v>
      </c>
      <c r="P180" s="16" t="s">
        <v>87</v>
      </c>
      <c r="Q180" s="21" t="str">
        <f t="shared" ref="Q180:Q182" si="209">IF(AB180=1,"",IF(AD180&lt;&gt;"",AD180&amp;": no result is shown",IF(P180="not recorded","Female "&amp;FIXED(T180,0,TRUE)&amp;" mL/minute; male "&amp;FIXED(U180,0,TRUE)&amp;" mL/minute (sex not recorded; both shown)",FIXED(S180,0,TRUE)&amp;" mL/minute estimated creatinine clearance ("&amp;P180&amp;")")))</f>
        <v>40 mL/minute estimated creatinine clearance (female)</v>
      </c>
      <c r="R180" s="21">
        <f t="shared" ref="R180:R182" si="210">IF(AF180=1,IF(M180="µmol/L",L180/88.4,L180),"")</f>
        <v>1</v>
      </c>
      <c r="S180" s="21">
        <f t="shared" ref="S180:S182" si="211">IF(AND(AF180=1,P180&lt;&gt;"not recorded"),(140-G180)*I180/(72*R180)*IF(P180="female",0.85,1),"")</f>
        <v>40.398611111111109</v>
      </c>
      <c r="T180" s="21" t="str">
        <f t="shared" ref="T180:T182" si="212">IF(AND(AF180=1,P180="not recorded"),0.85*(140-G180)*I180/(72*R180),"")</f>
        <v/>
      </c>
      <c r="U180" s="21" t="str">
        <f t="shared" ref="U180:U182" si="213">IF(AND(AF180=1,P180="not recorded"),(140-G180)*I180/(72*R180),"")</f>
        <v/>
      </c>
      <c r="V180" s="21" t="str">
        <f t="shared" ref="V180:V182" si="214">IF(AB180=1,"",IF(AD180&lt;&gt;"",AD180,IF(P180="not recorded","W_SEX_NOT_RECORDED","")))</f>
        <v/>
      </c>
      <c r="W180" s="21" t="str">
        <f>IF(AB180=1,"",IF(AD180&lt;&gt;"",AD180&amp;": "&amp;SUBSTITUTE(IFERROR(INDEX(nMSG_Text,MATCH(AD180,nMSG_Code,0)),""),"[input]",AE180),IF(P180="not recorded","W_SEX_NOT_RECORDED: "&amp;SUBSTITUTE(IFERROR(INDEX(nMSG_Text,MATCH("W_SEX_NOT_RECORDED",nMSG_Code,0)),""),"[input]",""),"")))</f>
        <v/>
      </c>
      <c r="X180" s="21" t="str">
        <f t="shared" ref="X180:X182" si="215">IF(AB180=1,"","age = "&amp;G180&amp;" years ["&amp;H180&amp;"]; weight = "&amp;I180&amp;" kg, "&amp;J180&amp;" ["&amp;K180&amp;"]; serum creatinine = "&amp;L180&amp;" "&amp;M180&amp;" ["&amp;N180&amp;IF(O180&lt;&gt;"","; "&amp;O180,"")&amp;"]; sex: "&amp;P180&amp;"; stability: "&amp;IF(E180="Yes","confirmed ("&amp;F180&amp;")","not confirmed"))</f>
        <v>age = 81 years [case measurement]; weight = 58 kg, actual [case measurement]; serum creatinine = 1 mg/dL [case measurement; M-CR2, 12 March 2026]; sex: female; stability: confirmed (1.0 mg/dL on 14 November 2025 and 12 March 2026 (two equal values four months apart))</v>
      </c>
      <c r="Y180" s="21" t="str">
        <f t="shared" ref="Y180:Y182" si="216">IF(AB180=1,"","Assumes stable creatinine. It is not drug clearance and not a dosing recommendation.")</f>
        <v>Assumes stable creatinine. It is not drug clearance and not a dosing recommendation.</v>
      </c>
      <c r="Z180" s="21" t="str">
        <f t="shared" ref="Z180:Z182" si="217">IF(AB180=1,"","Cockcroft-Gault: CrCl = (140 - age) x weight / (72 x SCr), x 0.85 when female sex is recorded; umol/L / 88.4 = mg/dL")</f>
        <v>Cockcroft-Gault: CrCl = (140 - age) x weight / (72 x SCr), x 0.85 when female sex is recorded; umol/L / 88.4 = mg/dL</v>
      </c>
      <c r="AA180" s="21" t="str">
        <f t="shared" ref="AA180:AA182" si="218">IF(AB180=1,"","CALC-SPEC 1.0")</f>
        <v>CALC-SPEC 1.0</v>
      </c>
      <c r="AB180" s="22">
        <f t="shared" ref="AB180:AB182" si="219">IF(AND(A180="",G180="",L180=""),1,0)</f>
        <v>0</v>
      </c>
      <c r="AC180" s="21" t="str">
        <f t="shared" ref="AC180:AC182" si="220">IF(A180="","",B180&amp;"|"&amp;C180&amp;"|"&amp;A180)</f>
        <v>EX-C04|2|Q11-C04-baseline</v>
      </c>
      <c r="AD180" s="21" t="str">
        <f>IF(AB180=1,"",IF(A180="","E_MISSING_INPUT",IF(E180&lt;&gt;"Yes","E_CREATININE_STABILITY_UNCONFIRMED",IF(OR(G180="",I180="",J180="",L180="",M180="",P180=""),"E_MISSING_INPUT",IF(OR(NOT(ISNUMBER(G180)),NOT(ISNUMBER(I180)),NOT(ISNUMBER(L180))),"E_MISSING_INPUT",IF(OR(I180&lt;=0,L180&lt;=0),"E_NONPOSITIVE_PARAMETER",IF(OR(G180&lt;18,G180&gt;120),"E_OUT_OF_RANGE",IF(ISNA(MATCH(M180,nLIST_SCrUnit,0)),"E_INVALID_UNIT",IF(OR(H180="",K180="",N180=""),"E_MISSING_INPUT","")))))))))</f>
        <v/>
      </c>
      <c r="AE180" s="21" t="str">
        <f t="shared" ref="AE180:AE182" si="221">IF(AD180&lt;&gt;"E_MISSING_INPUT","",IF(A180="","a Calc_ID",IF(NOT(ISNUMBER(G180)),"a numeric age",IF(NOT(ISNUMBER(I180)),"a numeric weight in kg",IF(J180="","the weight type",IF(NOT(ISNUMBER(L180)),"a numeric serum creatinine",IF(M180="","a creatinine unit",IF(P180="","sex as recorded (or not recorded)","the Parameter_Status of each input"))))))))</f>
        <v/>
      </c>
      <c r="AF180" s="22">
        <f t="shared" ref="AF180:AF182" si="222">IF(AND(AB180=0,AD180=""),1,0)</f>
        <v>1</v>
      </c>
    </row>
    <row r="181" spans="1:32" x14ac:dyDescent="0.2">
      <c r="A181" s="9" t="s">
        <v>1253</v>
      </c>
      <c r="B181" s="9" t="s">
        <v>295</v>
      </c>
      <c r="C181" s="11">
        <v>2</v>
      </c>
      <c r="D181" s="9" t="s">
        <v>1254</v>
      </c>
      <c r="E181" s="16" t="s">
        <v>84</v>
      </c>
      <c r="F181" s="9" t="s">
        <v>1255</v>
      </c>
      <c r="G181" s="16">
        <v>81</v>
      </c>
      <c r="H181" s="16" t="s">
        <v>79</v>
      </c>
      <c r="I181" s="16">
        <v>58</v>
      </c>
      <c r="J181" s="16" t="s">
        <v>90</v>
      </c>
      <c r="K181" s="16" t="s">
        <v>79</v>
      </c>
      <c r="L181" s="16">
        <v>1.7</v>
      </c>
      <c r="M181" s="16" t="s">
        <v>94</v>
      </c>
      <c r="N181" s="16" t="s">
        <v>79</v>
      </c>
      <c r="O181" s="9" t="s">
        <v>1256</v>
      </c>
      <c r="P181" s="16" t="s">
        <v>87</v>
      </c>
      <c r="Q181" s="21" t="str">
        <f t="shared" si="209"/>
        <v>E_CREATININE_STABILITY_UNCONFIRMED: no result is shown</v>
      </c>
      <c r="R181" s="21" t="str">
        <f t="shared" si="210"/>
        <v/>
      </c>
      <c r="S181" s="21" t="str">
        <f t="shared" si="211"/>
        <v/>
      </c>
      <c r="T181" s="21" t="str">
        <f t="shared" si="212"/>
        <v/>
      </c>
      <c r="U181" s="21" t="str">
        <f t="shared" si="213"/>
        <v/>
      </c>
      <c r="V181" s="21" t="str">
        <f t="shared" si="214"/>
        <v>E_CREATININE_STABILITY_UNCONFIRMED</v>
      </c>
      <c r="W181" s="21" t="str">
        <f>IF(AB181=1,"",IF(AD181&lt;&gt;"",AD181&amp;": "&amp;SUBSTITUTE(IFERROR(INDEX(nMSG_Text,MATCH(AD181,nMSG_Code,0)),""),"[input]",AE181),IF(P181="not recorded","W_SEX_NOT_RECORDED: "&amp;SUBSTITUTE(IFERROR(INDEX(nMSG_Text,MATCH("W_SEX_NOT_RECORDED",nMSG_Code,0)),""),"[input]",""),"")))</f>
        <v>E_CREATININE_STABILITY_UNCONFIRMED: Cockcroft-Gault assumes stable creatinine. Confirm stability before an estimate is shown.</v>
      </c>
      <c r="X181" s="21" t="str">
        <f t="shared" si="215"/>
        <v>age = 81 years [case measurement]; weight = 58 kg, actual [case measurement]; serum creatinine = 1.7 mg/dL [case measurement; M-CR3, 1 July 2026]; sex: female; stability: not confirmed</v>
      </c>
      <c r="Y181" s="21" t="str">
        <f t="shared" si="216"/>
        <v>Assumes stable creatinine. It is not drug clearance and not a dosing recommendation.</v>
      </c>
      <c r="Z181" s="21" t="str">
        <f t="shared" si="217"/>
        <v>Cockcroft-Gault: CrCl = (140 - age) x weight / (72 x SCr), x 0.85 when female sex is recorded; umol/L / 88.4 = mg/dL</v>
      </c>
      <c r="AA181" s="21" t="str">
        <f t="shared" si="218"/>
        <v>CALC-SPEC 1.0</v>
      </c>
      <c r="AB181" s="22">
        <f t="shared" si="219"/>
        <v>0</v>
      </c>
      <c r="AC181" s="21" t="str">
        <f t="shared" si="220"/>
        <v>EX-C04|2|Q11-C04-1Jul</v>
      </c>
      <c r="AD181" s="21" t="str">
        <f>IF(AB181=1,"",IF(A181="","E_MISSING_INPUT",IF(E181&lt;&gt;"Yes","E_CREATININE_STABILITY_UNCONFIRMED",IF(OR(G181="",I181="",J181="",L181="",M181="",P181=""),"E_MISSING_INPUT",IF(OR(NOT(ISNUMBER(G181)),NOT(ISNUMBER(I181)),NOT(ISNUMBER(L181))),"E_MISSING_INPUT",IF(OR(I181&lt;=0,L181&lt;=0),"E_NONPOSITIVE_PARAMETER",IF(OR(G181&lt;18,G181&gt;120),"E_OUT_OF_RANGE",IF(ISNA(MATCH(M181,nLIST_SCrUnit,0)),"E_INVALID_UNIT",IF(OR(H181="",K181="",N181=""),"E_MISSING_INPUT","")))))))))</f>
        <v>E_CREATININE_STABILITY_UNCONFIRMED</v>
      </c>
      <c r="AE181" s="21" t="str">
        <f t="shared" si="221"/>
        <v/>
      </c>
      <c r="AF181" s="22">
        <f t="shared" si="222"/>
        <v>0</v>
      </c>
    </row>
    <row r="182" spans="1:32" x14ac:dyDescent="0.2">
      <c r="A182" s="9" t="s">
        <v>1257</v>
      </c>
      <c r="B182" s="9" t="s">
        <v>295</v>
      </c>
      <c r="C182" s="11">
        <v>2</v>
      </c>
      <c r="D182" s="9" t="s">
        <v>1258</v>
      </c>
      <c r="E182" s="16" t="s">
        <v>84</v>
      </c>
      <c r="F182" s="9" t="s">
        <v>1259</v>
      </c>
      <c r="G182" s="16">
        <v>81</v>
      </c>
      <c r="H182" s="16" t="s">
        <v>79</v>
      </c>
      <c r="I182" s="16">
        <v>58</v>
      </c>
      <c r="J182" s="16" t="s">
        <v>90</v>
      </c>
      <c r="K182" s="16" t="s">
        <v>79</v>
      </c>
      <c r="L182" s="16">
        <v>2.4</v>
      </c>
      <c r="M182" s="16" t="s">
        <v>94</v>
      </c>
      <c r="N182" s="16" t="s">
        <v>79</v>
      </c>
      <c r="O182" s="9" t="s">
        <v>1260</v>
      </c>
      <c r="P182" s="16" t="s">
        <v>87</v>
      </c>
      <c r="Q182" s="21" t="str">
        <f t="shared" si="209"/>
        <v>E_CREATININE_STABILITY_UNCONFIRMED: no result is shown</v>
      </c>
      <c r="R182" s="21" t="str">
        <f t="shared" si="210"/>
        <v/>
      </c>
      <c r="S182" s="21" t="str">
        <f t="shared" si="211"/>
        <v/>
      </c>
      <c r="T182" s="21" t="str">
        <f t="shared" si="212"/>
        <v/>
      </c>
      <c r="U182" s="21" t="str">
        <f t="shared" si="213"/>
        <v/>
      </c>
      <c r="V182" s="21" t="str">
        <f t="shared" si="214"/>
        <v>E_CREATININE_STABILITY_UNCONFIRMED</v>
      </c>
      <c r="W182" s="21" t="str">
        <f>IF(AB182=1,"",IF(AD182&lt;&gt;"",AD182&amp;": "&amp;SUBSTITUTE(IFERROR(INDEX(nMSG_Text,MATCH(AD182,nMSG_Code,0)),""),"[input]",AE182),IF(P182="not recorded","W_SEX_NOT_RECORDED: "&amp;SUBSTITUTE(IFERROR(INDEX(nMSG_Text,MATCH("W_SEX_NOT_RECORDED",nMSG_Code,0)),""),"[input]",""),"")))</f>
        <v>E_CREATININE_STABILITY_UNCONFIRMED: Cockcroft-Gault assumes stable creatinine. Confirm stability before an estimate is shown.</v>
      </c>
      <c r="X182" s="21" t="str">
        <f t="shared" si="215"/>
        <v>age = 81 years [case measurement]; weight = 58 kg, actual [case measurement]; serum creatinine = 2.4 mg/dL [case measurement; M-CR4, 5 July 2026]; sex: female; stability: not confirmed</v>
      </c>
      <c r="Y182" s="21" t="str">
        <f t="shared" si="216"/>
        <v>Assumes stable creatinine. It is not drug clearance and not a dosing recommendation.</v>
      </c>
      <c r="Z182" s="21" t="str">
        <f t="shared" si="217"/>
        <v>Cockcroft-Gault: CrCl = (140 - age) x weight / (72 x SCr), x 0.85 when female sex is recorded; umol/L / 88.4 = mg/dL</v>
      </c>
      <c r="AA182" s="21" t="str">
        <f t="shared" si="218"/>
        <v>CALC-SPEC 1.0</v>
      </c>
      <c r="AB182" s="22">
        <f t="shared" si="219"/>
        <v>0</v>
      </c>
      <c r="AC182" s="21" t="str">
        <f t="shared" si="220"/>
        <v>EX-C04|2|Q11-C04-5Jul</v>
      </c>
      <c r="AD182" s="21" t="str">
        <f>IF(AB182=1,"",IF(A182="","E_MISSING_INPUT",IF(E182&lt;&gt;"Yes","E_CREATININE_STABILITY_UNCONFIRMED",IF(OR(G182="",I182="",J182="",L182="",M182="",P182=""),"E_MISSING_INPUT",IF(OR(NOT(ISNUMBER(G182)),NOT(ISNUMBER(I182)),NOT(ISNUMBER(L182))),"E_MISSING_INPUT",IF(OR(I182&lt;=0,L182&lt;=0),"E_NONPOSITIVE_PARAMETER",IF(OR(G182&lt;18,G182&gt;120),"E_OUT_OF_RANGE",IF(ISNA(MATCH(M182,nLIST_SCrUnit,0)),"E_INVALID_UNIT",IF(OR(H182="",K182="",N182=""),"E_MISSING_INPUT","")))))))))</f>
        <v>E_CREATININE_STABILITY_UNCONFIRMED</v>
      </c>
      <c r="AE182" s="21" t="str">
        <f t="shared" si="221"/>
        <v/>
      </c>
      <c r="AF182" s="22">
        <f t="shared" si="222"/>
        <v>0</v>
      </c>
    </row>
    <row r="183" spans="1:32" x14ac:dyDescent="0.2">
      <c r="A183" s="24" t="s">
        <v>289</v>
      </c>
      <c r="B183" s="23"/>
      <c r="C183" s="23"/>
      <c r="D183" s="23"/>
      <c r="E183" s="23"/>
      <c r="F183" s="23"/>
      <c r="G183" s="23"/>
      <c r="H183" s="23"/>
      <c r="I183" s="23"/>
      <c r="J183" s="23"/>
      <c r="K183" s="23"/>
      <c r="L183" s="23"/>
      <c r="M183" s="23"/>
      <c r="N183" s="23"/>
      <c r="O183" s="23"/>
      <c r="P183" s="23"/>
      <c r="Q183" s="23"/>
      <c r="R183" s="23"/>
      <c r="S183" s="23"/>
      <c r="T183" s="23"/>
      <c r="U183" s="23"/>
      <c r="V183" s="23"/>
      <c r="W183" s="23"/>
      <c r="X183" s="23"/>
      <c r="Y183" s="23"/>
      <c r="Z183" s="23"/>
      <c r="AA183" s="23"/>
      <c r="AB183" s="23"/>
      <c r="AC183" s="23"/>
      <c r="AD183" s="23"/>
      <c r="AE183" s="23"/>
      <c r="AF183" s="23"/>
    </row>
    <row r="184" spans="1:32" x14ac:dyDescent="0.2">
      <c r="A184" s="9" t="s">
        <v>1261</v>
      </c>
      <c r="B184" s="9" t="s">
        <v>355</v>
      </c>
      <c r="C184" s="11">
        <v>1</v>
      </c>
      <c r="D184" s="9" t="s">
        <v>1262</v>
      </c>
      <c r="E184" s="16" t="s">
        <v>83</v>
      </c>
      <c r="F184" s="9" t="s">
        <v>1263</v>
      </c>
      <c r="G184" s="16">
        <v>70</v>
      </c>
      <c r="H184" s="16" t="s">
        <v>81</v>
      </c>
      <c r="I184" s="16">
        <v>70</v>
      </c>
      <c r="J184" s="16" t="s">
        <v>90</v>
      </c>
      <c r="K184" s="16" t="s">
        <v>81</v>
      </c>
      <c r="L184" s="16">
        <v>1</v>
      </c>
      <c r="M184" s="16" t="s">
        <v>94</v>
      </c>
      <c r="N184" s="16" t="s">
        <v>81</v>
      </c>
      <c r="O184" s="9"/>
      <c r="P184" s="16" t="s">
        <v>86</v>
      </c>
      <c r="Q184" s="21" t="str">
        <f t="shared" ref="Q184:Q188" si="223">IF(AB184=1,"",IF(AD184&lt;&gt;"",AD184&amp;": no result is shown",IF(P184="not recorded","Female "&amp;FIXED(T184,0,TRUE)&amp;" mL/minute; male "&amp;FIXED(U184,0,TRUE)&amp;" mL/minute (sex not recorded; both shown)",FIXED(S184,0,TRUE)&amp;" mL/minute estimated creatinine clearance ("&amp;P184&amp;")")))</f>
        <v>68 mL/minute estimated creatinine clearance (male)</v>
      </c>
      <c r="R184" s="21">
        <f t="shared" ref="R184:R188" si="224">IF(AF184=1,IF(M184="µmol/L",L184/88.4,L184),"")</f>
        <v>1</v>
      </c>
      <c r="S184" s="21">
        <f t="shared" ref="S184:S188" si="225">IF(AND(AF184=1,P184&lt;&gt;"not recorded"),(140-G184)*I184/(72*R184)*IF(P184="female",0.85,1),"")</f>
        <v>68.055555555555557</v>
      </c>
      <c r="T184" s="21" t="str">
        <f t="shared" ref="T184:T188" si="226">IF(AND(AF184=1,P184="not recorded"),0.85*(140-G184)*I184/(72*R184),"")</f>
        <v/>
      </c>
      <c r="U184" s="21" t="str">
        <f t="shared" ref="U184:U188" si="227">IF(AND(AF184=1,P184="not recorded"),(140-G184)*I184/(72*R184),"")</f>
        <v/>
      </c>
      <c r="V184" s="21" t="str">
        <f t="shared" ref="V184:V188" si="228">IF(AB184=1,"",IF(AD184&lt;&gt;"",AD184,IF(P184="not recorded","W_SEX_NOT_RECORDED","")))</f>
        <v/>
      </c>
      <c r="W184" s="21" t="str">
        <f>IF(AB184=1,"",IF(AD184&lt;&gt;"",AD184&amp;": "&amp;SUBSTITUTE(IFERROR(INDEX(nMSG_Text,MATCH(AD184,nMSG_Code,0)),""),"[input]",AE184),IF(P184="not recorded","W_SEX_NOT_RECORDED: "&amp;SUBSTITUTE(IFERROR(INDEX(nMSG_Text,MATCH("W_SEX_NOT_RECORDED",nMSG_Code,0)),""),"[input]",""),"")))</f>
        <v/>
      </c>
      <c r="X184" s="21" t="str">
        <f t="shared" ref="X184:X188" si="229">IF(AB184=1,"","age = "&amp;G184&amp;" years ["&amp;H184&amp;"]; weight = "&amp;I184&amp;" kg, "&amp;J184&amp;" ["&amp;K184&amp;"]; serum creatinine = "&amp;L184&amp;" "&amp;M184&amp;" ["&amp;N184&amp;IF(O184&lt;&gt;"","; "&amp;O184,"")&amp;"]; sex: "&amp;P184&amp;"; stability: "&amp;IF(E184="Yes","confirmed ("&amp;F184&amp;")","not confirmed"))</f>
        <v>age = 70 years [hypothetical example]; weight = 70 kg, actual [hypothetical example]; serum creatinine = 1 mg/dL [hypothetical example]; sex: male; stability: confirmed (Vector input)</v>
      </c>
      <c r="Y184" s="21" t="str">
        <f t="shared" ref="Y184:Y188" si="230">IF(AB184=1,"","Assumes stable creatinine. It is not drug clearance and not a dosing recommendation.")</f>
        <v>Assumes stable creatinine. It is not drug clearance and not a dosing recommendation.</v>
      </c>
      <c r="Z184" s="21" t="str">
        <f t="shared" ref="Z184:Z188" si="231">IF(AB184=1,"","Cockcroft-Gault: CrCl = (140 - age) x weight / (72 x SCr), x 0.85 when female sex is recorded; umol/L / 88.4 = mg/dL")</f>
        <v>Cockcroft-Gault: CrCl = (140 - age) x weight / (72 x SCr), x 0.85 when female sex is recorded; umol/L / 88.4 = mg/dL</v>
      </c>
      <c r="AA184" s="21" t="str">
        <f t="shared" ref="AA184:AA188" si="232">IF(AB184=1,"","CALC-SPEC 1.0")</f>
        <v>CALC-SPEC 1.0</v>
      </c>
      <c r="AB184" s="22">
        <f t="shared" ref="AB184:AB188" si="233">IF(AND(A184="",G184="",L184=""),1,0)</f>
        <v>0</v>
      </c>
      <c r="AC184" s="21" t="str">
        <f t="shared" ref="AC184:AC188" si="234">IF(A184="","",B184&amp;"|"&amp;C184&amp;"|"&amp;A184)</f>
        <v>VEC-V27|1|Q11-V27a</v>
      </c>
      <c r="AD184" s="21" t="str">
        <f>IF(AB184=1,"",IF(A184="","E_MISSING_INPUT",IF(E184&lt;&gt;"Yes","E_CREATININE_STABILITY_UNCONFIRMED",IF(OR(G184="",I184="",J184="",L184="",M184="",P184=""),"E_MISSING_INPUT",IF(OR(NOT(ISNUMBER(G184)),NOT(ISNUMBER(I184)),NOT(ISNUMBER(L184))),"E_MISSING_INPUT",IF(OR(I184&lt;=0,L184&lt;=0),"E_NONPOSITIVE_PARAMETER",IF(OR(G184&lt;18,G184&gt;120),"E_OUT_OF_RANGE",IF(ISNA(MATCH(M184,nLIST_SCrUnit,0)),"E_INVALID_UNIT",IF(OR(H184="",K184="",N184=""),"E_MISSING_INPUT","")))))))))</f>
        <v/>
      </c>
      <c r="AE184" s="21" t="str">
        <f t="shared" ref="AE184:AE188" si="235">IF(AD184&lt;&gt;"E_MISSING_INPUT","",IF(A184="","a Calc_ID",IF(NOT(ISNUMBER(G184)),"a numeric age",IF(NOT(ISNUMBER(I184)),"a numeric weight in kg",IF(J184="","the weight type",IF(NOT(ISNUMBER(L184)),"a numeric serum creatinine",IF(M184="","a creatinine unit",IF(P184="","sex as recorded (or not recorded)","the Parameter_Status of each input"))))))))</f>
        <v/>
      </c>
      <c r="AF184" s="22">
        <f t="shared" ref="AF184:AF188" si="236">IF(AND(AB184=0,AD184=""),1,0)</f>
        <v>1</v>
      </c>
    </row>
    <row r="185" spans="1:32" x14ac:dyDescent="0.2">
      <c r="A185" s="9" t="s">
        <v>1264</v>
      </c>
      <c r="B185" s="9" t="s">
        <v>355</v>
      </c>
      <c r="C185" s="11">
        <v>1</v>
      </c>
      <c r="D185" s="9" t="s">
        <v>1265</v>
      </c>
      <c r="E185" s="16" t="s">
        <v>83</v>
      </c>
      <c r="F185" s="9" t="s">
        <v>1263</v>
      </c>
      <c r="G185" s="16">
        <v>70</v>
      </c>
      <c r="H185" s="16" t="s">
        <v>81</v>
      </c>
      <c r="I185" s="16">
        <v>70</v>
      </c>
      <c r="J185" s="16" t="s">
        <v>90</v>
      </c>
      <c r="K185" s="16" t="s">
        <v>81</v>
      </c>
      <c r="L185" s="16">
        <v>2</v>
      </c>
      <c r="M185" s="16" t="s">
        <v>94</v>
      </c>
      <c r="N185" s="16" t="s">
        <v>81</v>
      </c>
      <c r="O185" s="9"/>
      <c r="P185" s="16" t="s">
        <v>86</v>
      </c>
      <c r="Q185" s="21" t="str">
        <f t="shared" si="223"/>
        <v>34 mL/minute estimated creatinine clearance (male)</v>
      </c>
      <c r="R185" s="21">
        <f t="shared" si="224"/>
        <v>2</v>
      </c>
      <c r="S185" s="21">
        <f t="shared" si="225"/>
        <v>34.027777777777779</v>
      </c>
      <c r="T185" s="21" t="str">
        <f t="shared" si="226"/>
        <v/>
      </c>
      <c r="U185" s="21" t="str">
        <f t="shared" si="227"/>
        <v/>
      </c>
      <c r="V185" s="21" t="str">
        <f t="shared" si="228"/>
        <v/>
      </c>
      <c r="W185" s="21" t="str">
        <f>IF(AB185=1,"",IF(AD185&lt;&gt;"",AD185&amp;": "&amp;SUBSTITUTE(IFERROR(INDEX(nMSG_Text,MATCH(AD185,nMSG_Code,0)),""),"[input]",AE185),IF(P185="not recorded","W_SEX_NOT_RECORDED: "&amp;SUBSTITUTE(IFERROR(INDEX(nMSG_Text,MATCH("W_SEX_NOT_RECORDED",nMSG_Code,0)),""),"[input]",""),"")))</f>
        <v/>
      </c>
      <c r="X185" s="21" t="str">
        <f t="shared" si="229"/>
        <v>age = 70 years [hypothetical example]; weight = 70 kg, actual [hypothetical example]; serum creatinine = 2 mg/dL [hypothetical example]; sex: male; stability: confirmed (Vector input)</v>
      </c>
      <c r="Y185" s="21" t="str">
        <f t="shared" si="230"/>
        <v>Assumes stable creatinine. It is not drug clearance and not a dosing recommendation.</v>
      </c>
      <c r="Z185" s="21" t="str">
        <f t="shared" si="231"/>
        <v>Cockcroft-Gault: CrCl = (140 - age) x weight / (72 x SCr), x 0.85 when female sex is recorded; umol/L / 88.4 = mg/dL</v>
      </c>
      <c r="AA185" s="21" t="str">
        <f t="shared" si="232"/>
        <v>CALC-SPEC 1.0</v>
      </c>
      <c r="AB185" s="22">
        <f t="shared" si="233"/>
        <v>0</v>
      </c>
      <c r="AC185" s="21" t="str">
        <f t="shared" si="234"/>
        <v>VEC-V27|1|Q11-V27b</v>
      </c>
      <c r="AD185" s="21" t="str">
        <f>IF(AB185=1,"",IF(A185="","E_MISSING_INPUT",IF(E185&lt;&gt;"Yes","E_CREATININE_STABILITY_UNCONFIRMED",IF(OR(G185="",I185="",J185="",L185="",M185="",P185=""),"E_MISSING_INPUT",IF(OR(NOT(ISNUMBER(G185)),NOT(ISNUMBER(I185)),NOT(ISNUMBER(L185))),"E_MISSING_INPUT",IF(OR(I185&lt;=0,L185&lt;=0),"E_NONPOSITIVE_PARAMETER",IF(OR(G185&lt;18,G185&gt;120),"E_OUT_OF_RANGE",IF(ISNA(MATCH(M185,nLIST_SCrUnit,0)),"E_INVALID_UNIT",IF(OR(H185="",K185="",N185=""),"E_MISSING_INPUT","")))))))))</f>
        <v/>
      </c>
      <c r="AE185" s="21" t="str">
        <f t="shared" si="235"/>
        <v/>
      </c>
      <c r="AF185" s="22">
        <f t="shared" si="236"/>
        <v>1</v>
      </c>
    </row>
    <row r="186" spans="1:32" x14ac:dyDescent="0.2">
      <c r="A186" s="9" t="s">
        <v>1266</v>
      </c>
      <c r="B186" s="9" t="s">
        <v>355</v>
      </c>
      <c r="C186" s="11">
        <v>1</v>
      </c>
      <c r="D186" s="9" t="s">
        <v>1267</v>
      </c>
      <c r="E186" s="16" t="s">
        <v>83</v>
      </c>
      <c r="F186" s="9" t="s">
        <v>1263</v>
      </c>
      <c r="G186" s="16">
        <v>70</v>
      </c>
      <c r="H186" s="16" t="s">
        <v>81</v>
      </c>
      <c r="I186" s="16">
        <v>70</v>
      </c>
      <c r="J186" s="16" t="s">
        <v>90</v>
      </c>
      <c r="K186" s="16" t="s">
        <v>81</v>
      </c>
      <c r="L186" s="16">
        <v>1</v>
      </c>
      <c r="M186" s="16" t="s">
        <v>94</v>
      </c>
      <c r="N186" s="16" t="s">
        <v>81</v>
      </c>
      <c r="O186" s="9"/>
      <c r="P186" s="16" t="s">
        <v>87</v>
      </c>
      <c r="Q186" s="21" t="str">
        <f t="shared" si="223"/>
        <v>58 mL/minute estimated creatinine clearance (female)</v>
      </c>
      <c r="R186" s="21">
        <f t="shared" si="224"/>
        <v>1</v>
      </c>
      <c r="S186" s="21">
        <f t="shared" si="225"/>
        <v>57.847222222222221</v>
      </c>
      <c r="T186" s="21" t="str">
        <f t="shared" si="226"/>
        <v/>
      </c>
      <c r="U186" s="21" t="str">
        <f t="shared" si="227"/>
        <v/>
      </c>
      <c r="V186" s="21" t="str">
        <f t="shared" si="228"/>
        <v/>
      </c>
      <c r="W186" s="21" t="str">
        <f>IF(AB186=1,"",IF(AD186&lt;&gt;"",AD186&amp;": "&amp;SUBSTITUTE(IFERROR(INDEX(nMSG_Text,MATCH(AD186,nMSG_Code,0)),""),"[input]",AE186),IF(P186="not recorded","W_SEX_NOT_RECORDED: "&amp;SUBSTITUTE(IFERROR(INDEX(nMSG_Text,MATCH("W_SEX_NOT_RECORDED",nMSG_Code,0)),""),"[input]",""),"")))</f>
        <v/>
      </c>
      <c r="X186" s="21" t="str">
        <f t="shared" si="229"/>
        <v>age = 70 years [hypothetical example]; weight = 70 kg, actual [hypothetical example]; serum creatinine = 1 mg/dL [hypothetical example]; sex: female; stability: confirmed (Vector input)</v>
      </c>
      <c r="Y186" s="21" t="str">
        <f t="shared" si="230"/>
        <v>Assumes stable creatinine. It is not drug clearance and not a dosing recommendation.</v>
      </c>
      <c r="Z186" s="21" t="str">
        <f t="shared" si="231"/>
        <v>Cockcroft-Gault: CrCl = (140 - age) x weight / (72 x SCr), x 0.85 when female sex is recorded; umol/L / 88.4 = mg/dL</v>
      </c>
      <c r="AA186" s="21" t="str">
        <f t="shared" si="232"/>
        <v>CALC-SPEC 1.0</v>
      </c>
      <c r="AB186" s="22">
        <f t="shared" si="233"/>
        <v>0</v>
      </c>
      <c r="AC186" s="21" t="str">
        <f t="shared" si="234"/>
        <v>VEC-V27|1|Q11-V27c</v>
      </c>
      <c r="AD186" s="21" t="str">
        <f>IF(AB186=1,"",IF(A186="","E_MISSING_INPUT",IF(E186&lt;&gt;"Yes","E_CREATININE_STABILITY_UNCONFIRMED",IF(OR(G186="",I186="",J186="",L186="",M186="",P186=""),"E_MISSING_INPUT",IF(OR(NOT(ISNUMBER(G186)),NOT(ISNUMBER(I186)),NOT(ISNUMBER(L186))),"E_MISSING_INPUT",IF(OR(I186&lt;=0,L186&lt;=0),"E_NONPOSITIVE_PARAMETER",IF(OR(G186&lt;18,G186&gt;120),"E_OUT_OF_RANGE",IF(ISNA(MATCH(M186,nLIST_SCrUnit,0)),"E_INVALID_UNIT",IF(OR(H186="",K186="",N186=""),"E_MISSING_INPUT","")))))))))</f>
        <v/>
      </c>
      <c r="AE186" s="21" t="str">
        <f t="shared" si="235"/>
        <v/>
      </c>
      <c r="AF186" s="22">
        <f t="shared" si="236"/>
        <v>1</v>
      </c>
    </row>
    <row r="187" spans="1:32" x14ac:dyDescent="0.2">
      <c r="A187" s="9" t="s">
        <v>1268</v>
      </c>
      <c r="B187" s="9" t="s">
        <v>355</v>
      </c>
      <c r="C187" s="11">
        <v>1</v>
      </c>
      <c r="D187" s="9" t="s">
        <v>1269</v>
      </c>
      <c r="E187" s="16" t="s">
        <v>83</v>
      </c>
      <c r="F187" s="9" t="s">
        <v>1263</v>
      </c>
      <c r="G187" s="16">
        <v>70</v>
      </c>
      <c r="H187" s="16" t="s">
        <v>81</v>
      </c>
      <c r="I187" s="16">
        <v>70</v>
      </c>
      <c r="J187" s="16" t="s">
        <v>90</v>
      </c>
      <c r="K187" s="16" t="s">
        <v>81</v>
      </c>
      <c r="L187" s="16">
        <v>88.4</v>
      </c>
      <c r="M187" s="16" t="s">
        <v>95</v>
      </c>
      <c r="N187" s="16" t="s">
        <v>81</v>
      </c>
      <c r="O187" s="9"/>
      <c r="P187" s="16" t="s">
        <v>88</v>
      </c>
      <c r="Q187" s="21" t="str">
        <f t="shared" si="223"/>
        <v>Female 58 mL/minute; male 68 mL/minute (sex not recorded; both shown)</v>
      </c>
      <c r="R187" s="21">
        <f t="shared" si="224"/>
        <v>1</v>
      </c>
      <c r="S187" s="21" t="str">
        <f t="shared" si="225"/>
        <v/>
      </c>
      <c r="T187" s="21">
        <f t="shared" si="226"/>
        <v>57.847222222222221</v>
      </c>
      <c r="U187" s="21">
        <f t="shared" si="227"/>
        <v>68.055555555555557</v>
      </c>
      <c r="V187" s="21" t="str">
        <f t="shared" si="228"/>
        <v>W_SEX_NOT_RECORDED</v>
      </c>
      <c r="W187" s="21" t="str">
        <f>IF(AB187=1,"",IF(AD187&lt;&gt;"",AD187&amp;": "&amp;SUBSTITUTE(IFERROR(INDEX(nMSG_Text,MATCH(AD187,nMSG_Code,0)),""),"[input]",AE187),IF(P187="not recorded","W_SEX_NOT_RECORDED: "&amp;SUBSTITUTE(IFERROR(INDEX(nMSG_Text,MATCH("W_SEX_NOT_RECORDED",nMSG_Code,0)),""),"[input]",""),"")))</f>
        <v>W_SEX_NOT_RECORDED: Sex not recorded: both estimates are shown.</v>
      </c>
      <c r="X187" s="21" t="str">
        <f t="shared" si="229"/>
        <v>age = 70 years [hypothetical example]; weight = 70 kg, actual [hypothetical example]; serum creatinine = 88.4 µmol/L [hypothetical example]; sex: not recorded; stability: confirmed (Vector input)</v>
      </c>
      <c r="Y187" s="21" t="str">
        <f t="shared" si="230"/>
        <v>Assumes stable creatinine. It is not drug clearance and not a dosing recommendation.</v>
      </c>
      <c r="Z187" s="21" t="str">
        <f t="shared" si="231"/>
        <v>Cockcroft-Gault: CrCl = (140 - age) x weight / (72 x SCr), x 0.85 when female sex is recorded; umol/L / 88.4 = mg/dL</v>
      </c>
      <c r="AA187" s="21" t="str">
        <f t="shared" si="232"/>
        <v>CALC-SPEC 1.0</v>
      </c>
      <c r="AB187" s="22">
        <f t="shared" si="233"/>
        <v>0</v>
      </c>
      <c r="AC187" s="21" t="str">
        <f t="shared" si="234"/>
        <v>VEC-V27|1|Q11-V27d</v>
      </c>
      <c r="AD187" s="21" t="str">
        <f>IF(AB187=1,"",IF(A187="","E_MISSING_INPUT",IF(E187&lt;&gt;"Yes","E_CREATININE_STABILITY_UNCONFIRMED",IF(OR(G187="",I187="",J187="",L187="",M187="",P187=""),"E_MISSING_INPUT",IF(OR(NOT(ISNUMBER(G187)),NOT(ISNUMBER(I187)),NOT(ISNUMBER(L187))),"E_MISSING_INPUT",IF(OR(I187&lt;=0,L187&lt;=0),"E_NONPOSITIVE_PARAMETER",IF(OR(G187&lt;18,G187&gt;120),"E_OUT_OF_RANGE",IF(ISNA(MATCH(M187,nLIST_SCrUnit,0)),"E_INVALID_UNIT",IF(OR(H187="",K187="",N187=""),"E_MISSING_INPUT","")))))))))</f>
        <v/>
      </c>
      <c r="AE187" s="21" t="str">
        <f t="shared" si="235"/>
        <v/>
      </c>
      <c r="AF187" s="22">
        <f t="shared" si="236"/>
        <v>1</v>
      </c>
    </row>
    <row r="188" spans="1:32" x14ac:dyDescent="0.2">
      <c r="A188" s="9" t="s">
        <v>1270</v>
      </c>
      <c r="B188" s="9" t="s">
        <v>355</v>
      </c>
      <c r="C188" s="11">
        <v>1</v>
      </c>
      <c r="D188" s="9" t="s">
        <v>1271</v>
      </c>
      <c r="E188" s="16" t="s">
        <v>84</v>
      </c>
      <c r="F188" s="9" t="s">
        <v>1272</v>
      </c>
      <c r="G188" s="16">
        <v>70</v>
      </c>
      <c r="H188" s="16" t="s">
        <v>81</v>
      </c>
      <c r="I188" s="16">
        <v>70</v>
      </c>
      <c r="J188" s="16" t="s">
        <v>90</v>
      </c>
      <c r="K188" s="16" t="s">
        <v>81</v>
      </c>
      <c r="L188" s="16">
        <v>1</v>
      </c>
      <c r="M188" s="16" t="s">
        <v>94</v>
      </c>
      <c r="N188" s="16" t="s">
        <v>81</v>
      </c>
      <c r="O188" s="9"/>
      <c r="P188" s="16" t="s">
        <v>86</v>
      </c>
      <c r="Q188" s="21" t="str">
        <f t="shared" si="223"/>
        <v>E_CREATININE_STABILITY_UNCONFIRMED: no result is shown</v>
      </c>
      <c r="R188" s="21" t="str">
        <f t="shared" si="224"/>
        <v/>
      </c>
      <c r="S188" s="21" t="str">
        <f t="shared" si="225"/>
        <v/>
      </c>
      <c r="T188" s="21" t="str">
        <f t="shared" si="226"/>
        <v/>
      </c>
      <c r="U188" s="21" t="str">
        <f t="shared" si="227"/>
        <v/>
      </c>
      <c r="V188" s="21" t="str">
        <f t="shared" si="228"/>
        <v>E_CREATININE_STABILITY_UNCONFIRMED</v>
      </c>
      <c r="W188" s="21" t="str">
        <f>IF(AB188=1,"",IF(AD188&lt;&gt;"",AD188&amp;": "&amp;SUBSTITUTE(IFERROR(INDEX(nMSG_Text,MATCH(AD188,nMSG_Code,0)),""),"[input]",AE188),IF(P188="not recorded","W_SEX_NOT_RECORDED: "&amp;SUBSTITUTE(IFERROR(INDEX(nMSG_Text,MATCH("W_SEX_NOT_RECORDED",nMSG_Code,0)),""),"[input]",""),"")))</f>
        <v>E_CREATININE_STABILITY_UNCONFIRMED: Cockcroft-Gault assumes stable creatinine. Confirm stability before an estimate is shown.</v>
      </c>
      <c r="X188" s="21" t="str">
        <f t="shared" si="229"/>
        <v>age = 70 years [hypothetical example]; weight = 70 kg, actual [hypothetical example]; serum creatinine = 1 mg/dL [hypothetical example]; sex: male; stability: not confirmed</v>
      </c>
      <c r="Y188" s="21" t="str">
        <f t="shared" si="230"/>
        <v>Assumes stable creatinine. It is not drug clearance and not a dosing recommendation.</v>
      </c>
      <c r="Z188" s="21" t="str">
        <f t="shared" si="231"/>
        <v>Cockcroft-Gault: CrCl = (140 - age) x weight / (72 x SCr), x 0.85 when female sex is recorded; umol/L / 88.4 = mg/dL</v>
      </c>
      <c r="AA188" s="21" t="str">
        <f t="shared" si="232"/>
        <v>CALC-SPEC 1.0</v>
      </c>
      <c r="AB188" s="22">
        <f t="shared" si="233"/>
        <v>0</v>
      </c>
      <c r="AC188" s="21" t="str">
        <f t="shared" si="234"/>
        <v>VEC-V27|1|Q11-V27e</v>
      </c>
      <c r="AD188" s="21" t="str">
        <f>IF(AB188=1,"",IF(A188="","E_MISSING_INPUT",IF(E188&lt;&gt;"Yes","E_CREATININE_STABILITY_UNCONFIRMED",IF(OR(G188="",I188="",J188="",L188="",M188="",P188=""),"E_MISSING_INPUT",IF(OR(NOT(ISNUMBER(G188)),NOT(ISNUMBER(I188)),NOT(ISNUMBER(L188))),"E_MISSING_INPUT",IF(OR(I188&lt;=0,L188&lt;=0),"E_NONPOSITIVE_PARAMETER",IF(OR(G188&lt;18,G188&gt;120),"E_OUT_OF_RANGE",IF(ISNA(MATCH(M188,nLIST_SCrUnit,0)),"E_INVALID_UNIT",IF(OR(H188="",K188="",N188=""),"E_MISSING_INPUT","")))))))))</f>
        <v>E_CREATININE_STABILITY_UNCONFIRMED</v>
      </c>
      <c r="AE188" s="21" t="str">
        <f t="shared" si="235"/>
        <v/>
      </c>
      <c r="AF188" s="22">
        <f t="shared" si="236"/>
        <v>0</v>
      </c>
    </row>
  </sheetData>
  <sheetProtection sheet="1" objects="1" scenarios="1" formatColumns="0" formatRows="0" autoFilter="0"/>
  <dataValidations count="11">
    <dataValidation type="whole" operator="greaterThanOrEqual" allowBlank="1" showInputMessage="1" showErrorMessage="1" sqref="C8:C15 C27:C34 C43:C50 C59:C66 C80:C87 C96:C103 C115:C122 C136:C143 C154:C161 C171:C178" xr:uid="{7317FF7E-C930-49BF-B838-423F9932EF82}">
      <formula1>1</formula1>
    </dataValidation>
    <dataValidation type="list" allowBlank="1" showInputMessage="1" showErrorMessage="1" sqref="E8:E15 H8:H15 E27:E34 H27:H34 E43:E50 H43:H50 E59:E66 H59:H66 E80:E87 H80:H87 E96:E103 H96:H103 E115:E122 H115:H122 E171:E178" xr:uid="{36E58EDF-5156-4EC8-9001-430E4681A38B}">
      <formula1>nLIST_YesNo</formula1>
    </dataValidation>
    <dataValidation type="list" allowBlank="1" showInputMessage="1" showErrorMessage="1" sqref="I8:I15 I27:I34 I43:I50 I80:I87 I115:I122" xr:uid="{947A21CD-3E43-427B-8E8F-26E7A22222AF}">
      <formula1>nLIST_TimeUnit</formula1>
    </dataValidation>
    <dataValidation type="decimal" allowBlank="1" showInputMessage="1" showErrorMessage="1" sqref="J8:J15 M8:M15 J27:J34 M27:M34 J43:J50 M43:M50 J59:J66 M59:M66 P59:P66 J80:J87 M80:M87 P80:P87 J96:J103 M96:M103 J115:J122 M115:M122 P115:P122 G136:G143 G154:G161 G171:G178 I171:I178 L171:L178" xr:uid="{A145D172-0EBA-4EE3-8C23-71957805D73F}">
      <formula1>-1000000000000</formula1>
      <formula2>1000000000000</formula2>
    </dataValidation>
    <dataValidation type="list" allowBlank="1" showInputMessage="1" showErrorMessage="1" sqref="K8:K15 N8:N15 K27:K34 N27:N34 K43:K50 N43:N50 K59:K66 N59:N66 Q59:Q66 K80:K87 N80:N87 Q80:Q87 K96:K103 N96:N103 K115:K122 N115:N122 Q115:Q122 H136:H143 H171:H178 K171:K178 N171:N178" xr:uid="{B960B094-21FE-4E67-907A-C2463897203E}">
      <formula1>nLIST_Status</formula1>
    </dataValidation>
    <dataValidation type="list" allowBlank="1" showInputMessage="1" showErrorMessage="1" sqref="I59:I66" xr:uid="{E7016310-62C7-44E2-8041-380E1994ADF8}">
      <formula1>nLIST_CLUnit</formula1>
    </dataValidation>
    <dataValidation type="list" allowBlank="1" showInputMessage="1" showErrorMessage="1" sqref="I96:I103" xr:uid="{39C79BAF-9AB5-406D-925F-0396985588DA}">
      <formula1>nLIST_DaysOnly</formula1>
    </dataValidation>
    <dataValidation type="list" allowBlank="1" showInputMessage="1" showErrorMessage="1" sqref="F154:F161" xr:uid="{30E897E1-FD88-48AC-B2E3-17C752C99093}">
      <formula1>nLIST_MethodB</formula1>
    </dataValidation>
    <dataValidation type="list" allowBlank="1" showInputMessage="1" showErrorMessage="1" sqref="J171:J178" xr:uid="{2F4F076A-EC80-49FF-B78C-757D832D815C}">
      <formula1>nLIST_WeightType</formula1>
    </dataValidation>
    <dataValidation type="list" allowBlank="1" showInputMessage="1" showErrorMessage="1" sqref="M171:M178" xr:uid="{403E804C-EED7-45E7-B688-2945880EAC39}">
      <formula1>nLIST_SCrUnit</formula1>
    </dataValidation>
    <dataValidation type="list" allowBlank="1" showInputMessage="1" showErrorMessage="1" sqref="P171:P178" xr:uid="{7888C21F-A0E7-4FFE-84D1-1B0B34036A40}">
      <formula1>nLIST_Sex</formula1>
    </dataValidation>
  </dataValidation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32884D-6529-4AAD-9BF0-DFAD507BF100}">
  <dimension ref="A1:Z37"/>
  <sheetViews>
    <sheetView zoomScale="90" zoomScaleNormal="90" workbookViewId="0"/>
  </sheetViews>
  <sheetFormatPr defaultRowHeight="12.75" x14ac:dyDescent="0.2"/>
  <cols>
    <col min="1" max="1" width="14.7109375" style="1" customWidth="1"/>
    <col min="2" max="2" width="10.7109375" style="1" customWidth="1"/>
    <col min="3" max="3" width="7.7109375" style="1" customWidth="1"/>
    <col min="4" max="4" width="30.7109375" style="1" customWidth="1"/>
    <col min="5" max="5" width="11.7109375" style="1" customWidth="1"/>
    <col min="6" max="6" width="28.7109375" style="1" customWidth="1"/>
    <col min="7" max="7" width="34.7109375" style="1" customWidth="1"/>
    <col min="8" max="8" width="28.7109375" style="1" customWidth="1"/>
    <col min="9" max="9" width="24.7109375" style="1" customWidth="1"/>
    <col min="10" max="10" width="30.7109375" style="1" customWidth="1"/>
    <col min="11" max="11" width="13.7109375" style="1" customWidth="1"/>
    <col min="12" max="12" width="18.7109375" style="1" customWidth="1"/>
    <col min="13" max="13" width="40.7109375" style="1" customWidth="1"/>
    <col min="14" max="15" width="12.7109375" style="1" customWidth="1"/>
    <col min="16" max="16" width="20.7109375" style="1" customWidth="1"/>
    <col min="17" max="19" width="40.7109375" style="1" customWidth="1"/>
    <col min="20" max="20" width="30.7109375" style="1" customWidth="1"/>
    <col min="21" max="21" width="11.7109375" style="1" customWidth="1"/>
    <col min="22" max="22" width="5.7109375" style="1" customWidth="1"/>
    <col min="23" max="25" width="14.7109375" style="1" customWidth="1"/>
    <col min="26" max="26" width="5.7109375" style="1" customWidth="1"/>
    <col min="27" max="16384" width="9.140625" style="1"/>
  </cols>
  <sheetData>
    <row r="1" spans="1:10" ht="17.25" x14ac:dyDescent="0.3">
      <c r="A1" s="6" t="s">
        <v>1273</v>
      </c>
    </row>
    <row r="2" spans="1:10" x14ac:dyDescent="0.2">
      <c r="A2" s="7" t="s">
        <v>1274</v>
      </c>
    </row>
    <row r="4" spans="1:10" ht="66" customHeight="1" x14ac:dyDescent="0.2">
      <c r="A4" s="8" t="s">
        <v>274</v>
      </c>
      <c r="B4" s="8" t="s">
        <v>275</v>
      </c>
      <c r="C4" s="8" t="s">
        <v>793</v>
      </c>
      <c r="D4" s="8" t="s">
        <v>1275</v>
      </c>
      <c r="E4" s="8" t="s">
        <v>1276</v>
      </c>
      <c r="F4" s="8" t="s">
        <v>1277</v>
      </c>
      <c r="G4" s="8" t="s">
        <v>1278</v>
      </c>
      <c r="H4" s="8" t="s">
        <v>1279</v>
      </c>
      <c r="I4" s="8" t="s">
        <v>1280</v>
      </c>
      <c r="J4" s="8" t="s">
        <v>1281</v>
      </c>
    </row>
    <row r="5" spans="1:10" x14ac:dyDescent="0.2">
      <c r="A5" s="10"/>
      <c r="B5" s="17"/>
      <c r="C5" s="10"/>
      <c r="D5" s="10"/>
      <c r="E5" s="17"/>
      <c r="F5" s="10"/>
      <c r="G5" s="10"/>
      <c r="H5" s="10"/>
      <c r="I5" s="10"/>
      <c r="J5" s="10"/>
    </row>
    <row r="6" spans="1:10" x14ac:dyDescent="0.2">
      <c r="A6" s="10"/>
      <c r="B6" s="17"/>
      <c r="C6" s="10"/>
      <c r="D6" s="10"/>
      <c r="E6" s="17"/>
      <c r="F6" s="10"/>
      <c r="G6" s="10"/>
      <c r="H6" s="10"/>
      <c r="I6" s="10"/>
      <c r="J6" s="10"/>
    </row>
    <row r="7" spans="1:10" x14ac:dyDescent="0.2">
      <c r="A7" s="10"/>
      <c r="B7" s="17"/>
      <c r="C7" s="10"/>
      <c r="D7" s="10"/>
      <c r="E7" s="17"/>
      <c r="F7" s="10"/>
      <c r="G7" s="10"/>
      <c r="H7" s="10"/>
      <c r="I7" s="10"/>
      <c r="J7" s="10"/>
    </row>
    <row r="8" spans="1:10" x14ac:dyDescent="0.2">
      <c r="A8" s="10"/>
      <c r="B8" s="17"/>
      <c r="C8" s="10"/>
      <c r="D8" s="10"/>
      <c r="E8" s="17"/>
      <c r="F8" s="10"/>
      <c r="G8" s="10"/>
      <c r="H8" s="10"/>
      <c r="I8" s="10"/>
      <c r="J8" s="10"/>
    </row>
    <row r="9" spans="1:10" x14ac:dyDescent="0.2">
      <c r="A9" s="10"/>
      <c r="B9" s="17"/>
      <c r="C9" s="10"/>
      <c r="D9" s="10"/>
      <c r="E9" s="17"/>
      <c r="F9" s="10"/>
      <c r="G9" s="10"/>
      <c r="H9" s="10"/>
      <c r="I9" s="10"/>
      <c r="J9" s="10"/>
    </row>
    <row r="10" spans="1:10" x14ac:dyDescent="0.2">
      <c r="A10" s="10"/>
      <c r="B10" s="17"/>
      <c r="C10" s="10"/>
      <c r="D10" s="10"/>
      <c r="E10" s="17"/>
      <c r="F10" s="10"/>
      <c r="G10" s="10"/>
      <c r="H10" s="10"/>
      <c r="I10" s="10"/>
      <c r="J10" s="10"/>
    </row>
    <row r="11" spans="1:10" x14ac:dyDescent="0.2">
      <c r="A11" s="10"/>
      <c r="B11" s="17"/>
      <c r="C11" s="10"/>
      <c r="D11" s="10"/>
      <c r="E11" s="17"/>
      <c r="F11" s="10"/>
      <c r="G11" s="10"/>
      <c r="H11" s="10"/>
      <c r="I11" s="10"/>
      <c r="J11" s="10"/>
    </row>
    <row r="12" spans="1:10" x14ac:dyDescent="0.2">
      <c r="A12" s="10"/>
      <c r="B12" s="17"/>
      <c r="C12" s="10"/>
      <c r="D12" s="10"/>
      <c r="E12" s="17"/>
      <c r="F12" s="10"/>
      <c r="G12" s="10"/>
      <c r="H12" s="10"/>
      <c r="I12" s="10"/>
      <c r="J12" s="10"/>
    </row>
    <row r="13" spans="1:10" x14ac:dyDescent="0.2">
      <c r="A13" s="10"/>
      <c r="B13" s="17"/>
      <c r="C13" s="10"/>
      <c r="D13" s="10"/>
      <c r="E13" s="17"/>
      <c r="F13" s="10"/>
      <c r="G13" s="10"/>
      <c r="H13" s="10"/>
      <c r="I13" s="10"/>
      <c r="J13" s="10"/>
    </row>
    <row r="14" spans="1:10" x14ac:dyDescent="0.2">
      <c r="A14" s="10"/>
      <c r="B14" s="17"/>
      <c r="C14" s="10"/>
      <c r="D14" s="10"/>
      <c r="E14" s="17"/>
      <c r="F14" s="10"/>
      <c r="G14" s="10"/>
      <c r="H14" s="10"/>
      <c r="I14" s="10"/>
      <c r="J14" s="10"/>
    </row>
    <row r="15" spans="1:10" x14ac:dyDescent="0.2">
      <c r="A15" s="10"/>
      <c r="B15" s="17"/>
      <c r="C15" s="10"/>
      <c r="D15" s="10"/>
      <c r="E15" s="17"/>
      <c r="F15" s="10"/>
      <c r="G15" s="10"/>
      <c r="H15" s="10"/>
      <c r="I15" s="10"/>
      <c r="J15" s="10"/>
    </row>
    <row r="16" spans="1:10" x14ac:dyDescent="0.2">
      <c r="A16" s="10"/>
      <c r="B16" s="17"/>
      <c r="C16" s="10"/>
      <c r="D16" s="10"/>
      <c r="E16" s="17"/>
      <c r="F16" s="10"/>
      <c r="G16" s="10"/>
      <c r="H16" s="10"/>
      <c r="I16" s="10"/>
      <c r="J16" s="10"/>
    </row>
    <row r="17" spans="1:26" x14ac:dyDescent="0.2">
      <c r="A17" s="10"/>
      <c r="B17" s="17"/>
      <c r="C17" s="10"/>
      <c r="D17" s="10"/>
      <c r="E17" s="17"/>
      <c r="F17" s="10"/>
      <c r="G17" s="10"/>
      <c r="H17" s="10"/>
      <c r="I17" s="10"/>
      <c r="J17" s="10"/>
    </row>
    <row r="18" spans="1:26" x14ac:dyDescent="0.2">
      <c r="A18" s="10"/>
      <c r="B18" s="17"/>
      <c r="C18" s="10"/>
      <c r="D18" s="10"/>
      <c r="E18" s="17"/>
      <c r="F18" s="10"/>
      <c r="G18" s="10"/>
      <c r="H18" s="10"/>
      <c r="I18" s="10"/>
      <c r="J18" s="10"/>
    </row>
    <row r="19" spans="1:26" x14ac:dyDescent="0.2">
      <c r="A19" s="10"/>
      <c r="B19" s="17"/>
      <c r="C19" s="10"/>
      <c r="D19" s="10"/>
      <c r="E19" s="17"/>
      <c r="F19" s="10"/>
      <c r="G19" s="10"/>
      <c r="H19" s="10"/>
      <c r="I19" s="10"/>
      <c r="J19" s="10"/>
    </row>
    <row r="20" spans="1:26" x14ac:dyDescent="0.2">
      <c r="A20" s="24" t="s">
        <v>288</v>
      </c>
      <c r="B20" s="23"/>
      <c r="C20" s="23"/>
      <c r="D20" s="23"/>
      <c r="E20" s="23"/>
      <c r="F20" s="23"/>
      <c r="G20" s="23"/>
      <c r="H20" s="23"/>
      <c r="I20" s="23"/>
      <c r="J20" s="23"/>
    </row>
    <row r="21" spans="1:26" x14ac:dyDescent="0.2">
      <c r="A21" s="9" t="s">
        <v>299</v>
      </c>
      <c r="B21" s="16">
        <v>2</v>
      </c>
      <c r="C21" s="9" t="s">
        <v>801</v>
      </c>
      <c r="D21" s="9" t="s">
        <v>1282</v>
      </c>
      <c r="E21" s="16" t="s">
        <v>158</v>
      </c>
      <c r="F21" s="9" t="s">
        <v>1286</v>
      </c>
      <c r="G21" s="9" t="s">
        <v>1283</v>
      </c>
      <c r="H21" s="9" t="s">
        <v>1285</v>
      </c>
      <c r="I21" s="9" t="s">
        <v>1287</v>
      </c>
      <c r="J21" s="9" t="s">
        <v>1284</v>
      </c>
    </row>
    <row r="24" spans="1:26" ht="17.25" x14ac:dyDescent="0.3">
      <c r="A24" s="6" t="s">
        <v>1288</v>
      </c>
    </row>
    <row r="25" spans="1:26" x14ac:dyDescent="0.2">
      <c r="A25" s="7" t="s">
        <v>1289</v>
      </c>
    </row>
    <row r="26" spans="1:26" x14ac:dyDescent="0.2">
      <c r="A26" s="2" t="s">
        <v>1024</v>
      </c>
      <c r="E26" s="2" t="s">
        <v>1290</v>
      </c>
      <c r="F26" s="2" t="s">
        <v>1024</v>
      </c>
      <c r="M26" s="2" t="s">
        <v>1040</v>
      </c>
      <c r="V26" s="2" t="s">
        <v>1052</v>
      </c>
    </row>
    <row r="27" spans="1:26" ht="66" customHeight="1" x14ac:dyDescent="0.2">
      <c r="A27" s="8" t="s">
        <v>1025</v>
      </c>
      <c r="B27" s="8" t="s">
        <v>274</v>
      </c>
      <c r="C27" s="8" t="s">
        <v>275</v>
      </c>
      <c r="D27" s="8" t="s">
        <v>1026</v>
      </c>
      <c r="E27" s="8" t="s">
        <v>1291</v>
      </c>
      <c r="F27" s="8" t="s">
        <v>1033</v>
      </c>
      <c r="G27" s="8" t="s">
        <v>1292</v>
      </c>
      <c r="H27" s="8" t="s">
        <v>1293</v>
      </c>
      <c r="I27" s="8" t="s">
        <v>1294</v>
      </c>
      <c r="J27" s="8" t="s">
        <v>1295</v>
      </c>
      <c r="K27" s="8" t="s">
        <v>1038</v>
      </c>
      <c r="L27" s="8" t="s">
        <v>1039</v>
      </c>
      <c r="M27" s="19" t="s">
        <v>1296</v>
      </c>
      <c r="N27" s="19" t="s">
        <v>1297</v>
      </c>
      <c r="O27" s="19" t="s">
        <v>1298</v>
      </c>
      <c r="P27" s="19" t="s">
        <v>1046</v>
      </c>
      <c r="Q27" s="19" t="s">
        <v>1047</v>
      </c>
      <c r="R27" s="19" t="s">
        <v>1048</v>
      </c>
      <c r="S27" s="19" t="s">
        <v>1050</v>
      </c>
      <c r="T27" s="19" t="s">
        <v>1051</v>
      </c>
      <c r="U27" s="19" t="s">
        <v>895</v>
      </c>
      <c r="V27" s="19" t="s">
        <v>897</v>
      </c>
      <c r="W27" s="19" t="s">
        <v>1053</v>
      </c>
      <c r="X27" s="19" t="s">
        <v>930</v>
      </c>
      <c r="Y27" s="19" t="s">
        <v>1054</v>
      </c>
      <c r="Z27" s="19" t="s">
        <v>1055</v>
      </c>
    </row>
    <row r="28" spans="1:26" x14ac:dyDescent="0.2">
      <c r="A28" s="10"/>
      <c r="B28" s="10"/>
      <c r="C28" s="12"/>
      <c r="D28" s="10"/>
      <c r="E28" s="17"/>
      <c r="F28" s="17"/>
      <c r="G28" s="17"/>
      <c r="H28" s="17"/>
      <c r="I28" s="10"/>
      <c r="J28" s="17"/>
      <c r="K28" s="17"/>
      <c r="L28" s="10"/>
      <c r="M28" s="21" t="str">
        <f t="shared" ref="M28:M35" si="0">IF(V28=1,"",IF(X28&lt;&gt;"",X28&amp;": no result is shown"&amp;IF(X28="E_APPLICABILITY_UNCONFIRMED"," (Q6 is shown only with the teaching-demonstration switch on)",""),IF(O28=0,"0",IF(ABS(O28)&lt;0.0001,FIXED(O28/10^INT(LOG10(ABS(O28))),2,TRUE)&amp;" x 10^"&amp;INT(LOG10(ABS(O28))),FIXED(ROUND(O28,2-INT(LOG10(ABS(O28)))),MAX(0,2-INT(LOG10(ABS(O28)))),TRUE)))&amp;"% replaced after "&amp;J28&amp;" "&amp;F28&amp;" (teaching demonstration with hypothetical values)"))</f>
        <v/>
      </c>
      <c r="N28" s="21" t="str">
        <f t="shared" ref="N28:N35" si="1">IF(Z28=1,1-2^(-J28/G28),"")</f>
        <v/>
      </c>
      <c r="O28" s="21" t="str">
        <f t="shared" ref="O28:O35" si="2">IF(Z28=1,100*N28,"")</f>
        <v/>
      </c>
      <c r="P28" s="21" t="str">
        <f t="shared" ref="P28:P35" si="3">IF(V28=1,"",IF(X28&lt;&gt;"",X28,"I_TEACHING_DEMONSTRATION"))</f>
        <v/>
      </c>
      <c r="Q28" s="21" t="str">
        <f>IF(V28=1,"",IF(X28&lt;&gt;"",X28&amp;": "&amp;SUBSTITUTE(IFERROR(INDEX(nMSG_Text,MATCH(X28,nMSG_Code,0)),""),"[input]",Y28),"I_TEACHING_DEMONSTRATION: "&amp;SUBSTITUTE(IFERROR(INDEX(nMSG_Text,MATCH("I_TEACHING_DEMONSTRATION",nMSG_Code,0)),""),"[input]","")))</f>
        <v/>
      </c>
      <c r="R28" s="21" t="str">
        <f t="shared" ref="R28:R35" si="4">IF(V28=1,"","Replacement_Half_Time = "&amp;G28&amp;" "&amp;F28&amp;" ["&amp;IF(H28="","status not recorded",H28)&amp;IF(I28&lt;&gt;"","; "&amp;I28,"")&amp;"]"&amp;"; "&amp;"t = "&amp;J28&amp;" "&amp;F28&amp;" ["&amp;IF(K28="","status not recorded",K28)&amp;IF(L28&lt;&gt;"","; "&amp;L28,"")&amp;"]")</f>
        <v/>
      </c>
      <c r="S28" s="21" t="str">
        <f t="shared" ref="S28:S35" si="5">IF(V28=1,"","Hypothetical turnover illustration. It is not a measured recovery curve for platelets or any other clinical target.")</f>
        <v/>
      </c>
      <c r="T28" s="21" t="str">
        <f t="shared" ref="T28:T35" si="6">IF(V28=1,"","fraction replaced = 1 - 2^(-t / replacement half-time)")</f>
        <v/>
      </c>
      <c r="U28" s="21" t="str">
        <f t="shared" ref="U28:U35" si="7">IF(V28=1,"","CALC-SPEC 1.0")</f>
        <v/>
      </c>
      <c r="V28" s="22">
        <f t="shared" ref="V28:V35" si="8">IF(AND(A28="",G28="",J28=""),1,0)</f>
        <v>1</v>
      </c>
      <c r="W28" s="21" t="str">
        <f t="shared" ref="W28:W35" si="9">IF(A28="","",B28&amp;"|"&amp;C28&amp;"|"&amp;A28)</f>
        <v/>
      </c>
      <c r="X28" s="21" t="str">
        <f>IF(V28=1,"",IF(OR(A28="",F28="",G28="",J28=""),"E_MISSING_INPUT",IF(ISNA(MATCH(F28,nLIST_TimeUnit,0)),"E_INVALID_UNIT",IF(OR(NOT(ISNUMBER(G28)),NOT(ISNUMBER(J28))),"E_MISSING_INPUT",IF(G28&lt;=0,"E_NONPOSITIVE_PARAMETER",IF(E28&lt;&gt;"Yes","E_APPLICABILITY_UNCONFIRMED",IF(OR(H28="",K28=""),"E_MISSING_INPUT",IF(J28&lt;0,"E_OUT_OF_RANGE",""))))))))</f>
        <v/>
      </c>
      <c r="Y28" s="21" t="str">
        <f t="shared" ref="Y28:Y35" si="10">IF(X28&lt;&gt;"E_MISSING_INPUT","",IF(A28="","a Calc_ID",IF(F28="","a time unit",IF(NOT(ISNUMBER(G28)),"a numeric replacement half-time",IF(NOT(ISNUMBER(J28)),"a numeric t","the Parameter_Status of each input")))))</f>
        <v/>
      </c>
      <c r="Z28" s="22">
        <f t="shared" ref="Z28:Z35" si="11">IF(AND(V28=0,X28=""),1,0)</f>
        <v>0</v>
      </c>
    </row>
    <row r="29" spans="1:26" x14ac:dyDescent="0.2">
      <c r="A29" s="10"/>
      <c r="B29" s="10"/>
      <c r="C29" s="12"/>
      <c r="D29" s="10"/>
      <c r="E29" s="17"/>
      <c r="F29" s="17"/>
      <c r="G29" s="17"/>
      <c r="H29" s="17"/>
      <c r="I29" s="10"/>
      <c r="J29" s="17"/>
      <c r="K29" s="17"/>
      <c r="L29" s="10"/>
      <c r="M29" s="21" t="str">
        <f t="shared" si="0"/>
        <v/>
      </c>
      <c r="N29" s="21" t="str">
        <f t="shared" si="1"/>
        <v/>
      </c>
      <c r="O29" s="21" t="str">
        <f t="shared" si="2"/>
        <v/>
      </c>
      <c r="P29" s="21" t="str">
        <f t="shared" si="3"/>
        <v/>
      </c>
      <c r="Q29" s="21" t="str">
        <f>IF(V29=1,"",IF(X29&lt;&gt;"",X29&amp;": "&amp;SUBSTITUTE(IFERROR(INDEX(nMSG_Text,MATCH(X29,nMSG_Code,0)),""),"[input]",Y29),"I_TEACHING_DEMONSTRATION: "&amp;SUBSTITUTE(IFERROR(INDEX(nMSG_Text,MATCH("I_TEACHING_DEMONSTRATION",nMSG_Code,0)),""),"[input]","")))</f>
        <v/>
      </c>
      <c r="R29" s="21" t="str">
        <f t="shared" si="4"/>
        <v/>
      </c>
      <c r="S29" s="21" t="str">
        <f t="shared" si="5"/>
        <v/>
      </c>
      <c r="T29" s="21" t="str">
        <f t="shared" si="6"/>
        <v/>
      </c>
      <c r="U29" s="21" t="str">
        <f t="shared" si="7"/>
        <v/>
      </c>
      <c r="V29" s="22">
        <f t="shared" si="8"/>
        <v>1</v>
      </c>
      <c r="W29" s="21" t="str">
        <f t="shared" si="9"/>
        <v/>
      </c>
      <c r="X29" s="21" t="str">
        <f>IF(V29=1,"",IF(OR(A29="",F29="",G29="",J29=""),"E_MISSING_INPUT",IF(ISNA(MATCH(F29,nLIST_TimeUnit,0)),"E_INVALID_UNIT",IF(OR(NOT(ISNUMBER(G29)),NOT(ISNUMBER(J29))),"E_MISSING_INPUT",IF(G29&lt;=0,"E_NONPOSITIVE_PARAMETER",IF(E29&lt;&gt;"Yes","E_APPLICABILITY_UNCONFIRMED",IF(OR(H29="",K29=""),"E_MISSING_INPUT",IF(J29&lt;0,"E_OUT_OF_RANGE",""))))))))</f>
        <v/>
      </c>
      <c r="Y29" s="21" t="str">
        <f t="shared" si="10"/>
        <v/>
      </c>
      <c r="Z29" s="22">
        <f t="shared" si="11"/>
        <v>0</v>
      </c>
    </row>
    <row r="30" spans="1:26" x14ac:dyDescent="0.2">
      <c r="A30" s="10"/>
      <c r="B30" s="10"/>
      <c r="C30" s="12"/>
      <c r="D30" s="10"/>
      <c r="E30" s="17"/>
      <c r="F30" s="17"/>
      <c r="G30" s="17"/>
      <c r="H30" s="17"/>
      <c r="I30" s="10"/>
      <c r="J30" s="17"/>
      <c r="K30" s="17"/>
      <c r="L30" s="10"/>
      <c r="M30" s="21" t="str">
        <f t="shared" si="0"/>
        <v/>
      </c>
      <c r="N30" s="21" t="str">
        <f t="shared" si="1"/>
        <v/>
      </c>
      <c r="O30" s="21" t="str">
        <f t="shared" si="2"/>
        <v/>
      </c>
      <c r="P30" s="21" t="str">
        <f t="shared" si="3"/>
        <v/>
      </c>
      <c r="Q30" s="21" t="str">
        <f>IF(V30=1,"",IF(X30&lt;&gt;"",X30&amp;": "&amp;SUBSTITUTE(IFERROR(INDEX(nMSG_Text,MATCH(X30,nMSG_Code,0)),""),"[input]",Y30),"I_TEACHING_DEMONSTRATION: "&amp;SUBSTITUTE(IFERROR(INDEX(nMSG_Text,MATCH("I_TEACHING_DEMONSTRATION",nMSG_Code,0)),""),"[input]","")))</f>
        <v/>
      </c>
      <c r="R30" s="21" t="str">
        <f t="shared" si="4"/>
        <v/>
      </c>
      <c r="S30" s="21" t="str">
        <f t="shared" si="5"/>
        <v/>
      </c>
      <c r="T30" s="21" t="str">
        <f t="shared" si="6"/>
        <v/>
      </c>
      <c r="U30" s="21" t="str">
        <f t="shared" si="7"/>
        <v/>
      </c>
      <c r="V30" s="22">
        <f t="shared" si="8"/>
        <v>1</v>
      </c>
      <c r="W30" s="21" t="str">
        <f t="shared" si="9"/>
        <v/>
      </c>
      <c r="X30" s="21" t="str">
        <f>IF(V30=1,"",IF(OR(A30="",F30="",G30="",J30=""),"E_MISSING_INPUT",IF(ISNA(MATCH(F30,nLIST_TimeUnit,0)),"E_INVALID_UNIT",IF(OR(NOT(ISNUMBER(G30)),NOT(ISNUMBER(J30))),"E_MISSING_INPUT",IF(G30&lt;=0,"E_NONPOSITIVE_PARAMETER",IF(E30&lt;&gt;"Yes","E_APPLICABILITY_UNCONFIRMED",IF(OR(H30="",K30=""),"E_MISSING_INPUT",IF(J30&lt;0,"E_OUT_OF_RANGE",""))))))))</f>
        <v/>
      </c>
      <c r="Y30" s="21" t="str">
        <f t="shared" si="10"/>
        <v/>
      </c>
      <c r="Z30" s="22">
        <f t="shared" si="11"/>
        <v>0</v>
      </c>
    </row>
    <row r="31" spans="1:26" x14ac:dyDescent="0.2">
      <c r="A31" s="10"/>
      <c r="B31" s="10"/>
      <c r="C31" s="12"/>
      <c r="D31" s="10"/>
      <c r="E31" s="17"/>
      <c r="F31" s="17"/>
      <c r="G31" s="17"/>
      <c r="H31" s="17"/>
      <c r="I31" s="10"/>
      <c r="J31" s="17"/>
      <c r="K31" s="17"/>
      <c r="L31" s="10"/>
      <c r="M31" s="21" t="str">
        <f t="shared" si="0"/>
        <v/>
      </c>
      <c r="N31" s="21" t="str">
        <f t="shared" si="1"/>
        <v/>
      </c>
      <c r="O31" s="21" t="str">
        <f t="shared" si="2"/>
        <v/>
      </c>
      <c r="P31" s="21" t="str">
        <f t="shared" si="3"/>
        <v/>
      </c>
      <c r="Q31" s="21" t="str">
        <f>IF(V31=1,"",IF(X31&lt;&gt;"",X31&amp;": "&amp;SUBSTITUTE(IFERROR(INDEX(nMSG_Text,MATCH(X31,nMSG_Code,0)),""),"[input]",Y31),"I_TEACHING_DEMONSTRATION: "&amp;SUBSTITUTE(IFERROR(INDEX(nMSG_Text,MATCH("I_TEACHING_DEMONSTRATION",nMSG_Code,0)),""),"[input]","")))</f>
        <v/>
      </c>
      <c r="R31" s="21" t="str">
        <f t="shared" si="4"/>
        <v/>
      </c>
      <c r="S31" s="21" t="str">
        <f t="shared" si="5"/>
        <v/>
      </c>
      <c r="T31" s="21" t="str">
        <f t="shared" si="6"/>
        <v/>
      </c>
      <c r="U31" s="21" t="str">
        <f t="shared" si="7"/>
        <v/>
      </c>
      <c r="V31" s="22">
        <f t="shared" si="8"/>
        <v>1</v>
      </c>
      <c r="W31" s="21" t="str">
        <f t="shared" si="9"/>
        <v/>
      </c>
      <c r="X31" s="21" t="str">
        <f>IF(V31=1,"",IF(OR(A31="",F31="",G31="",J31=""),"E_MISSING_INPUT",IF(ISNA(MATCH(F31,nLIST_TimeUnit,0)),"E_INVALID_UNIT",IF(OR(NOT(ISNUMBER(G31)),NOT(ISNUMBER(J31))),"E_MISSING_INPUT",IF(G31&lt;=0,"E_NONPOSITIVE_PARAMETER",IF(E31&lt;&gt;"Yes","E_APPLICABILITY_UNCONFIRMED",IF(OR(H31="",K31=""),"E_MISSING_INPUT",IF(J31&lt;0,"E_OUT_OF_RANGE",""))))))))</f>
        <v/>
      </c>
      <c r="Y31" s="21" t="str">
        <f t="shared" si="10"/>
        <v/>
      </c>
      <c r="Z31" s="22">
        <f t="shared" si="11"/>
        <v>0</v>
      </c>
    </row>
    <row r="32" spans="1:26" x14ac:dyDescent="0.2">
      <c r="A32" s="10"/>
      <c r="B32" s="10"/>
      <c r="C32" s="12"/>
      <c r="D32" s="10"/>
      <c r="E32" s="17"/>
      <c r="F32" s="17"/>
      <c r="G32" s="17"/>
      <c r="H32" s="17"/>
      <c r="I32" s="10"/>
      <c r="J32" s="17"/>
      <c r="K32" s="17"/>
      <c r="L32" s="10"/>
      <c r="M32" s="21" t="str">
        <f t="shared" si="0"/>
        <v/>
      </c>
      <c r="N32" s="21" t="str">
        <f t="shared" si="1"/>
        <v/>
      </c>
      <c r="O32" s="21" t="str">
        <f t="shared" si="2"/>
        <v/>
      </c>
      <c r="P32" s="21" t="str">
        <f t="shared" si="3"/>
        <v/>
      </c>
      <c r="Q32" s="21" t="str">
        <f>IF(V32=1,"",IF(X32&lt;&gt;"",X32&amp;": "&amp;SUBSTITUTE(IFERROR(INDEX(nMSG_Text,MATCH(X32,nMSG_Code,0)),""),"[input]",Y32),"I_TEACHING_DEMONSTRATION: "&amp;SUBSTITUTE(IFERROR(INDEX(nMSG_Text,MATCH("I_TEACHING_DEMONSTRATION",nMSG_Code,0)),""),"[input]","")))</f>
        <v/>
      </c>
      <c r="R32" s="21" t="str">
        <f t="shared" si="4"/>
        <v/>
      </c>
      <c r="S32" s="21" t="str">
        <f t="shared" si="5"/>
        <v/>
      </c>
      <c r="T32" s="21" t="str">
        <f t="shared" si="6"/>
        <v/>
      </c>
      <c r="U32" s="21" t="str">
        <f t="shared" si="7"/>
        <v/>
      </c>
      <c r="V32" s="22">
        <f t="shared" si="8"/>
        <v>1</v>
      </c>
      <c r="W32" s="21" t="str">
        <f t="shared" si="9"/>
        <v/>
      </c>
      <c r="X32" s="21" t="str">
        <f>IF(V32=1,"",IF(OR(A32="",F32="",G32="",J32=""),"E_MISSING_INPUT",IF(ISNA(MATCH(F32,nLIST_TimeUnit,0)),"E_INVALID_UNIT",IF(OR(NOT(ISNUMBER(G32)),NOT(ISNUMBER(J32))),"E_MISSING_INPUT",IF(G32&lt;=0,"E_NONPOSITIVE_PARAMETER",IF(E32&lt;&gt;"Yes","E_APPLICABILITY_UNCONFIRMED",IF(OR(H32="",K32=""),"E_MISSING_INPUT",IF(J32&lt;0,"E_OUT_OF_RANGE",""))))))))</f>
        <v/>
      </c>
      <c r="Y32" s="21" t="str">
        <f t="shared" si="10"/>
        <v/>
      </c>
      <c r="Z32" s="22">
        <f t="shared" si="11"/>
        <v>0</v>
      </c>
    </row>
    <row r="33" spans="1:26" x14ac:dyDescent="0.2">
      <c r="A33" s="10"/>
      <c r="B33" s="10"/>
      <c r="C33" s="12"/>
      <c r="D33" s="10"/>
      <c r="E33" s="17"/>
      <c r="F33" s="17"/>
      <c r="G33" s="17"/>
      <c r="H33" s="17"/>
      <c r="I33" s="10"/>
      <c r="J33" s="17"/>
      <c r="K33" s="17"/>
      <c r="L33" s="10"/>
      <c r="M33" s="21" t="str">
        <f t="shared" si="0"/>
        <v/>
      </c>
      <c r="N33" s="21" t="str">
        <f t="shared" si="1"/>
        <v/>
      </c>
      <c r="O33" s="21" t="str">
        <f t="shared" si="2"/>
        <v/>
      </c>
      <c r="P33" s="21" t="str">
        <f t="shared" si="3"/>
        <v/>
      </c>
      <c r="Q33" s="21" t="str">
        <f>IF(V33=1,"",IF(X33&lt;&gt;"",X33&amp;": "&amp;SUBSTITUTE(IFERROR(INDEX(nMSG_Text,MATCH(X33,nMSG_Code,0)),""),"[input]",Y33),"I_TEACHING_DEMONSTRATION: "&amp;SUBSTITUTE(IFERROR(INDEX(nMSG_Text,MATCH("I_TEACHING_DEMONSTRATION",nMSG_Code,0)),""),"[input]","")))</f>
        <v/>
      </c>
      <c r="R33" s="21" t="str">
        <f t="shared" si="4"/>
        <v/>
      </c>
      <c r="S33" s="21" t="str">
        <f t="shared" si="5"/>
        <v/>
      </c>
      <c r="T33" s="21" t="str">
        <f t="shared" si="6"/>
        <v/>
      </c>
      <c r="U33" s="21" t="str">
        <f t="shared" si="7"/>
        <v/>
      </c>
      <c r="V33" s="22">
        <f t="shared" si="8"/>
        <v>1</v>
      </c>
      <c r="W33" s="21" t="str">
        <f t="shared" si="9"/>
        <v/>
      </c>
      <c r="X33" s="21" t="str">
        <f>IF(V33=1,"",IF(OR(A33="",F33="",G33="",J33=""),"E_MISSING_INPUT",IF(ISNA(MATCH(F33,nLIST_TimeUnit,0)),"E_INVALID_UNIT",IF(OR(NOT(ISNUMBER(G33)),NOT(ISNUMBER(J33))),"E_MISSING_INPUT",IF(G33&lt;=0,"E_NONPOSITIVE_PARAMETER",IF(E33&lt;&gt;"Yes","E_APPLICABILITY_UNCONFIRMED",IF(OR(H33="",K33=""),"E_MISSING_INPUT",IF(J33&lt;0,"E_OUT_OF_RANGE",""))))))))</f>
        <v/>
      </c>
      <c r="Y33" s="21" t="str">
        <f t="shared" si="10"/>
        <v/>
      </c>
      <c r="Z33" s="22">
        <f t="shared" si="11"/>
        <v>0</v>
      </c>
    </row>
    <row r="34" spans="1:26" x14ac:dyDescent="0.2">
      <c r="A34" s="10"/>
      <c r="B34" s="10"/>
      <c r="C34" s="12"/>
      <c r="D34" s="10"/>
      <c r="E34" s="17"/>
      <c r="F34" s="17"/>
      <c r="G34" s="17"/>
      <c r="H34" s="17"/>
      <c r="I34" s="10"/>
      <c r="J34" s="17"/>
      <c r="K34" s="17"/>
      <c r="L34" s="10"/>
      <c r="M34" s="21" t="str">
        <f t="shared" si="0"/>
        <v/>
      </c>
      <c r="N34" s="21" t="str">
        <f t="shared" si="1"/>
        <v/>
      </c>
      <c r="O34" s="21" t="str">
        <f t="shared" si="2"/>
        <v/>
      </c>
      <c r="P34" s="21" t="str">
        <f t="shared" si="3"/>
        <v/>
      </c>
      <c r="Q34" s="21" t="str">
        <f>IF(V34=1,"",IF(X34&lt;&gt;"",X34&amp;": "&amp;SUBSTITUTE(IFERROR(INDEX(nMSG_Text,MATCH(X34,nMSG_Code,0)),""),"[input]",Y34),"I_TEACHING_DEMONSTRATION: "&amp;SUBSTITUTE(IFERROR(INDEX(nMSG_Text,MATCH("I_TEACHING_DEMONSTRATION",nMSG_Code,0)),""),"[input]","")))</f>
        <v/>
      </c>
      <c r="R34" s="21" t="str">
        <f t="shared" si="4"/>
        <v/>
      </c>
      <c r="S34" s="21" t="str">
        <f t="shared" si="5"/>
        <v/>
      </c>
      <c r="T34" s="21" t="str">
        <f t="shared" si="6"/>
        <v/>
      </c>
      <c r="U34" s="21" t="str">
        <f t="shared" si="7"/>
        <v/>
      </c>
      <c r="V34" s="22">
        <f t="shared" si="8"/>
        <v>1</v>
      </c>
      <c r="W34" s="21" t="str">
        <f t="shared" si="9"/>
        <v/>
      </c>
      <c r="X34" s="21" t="str">
        <f>IF(V34=1,"",IF(OR(A34="",F34="",G34="",J34=""),"E_MISSING_INPUT",IF(ISNA(MATCH(F34,nLIST_TimeUnit,0)),"E_INVALID_UNIT",IF(OR(NOT(ISNUMBER(G34)),NOT(ISNUMBER(J34))),"E_MISSING_INPUT",IF(G34&lt;=0,"E_NONPOSITIVE_PARAMETER",IF(E34&lt;&gt;"Yes","E_APPLICABILITY_UNCONFIRMED",IF(OR(H34="",K34=""),"E_MISSING_INPUT",IF(J34&lt;0,"E_OUT_OF_RANGE",""))))))))</f>
        <v/>
      </c>
      <c r="Y34" s="21" t="str">
        <f t="shared" si="10"/>
        <v/>
      </c>
      <c r="Z34" s="22">
        <f t="shared" si="11"/>
        <v>0</v>
      </c>
    </row>
    <row r="35" spans="1:26" x14ac:dyDescent="0.2">
      <c r="A35" s="10"/>
      <c r="B35" s="10"/>
      <c r="C35" s="12"/>
      <c r="D35" s="10"/>
      <c r="E35" s="17"/>
      <c r="F35" s="17"/>
      <c r="G35" s="17"/>
      <c r="H35" s="17"/>
      <c r="I35" s="10"/>
      <c r="J35" s="17"/>
      <c r="K35" s="17"/>
      <c r="L35" s="10"/>
      <c r="M35" s="21" t="str">
        <f t="shared" si="0"/>
        <v/>
      </c>
      <c r="N35" s="21" t="str">
        <f t="shared" si="1"/>
        <v/>
      </c>
      <c r="O35" s="21" t="str">
        <f t="shared" si="2"/>
        <v/>
      </c>
      <c r="P35" s="21" t="str">
        <f t="shared" si="3"/>
        <v/>
      </c>
      <c r="Q35" s="21" t="str">
        <f>IF(V35=1,"",IF(X35&lt;&gt;"",X35&amp;": "&amp;SUBSTITUTE(IFERROR(INDEX(nMSG_Text,MATCH(X35,nMSG_Code,0)),""),"[input]",Y35),"I_TEACHING_DEMONSTRATION: "&amp;SUBSTITUTE(IFERROR(INDEX(nMSG_Text,MATCH("I_TEACHING_DEMONSTRATION",nMSG_Code,0)),""),"[input]","")))</f>
        <v/>
      </c>
      <c r="R35" s="21" t="str">
        <f t="shared" si="4"/>
        <v/>
      </c>
      <c r="S35" s="21" t="str">
        <f t="shared" si="5"/>
        <v/>
      </c>
      <c r="T35" s="21" t="str">
        <f t="shared" si="6"/>
        <v/>
      </c>
      <c r="U35" s="21" t="str">
        <f t="shared" si="7"/>
        <v/>
      </c>
      <c r="V35" s="22">
        <f t="shared" si="8"/>
        <v>1</v>
      </c>
      <c r="W35" s="21" t="str">
        <f t="shared" si="9"/>
        <v/>
      </c>
      <c r="X35" s="21" t="str">
        <f>IF(V35=1,"",IF(OR(A35="",F35="",G35="",J35=""),"E_MISSING_INPUT",IF(ISNA(MATCH(F35,nLIST_TimeUnit,0)),"E_INVALID_UNIT",IF(OR(NOT(ISNUMBER(G35)),NOT(ISNUMBER(J35))),"E_MISSING_INPUT",IF(G35&lt;=0,"E_NONPOSITIVE_PARAMETER",IF(E35&lt;&gt;"Yes","E_APPLICABILITY_UNCONFIRMED",IF(OR(H35="",K35=""),"E_MISSING_INPUT",IF(J35&lt;0,"E_OUT_OF_RANGE",""))))))))</f>
        <v/>
      </c>
      <c r="Y35" s="21" t="str">
        <f t="shared" si="10"/>
        <v/>
      </c>
      <c r="Z35" s="22">
        <f t="shared" si="11"/>
        <v>0</v>
      </c>
    </row>
    <row r="36" spans="1:26" x14ac:dyDescent="0.2">
      <c r="A36" s="24" t="s">
        <v>289</v>
      </c>
      <c r="B36" s="23"/>
      <c r="C36" s="23"/>
      <c r="D36" s="23"/>
      <c r="E36" s="23"/>
      <c r="F36" s="23"/>
      <c r="G36" s="23"/>
      <c r="H36" s="23"/>
      <c r="I36" s="23"/>
      <c r="J36" s="23"/>
      <c r="K36" s="23"/>
      <c r="L36" s="23"/>
      <c r="M36" s="23"/>
      <c r="N36" s="23"/>
      <c r="O36" s="23"/>
      <c r="P36" s="23"/>
      <c r="Q36" s="23"/>
      <c r="R36" s="23"/>
      <c r="S36" s="23"/>
      <c r="T36" s="23"/>
      <c r="U36" s="23"/>
      <c r="V36" s="23"/>
      <c r="W36" s="23"/>
      <c r="X36" s="23"/>
      <c r="Y36" s="23"/>
      <c r="Z36" s="23"/>
    </row>
    <row r="37" spans="1:26" x14ac:dyDescent="0.2">
      <c r="A37" s="9" t="s">
        <v>1299</v>
      </c>
      <c r="B37" s="9" t="s">
        <v>343</v>
      </c>
      <c r="C37" s="11">
        <v>1</v>
      </c>
      <c r="D37" s="9" t="s">
        <v>1300</v>
      </c>
      <c r="E37" s="16" t="s">
        <v>83</v>
      </c>
      <c r="F37" s="16" t="s">
        <v>66</v>
      </c>
      <c r="G37" s="16">
        <v>3</v>
      </c>
      <c r="H37" s="16" t="s">
        <v>81</v>
      </c>
      <c r="I37" s="9" t="s">
        <v>1301</v>
      </c>
      <c r="J37" s="16">
        <v>6</v>
      </c>
      <c r="K37" s="16" t="s">
        <v>81</v>
      </c>
      <c r="L37" s="9" t="s">
        <v>1301</v>
      </c>
      <c r="M37" s="21" t="str">
        <f>IF(V37=1,"",IF(X37&lt;&gt;"",X37&amp;": no result is shown"&amp;IF(X37="E_APPLICABILITY_UNCONFIRMED"," (Q6 is shown only with the teaching-demonstration switch on)",""),IF(O37=0,"0",IF(ABS(O37)&lt;0.0001,FIXED(O37/10^INT(LOG10(ABS(O37))),2,TRUE)&amp;" x 10^"&amp;INT(LOG10(ABS(O37))),FIXED(ROUND(O37,2-INT(LOG10(ABS(O37)))),MAX(0,2-INT(LOG10(ABS(O37)))),TRUE)))&amp;"% replaced after "&amp;J37&amp;" "&amp;F37&amp;" (teaching demonstration with hypothetical values)"))</f>
        <v>75.0% replaced after 6 days (teaching demonstration with hypothetical values)</v>
      </c>
      <c r="N37" s="21">
        <f>IF(Z37=1,1-2^(-J37/G37),"")</f>
        <v>0.75</v>
      </c>
      <c r="O37" s="21">
        <f>IF(Z37=1,100*N37,"")</f>
        <v>75</v>
      </c>
      <c r="P37" s="21" t="str">
        <f>IF(V37=1,"",IF(X37&lt;&gt;"",X37,"I_TEACHING_DEMONSTRATION"))</f>
        <v>I_TEACHING_DEMONSTRATION</v>
      </c>
      <c r="Q37" s="21" t="str">
        <f>IF(V37=1,"",IF(X37&lt;&gt;"",X37&amp;": "&amp;SUBSTITUTE(IFERROR(INDEX(nMSG_Text,MATCH(X37,nMSG_Code,0)),""),"[input]",Y37),"I_TEACHING_DEMONSTRATION: "&amp;SUBSTITUTE(IFERROR(INDEX(nMSG_Text,MATCH("I_TEACHING_DEMONSTRATION",nMSG_Code,0)),""),"[input]","")))</f>
        <v>I_TEACHING_DEMONSTRATION: Teaching demonstration with hypothetical values.</v>
      </c>
      <c r="R37" s="21" t="str">
        <f>IF(V37=1,"","Replacement_Half_Time = "&amp;G37&amp;" "&amp;F37&amp;" ["&amp;IF(H37="","status not recorded",H37)&amp;IF(I37&lt;&gt;"","; "&amp;I37,"")&amp;"]"&amp;"; "&amp;"t = "&amp;J37&amp;" "&amp;F37&amp;" ["&amp;IF(K37="","status not recorded",K37)&amp;IF(L37&lt;&gt;"","; "&amp;L37,"")&amp;"]")</f>
        <v>Replacement_Half_Time = 3 days [hypothetical example; V15 V21]; t = 6 days [hypothetical example; V15 V21]</v>
      </c>
      <c r="S37" s="21" t="str">
        <f>IF(V37=1,"","Hypothetical turnover illustration. It is not a measured recovery curve for platelets or any other clinical target.")</f>
        <v>Hypothetical turnover illustration. It is not a measured recovery curve for platelets or any other clinical target.</v>
      </c>
      <c r="T37" s="21" t="str">
        <f>IF(V37=1,"","fraction replaced = 1 - 2^(-t / replacement half-time)")</f>
        <v>fraction replaced = 1 - 2^(-t / replacement half-time)</v>
      </c>
      <c r="U37" s="21" t="str">
        <f>IF(V37=1,"","CALC-SPEC 1.0")</f>
        <v>CALC-SPEC 1.0</v>
      </c>
      <c r="V37" s="22">
        <f>IF(AND(A37="",G37="",J37=""),1,0)</f>
        <v>0</v>
      </c>
      <c r="W37" s="21" t="str">
        <f>IF(A37="","",B37&amp;"|"&amp;C37&amp;"|"&amp;A37)</f>
        <v>VEC-V21|1|Q6-V21</v>
      </c>
      <c r="X37" s="21" t="str">
        <f>IF(V37=1,"",IF(OR(A37="",F37="",G37="",J37=""),"E_MISSING_INPUT",IF(ISNA(MATCH(F37,nLIST_TimeUnit,0)),"E_INVALID_UNIT",IF(OR(NOT(ISNUMBER(G37)),NOT(ISNUMBER(J37))),"E_MISSING_INPUT",IF(G37&lt;=0,"E_NONPOSITIVE_PARAMETER",IF(E37&lt;&gt;"Yes","E_APPLICABILITY_UNCONFIRMED",IF(OR(H37="",K37=""),"E_MISSING_INPUT",IF(J37&lt;0,"E_OUT_OF_RANGE",""))))))))</f>
        <v/>
      </c>
      <c r="Y37" s="21" t="str">
        <f>IF(X37&lt;&gt;"E_MISSING_INPUT","",IF(A37="","a Calc_ID",IF(F37="","a time unit",IF(NOT(ISNUMBER(G37)),"a numeric replacement half-time",IF(NOT(ISNUMBER(J37)),"a numeric t","the Parameter_Status of each input")))))</f>
        <v/>
      </c>
      <c r="Z37" s="22">
        <f>IF(AND(V37=0,X37=""),1,0)</f>
        <v>1</v>
      </c>
    </row>
  </sheetData>
  <sheetProtection sheet="1" objects="1" scenarios="1" formatColumns="0" formatRows="0" autoFilter="0"/>
  <dataValidations count="6">
    <dataValidation type="whole" operator="greaterThanOrEqual" allowBlank="1" showInputMessage="1" showErrorMessage="1" sqref="B5:B19 C28:C35" xr:uid="{B6294DDE-0569-444C-8E05-56D76C7C08B9}">
      <formula1>1</formula1>
    </dataValidation>
    <dataValidation type="list" allowBlank="1" showInputMessage="1" showErrorMessage="1" sqref="E5:E19" xr:uid="{47F8EE51-E4D7-45B0-B1F8-6DA7F131B2D3}">
      <formula1>nLIST_MechStatus</formula1>
    </dataValidation>
    <dataValidation type="list" allowBlank="1" showInputMessage="1" showErrorMessage="1" sqref="E28:E35" xr:uid="{D7AE5324-1ADF-47C9-B1E1-C2E2E9A033D9}">
      <formula1>nLIST_YesNo</formula1>
    </dataValidation>
    <dataValidation type="list" allowBlank="1" showInputMessage="1" showErrorMessage="1" sqref="F28:F35" xr:uid="{656B6EDB-D82F-485E-9755-815A8941E3CF}">
      <formula1>nLIST_TimeUnit</formula1>
    </dataValidation>
    <dataValidation type="decimal" allowBlank="1" showInputMessage="1" showErrorMessage="1" sqref="G28:G35 J28:J35" xr:uid="{7232BD1E-1625-48A1-8C17-08C34ADC5966}">
      <formula1>-1000000000000</formula1>
      <formula2>1000000000000</formula2>
    </dataValidation>
    <dataValidation type="list" allowBlank="1" showInputMessage="1" showErrorMessage="1" sqref="H28:H35 K28:K35" xr:uid="{72CFFB07-9AC6-40D6-999A-5792E2629161}">
      <formula1>nLIST_Status</formula1>
    </dataValidation>
  </dataValidation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756CAF-8E97-4599-B1FE-C4EE1742575F}">
  <dimension ref="A1:J22"/>
  <sheetViews>
    <sheetView zoomScale="90" zoomScaleNormal="90" workbookViewId="0">
      <pane xSplit="3" ySplit="4" topLeftCell="D5" activePane="bottomRight" state="frozenSplit"/>
      <selection pane="topRight" activeCell="D1" sqref="D1"/>
      <selection pane="bottomLeft" activeCell="A5" sqref="A5"/>
      <selection pane="bottomRight"/>
    </sheetView>
  </sheetViews>
  <sheetFormatPr defaultRowHeight="12.75" x14ac:dyDescent="0.2"/>
  <cols>
    <col min="1" max="1" width="10.7109375" style="1" customWidth="1"/>
    <col min="2" max="3" width="7.7109375" style="1" customWidth="1"/>
    <col min="4" max="4" width="26.7109375" style="1" customWidth="1"/>
    <col min="5" max="5" width="28.7109375" style="1" customWidth="1"/>
    <col min="6" max="6" width="26.7109375" style="1" customWidth="1"/>
    <col min="7" max="8" width="28.7109375" style="1" customWidth="1"/>
    <col min="9" max="9" width="12.7109375" style="1" customWidth="1"/>
    <col min="10" max="10" width="34.7109375" style="1" customWidth="1"/>
    <col min="11" max="16384" width="9.140625" style="1"/>
  </cols>
  <sheetData>
    <row r="1" spans="1:10" ht="17.25" x14ac:dyDescent="0.3">
      <c r="A1" s="6" t="s">
        <v>1409</v>
      </c>
    </row>
    <row r="2" spans="1:10" x14ac:dyDescent="0.2">
      <c r="A2" s="7" t="s">
        <v>1410</v>
      </c>
    </row>
    <row r="4" spans="1:10" ht="66" customHeight="1" x14ac:dyDescent="0.2">
      <c r="A4" s="8" t="s">
        <v>274</v>
      </c>
      <c r="B4" s="8" t="s">
        <v>275</v>
      </c>
      <c r="C4" s="8" t="s">
        <v>793</v>
      </c>
      <c r="D4" s="8" t="s">
        <v>1411</v>
      </c>
      <c r="E4" s="8" t="s">
        <v>1412</v>
      </c>
      <c r="F4" s="8" t="s">
        <v>1413</v>
      </c>
      <c r="G4" s="8" t="s">
        <v>1414</v>
      </c>
      <c r="H4" s="8" t="s">
        <v>1415</v>
      </c>
      <c r="I4" s="8" t="s">
        <v>1416</v>
      </c>
      <c r="J4" s="8" t="s">
        <v>1417</v>
      </c>
    </row>
    <row r="5" spans="1:10" x14ac:dyDescent="0.2">
      <c r="A5" s="10"/>
      <c r="B5" s="17"/>
      <c r="C5" s="10"/>
      <c r="D5" s="10"/>
      <c r="E5" s="10"/>
      <c r="F5" s="10"/>
      <c r="G5" s="10"/>
      <c r="H5" s="10"/>
      <c r="I5" s="10"/>
      <c r="J5" s="10"/>
    </row>
    <row r="6" spans="1:10" x14ac:dyDescent="0.2">
      <c r="A6" s="10"/>
      <c r="B6" s="17"/>
      <c r="C6" s="10"/>
      <c r="D6" s="10"/>
      <c r="E6" s="10"/>
      <c r="F6" s="10"/>
      <c r="G6" s="10"/>
      <c r="H6" s="10"/>
      <c r="I6" s="10"/>
      <c r="J6" s="10"/>
    </row>
    <row r="7" spans="1:10" x14ac:dyDescent="0.2">
      <c r="A7" s="10"/>
      <c r="B7" s="17"/>
      <c r="C7" s="10"/>
      <c r="D7" s="10"/>
      <c r="E7" s="10"/>
      <c r="F7" s="10"/>
      <c r="G7" s="10"/>
      <c r="H7" s="10"/>
      <c r="I7" s="10"/>
      <c r="J7" s="10"/>
    </row>
    <row r="8" spans="1:10" x14ac:dyDescent="0.2">
      <c r="A8" s="10"/>
      <c r="B8" s="17"/>
      <c r="C8" s="10"/>
      <c r="D8" s="10"/>
      <c r="E8" s="10"/>
      <c r="F8" s="10"/>
      <c r="G8" s="10"/>
      <c r="H8" s="10"/>
      <c r="I8" s="10"/>
      <c r="J8" s="10"/>
    </row>
    <row r="9" spans="1:10" x14ac:dyDescent="0.2">
      <c r="A9" s="10"/>
      <c r="B9" s="17"/>
      <c r="C9" s="10"/>
      <c r="D9" s="10"/>
      <c r="E9" s="10"/>
      <c r="F9" s="10"/>
      <c r="G9" s="10"/>
      <c r="H9" s="10"/>
      <c r="I9" s="10"/>
      <c r="J9" s="10"/>
    </row>
    <row r="10" spans="1:10" x14ac:dyDescent="0.2">
      <c r="A10" s="10"/>
      <c r="B10" s="17"/>
      <c r="C10" s="10"/>
      <c r="D10" s="10"/>
      <c r="E10" s="10"/>
      <c r="F10" s="10"/>
      <c r="G10" s="10"/>
      <c r="H10" s="10"/>
      <c r="I10" s="10"/>
      <c r="J10" s="10"/>
    </row>
    <row r="11" spans="1:10" x14ac:dyDescent="0.2">
      <c r="A11" s="10"/>
      <c r="B11" s="17"/>
      <c r="C11" s="10"/>
      <c r="D11" s="10"/>
      <c r="E11" s="10"/>
      <c r="F11" s="10"/>
      <c r="G11" s="10"/>
      <c r="H11" s="10"/>
      <c r="I11" s="10"/>
      <c r="J11" s="10"/>
    </row>
    <row r="12" spans="1:10" x14ac:dyDescent="0.2">
      <c r="A12" s="10"/>
      <c r="B12" s="17"/>
      <c r="C12" s="10"/>
      <c r="D12" s="10"/>
      <c r="E12" s="10"/>
      <c r="F12" s="10"/>
      <c r="G12" s="10"/>
      <c r="H12" s="10"/>
      <c r="I12" s="10"/>
      <c r="J12" s="10"/>
    </row>
    <row r="13" spans="1:10" x14ac:dyDescent="0.2">
      <c r="A13" s="10"/>
      <c r="B13" s="17"/>
      <c r="C13" s="10"/>
      <c r="D13" s="10"/>
      <c r="E13" s="10"/>
      <c r="F13" s="10"/>
      <c r="G13" s="10"/>
      <c r="H13" s="10"/>
      <c r="I13" s="10"/>
      <c r="J13" s="10"/>
    </row>
    <row r="14" spans="1:10" x14ac:dyDescent="0.2">
      <c r="A14" s="10"/>
      <c r="B14" s="17"/>
      <c r="C14" s="10"/>
      <c r="D14" s="10"/>
      <c r="E14" s="10"/>
      <c r="F14" s="10"/>
      <c r="G14" s="10"/>
      <c r="H14" s="10"/>
      <c r="I14" s="10"/>
      <c r="J14" s="10"/>
    </row>
    <row r="15" spans="1:10" x14ac:dyDescent="0.2">
      <c r="A15" s="10"/>
      <c r="B15" s="17"/>
      <c r="C15" s="10"/>
      <c r="D15" s="10"/>
      <c r="E15" s="10"/>
      <c r="F15" s="10"/>
      <c r="G15" s="10"/>
      <c r="H15" s="10"/>
      <c r="I15" s="10"/>
      <c r="J15" s="10"/>
    </row>
    <row r="16" spans="1:10" x14ac:dyDescent="0.2">
      <c r="A16" s="10"/>
      <c r="B16" s="17"/>
      <c r="C16" s="10"/>
      <c r="D16" s="10"/>
      <c r="E16" s="10"/>
      <c r="F16" s="10"/>
      <c r="G16" s="10"/>
      <c r="H16" s="10"/>
      <c r="I16" s="10"/>
      <c r="J16" s="10"/>
    </row>
    <row r="17" spans="1:10" x14ac:dyDescent="0.2">
      <c r="A17" s="10"/>
      <c r="B17" s="17"/>
      <c r="C17" s="10"/>
      <c r="D17" s="10"/>
      <c r="E17" s="10"/>
      <c r="F17" s="10"/>
      <c r="G17" s="10"/>
      <c r="H17" s="10"/>
      <c r="I17" s="10"/>
      <c r="J17" s="10"/>
    </row>
    <row r="18" spans="1:10" x14ac:dyDescent="0.2">
      <c r="A18" s="10"/>
      <c r="B18" s="17"/>
      <c r="C18" s="10"/>
      <c r="D18" s="10"/>
      <c r="E18" s="10"/>
      <c r="F18" s="10"/>
      <c r="G18" s="10"/>
      <c r="H18" s="10"/>
      <c r="I18" s="10"/>
      <c r="J18" s="10"/>
    </row>
    <row r="19" spans="1:10" x14ac:dyDescent="0.2">
      <c r="A19" s="10"/>
      <c r="B19" s="17"/>
      <c r="C19" s="10"/>
      <c r="D19" s="10"/>
      <c r="E19" s="10"/>
      <c r="F19" s="10"/>
      <c r="G19" s="10"/>
      <c r="H19" s="10"/>
      <c r="I19" s="10"/>
      <c r="J19" s="10"/>
    </row>
    <row r="20" spans="1:10" x14ac:dyDescent="0.2">
      <c r="A20" s="24" t="s">
        <v>288</v>
      </c>
      <c r="B20" s="23"/>
      <c r="C20" s="23"/>
      <c r="D20" s="23"/>
      <c r="E20" s="23"/>
      <c r="F20" s="23"/>
      <c r="G20" s="23"/>
      <c r="H20" s="23"/>
      <c r="I20" s="23"/>
      <c r="J20" s="23"/>
    </row>
    <row r="21" spans="1:10" x14ac:dyDescent="0.2">
      <c r="A21" s="9" t="s">
        <v>295</v>
      </c>
      <c r="B21" s="16">
        <v>2</v>
      </c>
      <c r="C21" s="9" t="s">
        <v>801</v>
      </c>
      <c r="D21" s="9" t="s">
        <v>1419</v>
      </c>
      <c r="E21" s="9" t="s">
        <v>1420</v>
      </c>
      <c r="F21" s="9" t="s">
        <v>1422</v>
      </c>
      <c r="G21" s="9" t="s">
        <v>1421</v>
      </c>
      <c r="H21" s="9" t="s">
        <v>1423</v>
      </c>
      <c r="I21" s="9" t="s">
        <v>1424</v>
      </c>
      <c r="J21" s="9" t="s">
        <v>1418</v>
      </c>
    </row>
    <row r="22" spans="1:10" x14ac:dyDescent="0.2">
      <c r="A22" s="9" t="s">
        <v>299</v>
      </c>
      <c r="B22" s="16">
        <v>2</v>
      </c>
      <c r="C22" s="9" t="s">
        <v>801</v>
      </c>
      <c r="D22" s="9" t="s">
        <v>1426</v>
      </c>
      <c r="E22" s="9" t="s">
        <v>1427</v>
      </c>
      <c r="F22" s="9" t="s">
        <v>1429</v>
      </c>
      <c r="G22" s="9" t="s">
        <v>1428</v>
      </c>
      <c r="H22" s="9" t="s">
        <v>1430</v>
      </c>
      <c r="I22" s="9" t="s">
        <v>1431</v>
      </c>
      <c r="J22" s="9" t="s">
        <v>1425</v>
      </c>
    </row>
  </sheetData>
  <sheetProtection sheet="1" objects="1" scenarios="1" formatColumns="0" formatRows="0" autoFilter="0"/>
  <autoFilter ref="A4:J22" xr:uid="{7D756CAF-8E97-4599-B1FE-C4EE1742575F}"/>
  <dataValidations count="1">
    <dataValidation type="whole" operator="greaterThanOrEqual" allowBlank="1" showInputMessage="1" showErrorMessage="1" sqref="B5:B19" xr:uid="{4F798C5D-D963-4B1D-8F8D-B244F01AA9AD}">
      <formula1>1</formula1>
    </dataValidation>
  </dataValidation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1F89E4-F77C-42A0-944E-ABB15F29D1E7}">
  <dimension ref="A1:I23"/>
  <sheetViews>
    <sheetView zoomScale="90" zoomScaleNormal="90" workbookViewId="0">
      <pane xSplit="3" ySplit="4" topLeftCell="D5" activePane="bottomRight" state="frozenSplit"/>
      <selection pane="topRight" activeCell="D1" sqref="D1"/>
      <selection pane="bottomLeft" activeCell="A5" sqref="A5"/>
      <selection pane="bottomRight"/>
    </sheetView>
  </sheetViews>
  <sheetFormatPr defaultRowHeight="12.75" x14ac:dyDescent="0.2"/>
  <cols>
    <col min="1" max="1" width="10.7109375" style="1" customWidth="1"/>
    <col min="2" max="3" width="7.7109375" style="1" customWidth="1"/>
    <col min="4" max="4" width="22.7109375" style="1" customWidth="1"/>
    <col min="5" max="5" width="44.7109375" style="1" customWidth="1"/>
    <col min="6" max="6" width="40.7109375" style="1" customWidth="1"/>
    <col min="7" max="7" width="12.7109375" style="1" customWidth="1"/>
    <col min="8" max="8" width="14.7109375" style="1" customWidth="1"/>
    <col min="9" max="9" width="34.7109375" style="1" customWidth="1"/>
    <col min="10" max="16384" width="9.140625" style="1"/>
  </cols>
  <sheetData>
    <row r="1" spans="1:9" ht="17.25" x14ac:dyDescent="0.3">
      <c r="A1" s="6" t="s">
        <v>1432</v>
      </c>
    </row>
    <row r="2" spans="1:9" x14ac:dyDescent="0.2">
      <c r="A2" s="7" t="s">
        <v>1410</v>
      </c>
    </row>
    <row r="3" spans="1:9" x14ac:dyDescent="0.2">
      <c r="I3" s="2" t="s">
        <v>1318</v>
      </c>
    </row>
    <row r="4" spans="1:9" ht="66" customHeight="1" x14ac:dyDescent="0.2">
      <c r="A4" s="8" t="s">
        <v>274</v>
      </c>
      <c r="B4" s="8" t="s">
        <v>275</v>
      </c>
      <c r="C4" s="8" t="s">
        <v>793</v>
      </c>
      <c r="D4" s="8" t="s">
        <v>1433</v>
      </c>
      <c r="E4" s="8" t="s">
        <v>1434</v>
      </c>
      <c r="F4" s="8" t="s">
        <v>1435</v>
      </c>
      <c r="G4" s="8" t="s">
        <v>278</v>
      </c>
      <c r="H4" s="8" t="s">
        <v>279</v>
      </c>
      <c r="I4" s="19" t="s">
        <v>1436</v>
      </c>
    </row>
    <row r="5" spans="1:9" x14ac:dyDescent="0.2">
      <c r="A5" s="10"/>
      <c r="B5" s="17"/>
      <c r="C5" s="10"/>
      <c r="D5" s="17"/>
      <c r="E5" s="10"/>
      <c r="F5" s="10"/>
      <c r="G5" s="10"/>
      <c r="H5" s="15"/>
      <c r="I5" s="21" t="str">
        <f t="shared" ref="I5:I19" si="0">IF(D5="","",IF(E5="","A rationale is required for every Biological_Fit entry","Rationale recorded; this is not a relatedness category"))</f>
        <v/>
      </c>
    </row>
    <row r="6" spans="1:9" x14ac:dyDescent="0.2">
      <c r="A6" s="10"/>
      <c r="B6" s="17"/>
      <c r="C6" s="10"/>
      <c r="D6" s="17"/>
      <c r="E6" s="10"/>
      <c r="F6" s="10"/>
      <c r="G6" s="10"/>
      <c r="H6" s="15"/>
      <c r="I6" s="21" t="str">
        <f t="shared" si="0"/>
        <v/>
      </c>
    </row>
    <row r="7" spans="1:9" x14ac:dyDescent="0.2">
      <c r="A7" s="10"/>
      <c r="B7" s="17"/>
      <c r="C7" s="10"/>
      <c r="D7" s="17"/>
      <c r="E7" s="10"/>
      <c r="F7" s="10"/>
      <c r="G7" s="10"/>
      <c r="H7" s="15"/>
      <c r="I7" s="21" t="str">
        <f t="shared" si="0"/>
        <v/>
      </c>
    </row>
    <row r="8" spans="1:9" x14ac:dyDescent="0.2">
      <c r="A8" s="10"/>
      <c r="B8" s="17"/>
      <c r="C8" s="10"/>
      <c r="D8" s="17"/>
      <c r="E8" s="10"/>
      <c r="F8" s="10"/>
      <c r="G8" s="10"/>
      <c r="H8" s="15"/>
      <c r="I8" s="21" t="str">
        <f t="shared" si="0"/>
        <v/>
      </c>
    </row>
    <row r="9" spans="1:9" x14ac:dyDescent="0.2">
      <c r="A9" s="10"/>
      <c r="B9" s="17"/>
      <c r="C9" s="10"/>
      <c r="D9" s="17"/>
      <c r="E9" s="10"/>
      <c r="F9" s="10"/>
      <c r="G9" s="10"/>
      <c r="H9" s="15"/>
      <c r="I9" s="21" t="str">
        <f t="shared" si="0"/>
        <v/>
      </c>
    </row>
    <row r="10" spans="1:9" x14ac:dyDescent="0.2">
      <c r="A10" s="10"/>
      <c r="B10" s="17"/>
      <c r="C10" s="10"/>
      <c r="D10" s="17"/>
      <c r="E10" s="10"/>
      <c r="F10" s="10"/>
      <c r="G10" s="10"/>
      <c r="H10" s="15"/>
      <c r="I10" s="21" t="str">
        <f t="shared" si="0"/>
        <v/>
      </c>
    </row>
    <row r="11" spans="1:9" x14ac:dyDescent="0.2">
      <c r="A11" s="10"/>
      <c r="B11" s="17"/>
      <c r="C11" s="10"/>
      <c r="D11" s="17"/>
      <c r="E11" s="10"/>
      <c r="F11" s="10"/>
      <c r="G11" s="10"/>
      <c r="H11" s="15"/>
      <c r="I11" s="21" t="str">
        <f t="shared" si="0"/>
        <v/>
      </c>
    </row>
    <row r="12" spans="1:9" x14ac:dyDescent="0.2">
      <c r="A12" s="10"/>
      <c r="B12" s="17"/>
      <c r="C12" s="10"/>
      <c r="D12" s="17"/>
      <c r="E12" s="10"/>
      <c r="F12" s="10"/>
      <c r="G12" s="10"/>
      <c r="H12" s="15"/>
      <c r="I12" s="21" t="str">
        <f t="shared" si="0"/>
        <v/>
      </c>
    </row>
    <row r="13" spans="1:9" x14ac:dyDescent="0.2">
      <c r="A13" s="10"/>
      <c r="B13" s="17"/>
      <c r="C13" s="10"/>
      <c r="D13" s="17"/>
      <c r="E13" s="10"/>
      <c r="F13" s="10"/>
      <c r="G13" s="10"/>
      <c r="H13" s="15"/>
      <c r="I13" s="21" t="str">
        <f t="shared" si="0"/>
        <v/>
      </c>
    </row>
    <row r="14" spans="1:9" x14ac:dyDescent="0.2">
      <c r="A14" s="10"/>
      <c r="B14" s="17"/>
      <c r="C14" s="10"/>
      <c r="D14" s="17"/>
      <c r="E14" s="10"/>
      <c r="F14" s="10"/>
      <c r="G14" s="10"/>
      <c r="H14" s="15"/>
      <c r="I14" s="21" t="str">
        <f t="shared" si="0"/>
        <v/>
      </c>
    </row>
    <row r="15" spans="1:9" x14ac:dyDescent="0.2">
      <c r="A15" s="10"/>
      <c r="B15" s="17"/>
      <c r="C15" s="10"/>
      <c r="D15" s="17"/>
      <c r="E15" s="10"/>
      <c r="F15" s="10"/>
      <c r="G15" s="10"/>
      <c r="H15" s="15"/>
      <c r="I15" s="21" t="str">
        <f t="shared" si="0"/>
        <v/>
      </c>
    </row>
    <row r="16" spans="1:9" x14ac:dyDescent="0.2">
      <c r="A16" s="10"/>
      <c r="B16" s="17"/>
      <c r="C16" s="10"/>
      <c r="D16" s="17"/>
      <c r="E16" s="10"/>
      <c r="F16" s="10"/>
      <c r="G16" s="10"/>
      <c r="H16" s="15"/>
      <c r="I16" s="21" t="str">
        <f t="shared" si="0"/>
        <v/>
      </c>
    </row>
    <row r="17" spans="1:9" x14ac:dyDescent="0.2">
      <c r="A17" s="10"/>
      <c r="B17" s="17"/>
      <c r="C17" s="10"/>
      <c r="D17" s="17"/>
      <c r="E17" s="10"/>
      <c r="F17" s="10"/>
      <c r="G17" s="10"/>
      <c r="H17" s="15"/>
      <c r="I17" s="21" t="str">
        <f t="shared" si="0"/>
        <v/>
      </c>
    </row>
    <row r="18" spans="1:9" x14ac:dyDescent="0.2">
      <c r="A18" s="10"/>
      <c r="B18" s="17"/>
      <c r="C18" s="10"/>
      <c r="D18" s="17"/>
      <c r="E18" s="10"/>
      <c r="F18" s="10"/>
      <c r="G18" s="10"/>
      <c r="H18" s="15"/>
      <c r="I18" s="21" t="str">
        <f t="shared" si="0"/>
        <v/>
      </c>
    </row>
    <row r="19" spans="1:9" x14ac:dyDescent="0.2">
      <c r="A19" s="10"/>
      <c r="B19" s="17"/>
      <c r="C19" s="10"/>
      <c r="D19" s="17"/>
      <c r="E19" s="10"/>
      <c r="F19" s="10"/>
      <c r="G19" s="10"/>
      <c r="H19" s="15"/>
      <c r="I19" s="21" t="str">
        <f t="shared" si="0"/>
        <v/>
      </c>
    </row>
    <row r="20" spans="1:9" x14ac:dyDescent="0.2">
      <c r="A20" s="24" t="s">
        <v>288</v>
      </c>
      <c r="B20" s="23"/>
      <c r="C20" s="23"/>
      <c r="D20" s="23"/>
      <c r="E20" s="23"/>
      <c r="F20" s="23"/>
      <c r="G20" s="23"/>
      <c r="H20" s="23"/>
      <c r="I20" s="23"/>
    </row>
    <row r="21" spans="1:9" x14ac:dyDescent="0.2">
      <c r="A21" s="9" t="s">
        <v>291</v>
      </c>
      <c r="B21" s="16">
        <v>2</v>
      </c>
      <c r="C21" s="9" t="s">
        <v>801</v>
      </c>
      <c r="D21" s="16" t="s">
        <v>131</v>
      </c>
      <c r="E21" s="9" t="s">
        <v>1438</v>
      </c>
      <c r="F21" s="9" t="s">
        <v>1437</v>
      </c>
      <c r="G21" s="9"/>
      <c r="H21" s="14"/>
      <c r="I21" s="21" t="str">
        <f t="shared" ref="I21:I23" si="1">IF(D21="","",IF(E21="","A rationale is required for every Biological_Fit entry","Rationale recorded; this is not a relatedness category"))</f>
        <v>Rationale recorded; this is not a relatedness category</v>
      </c>
    </row>
    <row r="22" spans="1:9" x14ac:dyDescent="0.2">
      <c r="A22" s="9" t="s">
        <v>295</v>
      </c>
      <c r="B22" s="16">
        <v>2</v>
      </c>
      <c r="C22" s="9" t="s">
        <v>801</v>
      </c>
      <c r="D22" s="16" t="s">
        <v>131</v>
      </c>
      <c r="E22" s="9" t="s">
        <v>1440</v>
      </c>
      <c r="F22" s="9" t="s">
        <v>1439</v>
      </c>
      <c r="G22" s="9"/>
      <c r="H22" s="14"/>
      <c r="I22" s="21" t="str">
        <f t="shared" si="1"/>
        <v>Rationale recorded; this is not a relatedness category</v>
      </c>
    </row>
    <row r="23" spans="1:9" x14ac:dyDescent="0.2">
      <c r="A23" s="9" t="s">
        <v>299</v>
      </c>
      <c r="B23" s="16">
        <v>2</v>
      </c>
      <c r="C23" s="9" t="s">
        <v>801</v>
      </c>
      <c r="D23" s="16" t="s">
        <v>131</v>
      </c>
      <c r="E23" s="9" t="s">
        <v>1442</v>
      </c>
      <c r="F23" s="9" t="s">
        <v>1441</v>
      </c>
      <c r="G23" s="9"/>
      <c r="H23" s="14"/>
      <c r="I23" s="21" t="str">
        <f t="shared" si="1"/>
        <v>Rationale recorded; this is not a relatedness category</v>
      </c>
    </row>
  </sheetData>
  <sheetProtection sheet="1" objects="1" scenarios="1" formatColumns="0" formatRows="0" autoFilter="0"/>
  <autoFilter ref="A4:I23" xr:uid="{FA1F89E4-F77C-42A0-944E-ABB15F29D1E7}"/>
  <dataValidations count="3">
    <dataValidation type="whole" operator="greaterThanOrEqual" allowBlank="1" showInputMessage="1" showErrorMessage="1" sqref="B5:B19" xr:uid="{85445C72-2BCC-4F0B-9F63-60B26713C6EA}">
      <formula1>1</formula1>
    </dataValidation>
    <dataValidation type="list" allowBlank="1" showInputMessage="1" showErrorMessage="1" sqref="D5:D19" xr:uid="{C9D0927A-2E15-4400-8BE4-865D4F11E5A4}">
      <formula1>nLIST_Fit</formula1>
    </dataValidation>
    <dataValidation type="date" allowBlank="1" showInputMessage="1" showErrorMessage="1" sqref="H5:H19" xr:uid="{0772ABDD-4F73-4F28-9361-C5D4626C1EA4}">
      <formula1>1</formula1>
      <formula2>2958465</formula2>
    </dataValidation>
  </dataValidation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2909A5-DCE1-4DFC-BC99-F0ACEF040E9A}">
  <dimension ref="A1:K23"/>
  <sheetViews>
    <sheetView zoomScale="90" zoomScaleNormal="90" workbookViewId="0">
      <pane xSplit="3" ySplit="4" topLeftCell="D5" activePane="bottomRight" state="frozenSplit"/>
      <selection pane="topRight" activeCell="D1" sqref="D1"/>
      <selection pane="bottomLeft" activeCell="A5" sqref="A5"/>
      <selection pane="bottomRight"/>
    </sheetView>
  </sheetViews>
  <sheetFormatPr defaultRowHeight="12.75" x14ac:dyDescent="0.2"/>
  <cols>
    <col min="1" max="1" width="10.7109375" style="1" customWidth="1"/>
    <col min="2" max="3" width="7.7109375" style="1" customWidth="1"/>
    <col min="4" max="6" width="14.7109375" style="1" customWidth="1"/>
    <col min="7" max="7" width="10.7109375" style="1" customWidth="1"/>
    <col min="8" max="8" width="30.7109375" style="1" customWidth="1"/>
    <col min="9" max="9" width="18.7109375" style="1" customWidth="1"/>
    <col min="10" max="10" width="30.7109375" style="1" customWidth="1"/>
    <col min="11" max="11" width="36.7109375" style="1" customWidth="1"/>
    <col min="12" max="16384" width="9.140625" style="1"/>
  </cols>
  <sheetData>
    <row r="1" spans="1:11" ht="17.25" x14ac:dyDescent="0.3">
      <c r="A1" s="6" t="s">
        <v>1443</v>
      </c>
    </row>
    <row r="2" spans="1:11" x14ac:dyDescent="0.2">
      <c r="A2" s="7" t="s">
        <v>1410</v>
      </c>
    </row>
    <row r="4" spans="1:11" ht="66" customHeight="1" x14ac:dyDescent="0.2">
      <c r="A4" s="8" t="s">
        <v>274</v>
      </c>
      <c r="B4" s="8" t="s">
        <v>275</v>
      </c>
      <c r="C4" s="8" t="s">
        <v>793</v>
      </c>
      <c r="D4" s="8" t="s">
        <v>159</v>
      </c>
      <c r="E4" s="8" t="s">
        <v>1444</v>
      </c>
      <c r="F4" s="8" t="s">
        <v>1445</v>
      </c>
      <c r="G4" s="8" t="s">
        <v>1446</v>
      </c>
      <c r="H4" s="8" t="s">
        <v>1447</v>
      </c>
      <c r="I4" s="8" t="s">
        <v>1448</v>
      </c>
      <c r="J4" s="8" t="s">
        <v>1449</v>
      </c>
      <c r="K4" s="8" t="s">
        <v>1450</v>
      </c>
    </row>
    <row r="5" spans="1:11" x14ac:dyDescent="0.2">
      <c r="A5" s="10"/>
      <c r="B5" s="17"/>
      <c r="C5" s="10"/>
      <c r="D5" s="17"/>
      <c r="E5" s="10"/>
      <c r="F5" s="10"/>
      <c r="G5" s="10"/>
      <c r="H5" s="10"/>
      <c r="I5" s="10"/>
      <c r="J5" s="10"/>
      <c r="K5" s="10"/>
    </row>
    <row r="6" spans="1:11" x14ac:dyDescent="0.2">
      <c r="A6" s="10"/>
      <c r="B6" s="17"/>
      <c r="C6" s="10"/>
      <c r="D6" s="17"/>
      <c r="E6" s="10"/>
      <c r="F6" s="10"/>
      <c r="G6" s="10"/>
      <c r="H6" s="10"/>
      <c r="I6" s="10"/>
      <c r="J6" s="10"/>
      <c r="K6" s="10"/>
    </row>
    <row r="7" spans="1:11" x14ac:dyDescent="0.2">
      <c r="A7" s="10"/>
      <c r="B7" s="17"/>
      <c r="C7" s="10"/>
      <c r="D7" s="17"/>
      <c r="E7" s="10"/>
      <c r="F7" s="10"/>
      <c r="G7" s="10"/>
      <c r="H7" s="10"/>
      <c r="I7" s="10"/>
      <c r="J7" s="10"/>
      <c r="K7" s="10"/>
    </row>
    <row r="8" spans="1:11" x14ac:dyDescent="0.2">
      <c r="A8" s="10"/>
      <c r="B8" s="17"/>
      <c r="C8" s="10"/>
      <c r="D8" s="17"/>
      <c r="E8" s="10"/>
      <c r="F8" s="10"/>
      <c r="G8" s="10"/>
      <c r="H8" s="10"/>
      <c r="I8" s="10"/>
      <c r="J8" s="10"/>
      <c r="K8" s="10"/>
    </row>
    <row r="9" spans="1:11" x14ac:dyDescent="0.2">
      <c r="A9" s="10"/>
      <c r="B9" s="17"/>
      <c r="C9" s="10"/>
      <c r="D9" s="17"/>
      <c r="E9" s="10"/>
      <c r="F9" s="10"/>
      <c r="G9" s="10"/>
      <c r="H9" s="10"/>
      <c r="I9" s="10"/>
      <c r="J9" s="10"/>
      <c r="K9" s="10"/>
    </row>
    <row r="10" spans="1:11" x14ac:dyDescent="0.2">
      <c r="A10" s="10"/>
      <c r="B10" s="17"/>
      <c r="C10" s="10"/>
      <c r="D10" s="17"/>
      <c r="E10" s="10"/>
      <c r="F10" s="10"/>
      <c r="G10" s="10"/>
      <c r="H10" s="10"/>
      <c r="I10" s="10"/>
      <c r="J10" s="10"/>
      <c r="K10" s="10"/>
    </row>
    <row r="11" spans="1:11" x14ac:dyDescent="0.2">
      <c r="A11" s="10"/>
      <c r="B11" s="17"/>
      <c r="C11" s="10"/>
      <c r="D11" s="17"/>
      <c r="E11" s="10"/>
      <c r="F11" s="10"/>
      <c r="G11" s="10"/>
      <c r="H11" s="10"/>
      <c r="I11" s="10"/>
      <c r="J11" s="10"/>
      <c r="K11" s="10"/>
    </row>
    <row r="12" spans="1:11" x14ac:dyDescent="0.2">
      <c r="A12" s="10"/>
      <c r="B12" s="17"/>
      <c r="C12" s="10"/>
      <c r="D12" s="17"/>
      <c r="E12" s="10"/>
      <c r="F12" s="10"/>
      <c r="G12" s="10"/>
      <c r="H12" s="10"/>
      <c r="I12" s="10"/>
      <c r="J12" s="10"/>
      <c r="K12" s="10"/>
    </row>
    <row r="13" spans="1:11" x14ac:dyDescent="0.2">
      <c r="A13" s="10"/>
      <c r="B13" s="17"/>
      <c r="C13" s="10"/>
      <c r="D13" s="17"/>
      <c r="E13" s="10"/>
      <c r="F13" s="10"/>
      <c r="G13" s="10"/>
      <c r="H13" s="10"/>
      <c r="I13" s="10"/>
      <c r="J13" s="10"/>
      <c r="K13" s="10"/>
    </row>
    <row r="14" spans="1:11" x14ac:dyDescent="0.2">
      <c r="A14" s="10"/>
      <c r="B14" s="17"/>
      <c r="C14" s="10"/>
      <c r="D14" s="17"/>
      <c r="E14" s="10"/>
      <c r="F14" s="10"/>
      <c r="G14" s="10"/>
      <c r="H14" s="10"/>
      <c r="I14" s="10"/>
      <c r="J14" s="10"/>
      <c r="K14" s="10"/>
    </row>
    <row r="15" spans="1:11" x14ac:dyDescent="0.2">
      <c r="A15" s="10"/>
      <c r="B15" s="17"/>
      <c r="C15" s="10"/>
      <c r="D15" s="17"/>
      <c r="E15" s="10"/>
      <c r="F15" s="10"/>
      <c r="G15" s="10"/>
      <c r="H15" s="10"/>
      <c r="I15" s="10"/>
      <c r="J15" s="10"/>
      <c r="K15" s="10"/>
    </row>
    <row r="16" spans="1:11" x14ac:dyDescent="0.2">
      <c r="A16" s="10"/>
      <c r="B16" s="17"/>
      <c r="C16" s="10"/>
      <c r="D16" s="17"/>
      <c r="E16" s="10"/>
      <c r="F16" s="10"/>
      <c r="G16" s="10"/>
      <c r="H16" s="10"/>
      <c r="I16" s="10"/>
      <c r="J16" s="10"/>
      <c r="K16" s="10"/>
    </row>
    <row r="17" spans="1:11" x14ac:dyDescent="0.2">
      <c r="A17" s="10"/>
      <c r="B17" s="17"/>
      <c r="C17" s="10"/>
      <c r="D17" s="17"/>
      <c r="E17" s="10"/>
      <c r="F17" s="10"/>
      <c r="G17" s="10"/>
      <c r="H17" s="10"/>
      <c r="I17" s="10"/>
      <c r="J17" s="10"/>
      <c r="K17" s="10"/>
    </row>
    <row r="18" spans="1:11" x14ac:dyDescent="0.2">
      <c r="A18" s="10"/>
      <c r="B18" s="17"/>
      <c r="C18" s="10"/>
      <c r="D18" s="17"/>
      <c r="E18" s="10"/>
      <c r="F18" s="10"/>
      <c r="G18" s="10"/>
      <c r="H18" s="10"/>
      <c r="I18" s="10"/>
      <c r="J18" s="10"/>
      <c r="K18" s="10"/>
    </row>
    <row r="19" spans="1:11" x14ac:dyDescent="0.2">
      <c r="A19" s="10"/>
      <c r="B19" s="17"/>
      <c r="C19" s="10"/>
      <c r="D19" s="17"/>
      <c r="E19" s="10"/>
      <c r="F19" s="10"/>
      <c r="G19" s="10"/>
      <c r="H19" s="10"/>
      <c r="I19" s="10"/>
      <c r="J19" s="10"/>
      <c r="K19" s="10"/>
    </row>
    <row r="20" spans="1:11" x14ac:dyDescent="0.2">
      <c r="A20" s="24" t="s">
        <v>288</v>
      </c>
      <c r="B20" s="23"/>
      <c r="C20" s="23"/>
      <c r="D20" s="23"/>
      <c r="E20" s="23"/>
      <c r="F20" s="23"/>
      <c r="G20" s="23"/>
      <c r="H20" s="23"/>
      <c r="I20" s="23"/>
      <c r="J20" s="23"/>
      <c r="K20" s="23"/>
    </row>
    <row r="21" spans="1:11" x14ac:dyDescent="0.2">
      <c r="A21" s="9" t="s">
        <v>291</v>
      </c>
      <c r="B21" s="16">
        <v>2</v>
      </c>
      <c r="C21" s="9" t="s">
        <v>801</v>
      </c>
      <c r="D21" s="16" t="s">
        <v>160</v>
      </c>
      <c r="E21" s="9" t="s">
        <v>968</v>
      </c>
      <c r="F21" s="9" t="s">
        <v>729</v>
      </c>
      <c r="G21" s="9" t="s">
        <v>973</v>
      </c>
      <c r="H21" s="9" t="s">
        <v>1453</v>
      </c>
      <c r="I21" s="9" t="s">
        <v>1452</v>
      </c>
      <c r="J21" s="9" t="s">
        <v>1451</v>
      </c>
      <c r="K21" s="9" t="s">
        <v>1454</v>
      </c>
    </row>
    <row r="22" spans="1:11" x14ac:dyDescent="0.2">
      <c r="A22" s="9" t="s">
        <v>295</v>
      </c>
      <c r="B22" s="16">
        <v>2</v>
      </c>
      <c r="C22" s="9" t="s">
        <v>801</v>
      </c>
      <c r="D22" s="16" t="s">
        <v>160</v>
      </c>
      <c r="E22" s="9" t="s">
        <v>987</v>
      </c>
      <c r="F22" s="9" t="s">
        <v>729</v>
      </c>
      <c r="G22" s="9" t="s">
        <v>964</v>
      </c>
      <c r="H22" s="9" t="s">
        <v>1457</v>
      </c>
      <c r="I22" s="9" t="s">
        <v>1456</v>
      </c>
      <c r="J22" s="9" t="s">
        <v>1455</v>
      </c>
      <c r="K22" s="9" t="s">
        <v>1458</v>
      </c>
    </row>
    <row r="23" spans="1:11" x14ac:dyDescent="0.2">
      <c r="A23" s="9" t="s">
        <v>299</v>
      </c>
      <c r="B23" s="16">
        <v>2</v>
      </c>
      <c r="C23" s="9" t="s">
        <v>801</v>
      </c>
      <c r="D23" s="16" t="s">
        <v>163</v>
      </c>
      <c r="E23" s="9" t="s">
        <v>1459</v>
      </c>
      <c r="F23" s="9"/>
      <c r="G23" s="9"/>
      <c r="H23" s="9"/>
      <c r="I23" s="9" t="s">
        <v>155</v>
      </c>
      <c r="J23" s="9"/>
      <c r="K23" s="9" t="s">
        <v>1460</v>
      </c>
    </row>
  </sheetData>
  <sheetProtection sheet="1" objects="1" scenarios="1" formatColumns="0" formatRows="0" autoFilter="0"/>
  <autoFilter ref="A4:K23" xr:uid="{342909A5-DCE1-4DFC-BC99-F0ACEF040E9A}"/>
  <dataValidations count="2">
    <dataValidation type="whole" operator="greaterThanOrEqual" allowBlank="1" showInputMessage="1" showErrorMessage="1" sqref="B5:B19" xr:uid="{85E6BDD4-1E06-4995-B75E-543439E8AACE}">
      <formula1>1</formula1>
    </dataValidation>
    <dataValidation type="list" allowBlank="1" showInputMessage="1" showErrorMessage="1" sqref="D5:D19" xr:uid="{0A300CFE-3344-47E3-A5DE-47982D4953B2}">
      <formula1>nLIST_Action</formula1>
    </dataValidation>
  </dataValidation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E9B605-919B-4490-BD3B-5C31BBE06071}">
  <dimension ref="A1:J41"/>
  <sheetViews>
    <sheetView zoomScale="90" zoomScaleNormal="90" workbookViewId="0">
      <pane xSplit="2" ySplit="4" topLeftCell="C5" activePane="bottomRight" state="frozenSplit"/>
      <selection pane="topRight" activeCell="C1" sqref="C1"/>
      <selection pane="bottomLeft" activeCell="A5" sqref="A5"/>
      <selection pane="bottomRight"/>
    </sheetView>
  </sheetViews>
  <sheetFormatPr defaultRowHeight="12.75" x14ac:dyDescent="0.2"/>
  <cols>
    <col min="1" max="1" width="10.7109375" style="1" customWidth="1"/>
    <col min="2" max="2" width="7.7109375" style="1" customWidth="1"/>
    <col min="3" max="3" width="14.7109375" style="1" customWidth="1"/>
    <col min="4" max="4" width="40.7109375" style="1" customWidth="1"/>
    <col min="5" max="5" width="26.7109375" style="1" customWidth="1"/>
    <col min="6" max="6" width="30.7109375" style="1" customWidth="1"/>
    <col min="7" max="7" width="14.7109375" style="1" customWidth="1"/>
    <col min="8" max="9" width="10.7109375" style="1" customWidth="1"/>
    <col min="10" max="10" width="40.7109375" style="1" customWidth="1"/>
    <col min="11" max="16384" width="9.140625" style="1"/>
  </cols>
  <sheetData>
    <row r="1" spans="1:10" ht="17.25" x14ac:dyDescent="0.3">
      <c r="A1" s="6" t="s">
        <v>1461</v>
      </c>
    </row>
    <row r="2" spans="1:10" x14ac:dyDescent="0.2">
      <c r="A2" s="7" t="s">
        <v>1410</v>
      </c>
    </row>
    <row r="3" spans="1:10" x14ac:dyDescent="0.2">
      <c r="J3" s="2" t="s">
        <v>1468</v>
      </c>
    </row>
    <row r="4" spans="1:10" ht="66" customHeight="1" x14ac:dyDescent="0.2">
      <c r="A4" s="8" t="s">
        <v>274</v>
      </c>
      <c r="B4" s="8" t="s">
        <v>275</v>
      </c>
      <c r="C4" s="8" t="s">
        <v>1462</v>
      </c>
      <c r="D4" s="8" t="s">
        <v>1463</v>
      </c>
      <c r="E4" s="8" t="s">
        <v>1464</v>
      </c>
      <c r="F4" s="8" t="s">
        <v>1465</v>
      </c>
      <c r="G4" s="8" t="s">
        <v>1466</v>
      </c>
      <c r="H4" s="8" t="s">
        <v>1467</v>
      </c>
      <c r="I4" s="8" t="s">
        <v>76</v>
      </c>
      <c r="J4" s="19" t="s">
        <v>1469</v>
      </c>
    </row>
    <row r="5" spans="1:10" x14ac:dyDescent="0.2">
      <c r="A5" s="10"/>
      <c r="B5" s="17"/>
      <c r="C5" s="17"/>
      <c r="D5" s="10"/>
      <c r="E5" s="10"/>
      <c r="F5" s="10"/>
      <c r="G5" s="10"/>
      <c r="H5" s="17"/>
      <c r="I5" s="17"/>
      <c r="J5" s="21" t="str">
        <f t="shared" ref="J5:J34" si="0">IF(D5="","",IF(OR(LEFT(D5,1)="=",LEFT(D5,1)="+",LEFT(D5,1)="-",LEFT(D5,1)="@"),"'"&amp;D5,D5))</f>
        <v/>
      </c>
    </row>
    <row r="6" spans="1:10" x14ac:dyDescent="0.2">
      <c r="A6" s="10"/>
      <c r="B6" s="17"/>
      <c r="C6" s="17"/>
      <c r="D6" s="10"/>
      <c r="E6" s="10"/>
      <c r="F6" s="10"/>
      <c r="G6" s="10"/>
      <c r="H6" s="17"/>
      <c r="I6" s="17"/>
      <c r="J6" s="21" t="str">
        <f t="shared" si="0"/>
        <v/>
      </c>
    </row>
    <row r="7" spans="1:10" x14ac:dyDescent="0.2">
      <c r="A7" s="10"/>
      <c r="B7" s="17"/>
      <c r="C7" s="17"/>
      <c r="D7" s="10"/>
      <c r="E7" s="10"/>
      <c r="F7" s="10"/>
      <c r="G7" s="10"/>
      <c r="H7" s="17"/>
      <c r="I7" s="17"/>
      <c r="J7" s="21" t="str">
        <f t="shared" si="0"/>
        <v/>
      </c>
    </row>
    <row r="8" spans="1:10" x14ac:dyDescent="0.2">
      <c r="A8" s="10"/>
      <c r="B8" s="17"/>
      <c r="C8" s="17"/>
      <c r="D8" s="10"/>
      <c r="E8" s="10"/>
      <c r="F8" s="10"/>
      <c r="G8" s="10"/>
      <c r="H8" s="17"/>
      <c r="I8" s="17"/>
      <c r="J8" s="21" t="str">
        <f t="shared" si="0"/>
        <v/>
      </c>
    </row>
    <row r="9" spans="1:10" x14ac:dyDescent="0.2">
      <c r="A9" s="10"/>
      <c r="B9" s="17"/>
      <c r="C9" s="17"/>
      <c r="D9" s="10"/>
      <c r="E9" s="10"/>
      <c r="F9" s="10"/>
      <c r="G9" s="10"/>
      <c r="H9" s="17"/>
      <c r="I9" s="17"/>
      <c r="J9" s="21" t="str">
        <f t="shared" si="0"/>
        <v/>
      </c>
    </row>
    <row r="10" spans="1:10" x14ac:dyDescent="0.2">
      <c r="A10" s="10"/>
      <c r="B10" s="17"/>
      <c r="C10" s="17"/>
      <c r="D10" s="10"/>
      <c r="E10" s="10"/>
      <c r="F10" s="10"/>
      <c r="G10" s="10"/>
      <c r="H10" s="17"/>
      <c r="I10" s="17"/>
      <c r="J10" s="21" t="str">
        <f t="shared" si="0"/>
        <v/>
      </c>
    </row>
    <row r="11" spans="1:10" x14ac:dyDescent="0.2">
      <c r="A11" s="10"/>
      <c r="B11" s="17"/>
      <c r="C11" s="17"/>
      <c r="D11" s="10"/>
      <c r="E11" s="10"/>
      <c r="F11" s="10"/>
      <c r="G11" s="10"/>
      <c r="H11" s="17"/>
      <c r="I11" s="17"/>
      <c r="J11" s="21" t="str">
        <f t="shared" si="0"/>
        <v/>
      </c>
    </row>
    <row r="12" spans="1:10" x14ac:dyDescent="0.2">
      <c r="A12" s="10"/>
      <c r="B12" s="17"/>
      <c r="C12" s="17"/>
      <c r="D12" s="10"/>
      <c r="E12" s="10"/>
      <c r="F12" s="10"/>
      <c r="G12" s="10"/>
      <c r="H12" s="17"/>
      <c r="I12" s="17"/>
      <c r="J12" s="21" t="str">
        <f t="shared" si="0"/>
        <v/>
      </c>
    </row>
    <row r="13" spans="1:10" x14ac:dyDescent="0.2">
      <c r="A13" s="10"/>
      <c r="B13" s="17"/>
      <c r="C13" s="17"/>
      <c r="D13" s="10"/>
      <c r="E13" s="10"/>
      <c r="F13" s="10"/>
      <c r="G13" s="10"/>
      <c r="H13" s="17"/>
      <c r="I13" s="17"/>
      <c r="J13" s="21" t="str">
        <f t="shared" si="0"/>
        <v/>
      </c>
    </row>
    <row r="14" spans="1:10" x14ac:dyDescent="0.2">
      <c r="A14" s="10"/>
      <c r="B14" s="17"/>
      <c r="C14" s="17"/>
      <c r="D14" s="10"/>
      <c r="E14" s="10"/>
      <c r="F14" s="10"/>
      <c r="G14" s="10"/>
      <c r="H14" s="17"/>
      <c r="I14" s="17"/>
      <c r="J14" s="21" t="str">
        <f t="shared" si="0"/>
        <v/>
      </c>
    </row>
    <row r="15" spans="1:10" x14ac:dyDescent="0.2">
      <c r="A15" s="10"/>
      <c r="B15" s="17"/>
      <c r="C15" s="17"/>
      <c r="D15" s="10"/>
      <c r="E15" s="10"/>
      <c r="F15" s="10"/>
      <c r="G15" s="10"/>
      <c r="H15" s="17"/>
      <c r="I15" s="17"/>
      <c r="J15" s="21" t="str">
        <f t="shared" si="0"/>
        <v/>
      </c>
    </row>
    <row r="16" spans="1:10" x14ac:dyDescent="0.2">
      <c r="A16" s="10"/>
      <c r="B16" s="17"/>
      <c r="C16" s="17"/>
      <c r="D16" s="10"/>
      <c r="E16" s="10"/>
      <c r="F16" s="10"/>
      <c r="G16" s="10"/>
      <c r="H16" s="17"/>
      <c r="I16" s="17"/>
      <c r="J16" s="21" t="str">
        <f t="shared" si="0"/>
        <v/>
      </c>
    </row>
    <row r="17" spans="1:10" x14ac:dyDescent="0.2">
      <c r="A17" s="10"/>
      <c r="B17" s="17"/>
      <c r="C17" s="17"/>
      <c r="D17" s="10"/>
      <c r="E17" s="10"/>
      <c r="F17" s="10"/>
      <c r="G17" s="10"/>
      <c r="H17" s="17"/>
      <c r="I17" s="17"/>
      <c r="J17" s="21" t="str">
        <f t="shared" si="0"/>
        <v/>
      </c>
    </row>
    <row r="18" spans="1:10" x14ac:dyDescent="0.2">
      <c r="A18" s="10"/>
      <c r="B18" s="17"/>
      <c r="C18" s="17"/>
      <c r="D18" s="10"/>
      <c r="E18" s="10"/>
      <c r="F18" s="10"/>
      <c r="G18" s="10"/>
      <c r="H18" s="17"/>
      <c r="I18" s="17"/>
      <c r="J18" s="21" t="str">
        <f t="shared" si="0"/>
        <v/>
      </c>
    </row>
    <row r="19" spans="1:10" x14ac:dyDescent="0.2">
      <c r="A19" s="10"/>
      <c r="B19" s="17"/>
      <c r="C19" s="17"/>
      <c r="D19" s="10"/>
      <c r="E19" s="10"/>
      <c r="F19" s="10"/>
      <c r="G19" s="10"/>
      <c r="H19" s="17"/>
      <c r="I19" s="17"/>
      <c r="J19" s="21" t="str">
        <f t="shared" si="0"/>
        <v/>
      </c>
    </row>
    <row r="20" spans="1:10" x14ac:dyDescent="0.2">
      <c r="A20" s="10"/>
      <c r="B20" s="17"/>
      <c r="C20" s="17"/>
      <c r="D20" s="10"/>
      <c r="E20" s="10"/>
      <c r="F20" s="10"/>
      <c r="G20" s="10"/>
      <c r="H20" s="17"/>
      <c r="I20" s="17"/>
      <c r="J20" s="21" t="str">
        <f t="shared" si="0"/>
        <v/>
      </c>
    </row>
    <row r="21" spans="1:10" x14ac:dyDescent="0.2">
      <c r="A21" s="10"/>
      <c r="B21" s="17"/>
      <c r="C21" s="17"/>
      <c r="D21" s="10"/>
      <c r="E21" s="10"/>
      <c r="F21" s="10"/>
      <c r="G21" s="10"/>
      <c r="H21" s="17"/>
      <c r="I21" s="17"/>
      <c r="J21" s="21" t="str">
        <f t="shared" si="0"/>
        <v/>
      </c>
    </row>
    <row r="22" spans="1:10" x14ac:dyDescent="0.2">
      <c r="A22" s="10"/>
      <c r="B22" s="17"/>
      <c r="C22" s="17"/>
      <c r="D22" s="10"/>
      <c r="E22" s="10"/>
      <c r="F22" s="10"/>
      <c r="G22" s="10"/>
      <c r="H22" s="17"/>
      <c r="I22" s="17"/>
      <c r="J22" s="21" t="str">
        <f t="shared" si="0"/>
        <v/>
      </c>
    </row>
    <row r="23" spans="1:10" x14ac:dyDescent="0.2">
      <c r="A23" s="10"/>
      <c r="B23" s="17"/>
      <c r="C23" s="17"/>
      <c r="D23" s="10"/>
      <c r="E23" s="10"/>
      <c r="F23" s="10"/>
      <c r="G23" s="10"/>
      <c r="H23" s="17"/>
      <c r="I23" s="17"/>
      <c r="J23" s="21" t="str">
        <f t="shared" si="0"/>
        <v/>
      </c>
    </row>
    <row r="24" spans="1:10" x14ac:dyDescent="0.2">
      <c r="A24" s="10"/>
      <c r="B24" s="17"/>
      <c r="C24" s="17"/>
      <c r="D24" s="10"/>
      <c r="E24" s="10"/>
      <c r="F24" s="10"/>
      <c r="G24" s="10"/>
      <c r="H24" s="17"/>
      <c r="I24" s="17"/>
      <c r="J24" s="21" t="str">
        <f t="shared" si="0"/>
        <v/>
      </c>
    </row>
    <row r="25" spans="1:10" x14ac:dyDescent="0.2">
      <c r="A25" s="10"/>
      <c r="B25" s="17"/>
      <c r="C25" s="17"/>
      <c r="D25" s="10"/>
      <c r="E25" s="10"/>
      <c r="F25" s="10"/>
      <c r="G25" s="10"/>
      <c r="H25" s="17"/>
      <c r="I25" s="17"/>
      <c r="J25" s="21" t="str">
        <f t="shared" si="0"/>
        <v/>
      </c>
    </row>
    <row r="26" spans="1:10" x14ac:dyDescent="0.2">
      <c r="A26" s="10"/>
      <c r="B26" s="17"/>
      <c r="C26" s="17"/>
      <c r="D26" s="10"/>
      <c r="E26" s="10"/>
      <c r="F26" s="10"/>
      <c r="G26" s="10"/>
      <c r="H26" s="17"/>
      <c r="I26" s="17"/>
      <c r="J26" s="21" t="str">
        <f t="shared" si="0"/>
        <v/>
      </c>
    </row>
    <row r="27" spans="1:10" x14ac:dyDescent="0.2">
      <c r="A27" s="10"/>
      <c r="B27" s="17"/>
      <c r="C27" s="17"/>
      <c r="D27" s="10"/>
      <c r="E27" s="10"/>
      <c r="F27" s="10"/>
      <c r="G27" s="10"/>
      <c r="H27" s="17"/>
      <c r="I27" s="17"/>
      <c r="J27" s="21" t="str">
        <f t="shared" si="0"/>
        <v/>
      </c>
    </row>
    <row r="28" spans="1:10" x14ac:dyDescent="0.2">
      <c r="A28" s="10"/>
      <c r="B28" s="17"/>
      <c r="C28" s="17"/>
      <c r="D28" s="10"/>
      <c r="E28" s="10"/>
      <c r="F28" s="10"/>
      <c r="G28" s="10"/>
      <c r="H28" s="17"/>
      <c r="I28" s="17"/>
      <c r="J28" s="21" t="str">
        <f t="shared" si="0"/>
        <v/>
      </c>
    </row>
    <row r="29" spans="1:10" x14ac:dyDescent="0.2">
      <c r="A29" s="10"/>
      <c r="B29" s="17"/>
      <c r="C29" s="17"/>
      <c r="D29" s="10"/>
      <c r="E29" s="10"/>
      <c r="F29" s="10"/>
      <c r="G29" s="10"/>
      <c r="H29" s="17"/>
      <c r="I29" s="17"/>
      <c r="J29" s="21" t="str">
        <f t="shared" si="0"/>
        <v/>
      </c>
    </row>
    <row r="30" spans="1:10" x14ac:dyDescent="0.2">
      <c r="A30" s="10"/>
      <c r="B30" s="17"/>
      <c r="C30" s="17"/>
      <c r="D30" s="10"/>
      <c r="E30" s="10"/>
      <c r="F30" s="10"/>
      <c r="G30" s="10"/>
      <c r="H30" s="17"/>
      <c r="I30" s="17"/>
      <c r="J30" s="21" t="str">
        <f t="shared" si="0"/>
        <v/>
      </c>
    </row>
    <row r="31" spans="1:10" x14ac:dyDescent="0.2">
      <c r="A31" s="10"/>
      <c r="B31" s="17"/>
      <c r="C31" s="17"/>
      <c r="D31" s="10"/>
      <c r="E31" s="10"/>
      <c r="F31" s="10"/>
      <c r="G31" s="10"/>
      <c r="H31" s="17"/>
      <c r="I31" s="17"/>
      <c r="J31" s="21" t="str">
        <f t="shared" si="0"/>
        <v/>
      </c>
    </row>
    <row r="32" spans="1:10" x14ac:dyDescent="0.2">
      <c r="A32" s="10"/>
      <c r="B32" s="17"/>
      <c r="C32" s="17"/>
      <c r="D32" s="10"/>
      <c r="E32" s="10"/>
      <c r="F32" s="10"/>
      <c r="G32" s="10"/>
      <c r="H32" s="17"/>
      <c r="I32" s="17"/>
      <c r="J32" s="21" t="str">
        <f t="shared" si="0"/>
        <v/>
      </c>
    </row>
    <row r="33" spans="1:10" x14ac:dyDescent="0.2">
      <c r="A33" s="10"/>
      <c r="B33" s="17"/>
      <c r="C33" s="17"/>
      <c r="D33" s="10"/>
      <c r="E33" s="10"/>
      <c r="F33" s="10"/>
      <c r="G33" s="10"/>
      <c r="H33" s="17"/>
      <c r="I33" s="17"/>
      <c r="J33" s="21" t="str">
        <f t="shared" si="0"/>
        <v/>
      </c>
    </row>
    <row r="34" spans="1:10" x14ac:dyDescent="0.2">
      <c r="A34" s="10"/>
      <c r="B34" s="17"/>
      <c r="C34" s="17"/>
      <c r="D34" s="10"/>
      <c r="E34" s="10"/>
      <c r="F34" s="10"/>
      <c r="G34" s="10"/>
      <c r="H34" s="17"/>
      <c r="I34" s="17"/>
      <c r="J34" s="21" t="str">
        <f t="shared" si="0"/>
        <v/>
      </c>
    </row>
    <row r="35" spans="1:10" x14ac:dyDescent="0.2">
      <c r="A35" s="24" t="s">
        <v>288</v>
      </c>
      <c r="B35" s="23"/>
      <c r="C35" s="23"/>
      <c r="D35" s="23"/>
      <c r="E35" s="23"/>
      <c r="F35" s="23"/>
      <c r="G35" s="23"/>
      <c r="H35" s="23"/>
      <c r="I35" s="23"/>
      <c r="J35" s="23"/>
    </row>
    <row r="36" spans="1:10" x14ac:dyDescent="0.2">
      <c r="A36" s="9" t="s">
        <v>291</v>
      </c>
      <c r="B36" s="16">
        <v>2</v>
      </c>
      <c r="C36" s="16" t="s">
        <v>175</v>
      </c>
      <c r="D36" s="9" t="s">
        <v>1470</v>
      </c>
      <c r="E36" s="9" t="s">
        <v>1471</v>
      </c>
      <c r="F36" s="9" t="s">
        <v>1472</v>
      </c>
      <c r="G36" s="9"/>
      <c r="H36" s="16"/>
      <c r="I36" s="16"/>
      <c r="J36" s="21" t="str">
        <f t="shared" ref="J36:J41" si="1">IF(D36="","",IF(OR(LEFT(D36,1)="=",LEFT(D36,1)="+",LEFT(D36,1)="-",LEFT(D36,1)="@"),"'"&amp;D36,D36))</f>
        <v>Reaction to Drug B (same cannula; previous courses)</v>
      </c>
    </row>
    <row r="37" spans="1:10" x14ac:dyDescent="0.2">
      <c r="A37" s="9" t="s">
        <v>291</v>
      </c>
      <c r="B37" s="16">
        <v>2</v>
      </c>
      <c r="C37" s="16" t="s">
        <v>176</v>
      </c>
      <c r="D37" s="9" t="s">
        <v>1474</v>
      </c>
      <c r="E37" s="9"/>
      <c r="F37" s="9"/>
      <c r="G37" s="9" t="s">
        <v>1473</v>
      </c>
      <c r="H37" s="16" t="s">
        <v>166</v>
      </c>
      <c r="I37" s="16" t="s">
        <v>170</v>
      </c>
      <c r="J37" s="21" t="str">
        <f t="shared" si="1"/>
        <v>Tryptase result; emergency medicines with doses and times; Drug A concentration in the bag; earlier Drug B courses</v>
      </c>
    </row>
    <row r="38" spans="1:10" x14ac:dyDescent="0.2">
      <c r="A38" s="9" t="s">
        <v>295</v>
      </c>
      <c r="B38" s="16">
        <v>2</v>
      </c>
      <c r="C38" s="16" t="s">
        <v>175</v>
      </c>
      <c r="D38" s="9" t="s">
        <v>1475</v>
      </c>
      <c r="E38" s="9" t="s">
        <v>1476</v>
      </c>
      <c r="F38" s="9" t="s">
        <v>1477</v>
      </c>
      <c r="G38" s="9"/>
      <c r="H38" s="16"/>
      <c r="I38" s="16"/>
      <c r="J38" s="21" t="str">
        <f t="shared" si="1"/>
        <v>Bradycardia from the unchanged beta-blocker, made more likely by dehydration</v>
      </c>
    </row>
    <row r="39" spans="1:10" x14ac:dyDescent="0.2">
      <c r="A39" s="9" t="s">
        <v>295</v>
      </c>
      <c r="B39" s="16">
        <v>2</v>
      </c>
      <c r="C39" s="16" t="s">
        <v>176</v>
      </c>
      <c r="D39" s="9" t="s">
        <v>1479</v>
      </c>
      <c r="E39" s="9"/>
      <c r="F39" s="9"/>
      <c r="G39" s="9" t="s">
        <v>1478</v>
      </c>
      <c r="H39" s="16" t="s">
        <v>166</v>
      </c>
      <c r="I39" s="16" t="s">
        <v>170</v>
      </c>
      <c r="J39" s="21" t="str">
        <f t="shared" si="1"/>
        <v>Creatinine values between March and July; magnesium, calcium, thyroid function; earlier ECGs; full treatment record 5-8 July</v>
      </c>
    </row>
    <row r="40" spans="1:10" x14ac:dyDescent="0.2">
      <c r="A40" s="9" t="s">
        <v>299</v>
      </c>
      <c r="B40" s="16">
        <v>2</v>
      </c>
      <c r="C40" s="16" t="s">
        <v>175</v>
      </c>
      <c r="D40" s="9" t="s">
        <v>1480</v>
      </c>
      <c r="E40" s="9" t="s">
        <v>1481</v>
      </c>
      <c r="F40" s="9" t="s">
        <v>1482</v>
      </c>
      <c r="G40" s="9"/>
      <c r="H40" s="16"/>
      <c r="I40" s="16"/>
      <c r="J40" s="21" t="str">
        <f t="shared" si="1"/>
        <v>Prednisolone course 2-11 March 2026</v>
      </c>
    </row>
    <row r="41" spans="1:10" x14ac:dyDescent="0.2">
      <c r="A41" s="9" t="s">
        <v>299</v>
      </c>
      <c r="B41" s="16">
        <v>2</v>
      </c>
      <c r="C41" s="16" t="s">
        <v>176</v>
      </c>
      <c r="D41" s="9" t="s">
        <v>1484</v>
      </c>
      <c r="E41" s="9"/>
      <c r="F41" s="9"/>
      <c r="G41" s="9" t="s">
        <v>1483</v>
      </c>
      <c r="H41" s="16" t="s">
        <v>166</v>
      </c>
      <c r="I41" s="16" t="s">
        <v>170</v>
      </c>
      <c r="J41" s="21" t="str">
        <f t="shared" si="1"/>
        <v>Planned length of prophylaxis and why it stopped; prednisolone dose; lymphoma relapse or further treatment</v>
      </c>
    </row>
  </sheetData>
  <sheetProtection sheet="1" objects="1" scenarios="1" formatColumns="0" formatRows="0" autoFilter="0"/>
  <autoFilter ref="A4:J41" xr:uid="{11E9B605-919B-4490-BD3B-5C31BBE06071}"/>
  <dataValidations count="4">
    <dataValidation type="whole" operator="greaterThanOrEqual" allowBlank="1" showInputMessage="1" showErrorMessage="1" sqref="B5:B34" xr:uid="{967892B9-343C-4E16-84E3-B85211EB9143}">
      <formula1>1</formula1>
    </dataValidation>
    <dataValidation type="list" allowBlank="1" showInputMessage="1" showErrorMessage="1" sqref="C5:C34" xr:uid="{5AFCBA24-C5EE-467D-808C-06B9568ED3B9}">
      <formula1>nLIST_ItemType</formula1>
    </dataValidation>
    <dataValidation type="list" allowBlank="1" showInputMessage="1" showErrorMessage="1" sqref="H5:H34" xr:uid="{A9924CED-EF0C-4096-A88A-02B8C5F5B121}">
      <formula1>nLIST_Priority</formula1>
    </dataValidation>
    <dataValidation type="list" allowBlank="1" showInputMessage="1" showErrorMessage="1" sqref="I5:I34" xr:uid="{6925383F-E512-4165-8754-76BD85987021}">
      <formula1>nLIST_QueryStatus</formula1>
    </dataValidation>
  </dataValidation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F92A1D-7DF0-4DCA-ABBE-73A3AE573EA8}">
  <dimension ref="A1:M23"/>
  <sheetViews>
    <sheetView zoomScale="90" zoomScaleNormal="90" workbookViewId="0">
      <pane xSplit="2" ySplit="4" topLeftCell="C5" activePane="bottomRight" state="frozenSplit"/>
      <selection pane="topRight" activeCell="C1" sqref="C1"/>
      <selection pane="bottomLeft" activeCell="A5" sqref="A5"/>
      <selection pane="bottomRight"/>
    </sheetView>
  </sheetViews>
  <sheetFormatPr defaultRowHeight="12.75" x14ac:dyDescent="0.2"/>
  <cols>
    <col min="1" max="1" width="10.7109375" style="1" customWidth="1"/>
    <col min="2" max="2" width="7.7109375" style="1" customWidth="1"/>
    <col min="3" max="3" width="50.7109375" style="1" customWidth="1"/>
    <col min="4" max="4" width="14.7109375" style="1" customWidth="1"/>
    <col min="5" max="5" width="18.7109375" style="1" customWidth="1"/>
    <col min="6" max="6" width="12.7109375" style="1" customWidth="1"/>
    <col min="7" max="7" width="14.7109375" style="1" customWidth="1"/>
    <col min="8" max="8" width="34.7109375" style="1" customWidth="1"/>
    <col min="9" max="12" width="10.7109375" style="1" customWidth="1"/>
    <col min="13" max="13" width="40.7109375" style="1" customWidth="1"/>
    <col min="14" max="16384" width="9.140625" style="1"/>
  </cols>
  <sheetData>
    <row r="1" spans="1:13" ht="17.25" x14ac:dyDescent="0.3">
      <c r="A1" s="6" t="s">
        <v>1485</v>
      </c>
    </row>
    <row r="2" spans="1:13" x14ac:dyDescent="0.2">
      <c r="A2" s="7" t="s">
        <v>1410</v>
      </c>
    </row>
    <row r="3" spans="1:13" x14ac:dyDescent="0.2">
      <c r="J3" s="2" t="s">
        <v>283</v>
      </c>
    </row>
    <row r="4" spans="1:13" ht="66" customHeight="1" x14ac:dyDescent="0.2">
      <c r="A4" s="8" t="s">
        <v>274</v>
      </c>
      <c r="B4" s="8" t="s">
        <v>275</v>
      </c>
      <c r="C4" s="8" t="s">
        <v>1486</v>
      </c>
      <c r="D4" s="8" t="s">
        <v>1487</v>
      </c>
      <c r="E4" s="8" t="s">
        <v>1488</v>
      </c>
      <c r="F4" s="8" t="s">
        <v>278</v>
      </c>
      <c r="G4" s="8" t="s">
        <v>279</v>
      </c>
      <c r="H4" s="8" t="s">
        <v>1489</v>
      </c>
      <c r="I4" s="8" t="s">
        <v>1490</v>
      </c>
      <c r="J4" s="19" t="s">
        <v>1491</v>
      </c>
      <c r="K4" s="19" t="s">
        <v>1492</v>
      </c>
      <c r="L4" s="19" t="s">
        <v>1493</v>
      </c>
      <c r="M4" s="19" t="s">
        <v>1494</v>
      </c>
    </row>
    <row r="5" spans="1:13" x14ac:dyDescent="0.2">
      <c r="A5" s="10"/>
      <c r="B5" s="17"/>
      <c r="C5" s="10"/>
      <c r="D5" s="10"/>
      <c r="E5" s="10"/>
      <c r="F5" s="10"/>
      <c r="G5" s="15"/>
      <c r="H5" s="10"/>
      <c r="I5" s="10"/>
      <c r="J5" s="22" t="str">
        <f>IF(A5="","",COUNTIF(nINT_CaseKey,A5&amp;"|"&amp;B5))</f>
        <v/>
      </c>
      <c r="K5" s="22" t="str">
        <f>IF(A5="","",COUNTIFS(nINT_CaseKey,A5&amp;"|"&amp;B5,nINT_K_Err,"E_*"))</f>
        <v/>
      </c>
      <c r="L5" s="22" t="str">
        <f>IF(A5="","",COUNTIFS(nINT_CaseKey,A5&amp;"|"&amp;B5,nINT_QC_Flags,"*W_*"))</f>
        <v/>
      </c>
      <c r="M5" s="21" t="str">
        <f t="shared" ref="M5:M19" si="0">IF(C5="","",IF(OR(LEFT(C5,1)="=",LEFT(C5,1)="+",LEFT(C5,1)="-",LEFT(C5,1)="@"),"'"&amp;C5,C5))</f>
        <v/>
      </c>
    </row>
    <row r="6" spans="1:13" x14ac:dyDescent="0.2">
      <c r="A6" s="10"/>
      <c r="B6" s="17"/>
      <c r="C6" s="10"/>
      <c r="D6" s="10"/>
      <c r="E6" s="10"/>
      <c r="F6" s="10"/>
      <c r="G6" s="15"/>
      <c r="H6" s="10"/>
      <c r="I6" s="10"/>
      <c r="J6" s="22" t="str">
        <f>IF(A6="","",COUNTIF(nINT_CaseKey,A6&amp;"|"&amp;B6))</f>
        <v/>
      </c>
      <c r="K6" s="22" t="str">
        <f>IF(A6="","",COUNTIFS(nINT_CaseKey,A6&amp;"|"&amp;B6,nINT_K_Err,"E_*"))</f>
        <v/>
      </c>
      <c r="L6" s="22" t="str">
        <f>IF(A6="","",COUNTIFS(nINT_CaseKey,A6&amp;"|"&amp;B6,nINT_QC_Flags,"*W_*"))</f>
        <v/>
      </c>
      <c r="M6" s="21" t="str">
        <f t="shared" si="0"/>
        <v/>
      </c>
    </row>
    <row r="7" spans="1:13" x14ac:dyDescent="0.2">
      <c r="A7" s="10"/>
      <c r="B7" s="17"/>
      <c r="C7" s="10"/>
      <c r="D7" s="10"/>
      <c r="E7" s="10"/>
      <c r="F7" s="10"/>
      <c r="G7" s="15"/>
      <c r="H7" s="10"/>
      <c r="I7" s="10"/>
      <c r="J7" s="22" t="str">
        <f>IF(A7="","",COUNTIF(nINT_CaseKey,A7&amp;"|"&amp;B7))</f>
        <v/>
      </c>
      <c r="K7" s="22" t="str">
        <f>IF(A7="","",COUNTIFS(nINT_CaseKey,A7&amp;"|"&amp;B7,nINT_K_Err,"E_*"))</f>
        <v/>
      </c>
      <c r="L7" s="22" t="str">
        <f>IF(A7="","",COUNTIFS(nINT_CaseKey,A7&amp;"|"&amp;B7,nINT_QC_Flags,"*W_*"))</f>
        <v/>
      </c>
      <c r="M7" s="21" t="str">
        <f t="shared" si="0"/>
        <v/>
      </c>
    </row>
    <row r="8" spans="1:13" x14ac:dyDescent="0.2">
      <c r="A8" s="10"/>
      <c r="B8" s="17"/>
      <c r="C8" s="10"/>
      <c r="D8" s="10"/>
      <c r="E8" s="10"/>
      <c r="F8" s="10"/>
      <c r="G8" s="15"/>
      <c r="H8" s="10"/>
      <c r="I8" s="10"/>
      <c r="J8" s="22" t="str">
        <f>IF(A8="","",COUNTIF(nINT_CaseKey,A8&amp;"|"&amp;B8))</f>
        <v/>
      </c>
      <c r="K8" s="22" t="str">
        <f>IF(A8="","",COUNTIFS(nINT_CaseKey,A8&amp;"|"&amp;B8,nINT_K_Err,"E_*"))</f>
        <v/>
      </c>
      <c r="L8" s="22" t="str">
        <f>IF(A8="","",COUNTIFS(nINT_CaseKey,A8&amp;"|"&amp;B8,nINT_QC_Flags,"*W_*"))</f>
        <v/>
      </c>
      <c r="M8" s="21" t="str">
        <f t="shared" si="0"/>
        <v/>
      </c>
    </row>
    <row r="9" spans="1:13" x14ac:dyDescent="0.2">
      <c r="A9" s="10"/>
      <c r="B9" s="17"/>
      <c r="C9" s="10"/>
      <c r="D9" s="10"/>
      <c r="E9" s="10"/>
      <c r="F9" s="10"/>
      <c r="G9" s="15"/>
      <c r="H9" s="10"/>
      <c r="I9" s="10"/>
      <c r="J9" s="22" t="str">
        <f>IF(A9="","",COUNTIF(nINT_CaseKey,A9&amp;"|"&amp;B9))</f>
        <v/>
      </c>
      <c r="K9" s="22" t="str">
        <f>IF(A9="","",COUNTIFS(nINT_CaseKey,A9&amp;"|"&amp;B9,nINT_K_Err,"E_*"))</f>
        <v/>
      </c>
      <c r="L9" s="22" t="str">
        <f>IF(A9="","",COUNTIFS(nINT_CaseKey,A9&amp;"|"&amp;B9,nINT_QC_Flags,"*W_*"))</f>
        <v/>
      </c>
      <c r="M9" s="21" t="str">
        <f t="shared" si="0"/>
        <v/>
      </c>
    </row>
    <row r="10" spans="1:13" x14ac:dyDescent="0.2">
      <c r="A10" s="10"/>
      <c r="B10" s="17"/>
      <c r="C10" s="10"/>
      <c r="D10" s="10"/>
      <c r="E10" s="10"/>
      <c r="F10" s="10"/>
      <c r="G10" s="15"/>
      <c r="H10" s="10"/>
      <c r="I10" s="10"/>
      <c r="J10" s="22" t="str">
        <f>IF(A10="","",COUNTIF(nINT_CaseKey,A10&amp;"|"&amp;B10))</f>
        <v/>
      </c>
      <c r="K10" s="22" t="str">
        <f>IF(A10="","",COUNTIFS(nINT_CaseKey,A10&amp;"|"&amp;B10,nINT_K_Err,"E_*"))</f>
        <v/>
      </c>
      <c r="L10" s="22" t="str">
        <f>IF(A10="","",COUNTIFS(nINT_CaseKey,A10&amp;"|"&amp;B10,nINT_QC_Flags,"*W_*"))</f>
        <v/>
      </c>
      <c r="M10" s="21" t="str">
        <f t="shared" si="0"/>
        <v/>
      </c>
    </row>
    <row r="11" spans="1:13" x14ac:dyDescent="0.2">
      <c r="A11" s="10"/>
      <c r="B11" s="17"/>
      <c r="C11" s="10"/>
      <c r="D11" s="10"/>
      <c r="E11" s="10"/>
      <c r="F11" s="10"/>
      <c r="G11" s="15"/>
      <c r="H11" s="10"/>
      <c r="I11" s="10"/>
      <c r="J11" s="22" t="str">
        <f>IF(A11="","",COUNTIF(nINT_CaseKey,A11&amp;"|"&amp;B11))</f>
        <v/>
      </c>
      <c r="K11" s="22" t="str">
        <f>IF(A11="","",COUNTIFS(nINT_CaseKey,A11&amp;"|"&amp;B11,nINT_K_Err,"E_*"))</f>
        <v/>
      </c>
      <c r="L11" s="22" t="str">
        <f>IF(A11="","",COUNTIFS(nINT_CaseKey,A11&amp;"|"&amp;B11,nINT_QC_Flags,"*W_*"))</f>
        <v/>
      </c>
      <c r="M11" s="21" t="str">
        <f t="shared" si="0"/>
        <v/>
      </c>
    </row>
    <row r="12" spans="1:13" x14ac:dyDescent="0.2">
      <c r="A12" s="10"/>
      <c r="B12" s="17"/>
      <c r="C12" s="10"/>
      <c r="D12" s="10"/>
      <c r="E12" s="10"/>
      <c r="F12" s="10"/>
      <c r="G12" s="15"/>
      <c r="H12" s="10"/>
      <c r="I12" s="10"/>
      <c r="J12" s="22" t="str">
        <f>IF(A12="","",COUNTIF(nINT_CaseKey,A12&amp;"|"&amp;B12))</f>
        <v/>
      </c>
      <c r="K12" s="22" t="str">
        <f>IF(A12="","",COUNTIFS(nINT_CaseKey,A12&amp;"|"&amp;B12,nINT_K_Err,"E_*"))</f>
        <v/>
      </c>
      <c r="L12" s="22" t="str">
        <f>IF(A12="","",COUNTIFS(nINT_CaseKey,A12&amp;"|"&amp;B12,nINT_QC_Flags,"*W_*"))</f>
        <v/>
      </c>
      <c r="M12" s="21" t="str">
        <f t="shared" si="0"/>
        <v/>
      </c>
    </row>
    <row r="13" spans="1:13" x14ac:dyDescent="0.2">
      <c r="A13" s="10"/>
      <c r="B13" s="17"/>
      <c r="C13" s="10"/>
      <c r="D13" s="10"/>
      <c r="E13" s="10"/>
      <c r="F13" s="10"/>
      <c r="G13" s="15"/>
      <c r="H13" s="10"/>
      <c r="I13" s="10"/>
      <c r="J13" s="22" t="str">
        <f>IF(A13="","",COUNTIF(nINT_CaseKey,A13&amp;"|"&amp;B13))</f>
        <v/>
      </c>
      <c r="K13" s="22" t="str">
        <f>IF(A13="","",COUNTIFS(nINT_CaseKey,A13&amp;"|"&amp;B13,nINT_K_Err,"E_*"))</f>
        <v/>
      </c>
      <c r="L13" s="22" t="str">
        <f>IF(A13="","",COUNTIFS(nINT_CaseKey,A13&amp;"|"&amp;B13,nINT_QC_Flags,"*W_*"))</f>
        <v/>
      </c>
      <c r="M13" s="21" t="str">
        <f t="shared" si="0"/>
        <v/>
      </c>
    </row>
    <row r="14" spans="1:13" x14ac:dyDescent="0.2">
      <c r="A14" s="10"/>
      <c r="B14" s="17"/>
      <c r="C14" s="10"/>
      <c r="D14" s="10"/>
      <c r="E14" s="10"/>
      <c r="F14" s="10"/>
      <c r="G14" s="15"/>
      <c r="H14" s="10"/>
      <c r="I14" s="10"/>
      <c r="J14" s="22" t="str">
        <f>IF(A14="","",COUNTIF(nINT_CaseKey,A14&amp;"|"&amp;B14))</f>
        <v/>
      </c>
      <c r="K14" s="22" t="str">
        <f>IF(A14="","",COUNTIFS(nINT_CaseKey,A14&amp;"|"&amp;B14,nINT_K_Err,"E_*"))</f>
        <v/>
      </c>
      <c r="L14" s="22" t="str">
        <f>IF(A14="","",COUNTIFS(nINT_CaseKey,A14&amp;"|"&amp;B14,nINT_QC_Flags,"*W_*"))</f>
        <v/>
      </c>
      <c r="M14" s="21" t="str">
        <f t="shared" si="0"/>
        <v/>
      </c>
    </row>
    <row r="15" spans="1:13" x14ac:dyDescent="0.2">
      <c r="A15" s="10"/>
      <c r="B15" s="17"/>
      <c r="C15" s="10"/>
      <c r="D15" s="10"/>
      <c r="E15" s="10"/>
      <c r="F15" s="10"/>
      <c r="G15" s="15"/>
      <c r="H15" s="10"/>
      <c r="I15" s="10"/>
      <c r="J15" s="22" t="str">
        <f>IF(A15="","",COUNTIF(nINT_CaseKey,A15&amp;"|"&amp;B15))</f>
        <v/>
      </c>
      <c r="K15" s="22" t="str">
        <f>IF(A15="","",COUNTIFS(nINT_CaseKey,A15&amp;"|"&amp;B15,nINT_K_Err,"E_*"))</f>
        <v/>
      </c>
      <c r="L15" s="22" t="str">
        <f>IF(A15="","",COUNTIFS(nINT_CaseKey,A15&amp;"|"&amp;B15,nINT_QC_Flags,"*W_*"))</f>
        <v/>
      </c>
      <c r="M15" s="21" t="str">
        <f t="shared" si="0"/>
        <v/>
      </c>
    </row>
    <row r="16" spans="1:13" x14ac:dyDescent="0.2">
      <c r="A16" s="10"/>
      <c r="B16" s="17"/>
      <c r="C16" s="10"/>
      <c r="D16" s="10"/>
      <c r="E16" s="10"/>
      <c r="F16" s="10"/>
      <c r="G16" s="15"/>
      <c r="H16" s="10"/>
      <c r="I16" s="10"/>
      <c r="J16" s="22" t="str">
        <f>IF(A16="","",COUNTIF(nINT_CaseKey,A16&amp;"|"&amp;B16))</f>
        <v/>
      </c>
      <c r="K16" s="22" t="str">
        <f>IF(A16="","",COUNTIFS(nINT_CaseKey,A16&amp;"|"&amp;B16,nINT_K_Err,"E_*"))</f>
        <v/>
      </c>
      <c r="L16" s="22" t="str">
        <f>IF(A16="","",COUNTIFS(nINT_CaseKey,A16&amp;"|"&amp;B16,nINT_QC_Flags,"*W_*"))</f>
        <v/>
      </c>
      <c r="M16" s="21" t="str">
        <f t="shared" si="0"/>
        <v/>
      </c>
    </row>
    <row r="17" spans="1:13" x14ac:dyDescent="0.2">
      <c r="A17" s="10"/>
      <c r="B17" s="17"/>
      <c r="C17" s="10"/>
      <c r="D17" s="10"/>
      <c r="E17" s="10"/>
      <c r="F17" s="10"/>
      <c r="G17" s="15"/>
      <c r="H17" s="10"/>
      <c r="I17" s="10"/>
      <c r="J17" s="22" t="str">
        <f>IF(A17="","",COUNTIF(nINT_CaseKey,A17&amp;"|"&amp;B17))</f>
        <v/>
      </c>
      <c r="K17" s="22" t="str">
        <f>IF(A17="","",COUNTIFS(nINT_CaseKey,A17&amp;"|"&amp;B17,nINT_K_Err,"E_*"))</f>
        <v/>
      </c>
      <c r="L17" s="22" t="str">
        <f>IF(A17="","",COUNTIFS(nINT_CaseKey,A17&amp;"|"&amp;B17,nINT_QC_Flags,"*W_*"))</f>
        <v/>
      </c>
      <c r="M17" s="21" t="str">
        <f t="shared" si="0"/>
        <v/>
      </c>
    </row>
    <row r="18" spans="1:13" x14ac:dyDescent="0.2">
      <c r="A18" s="10"/>
      <c r="B18" s="17"/>
      <c r="C18" s="10"/>
      <c r="D18" s="10"/>
      <c r="E18" s="10"/>
      <c r="F18" s="10"/>
      <c r="G18" s="15"/>
      <c r="H18" s="10"/>
      <c r="I18" s="10"/>
      <c r="J18" s="22" t="str">
        <f>IF(A18="","",COUNTIF(nINT_CaseKey,A18&amp;"|"&amp;B18))</f>
        <v/>
      </c>
      <c r="K18" s="22" t="str">
        <f>IF(A18="","",COUNTIFS(nINT_CaseKey,A18&amp;"|"&amp;B18,nINT_K_Err,"E_*"))</f>
        <v/>
      </c>
      <c r="L18" s="22" t="str">
        <f>IF(A18="","",COUNTIFS(nINT_CaseKey,A18&amp;"|"&amp;B18,nINT_QC_Flags,"*W_*"))</f>
        <v/>
      </c>
      <c r="M18" s="21" t="str">
        <f t="shared" si="0"/>
        <v/>
      </c>
    </row>
    <row r="19" spans="1:13" x14ac:dyDescent="0.2">
      <c r="A19" s="10"/>
      <c r="B19" s="17"/>
      <c r="C19" s="10"/>
      <c r="D19" s="10"/>
      <c r="E19" s="10"/>
      <c r="F19" s="10"/>
      <c r="G19" s="15"/>
      <c r="H19" s="10"/>
      <c r="I19" s="10"/>
      <c r="J19" s="22" t="str">
        <f>IF(A19="","",COUNTIF(nINT_CaseKey,A19&amp;"|"&amp;B19))</f>
        <v/>
      </c>
      <c r="K19" s="22" t="str">
        <f>IF(A19="","",COUNTIFS(nINT_CaseKey,A19&amp;"|"&amp;B19,nINT_K_Err,"E_*"))</f>
        <v/>
      </c>
      <c r="L19" s="22" t="str">
        <f>IF(A19="","",COUNTIFS(nINT_CaseKey,A19&amp;"|"&amp;B19,nINT_QC_Flags,"*W_*"))</f>
        <v/>
      </c>
      <c r="M19" s="21" t="str">
        <f t="shared" si="0"/>
        <v/>
      </c>
    </row>
    <row r="20" spans="1:13" x14ac:dyDescent="0.2">
      <c r="A20" s="24" t="s">
        <v>288</v>
      </c>
      <c r="B20" s="23"/>
      <c r="C20" s="23"/>
      <c r="D20" s="23"/>
      <c r="E20" s="23"/>
      <c r="F20" s="23"/>
      <c r="G20" s="23"/>
      <c r="H20" s="23"/>
      <c r="I20" s="23"/>
      <c r="J20" s="23"/>
      <c r="K20" s="23"/>
      <c r="L20" s="23"/>
      <c r="M20" s="23"/>
    </row>
    <row r="21" spans="1:13" x14ac:dyDescent="0.2">
      <c r="A21" s="9" t="s">
        <v>291</v>
      </c>
      <c r="B21" s="16">
        <v>2</v>
      </c>
      <c r="C21" s="9" t="s">
        <v>1495</v>
      </c>
      <c r="D21" s="9" t="s">
        <v>1498</v>
      </c>
      <c r="E21" s="9"/>
      <c r="F21" s="9"/>
      <c r="G21" s="14"/>
      <c r="H21" s="9" t="s">
        <v>1497</v>
      </c>
      <c r="I21" s="9" t="s">
        <v>1496</v>
      </c>
      <c r="J21" s="22">
        <f>IF(A21="","",COUNTIF(nINT_CaseKey,A21&amp;"|"&amp;B21))</f>
        <v>14</v>
      </c>
      <c r="K21" s="22">
        <f>IF(A21="","",COUNTIFS(nINT_CaseKey,A21&amp;"|"&amp;B21,nINT_K_Err,"E_*"))</f>
        <v>0</v>
      </c>
      <c r="L21" s="22">
        <f>IF(A21="","",COUNTIFS(nINT_CaseKey,A21&amp;"|"&amp;B21,nINT_QC_Flags,"*W_*"))</f>
        <v>1</v>
      </c>
      <c r="M21" s="21" t="str">
        <f t="shared" ref="M21:M23" si="1">IF(C21="","",IF(OR(LEFT(C21,1)="=",LEFT(C21,1)="+",LEFT(C21,1)="-",LEFT(C21,1)="@"),"'"&amp;C21,C21))</f>
        <v>Urticaria, wheeze and hypotension began at 09:15, 15 minutes after the start of the first Drug A infusion and 25 minutes after the end of a Drug B infusion through the same cannula (C1; UTC-05:00). Improvement followed both cessation and emergency treatment.</v>
      </c>
    </row>
    <row r="22" spans="1:13" x14ac:dyDescent="0.2">
      <c r="A22" s="9" t="s">
        <v>295</v>
      </c>
      <c r="B22" s="16">
        <v>2</v>
      </c>
      <c r="C22" s="9" t="s">
        <v>1499</v>
      </c>
      <c r="D22" s="9" t="s">
        <v>1498</v>
      </c>
      <c r="E22" s="9"/>
      <c r="F22" s="9"/>
      <c r="G22" s="14"/>
      <c r="H22" s="9" t="s">
        <v>1500</v>
      </c>
      <c r="I22" s="9" t="s">
        <v>1496</v>
      </c>
      <c r="J22" s="22">
        <f>IF(A22="","",COUNTIF(nINT_CaseKey,A22&amp;"|"&amp;B22))</f>
        <v>6</v>
      </c>
      <c r="K22" s="22">
        <f>IF(A22="","",COUNTIFS(nINT_CaseKey,A22&amp;"|"&amp;B22,nINT_K_Err,"E_*"))</f>
        <v>0</v>
      </c>
      <c r="L22" s="22">
        <f>IF(A22="","",COUNTIFS(nINT_CaseKey,A22&amp;"|"&amp;B22,nINT_QC_Flags,"*W_*"))</f>
        <v>2</v>
      </c>
      <c r="M22" s="21" t="str">
        <f t="shared" si="1"/>
        <v>Nausea and symptomatic bradycardia began on 5 July 2026, 185 calendar days after digoxin was started at an unchanged dose, 4 calendar days after renal deterioration was first documented and 9 after ibuprofen was started.</v>
      </c>
    </row>
    <row r="23" spans="1:13" x14ac:dyDescent="0.2">
      <c r="A23" s="9" t="s">
        <v>299</v>
      </c>
      <c r="B23" s="16">
        <v>2</v>
      </c>
      <c r="C23" s="9" t="s">
        <v>1501</v>
      </c>
      <c r="D23" s="9" t="s">
        <v>1498</v>
      </c>
      <c r="E23" s="9"/>
      <c r="F23" s="9"/>
      <c r="G23" s="14"/>
      <c r="H23" s="9" t="s">
        <v>1502</v>
      </c>
      <c r="I23" s="9" t="s">
        <v>1496</v>
      </c>
      <c r="J23" s="22">
        <f>IF(A23="","",COUNTIF(nINT_CaseKey,A23&amp;"|"&amp;B23))</f>
        <v>11</v>
      </c>
      <c r="K23" s="22">
        <f>IF(A23="","",COUNTIFS(nINT_CaseKey,A23&amp;"|"&amp;B23,nINT_K_Err,"E_*"))</f>
        <v>0</v>
      </c>
      <c r="L23" s="22">
        <f>IF(A23="","",COUNTIFS(nINT_CaseKey,A23&amp;"|"&amp;B23,nINT_QC_Flags,"*W_*"))</f>
        <v>1</v>
      </c>
      <c r="M23" s="21" t="str">
        <f t="shared" si="1"/>
        <v>HBV DNA was first detected on 12 May 2026, 435 calendar days after the last rituximab infusion; virological reactivation began between 343 and 435 days after the last infusion (C4).</v>
      </c>
    </row>
  </sheetData>
  <sheetProtection sheet="1" objects="1" scenarios="1" formatColumns="0" formatRows="0" autoFilter="0"/>
  <autoFilter ref="A4:M23" xr:uid="{37F92A1D-7DF0-4DCA-ABBE-73A3AE573EA8}"/>
  <dataValidations count="2">
    <dataValidation type="whole" operator="greaterThanOrEqual" allowBlank="1" showInputMessage="1" showErrorMessage="1" sqref="B5:B19" xr:uid="{3D7BC79D-6A2E-44EF-A2E9-87BF0B2FB9DD}">
      <formula1>1</formula1>
    </dataValidation>
    <dataValidation type="date" allowBlank="1" showInputMessage="1" showErrorMessage="1" sqref="G5:G19" xr:uid="{15436E5C-5A90-46D2-BBCE-97E2420A7308}">
      <formula1>1</formula1>
      <formula2>2958465</formula2>
    </dataValidation>
  </dataValidation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2A0F90-3C09-4DD1-9109-35FFB8CB091A}">
  <sheetPr>
    <pageSetUpPr fitToPage="1"/>
  </sheetPr>
  <dimension ref="A1:L81"/>
  <sheetViews>
    <sheetView zoomScale="90" zoomScaleNormal="90" workbookViewId="0"/>
  </sheetViews>
  <sheetFormatPr defaultRowHeight="12.75" x14ac:dyDescent="0.2"/>
  <cols>
    <col min="1" max="1" width="4.7109375" style="1" customWidth="1"/>
    <col min="2" max="2" width="8.7109375" style="1" customWidth="1"/>
    <col min="3" max="3" width="22.7109375" style="1" customWidth="1"/>
    <col min="4" max="4" width="44.7109375" style="1" customWidth="1"/>
    <col min="5" max="5" width="34.7109375" style="1" customWidth="1"/>
    <col min="6" max="6" width="22.7109375" style="1" customWidth="1"/>
    <col min="7" max="7" width="8.7109375" style="1" customWidth="1"/>
    <col min="8" max="8" width="16.7109375" style="1" customWidth="1"/>
    <col min="9" max="9" width="6.7109375" style="1" customWidth="1"/>
    <col min="10" max="10" width="16.7109375" style="1" customWidth="1"/>
    <col min="11" max="11" width="50.7109375" style="1" customWidth="1"/>
    <col min="12" max="12" width="8.7109375" style="1" customWidth="1"/>
    <col min="13" max="16384" width="9.140625" style="1"/>
  </cols>
  <sheetData>
    <row r="1" spans="1:12" ht="18.75" x14ac:dyDescent="0.3">
      <c r="A1" s="30" t="s">
        <v>1503</v>
      </c>
    </row>
    <row r="2" spans="1:12" ht="42" customHeight="1" x14ac:dyDescent="0.2">
      <c r="A2" s="31" t="s">
        <v>1504</v>
      </c>
      <c r="B2" s="31"/>
      <c r="C2" s="31"/>
      <c r="D2" s="31"/>
      <c r="E2" s="31"/>
      <c r="F2" s="31"/>
      <c r="G2" s="31"/>
      <c r="H2" s="31"/>
      <c r="I2" s="31"/>
      <c r="J2" s="31"/>
      <c r="K2" s="31"/>
      <c r="L2" s="31"/>
    </row>
    <row r="4" spans="1:12" ht="15.75" x14ac:dyDescent="0.25">
      <c r="A4" s="2" t="s">
        <v>1743</v>
      </c>
      <c r="C4" s="32" t="str">
        <f>IF(COUNTIF(nEX_Match,TRUE)=ROWS(nEX_Match),"MATCH: all "&amp;ROWS(nEX_Match)&amp;" example checks reproduce the home chapters' numbers",COUNTIF(nEX_Match,TRUE)&amp;" of "&amp;ROWS(nEX_Match)&amp;" example checks match; see FALSE rows")</f>
        <v>MATCH: all 71 example checks reproduce the home chapters' numbers</v>
      </c>
    </row>
    <row r="6" spans="1:12" ht="30" customHeight="1" x14ac:dyDescent="0.2">
      <c r="A6" s="18" t="s">
        <v>1505</v>
      </c>
      <c r="B6" s="18" t="s">
        <v>1506</v>
      </c>
      <c r="C6" s="18" t="s">
        <v>1507</v>
      </c>
      <c r="D6" s="18" t="s">
        <v>1508</v>
      </c>
      <c r="E6" s="18" t="s">
        <v>1509</v>
      </c>
      <c r="F6" s="18" t="s">
        <v>1510</v>
      </c>
      <c r="G6" s="18" t="s">
        <v>1436</v>
      </c>
      <c r="H6" s="18" t="s">
        <v>1511</v>
      </c>
      <c r="I6" s="18" t="s">
        <v>1512</v>
      </c>
      <c r="J6" s="18" t="s">
        <v>1513</v>
      </c>
      <c r="K6" s="18" t="s">
        <v>1514</v>
      </c>
      <c r="L6" s="18" t="s">
        <v>1515</v>
      </c>
    </row>
    <row r="7" spans="1:12" x14ac:dyDescent="0.2">
      <c r="A7" s="1">
        <v>1</v>
      </c>
      <c r="B7" s="1" t="s">
        <v>291</v>
      </c>
      <c r="C7" s="1" t="s">
        <v>1516</v>
      </c>
      <c r="D7" s="1" t="s">
        <v>1517</v>
      </c>
      <c r="E7" s="1" t="s">
        <v>1518</v>
      </c>
      <c r="F7" s="4" t="s">
        <v>1519</v>
      </c>
      <c r="G7" s="1" t="s">
        <v>1520</v>
      </c>
      <c r="H7" s="1">
        <v>15</v>
      </c>
      <c r="I7" s="1">
        <v>0</v>
      </c>
      <c r="J7" s="1">
        <f>IFERROR(INDEX(nINT_Interval_Value,MATCH("EX-C01|2|I01",nINT_Key,0)),"(row not found)")</f>
        <v>15</v>
      </c>
      <c r="K7" s="1" t="str">
        <f>IFERROR(INDEX(nINT_Result_Display,MATCH("EX-C01|2|I01",nINT_Key,0)),"(row not found)")</f>
        <v>15 minutes</v>
      </c>
      <c r="L7" s="1" t="b">
        <f>IF(ISNUMBER(J7),ABS(ROUND(J7,I7)-H7)&lt;0.000000001,FALSE)</f>
        <v>1</v>
      </c>
    </row>
    <row r="8" spans="1:12" x14ac:dyDescent="0.2">
      <c r="A8" s="1">
        <v>2</v>
      </c>
      <c r="B8" s="1" t="s">
        <v>291</v>
      </c>
      <c r="C8" s="1" t="s">
        <v>1521</v>
      </c>
      <c r="D8" s="1" t="s">
        <v>1522</v>
      </c>
      <c r="E8" s="1" t="s">
        <v>1523</v>
      </c>
      <c r="F8" s="4" t="s">
        <v>1524</v>
      </c>
      <c r="G8" s="1" t="s">
        <v>1525</v>
      </c>
      <c r="H8" s="4" t="s">
        <v>1524</v>
      </c>
      <c r="J8" s="1" t="str">
        <f>IFERROR(INDEX(nINT_Sequence_Status,MATCH("EX-C01|2|I01",nINT_Key,0)),"(row not found)")</f>
        <v>AFTER</v>
      </c>
      <c r="K8" s="1" t="str">
        <f>IFERROR(INDEX(nINT_Result_Display,MATCH("EX-C01|2|I01",nINT_Key,0)),"(row not found)")</f>
        <v>15 minutes</v>
      </c>
      <c r="L8" s="1" t="b">
        <f>EXACT(J8&amp;"",H8&amp;"")</f>
        <v>1</v>
      </c>
    </row>
    <row r="9" spans="1:12" x14ac:dyDescent="0.2">
      <c r="A9" s="1">
        <v>3</v>
      </c>
      <c r="B9" s="1" t="s">
        <v>291</v>
      </c>
      <c r="C9" s="1" t="s">
        <v>1516</v>
      </c>
      <c r="D9" s="1" t="s">
        <v>1526</v>
      </c>
      <c r="E9" s="1" t="s">
        <v>1527</v>
      </c>
      <c r="F9" s="4" t="s">
        <v>1528</v>
      </c>
      <c r="G9" s="1" t="s">
        <v>1520</v>
      </c>
      <c r="H9" s="1">
        <v>0</v>
      </c>
      <c r="I9" s="1">
        <v>0</v>
      </c>
      <c r="J9" s="1">
        <f>IFERROR(INDEX(nINT_Interval_Value,MATCH("EX-C01|2|I02",nINT_Key,0)),"(row not found)")</f>
        <v>0</v>
      </c>
      <c r="K9" s="1" t="str">
        <f>IFERROR(INDEX(nINT_Result_Display,MATCH("EX-C01|2|I02",nINT_Key,0)),"(row not found)")</f>
        <v>0 calendar days (order within the day from C1: AFTER); treatment Day 1</v>
      </c>
      <c r="L9" s="1" t="b">
        <f>IF(ISNUMBER(J9),ABS(ROUND(J9,I9)-H9)&lt;0.000000001,FALSE)</f>
        <v>1</v>
      </c>
    </row>
    <row r="10" spans="1:12" x14ac:dyDescent="0.2">
      <c r="A10" s="1">
        <v>4</v>
      </c>
      <c r="B10" s="1" t="s">
        <v>291</v>
      </c>
      <c r="C10" s="1" t="s">
        <v>1516</v>
      </c>
      <c r="D10" s="1" t="s">
        <v>1529</v>
      </c>
      <c r="E10" s="1" t="s">
        <v>1530</v>
      </c>
      <c r="F10" s="4" t="s">
        <v>1531</v>
      </c>
      <c r="G10" s="1" t="s">
        <v>1525</v>
      </c>
      <c r="H10" s="4" t="s">
        <v>1524</v>
      </c>
      <c r="J10" s="1" t="str">
        <f>IFERROR(INDEX(nINT_Sequence_Status,MATCH("EX-C01|2|I02",nINT_Key,0)),"(row not found)")</f>
        <v>AFTER</v>
      </c>
      <c r="K10" s="1" t="str">
        <f>IFERROR(INDEX(nINT_Result_Display,MATCH("EX-C01|2|I02",nINT_Key,0)),"(row not found)")</f>
        <v>0 calendar days (order within the day from C1: AFTER); treatment Day 1</v>
      </c>
      <c r="L10" s="1" t="b">
        <f>EXACT(J10&amp;"",H10&amp;"")</f>
        <v>1</v>
      </c>
    </row>
    <row r="11" spans="1:12" x14ac:dyDescent="0.2">
      <c r="A11" s="1">
        <v>5</v>
      </c>
      <c r="B11" s="1" t="s">
        <v>291</v>
      </c>
      <c r="C11" s="1" t="s">
        <v>1532</v>
      </c>
      <c r="D11" s="1" t="s">
        <v>1533</v>
      </c>
      <c r="E11" s="1" t="s">
        <v>1534</v>
      </c>
      <c r="F11" s="4" t="s">
        <v>1535</v>
      </c>
      <c r="G11" s="1" t="s">
        <v>1520</v>
      </c>
      <c r="H11" s="1">
        <v>1</v>
      </c>
      <c r="I11" s="1">
        <v>0</v>
      </c>
      <c r="J11" s="1">
        <f>IFERROR(INDEX(nINT_Treatment_Day,MATCH("EX-C01|2|I02",nINT_Key,0)),"(row not found)")</f>
        <v>1</v>
      </c>
      <c r="K11" s="1" t="str">
        <f>IFERROR(INDEX(nINT_Result_Display,MATCH("EX-C01|2|I02",nINT_Key,0)),"(row not found)")</f>
        <v>0 calendar days (order within the day from C1: AFTER); treatment Day 1</v>
      </c>
      <c r="L11" s="1" t="b">
        <f>IF(ISNUMBER(J11),ABS(ROUND(J11,I11)-H11)&lt;0.000000001,FALSE)</f>
        <v>1</v>
      </c>
    </row>
    <row r="12" spans="1:12" x14ac:dyDescent="0.2">
      <c r="A12" s="1">
        <v>6</v>
      </c>
      <c r="B12" s="1" t="s">
        <v>291</v>
      </c>
      <c r="C12" s="1" t="s">
        <v>1536</v>
      </c>
      <c r="D12" s="1" t="s">
        <v>1537</v>
      </c>
      <c r="E12" s="1" t="s">
        <v>1538</v>
      </c>
      <c r="F12" s="4" t="s">
        <v>1539</v>
      </c>
      <c r="G12" s="1" t="s">
        <v>1525</v>
      </c>
      <c r="H12" s="4" t="s">
        <v>593</v>
      </c>
      <c r="J12" s="1" t="str">
        <f>IFERROR(INDEX(nINT_Anchor_Record_ID_Used,MATCH("EX-C01|2|I03",nINT_Key,0)),"(row not found)")</f>
        <v>ADM-A1</v>
      </c>
      <c r="K12" s="1" t="str">
        <f>IFERROR(INDEX(nINT_Result_Display,MATCH("EX-C01|2|I03",nINT_Key,0)),"(row not found)")</f>
        <v>15 minutes</v>
      </c>
      <c r="L12" s="1" t="b">
        <f>EXACT(J12&amp;"",H12&amp;"")</f>
        <v>1</v>
      </c>
    </row>
    <row r="13" spans="1:12" x14ac:dyDescent="0.2">
      <c r="A13" s="1">
        <v>7</v>
      </c>
      <c r="B13" s="1" t="s">
        <v>291</v>
      </c>
      <c r="C13" s="1" t="s">
        <v>1540</v>
      </c>
      <c r="D13" s="1" t="s">
        <v>1541</v>
      </c>
      <c r="E13" s="1" t="s">
        <v>1542</v>
      </c>
      <c r="F13" s="4" t="s">
        <v>1519</v>
      </c>
      <c r="G13" s="1" t="s">
        <v>1520</v>
      </c>
      <c r="H13" s="1">
        <v>15</v>
      </c>
      <c r="I13" s="1">
        <v>0</v>
      </c>
      <c r="J13" s="1">
        <f>IFERROR(INDEX(nINT_Interval_Value,MATCH("EX-C01|2|I03",nINT_Key,0)),"(row not found)")</f>
        <v>15</v>
      </c>
      <c r="K13" s="1" t="str">
        <f>IFERROR(INDEX(nINT_Result_Display,MATCH("EX-C01|2|I03",nINT_Key,0)),"(row not found)")</f>
        <v>15 minutes</v>
      </c>
      <c r="L13" s="1" t="b">
        <f>IF(ISNUMBER(J13),ABS(ROUND(J13,I13)-H13)&lt;0.000000001,FALSE)</f>
        <v>1</v>
      </c>
    </row>
    <row r="14" spans="1:12" x14ac:dyDescent="0.2">
      <c r="A14" s="1">
        <v>8</v>
      </c>
      <c r="B14" s="1" t="s">
        <v>291</v>
      </c>
      <c r="C14" s="1" t="s">
        <v>1543</v>
      </c>
      <c r="D14" s="1" t="s">
        <v>1544</v>
      </c>
      <c r="E14" s="1" t="s">
        <v>1545</v>
      </c>
      <c r="F14" s="4" t="s">
        <v>1546</v>
      </c>
      <c r="G14" s="1" t="s">
        <v>1520</v>
      </c>
      <c r="H14" s="1">
        <v>55</v>
      </c>
      <c r="I14" s="1">
        <v>0</v>
      </c>
      <c r="J14" s="1">
        <f>IFERROR(INDEX(nINT_Interval_Value,MATCH("EX-C01|2|I04",nINT_Key,0)),"(row not found)")</f>
        <v>55</v>
      </c>
      <c r="K14" s="1" t="str">
        <f>IFERROR(INDEX(nINT_Result_Display,MATCH("EX-C01|2|I04",nINT_Key,0)),"(row not found)")</f>
        <v>55 minutes</v>
      </c>
      <c r="L14" s="1" t="b">
        <f>IF(ISNUMBER(J14),ABS(ROUND(J14,I14)-H14)&lt;0.000000001,FALSE)</f>
        <v>1</v>
      </c>
    </row>
    <row r="15" spans="1:12" x14ac:dyDescent="0.2">
      <c r="A15" s="1">
        <v>9</v>
      </c>
      <c r="B15" s="1" t="s">
        <v>291</v>
      </c>
      <c r="C15" s="1" t="s">
        <v>1543</v>
      </c>
      <c r="D15" s="1" t="s">
        <v>1547</v>
      </c>
      <c r="E15" s="1" t="s">
        <v>1548</v>
      </c>
      <c r="F15" s="4" t="s">
        <v>1549</v>
      </c>
      <c r="G15" s="1" t="s">
        <v>1520</v>
      </c>
      <c r="H15" s="1">
        <v>25</v>
      </c>
      <c r="I15" s="1">
        <v>0</v>
      </c>
      <c r="J15" s="1">
        <f>IFERROR(INDEX(nINT_Interval_Value,MATCH("EX-C01|2|I05",nINT_Key,0)),"(row not found)")</f>
        <v>25</v>
      </c>
      <c r="K15" s="1" t="str">
        <f>IFERROR(INDEX(nINT_Result_Display,MATCH("EX-C01|2|I05",nINT_Key,0)),"(row not found)")</f>
        <v>25 minutes</v>
      </c>
      <c r="L15" s="1" t="b">
        <f>IF(ISNUMBER(J15),ABS(ROUND(J15,I15)-H15)&lt;0.000000001,FALSE)</f>
        <v>1</v>
      </c>
    </row>
    <row r="16" spans="1:12" x14ac:dyDescent="0.2">
      <c r="A16" s="1">
        <v>10</v>
      </c>
      <c r="B16" s="1" t="s">
        <v>291</v>
      </c>
      <c r="C16" s="1" t="s">
        <v>1543</v>
      </c>
      <c r="D16" s="1" t="s">
        <v>1550</v>
      </c>
      <c r="E16" s="1" t="s">
        <v>1551</v>
      </c>
      <c r="F16" s="4" t="s">
        <v>1552</v>
      </c>
      <c r="G16" s="1" t="s">
        <v>1520</v>
      </c>
      <c r="H16" s="1">
        <v>60</v>
      </c>
      <c r="I16" s="1">
        <v>0</v>
      </c>
      <c r="J16" s="1">
        <f>IFERROR(INDEX(nINT_Interval_Value,MATCH("EX-C01|2|I06",nINT_Key,0)),"(row not found)")</f>
        <v>60</v>
      </c>
      <c r="K16" s="1" t="str">
        <f>IFERROR(INDEX(nINT_Result_Display,MATCH("EX-C01|2|I06",nINT_Key,0)),"(row not found)")</f>
        <v>60 minutes (1.0 hours)</v>
      </c>
      <c r="L16" s="1" t="b">
        <f>IF(ISNUMBER(J16),ABS(ROUND(J16,I16)-H16)&lt;0.000000001,FALSE)</f>
        <v>1</v>
      </c>
    </row>
    <row r="17" spans="1:12" x14ac:dyDescent="0.2">
      <c r="A17" s="1">
        <v>11</v>
      </c>
      <c r="B17" s="1" t="s">
        <v>291</v>
      </c>
      <c r="C17" s="1" t="s">
        <v>1543</v>
      </c>
      <c r="D17" s="1" t="s">
        <v>1553</v>
      </c>
      <c r="E17" s="1" t="s">
        <v>1554</v>
      </c>
      <c r="F17" s="4" t="s">
        <v>1549</v>
      </c>
      <c r="G17" s="1" t="s">
        <v>1520</v>
      </c>
      <c r="H17" s="1">
        <v>25</v>
      </c>
      <c r="I17" s="1">
        <v>0</v>
      </c>
      <c r="J17" s="1">
        <f>IFERROR(INDEX(nINT_Interval_Value,MATCH("EX-C01|2|I07",nINT_Key,0)),"(row not found)")</f>
        <v>25</v>
      </c>
      <c r="K17" s="1" t="str">
        <f>IFERROR(INDEX(nINT_Result_Display,MATCH("EX-C01|2|I07",nINT_Key,0)),"(row not found)")</f>
        <v>25 minutes</v>
      </c>
      <c r="L17" s="1" t="b">
        <f>IF(ISNUMBER(J17),ABS(ROUND(J17,I17)-H17)&lt;0.000000001,FALSE)</f>
        <v>1</v>
      </c>
    </row>
    <row r="18" spans="1:12" x14ac:dyDescent="0.2">
      <c r="A18" s="1">
        <v>12</v>
      </c>
      <c r="B18" s="1" t="s">
        <v>291</v>
      </c>
      <c r="C18" s="1" t="s">
        <v>1543</v>
      </c>
      <c r="D18" s="1" t="s">
        <v>1555</v>
      </c>
      <c r="E18" s="1" t="s">
        <v>1556</v>
      </c>
      <c r="F18" s="4" t="s">
        <v>1557</v>
      </c>
      <c r="G18" s="1" t="s">
        <v>1520</v>
      </c>
      <c r="H18" s="1">
        <v>-1</v>
      </c>
      <c r="I18" s="1">
        <v>0</v>
      </c>
      <c r="J18" s="1">
        <f>IFERROR(INDEX(nINT_Interval_Value,MATCH("EX-C01|2|I08",nINT_Key,0)),"(row not found)")</f>
        <v>-1</v>
      </c>
      <c r="K18" s="1" t="str">
        <f>IFERROR(INDEX(nINT_Result_Display,MATCH("EX-C01|2|I08",nINT_Key,0)),"(row not found)")</f>
        <v>-1 minutes</v>
      </c>
      <c r="L18" s="1" t="b">
        <f>IF(ISNUMBER(J18),ABS(ROUND(J18,I18)-H18)&lt;0.000000001,FALSE)</f>
        <v>1</v>
      </c>
    </row>
    <row r="19" spans="1:12" x14ac:dyDescent="0.2">
      <c r="A19" s="1">
        <v>13</v>
      </c>
      <c r="B19" s="1" t="s">
        <v>291</v>
      </c>
      <c r="C19" s="1" t="s">
        <v>1543</v>
      </c>
      <c r="D19" s="1" t="s">
        <v>1558</v>
      </c>
      <c r="E19" s="1" t="s">
        <v>1559</v>
      </c>
      <c r="F19" s="4" t="s">
        <v>1560</v>
      </c>
      <c r="G19" s="1" t="s">
        <v>1525</v>
      </c>
      <c r="H19" s="4" t="s">
        <v>1561</v>
      </c>
      <c r="J19" s="1" t="str">
        <f>IFERROR(INDEX(nINT_Sequence_Status,MATCH("EX-C01|2|I08",nINT_Key,0)),"(row not found)")</f>
        <v>BEFORE</v>
      </c>
      <c r="K19" s="1" t="str">
        <f>IFERROR(INDEX(nINT_Result_Display,MATCH("EX-C01|2|I08",nINT_Key,0)),"(row not found)")</f>
        <v>-1 minutes</v>
      </c>
      <c r="L19" s="1" t="b">
        <f>EXACT(J19&amp;"",H19&amp;"")</f>
        <v>1</v>
      </c>
    </row>
    <row r="20" spans="1:12" x14ac:dyDescent="0.2">
      <c r="A20" s="1">
        <v>14</v>
      </c>
      <c r="B20" s="1" t="s">
        <v>291</v>
      </c>
      <c r="C20" s="1" t="s">
        <v>1543</v>
      </c>
      <c r="D20" s="1" t="s">
        <v>1562</v>
      </c>
      <c r="E20" s="1" t="s">
        <v>1563</v>
      </c>
      <c r="F20" s="4" t="s">
        <v>1564</v>
      </c>
      <c r="G20" s="1" t="s">
        <v>1520</v>
      </c>
      <c r="H20" s="1">
        <v>-3</v>
      </c>
      <c r="I20" s="1">
        <v>0</v>
      </c>
      <c r="J20" s="1">
        <f>IFERROR(INDEX(nINT_Interval_Value,MATCH("EX-C01|2|I09",nINT_Key,0)),"(row not found)")</f>
        <v>-3</v>
      </c>
      <c r="K20" s="1" t="str">
        <f>IFERROR(INDEX(nINT_Result_Display,MATCH("EX-C01|2|I09",nINT_Key,0)),"(row not found)")</f>
        <v>-3 minutes</v>
      </c>
      <c r="L20" s="1" t="b">
        <f>IF(ISNUMBER(J20),ABS(ROUND(J20,I20)-H20)&lt;0.000000001,FALSE)</f>
        <v>1</v>
      </c>
    </row>
    <row r="21" spans="1:12" x14ac:dyDescent="0.2">
      <c r="A21" s="1">
        <v>15</v>
      </c>
      <c r="B21" s="1" t="s">
        <v>291</v>
      </c>
      <c r="C21" s="1" t="s">
        <v>1516</v>
      </c>
      <c r="D21" s="1" t="s">
        <v>1565</v>
      </c>
      <c r="E21" s="1" t="s">
        <v>1566</v>
      </c>
      <c r="F21" s="4" t="s">
        <v>1567</v>
      </c>
      <c r="G21" s="1" t="s">
        <v>1520</v>
      </c>
      <c r="H21" s="1">
        <v>19</v>
      </c>
      <c r="I21" s="1">
        <v>0</v>
      </c>
      <c r="J21" s="1">
        <f>IFERROR(INDEX(nINT_Interval_Value,MATCH("EX-C01|2|I10",nINT_Key,0)),"(row not found)")</f>
        <v>19</v>
      </c>
      <c r="K21" s="1" t="str">
        <f>IFERROR(INDEX(nINT_Result_Display,MATCH("EX-C01|2|I10",nINT_Key,0)),"(row not found)")</f>
        <v>19 minutes</v>
      </c>
      <c r="L21" s="1" t="b">
        <f>IF(ISNUMBER(J21),ABS(ROUND(J21,I21)-H21)&lt;0.000000001,FALSE)</f>
        <v>1</v>
      </c>
    </row>
    <row r="22" spans="1:12" x14ac:dyDescent="0.2">
      <c r="A22" s="1">
        <v>16</v>
      </c>
      <c r="B22" s="1" t="s">
        <v>291</v>
      </c>
      <c r="C22" s="1" t="s">
        <v>1516</v>
      </c>
      <c r="D22" s="1" t="s">
        <v>1568</v>
      </c>
      <c r="E22" s="1" t="s">
        <v>1569</v>
      </c>
      <c r="F22" s="4" t="s">
        <v>246</v>
      </c>
      <c r="G22" s="1" t="s">
        <v>1570</v>
      </c>
      <c r="H22" s="4" t="s">
        <v>246</v>
      </c>
      <c r="J22" s="1" t="str">
        <f>IFERROR(INDEX(nINT_QC_Flags,MATCH("EX-C01|2|I10",nINT_Key,0)),"(row not found)")</f>
        <v>W_INTERVENTION_BEFORE_RECOVERY</v>
      </c>
      <c r="K22" s="1" t="str">
        <f>IFERROR(INDEX(nINT_Result_Display,MATCH("EX-C01|2|I10",nINT_Key,0)),"(row not found)")</f>
        <v>19 minutes</v>
      </c>
      <c r="L22" s="1" t="b">
        <f>ISNUMBER(SEARCH(H22,J22))</f>
        <v>1</v>
      </c>
    </row>
    <row r="23" spans="1:12" x14ac:dyDescent="0.2">
      <c r="A23" s="1">
        <v>17</v>
      </c>
      <c r="B23" s="1" t="s">
        <v>291</v>
      </c>
      <c r="C23" s="1" t="s">
        <v>1521</v>
      </c>
      <c r="D23" s="1" t="s">
        <v>1571</v>
      </c>
      <c r="E23" s="1" t="s">
        <v>1572</v>
      </c>
      <c r="F23" s="4" t="s">
        <v>1573</v>
      </c>
      <c r="G23" s="1" t="s">
        <v>1525</v>
      </c>
      <c r="H23" s="4" t="s">
        <v>1574</v>
      </c>
      <c r="J23" s="1" t="str">
        <f>IFERROR(INDEX(nINT_Calculation_Mode_Used,MATCH("EX-C01|2|I10",nINT_Key,0)),"(row not found)")</f>
        <v>C7 (C1)</v>
      </c>
      <c r="K23" s="1" t="str">
        <f>IFERROR(INDEX(nINT_Result_Display,MATCH("EX-C01|2|I10",nINT_Key,0)),"(row not found)")</f>
        <v>19 minutes</v>
      </c>
      <c r="L23" s="1" t="b">
        <f>EXACT(J23&amp;"",H23&amp;"")</f>
        <v>1</v>
      </c>
    </row>
    <row r="24" spans="1:12" x14ac:dyDescent="0.2">
      <c r="A24" s="1">
        <v>18</v>
      </c>
      <c r="B24" s="1" t="s">
        <v>291</v>
      </c>
      <c r="C24" s="1" t="s">
        <v>1532</v>
      </c>
      <c r="D24" s="1" t="s">
        <v>1575</v>
      </c>
      <c r="E24" s="1" t="s">
        <v>1576</v>
      </c>
      <c r="F24" s="4" t="s">
        <v>1577</v>
      </c>
      <c r="G24" s="1" t="s">
        <v>1520</v>
      </c>
      <c r="H24" s="1">
        <v>17</v>
      </c>
      <c r="I24" s="1">
        <v>0</v>
      </c>
      <c r="J24" s="1">
        <f>IFERROR(INDEX(nINT_Interval_Value,MATCH("EX-C01|2|I11",nINT_Key,0)),"(row not found)")</f>
        <v>17</v>
      </c>
      <c r="K24" s="1" t="str">
        <f>IFERROR(INDEX(nINT_Result_Display,MATCH("EX-C01|2|I11",nINT_Key,0)),"(row not found)")</f>
        <v>17 minutes</v>
      </c>
      <c r="L24" s="1" t="b">
        <f>IF(ISNUMBER(J24),ABS(ROUND(J24,I24)-H24)&lt;0.000000001,FALSE)</f>
        <v>1</v>
      </c>
    </row>
    <row r="25" spans="1:12" x14ac:dyDescent="0.2">
      <c r="A25" s="1">
        <v>19</v>
      </c>
      <c r="B25" s="1" t="s">
        <v>291</v>
      </c>
      <c r="C25" s="1" t="s">
        <v>1532</v>
      </c>
      <c r="D25" s="1" t="s">
        <v>1578</v>
      </c>
      <c r="E25" s="1" t="s">
        <v>1579</v>
      </c>
      <c r="F25" s="4" t="s">
        <v>1580</v>
      </c>
      <c r="G25" s="1" t="s">
        <v>1520</v>
      </c>
      <c r="H25" s="1">
        <v>20</v>
      </c>
      <c r="I25" s="1">
        <v>0</v>
      </c>
      <c r="J25" s="1">
        <f>IFERROR(INDEX(nINT_Interval_Value,MATCH("EX-C01|2|I12",nINT_Key,0)),"(row not found)")</f>
        <v>20</v>
      </c>
      <c r="K25" s="1" t="str">
        <f>IFERROR(INDEX(nINT_Result_Display,MATCH("EX-C01|2|I12",nINT_Key,0)),"(row not found)")</f>
        <v>20 minutes</v>
      </c>
      <c r="L25" s="1" t="b">
        <f>IF(ISNUMBER(J25),ABS(ROUND(J25,I25)-H25)&lt;0.000000001,FALSE)</f>
        <v>1</v>
      </c>
    </row>
    <row r="26" spans="1:12" x14ac:dyDescent="0.2">
      <c r="A26" s="1">
        <v>20</v>
      </c>
      <c r="B26" s="1" t="s">
        <v>291</v>
      </c>
      <c r="C26" s="1" t="s">
        <v>1532</v>
      </c>
      <c r="D26" s="1" t="s">
        <v>1581</v>
      </c>
      <c r="E26" s="1" t="s">
        <v>1582</v>
      </c>
      <c r="F26" s="4" t="s">
        <v>1583</v>
      </c>
      <c r="G26" s="1" t="s">
        <v>1520</v>
      </c>
      <c r="H26" s="1">
        <v>16</v>
      </c>
      <c r="I26" s="1">
        <v>0</v>
      </c>
      <c r="J26" s="1">
        <f>IFERROR(INDEX(nINT_Interval_Value,MATCH("EX-C01|2|I13",nINT_Key,0)),"(row not found)")</f>
        <v>16</v>
      </c>
      <c r="K26" s="1" t="str">
        <f>IFERROR(INDEX(nINT_Result_Display,MATCH("EX-C01|2|I13",nINT_Key,0)),"(row not found)")</f>
        <v>16 minutes</v>
      </c>
      <c r="L26" s="1" t="b">
        <f>IF(ISNUMBER(J26),ABS(ROUND(J26,I26)-H26)&lt;0.000000001,FALSE)</f>
        <v>1</v>
      </c>
    </row>
    <row r="27" spans="1:12" x14ac:dyDescent="0.2">
      <c r="A27" s="1">
        <v>21</v>
      </c>
      <c r="B27" s="1" t="s">
        <v>291</v>
      </c>
      <c r="C27" s="1" t="s">
        <v>1584</v>
      </c>
      <c r="D27" s="1" t="s">
        <v>1585</v>
      </c>
      <c r="E27" s="1" t="s">
        <v>1586</v>
      </c>
      <c r="F27" s="4" t="s">
        <v>1587</v>
      </c>
      <c r="G27" s="1" t="s">
        <v>1520</v>
      </c>
      <c r="H27" s="1">
        <v>50</v>
      </c>
      <c r="I27" s="1">
        <v>0</v>
      </c>
      <c r="J27" s="1">
        <f>IFERROR(INDEX(nINT_Interval_Value,MATCH("EX-C01|2|I14",nINT_Key,0)),"(row not found)")</f>
        <v>50</v>
      </c>
      <c r="K27" s="1" t="str">
        <f>IFERROR(INDEX(nINT_Result_Display,MATCH("EX-C01|2|I14",nINT_Key,0)),"(row not found)")</f>
        <v>50 minutes</v>
      </c>
      <c r="L27" s="1" t="b">
        <f>IF(ISNUMBER(J27),ABS(ROUND(J27,I27)-H27)&lt;0.000000001,FALSE)</f>
        <v>1</v>
      </c>
    </row>
    <row r="28" spans="1:12" x14ac:dyDescent="0.2">
      <c r="A28" s="1">
        <v>22</v>
      </c>
      <c r="B28" s="1" t="s">
        <v>291</v>
      </c>
      <c r="C28" s="1" t="s">
        <v>1532</v>
      </c>
      <c r="D28" s="1" t="s">
        <v>1588</v>
      </c>
      <c r="E28" s="1" t="s">
        <v>1589</v>
      </c>
      <c r="F28" s="4" t="s">
        <v>1590</v>
      </c>
      <c r="G28" s="1" t="s">
        <v>1525</v>
      </c>
      <c r="H28" s="4" t="s">
        <v>212</v>
      </c>
      <c r="J28" s="1" t="str">
        <f>IFERROR(INDEX(nQ9_QC_Flags,MATCH("EX-C01|2|Q9-C01",nQ9_Key,0)),"(row not found)")</f>
        <v>E_INVALID_UNIT</v>
      </c>
      <c r="K28" s="1" t="str">
        <f>IFERROR(INDEX(nQ9_Result_Display,MATCH("EX-C01|2|Q9-C01",nQ9_Key,0)),"(row not found)")</f>
        <v>E_INVALID_UNIT: no result is shown (infusion rates must be in mg/hour; mL/hour needs a concentration and is not supported in CALC-SPEC 1.0)</v>
      </c>
      <c r="L28" s="1" t="b">
        <f>EXACT(J28&amp;"",H28&amp;"")</f>
        <v>1</v>
      </c>
    </row>
    <row r="29" spans="1:12" x14ac:dyDescent="0.2">
      <c r="A29" s="1">
        <v>23</v>
      </c>
      <c r="B29" s="1" t="s">
        <v>295</v>
      </c>
      <c r="C29" s="1" t="s">
        <v>1591</v>
      </c>
      <c r="D29" s="1" t="s">
        <v>1592</v>
      </c>
      <c r="E29" s="1" t="s">
        <v>1593</v>
      </c>
      <c r="F29" s="4" t="s">
        <v>1594</v>
      </c>
      <c r="G29" s="1" t="s">
        <v>1520</v>
      </c>
      <c r="H29" s="1">
        <v>185</v>
      </c>
      <c r="I29" s="1">
        <v>0</v>
      </c>
      <c r="J29" s="1">
        <f>IFERROR(INDEX(nINT_Interval_Value,MATCH("EX-C04|2|I01",nINT_Key,0)),"(row not found)")</f>
        <v>185</v>
      </c>
      <c r="K29" s="1" t="str">
        <f>IFERROR(INDEX(nINT_Result_Display,MATCH("EX-C04|2|I01",nINT_Key,0)),"(row not found)")</f>
        <v>185 calendar days</v>
      </c>
      <c r="L29" s="1" t="b">
        <f>IF(ISNUMBER(J29),ABS(ROUND(J29,I29)-H29)&lt;0.000000001,FALSE)</f>
        <v>1</v>
      </c>
    </row>
    <row r="30" spans="1:12" x14ac:dyDescent="0.2">
      <c r="A30" s="1">
        <v>24</v>
      </c>
      <c r="B30" s="1" t="s">
        <v>295</v>
      </c>
      <c r="C30" s="1" t="s">
        <v>1591</v>
      </c>
      <c r="D30" s="1" t="s">
        <v>1595</v>
      </c>
      <c r="E30" s="1" t="s">
        <v>1596</v>
      </c>
      <c r="F30" s="4" t="s">
        <v>1597</v>
      </c>
      <c r="G30" s="1" t="s">
        <v>1520</v>
      </c>
      <c r="H30" s="1">
        <v>4</v>
      </c>
      <c r="I30" s="1">
        <v>0</v>
      </c>
      <c r="J30" s="1">
        <f>IFERROR(INDEX(nINT_Interval_Value,MATCH("EX-C04|2|I02",nINT_Key,0)),"(row not found)")</f>
        <v>4</v>
      </c>
      <c r="K30" s="1" t="str">
        <f>IFERROR(INDEX(nINT_Result_Display,MATCH("EX-C04|2|I02",nINT_Key,0)),"(row not found)")</f>
        <v>4 calendar days</v>
      </c>
      <c r="L30" s="1" t="b">
        <f>IF(ISNUMBER(J30),ABS(ROUND(J30,I30)-H30)&lt;0.000000001,FALSE)</f>
        <v>1</v>
      </c>
    </row>
    <row r="31" spans="1:12" x14ac:dyDescent="0.2">
      <c r="A31" s="1">
        <v>25</v>
      </c>
      <c r="B31" s="1" t="s">
        <v>295</v>
      </c>
      <c r="C31" s="1" t="s">
        <v>1591</v>
      </c>
      <c r="D31" s="1" t="s">
        <v>1598</v>
      </c>
      <c r="E31" s="1" t="s">
        <v>1599</v>
      </c>
      <c r="F31" s="4" t="s">
        <v>1600</v>
      </c>
      <c r="G31" s="1" t="s">
        <v>1520</v>
      </c>
      <c r="H31" s="1">
        <v>9</v>
      </c>
      <c r="I31" s="1">
        <v>0</v>
      </c>
      <c r="J31" s="1">
        <f>IFERROR(INDEX(nINT_Interval_Value,MATCH("EX-C04|2|I03",nINT_Key,0)),"(row not found)")</f>
        <v>9</v>
      </c>
      <c r="K31" s="1" t="str">
        <f>IFERROR(INDEX(nINT_Result_Display,MATCH("EX-C04|2|I03",nINT_Key,0)),"(row not found)")</f>
        <v>9 calendar days</v>
      </c>
      <c r="L31" s="1" t="b">
        <f>IF(ISNUMBER(J31),ABS(ROUND(J31,I31)-H31)&lt;0.000000001,FALSE)</f>
        <v>1</v>
      </c>
    </row>
    <row r="32" spans="1:12" x14ac:dyDescent="0.2">
      <c r="A32" s="1">
        <v>26</v>
      </c>
      <c r="B32" s="1" t="s">
        <v>295</v>
      </c>
      <c r="C32" s="1" t="s">
        <v>1601</v>
      </c>
      <c r="D32" s="1" t="s">
        <v>1602</v>
      </c>
      <c r="E32" s="1" t="s">
        <v>1603</v>
      </c>
      <c r="F32" s="4" t="s">
        <v>1604</v>
      </c>
      <c r="G32" s="1" t="s">
        <v>1525</v>
      </c>
      <c r="H32" s="4" t="s">
        <v>598</v>
      </c>
      <c r="J32" s="1" t="str">
        <f>IFERROR(INDEX(nINT_Anchor_Record_ID_Used,MATCH("EX-C04|2|I04",nINT_Key,0)),"(row not found)")</f>
        <v>ADM-DIG-LAST</v>
      </c>
      <c r="K32" s="1" t="str">
        <f>IFERROR(INDEX(nINT_Result_Display,MATCH("EX-C04|2|I04",nINT_Key,0)),"(row not found)")</f>
        <v>1 calendar days</v>
      </c>
      <c r="L32" s="1" t="b">
        <f>EXACT(J32&amp;"",H32&amp;"")</f>
        <v>1</v>
      </c>
    </row>
    <row r="33" spans="1:12" x14ac:dyDescent="0.2">
      <c r="A33" s="1">
        <v>27</v>
      </c>
      <c r="B33" s="1" t="s">
        <v>295</v>
      </c>
      <c r="C33" s="1" t="s">
        <v>1601</v>
      </c>
      <c r="D33" s="1" t="s">
        <v>1605</v>
      </c>
      <c r="E33" s="1" t="s">
        <v>1606</v>
      </c>
      <c r="F33" s="4" t="s">
        <v>1607</v>
      </c>
      <c r="G33" s="1" t="s">
        <v>1520</v>
      </c>
      <c r="H33" s="1">
        <v>1</v>
      </c>
      <c r="I33" s="1">
        <v>0</v>
      </c>
      <c r="J33" s="1">
        <f>IFERROR(INDEX(nINT_Interval_Value,MATCH("EX-C04|2|I04",nINT_Key,0)),"(row not found)")</f>
        <v>1</v>
      </c>
      <c r="K33" s="1" t="str">
        <f>IFERROR(INDEX(nINT_Result_Display,MATCH("EX-C04|2|I04",nINT_Key,0)),"(row not found)")</f>
        <v>1 calendar days</v>
      </c>
      <c r="L33" s="1" t="b">
        <f>IF(ISNUMBER(J33),ABS(ROUND(J33,I33)-H33)&lt;0.000000001,FALSE)</f>
        <v>1</v>
      </c>
    </row>
    <row r="34" spans="1:12" x14ac:dyDescent="0.2">
      <c r="A34" s="1">
        <v>28</v>
      </c>
      <c r="B34" s="1" t="s">
        <v>295</v>
      </c>
      <c r="C34" s="1" t="s">
        <v>1608</v>
      </c>
      <c r="D34" s="1" t="s">
        <v>1609</v>
      </c>
      <c r="E34" s="1" t="s">
        <v>1610</v>
      </c>
      <c r="F34" s="4" t="s">
        <v>1611</v>
      </c>
      <c r="G34" s="1" t="s">
        <v>1520</v>
      </c>
      <c r="H34" s="1">
        <v>1660</v>
      </c>
      <c r="I34" s="1">
        <v>0</v>
      </c>
      <c r="J34" s="1">
        <f>IFERROR(INDEX(nINT_Interval_Value,MATCH("EX-C04|2|I05",nINT_Key,0)),"(row not found)")</f>
        <v>1660</v>
      </c>
      <c r="K34" s="1" t="str">
        <f>IFERROR(INDEX(nINT_Result_Display,MATCH("EX-C04|2|I05",nINT_Key,0)),"(row not found)")</f>
        <v>1,660 minutes (local clock) (27.7 hours)</v>
      </c>
      <c r="L34" s="1" t="b">
        <f>IF(ISNUMBER(J34),ABS(ROUND(J34,I34)-H34)&lt;0.000000001,FALSE)</f>
        <v>1</v>
      </c>
    </row>
    <row r="35" spans="1:12" x14ac:dyDescent="0.2">
      <c r="A35" s="1">
        <v>29</v>
      </c>
      <c r="B35" s="1" t="s">
        <v>295</v>
      </c>
      <c r="C35" s="1" t="s">
        <v>1608</v>
      </c>
      <c r="D35" s="1" t="s">
        <v>1612</v>
      </c>
      <c r="E35" s="1" t="s">
        <v>1613</v>
      </c>
      <c r="F35" s="4" t="s">
        <v>1614</v>
      </c>
      <c r="G35" s="1" t="s">
        <v>1525</v>
      </c>
      <c r="H35" s="4" t="s">
        <v>1615</v>
      </c>
      <c r="J35" s="1" t="str">
        <f>IFERROR(INDEX(nINT_Unit,MATCH("EX-C04|2|I05",nINT_Key,0)),"(row not found)")</f>
        <v>minutes (local clock)</v>
      </c>
      <c r="K35" s="1" t="str">
        <f>IFERROR(INDEX(nINT_Result_Display,MATCH("EX-C04|2|I05",nINT_Key,0)),"(row not found)")</f>
        <v>1,660 minutes (local clock) (27.7 hours)</v>
      </c>
      <c r="L35" s="1" t="b">
        <f>EXACT(J35&amp;"",H35&amp;"")</f>
        <v>1</v>
      </c>
    </row>
    <row r="36" spans="1:12" x14ac:dyDescent="0.2">
      <c r="A36" s="1">
        <v>30</v>
      </c>
      <c r="B36" s="1" t="s">
        <v>295</v>
      </c>
      <c r="C36" s="1" t="s">
        <v>1608</v>
      </c>
      <c r="D36" s="1" t="s">
        <v>1616</v>
      </c>
      <c r="E36" s="1" t="s">
        <v>1617</v>
      </c>
      <c r="F36" s="4" t="s">
        <v>230</v>
      </c>
      <c r="G36" s="1" t="s">
        <v>1570</v>
      </c>
      <c r="H36" s="4" t="s">
        <v>230</v>
      </c>
      <c r="J36" s="1" t="str">
        <f>IFERROR(INDEX(nINT_QC_Flags,MATCH("EX-C04|2|I05",nINT_Key,0)),"(row not found)")</f>
        <v>W_TZ_UNKNOWN</v>
      </c>
      <c r="K36" s="1" t="str">
        <f>IFERROR(INDEX(nINT_Result_Display,MATCH("EX-C04|2|I05",nINT_Key,0)),"(row not found)")</f>
        <v>1,660 minutes (local clock) (27.7 hours)</v>
      </c>
      <c r="L36" s="1" t="b">
        <f>ISNUMBER(SEARCH(H36,J36))</f>
        <v>1</v>
      </c>
    </row>
    <row r="37" spans="1:12" x14ac:dyDescent="0.2">
      <c r="A37" s="1">
        <v>31</v>
      </c>
      <c r="B37" s="1" t="s">
        <v>295</v>
      </c>
      <c r="C37" s="1" t="s">
        <v>1618</v>
      </c>
      <c r="D37" s="1" t="s">
        <v>1619</v>
      </c>
      <c r="E37" s="1" t="s">
        <v>1620</v>
      </c>
      <c r="F37" s="4" t="s">
        <v>1621</v>
      </c>
      <c r="G37" s="1" t="s">
        <v>1520</v>
      </c>
      <c r="H37" s="1">
        <v>3</v>
      </c>
      <c r="I37" s="1">
        <v>0</v>
      </c>
      <c r="J37" s="1">
        <f>IFERROR(INDEX(nINT_Interval_Value,MATCH("EX-C04|2|I06",nINT_Key,0)),"(row not found)")</f>
        <v>3</v>
      </c>
      <c r="K37" s="1" t="str">
        <f>IFERROR(INDEX(nINT_Result_Display,MATCH("EX-C04|2|I06",nINT_Key,0)),"(row not found)")</f>
        <v>3 calendar days</v>
      </c>
      <c r="L37" s="1" t="b">
        <f>IF(ISNUMBER(J37),ABS(ROUND(J37,I37)-H37)&lt;0.000000001,FALSE)</f>
        <v>1</v>
      </c>
    </row>
    <row r="38" spans="1:12" x14ac:dyDescent="0.2">
      <c r="A38" s="1">
        <v>32</v>
      </c>
      <c r="B38" s="1" t="s">
        <v>295</v>
      </c>
      <c r="C38" s="1" t="s">
        <v>1618</v>
      </c>
      <c r="D38" s="1" t="s">
        <v>1568</v>
      </c>
      <c r="E38" s="1" t="s">
        <v>1622</v>
      </c>
      <c r="F38" s="4" t="s">
        <v>246</v>
      </c>
      <c r="G38" s="1" t="s">
        <v>1570</v>
      </c>
      <c r="H38" s="4" t="s">
        <v>246</v>
      </c>
      <c r="J38" s="1" t="str">
        <f>IFERROR(INDEX(nINT_QC_Flags,MATCH("EX-C04|2|I06",nINT_Key,0)),"(row not found)")</f>
        <v>W_INTERVENTION_BEFORE_RECOVERY</v>
      </c>
      <c r="K38" s="1" t="str">
        <f>IFERROR(INDEX(nINT_Result_Display,MATCH("EX-C04|2|I06",nINT_Key,0)),"(row not found)")</f>
        <v>3 calendar days</v>
      </c>
      <c r="L38" s="1" t="b">
        <f>ISNUMBER(SEARCH(H38,J38))</f>
        <v>1</v>
      </c>
    </row>
    <row r="39" spans="1:12" x14ac:dyDescent="0.2">
      <c r="A39" s="1">
        <v>33</v>
      </c>
      <c r="B39" s="1" t="s">
        <v>295</v>
      </c>
      <c r="C39" s="1" t="s">
        <v>1608</v>
      </c>
      <c r="D39" s="1" t="s">
        <v>1623</v>
      </c>
      <c r="E39" s="1" t="s">
        <v>1624</v>
      </c>
      <c r="F39" s="4" t="s">
        <v>1625</v>
      </c>
      <c r="G39" s="1" t="s">
        <v>1520</v>
      </c>
      <c r="H39" s="1">
        <v>40</v>
      </c>
      <c r="I39" s="1">
        <v>0</v>
      </c>
      <c r="J39" s="1">
        <f>IFERROR(INDEX(nQ11_CrCl_mL_min,MATCH("EX-C04|2|Q11-C04-baseline",nQ11_Key,0)),"(row not found)")</f>
        <v>40.398611111111109</v>
      </c>
      <c r="K39" s="1" t="str">
        <f>IFERROR(INDEX(nQ11_Result_Display,MATCH("EX-C04|2|Q11-C04-baseline",nQ11_Key,0)),"(row not found)")</f>
        <v>40 mL/minute estimated creatinine clearance (female)</v>
      </c>
      <c r="L39" s="1" t="b">
        <f>IF(ISNUMBER(J39),ABS(ROUND(J39,I39)-H39)&lt;0.000000001,FALSE)</f>
        <v>1</v>
      </c>
    </row>
    <row r="40" spans="1:12" x14ac:dyDescent="0.2">
      <c r="A40" s="1">
        <v>34</v>
      </c>
      <c r="B40" s="1" t="s">
        <v>295</v>
      </c>
      <c r="C40" s="1" t="s">
        <v>1608</v>
      </c>
      <c r="D40" s="1" t="s">
        <v>1626</v>
      </c>
      <c r="E40" s="1" t="s">
        <v>1624</v>
      </c>
      <c r="F40" s="4" t="s">
        <v>1627</v>
      </c>
      <c r="G40" s="1" t="s">
        <v>1520</v>
      </c>
      <c r="H40" s="1">
        <v>40.399000000000001</v>
      </c>
      <c r="I40" s="1">
        <v>3</v>
      </c>
      <c r="J40" s="1">
        <f>IFERROR(INDEX(nQ11_CrCl_mL_min,MATCH("EX-C04|2|Q11-C04-baseline",nQ11_Key,0)),"(row not found)")</f>
        <v>40.398611111111109</v>
      </c>
      <c r="K40" s="1" t="str">
        <f>IFERROR(INDEX(nQ11_Result_Display,MATCH("EX-C04|2|Q11-C04-baseline",nQ11_Key,0)),"(row not found)")</f>
        <v>40 mL/minute estimated creatinine clearance (female)</v>
      </c>
      <c r="L40" s="1" t="b">
        <f>IF(ISNUMBER(J40),ABS(ROUND(J40,I40)-H40)&lt;0.000000001,FALSE)</f>
        <v>1</v>
      </c>
    </row>
    <row r="41" spans="1:12" x14ac:dyDescent="0.2">
      <c r="A41" s="1">
        <v>35</v>
      </c>
      <c r="B41" s="1" t="s">
        <v>295</v>
      </c>
      <c r="C41" s="1" t="s">
        <v>1608</v>
      </c>
      <c r="D41" s="1" t="s">
        <v>1628</v>
      </c>
      <c r="E41" s="1" t="s">
        <v>1629</v>
      </c>
      <c r="F41" s="4" t="s">
        <v>224</v>
      </c>
      <c r="G41" s="1" t="s">
        <v>1525</v>
      </c>
      <c r="H41" s="4" t="s">
        <v>224</v>
      </c>
      <c r="J41" s="1" t="str">
        <f>IFERROR(INDEX(nQ11_QC_Flags,MATCH("EX-C04|2|Q11-C04-1Jul",nQ11_Key,0)),"(row not found)")</f>
        <v>E_CREATININE_STABILITY_UNCONFIRMED</v>
      </c>
      <c r="K41" s="1" t="str">
        <f>IFERROR(INDEX(nQ11_Result_Display,MATCH("EX-C04|2|Q11-C04-1Jul",nQ11_Key,0)),"(row not found)")</f>
        <v>E_CREATININE_STABILITY_UNCONFIRMED: no result is shown</v>
      </c>
      <c r="L41" s="1" t="b">
        <f>EXACT(J41&amp;"",H41&amp;"")</f>
        <v>1</v>
      </c>
    </row>
    <row r="42" spans="1:12" x14ac:dyDescent="0.2">
      <c r="A42" s="1">
        <v>36</v>
      </c>
      <c r="B42" s="1" t="s">
        <v>295</v>
      </c>
      <c r="C42" s="1" t="s">
        <v>1608</v>
      </c>
      <c r="D42" s="1" t="s">
        <v>1630</v>
      </c>
      <c r="E42" s="1" t="s">
        <v>1631</v>
      </c>
      <c r="F42" s="4" t="s">
        <v>224</v>
      </c>
      <c r="G42" s="1" t="s">
        <v>1525</v>
      </c>
      <c r="H42" s="4" t="s">
        <v>224</v>
      </c>
      <c r="J42" s="1" t="str">
        <f>IFERROR(INDEX(nQ11_QC_Flags,MATCH("EX-C04|2|Q11-C04-5Jul",nQ11_Key,0)),"(row not found)")</f>
        <v>E_CREATININE_STABILITY_UNCONFIRMED</v>
      </c>
      <c r="K42" s="1" t="str">
        <f>IFERROR(INDEX(nQ11_Result_Display,MATCH("EX-C04|2|Q11-C04-5Jul",nQ11_Key,0)),"(row not found)")</f>
        <v>E_CREATININE_STABILITY_UNCONFIRMED: no result is shown</v>
      </c>
      <c r="L42" s="1" t="b">
        <f>EXACT(J42&amp;"",H42&amp;"")</f>
        <v>1</v>
      </c>
    </row>
    <row r="43" spans="1:12" x14ac:dyDescent="0.2">
      <c r="A43" s="1">
        <v>37</v>
      </c>
      <c r="B43" s="1" t="s">
        <v>295</v>
      </c>
      <c r="C43" s="1" t="s">
        <v>1632</v>
      </c>
      <c r="D43" s="1" t="s">
        <v>1633</v>
      </c>
      <c r="E43" s="1" t="s">
        <v>1634</v>
      </c>
      <c r="F43" s="4" t="s">
        <v>1635</v>
      </c>
      <c r="G43" s="1" t="s">
        <v>1520</v>
      </c>
      <c r="H43" s="1">
        <v>25</v>
      </c>
      <c r="I43" s="1">
        <v>1</v>
      </c>
      <c r="J43" s="1">
        <f>IFERROR(INDEX(nQ8_Percent_at_Lower,MATCH("EX-C04|2|Q8-C04-normal",nQ8_Key,0)),"(row not found)")</f>
        <v>25</v>
      </c>
      <c r="K43" s="1" t="str">
        <f>IFERROR(INDEX(nQ8_Result_Display,MATCH("EX-C04|2|Q8-C04-normal",nQ8_Key,0)),"(row not found)")</f>
        <v>From 25.0% (t_half 1.5 days) to 35.4% (t_half 2 days) remaining; scenario range, not a confidence interval</v>
      </c>
      <c r="L43" s="1" t="b">
        <f>IF(ISNUMBER(J43),ABS(ROUND(J43,I43)-H43)&lt;0.000000001,FALSE)</f>
        <v>1</v>
      </c>
    </row>
    <row r="44" spans="1:12" x14ac:dyDescent="0.2">
      <c r="A44" s="1">
        <v>38</v>
      </c>
      <c r="B44" s="1" t="s">
        <v>295</v>
      </c>
      <c r="C44" s="1" t="s">
        <v>1632</v>
      </c>
      <c r="D44" s="1" t="s">
        <v>1636</v>
      </c>
      <c r="E44" s="1" t="s">
        <v>1637</v>
      </c>
      <c r="F44" s="4" t="s">
        <v>1638</v>
      </c>
      <c r="G44" s="1" t="s">
        <v>1520</v>
      </c>
      <c r="H44" s="1">
        <v>35.4</v>
      </c>
      <c r="I44" s="1">
        <v>1</v>
      </c>
      <c r="J44" s="1">
        <f>IFERROR(INDEX(nQ8_Percent_at_Upper,MATCH("EX-C04|2|Q8-C04-normal",nQ8_Key,0)),"(row not found)")</f>
        <v>35.355339059327378</v>
      </c>
      <c r="K44" s="1" t="str">
        <f>IFERROR(INDEX(nQ8_Result_Display,MATCH("EX-C04|2|Q8-C04-normal",nQ8_Key,0)),"(row not found)")</f>
        <v>From 25.0% (t_half 1.5 days) to 35.4% (t_half 2 days) remaining; scenario range, not a confidence interval</v>
      </c>
      <c r="L44" s="1" t="b">
        <f>IF(ISNUMBER(J44),ABS(ROUND(J44,I44)-H44)&lt;0.000000001,FALSE)</f>
        <v>1</v>
      </c>
    </row>
    <row r="45" spans="1:12" x14ac:dyDescent="0.2">
      <c r="A45" s="1">
        <v>39</v>
      </c>
      <c r="B45" s="1" t="s">
        <v>295</v>
      </c>
      <c r="C45" s="1" t="s">
        <v>1632</v>
      </c>
      <c r="D45" s="1" t="s">
        <v>1639</v>
      </c>
      <c r="E45" s="1" t="s">
        <v>1640</v>
      </c>
      <c r="F45" s="4" t="s">
        <v>1641</v>
      </c>
      <c r="G45" s="1" t="s">
        <v>1520</v>
      </c>
      <c r="H45" s="1">
        <v>55.2</v>
      </c>
      <c r="I45" s="1">
        <v>1</v>
      </c>
      <c r="J45" s="1">
        <f>IFERROR(INDEX(nQ8_Percent_at_Lower,MATCH("EX-C04|2|Q8-C04-anuric",nQ8_Key,0)),"(row not found)")</f>
        <v>55.204475683690625</v>
      </c>
      <c r="K45" s="1" t="str">
        <f>IFERROR(INDEX(nQ8_Result_Display,MATCH("EX-C04|2|Q8-C04-anuric",nQ8_Key,0)),"(row not found)")</f>
        <v>From 55.2% (t_half 3.5 days) to 66.0% (t_half 5 days) remaining; scenario range, not a confidence interval</v>
      </c>
      <c r="L45" s="1" t="b">
        <f>IF(ISNUMBER(J45),ABS(ROUND(J45,I45)-H45)&lt;0.000000001,FALSE)</f>
        <v>1</v>
      </c>
    </row>
    <row r="46" spans="1:12" x14ac:dyDescent="0.2">
      <c r="A46" s="1">
        <v>40</v>
      </c>
      <c r="B46" s="1" t="s">
        <v>295</v>
      </c>
      <c r="C46" s="1" t="s">
        <v>1632</v>
      </c>
      <c r="D46" s="1" t="s">
        <v>1642</v>
      </c>
      <c r="E46" s="1" t="s">
        <v>1643</v>
      </c>
      <c r="F46" s="4" t="s">
        <v>1644</v>
      </c>
      <c r="G46" s="1" t="s">
        <v>1520</v>
      </c>
      <c r="H46" s="1">
        <v>66</v>
      </c>
      <c r="I46" s="1">
        <v>1</v>
      </c>
      <c r="J46" s="1">
        <f>IFERROR(INDEX(nQ8_Percent_at_Upper,MATCH("EX-C04|2|Q8-C04-anuric",nQ8_Key,0)),"(row not found)")</f>
        <v>65.975395538644719</v>
      </c>
      <c r="K46" s="1" t="str">
        <f>IFERROR(INDEX(nQ8_Result_Display,MATCH("EX-C04|2|Q8-C04-anuric",nQ8_Key,0)),"(row not found)")</f>
        <v>From 55.2% (t_half 3.5 days) to 66.0% (t_half 5 days) remaining; scenario range, not a confidence interval</v>
      </c>
      <c r="L46" s="1" t="b">
        <f>IF(ISNUMBER(J46),ABS(ROUND(J46,I46)-H46)&lt;0.000000001,FALSE)</f>
        <v>1</v>
      </c>
    </row>
    <row r="47" spans="1:12" x14ac:dyDescent="0.2">
      <c r="A47" s="1">
        <v>41</v>
      </c>
      <c r="B47" s="1" t="s">
        <v>295</v>
      </c>
      <c r="C47" s="1" t="s">
        <v>1632</v>
      </c>
      <c r="D47" s="1" t="s">
        <v>1645</v>
      </c>
      <c r="E47" s="1" t="s">
        <v>1646</v>
      </c>
      <c r="F47" s="4" t="s">
        <v>265</v>
      </c>
      <c r="G47" s="1" t="s">
        <v>1525</v>
      </c>
      <c r="H47" s="4" t="s">
        <v>265</v>
      </c>
      <c r="J47" s="1" t="str">
        <f>IFERROR(INDEX(nQ8_QC_Flags,MATCH("EX-C04|2|Q8-C04-normal",nQ8_Key,0)),"(row not found)")</f>
        <v>I_SCENARIO_NOT_CI</v>
      </c>
      <c r="K47" s="1" t="str">
        <f>IFERROR(INDEX(nQ8_Result_Display,MATCH("EX-C04|2|Q8-C04-normal",nQ8_Key,0)),"(row not found)")</f>
        <v>From 25.0% (t_half 1.5 days) to 35.4% (t_half 2 days) remaining; scenario range, not a confidence interval</v>
      </c>
      <c r="L47" s="1" t="b">
        <f>EXACT(J47&amp;"",H47&amp;"")</f>
        <v>1</v>
      </c>
    </row>
    <row r="48" spans="1:12" x14ac:dyDescent="0.2">
      <c r="A48" s="1">
        <v>42</v>
      </c>
      <c r="B48" s="1" t="s">
        <v>295</v>
      </c>
      <c r="C48" s="1" t="s">
        <v>1647</v>
      </c>
      <c r="D48" s="1" t="s">
        <v>1648</v>
      </c>
      <c r="E48" s="1" t="s">
        <v>1649</v>
      </c>
      <c r="F48" s="4" t="s">
        <v>1650</v>
      </c>
      <c r="G48" s="1" t="s">
        <v>1520</v>
      </c>
      <c r="H48" s="1">
        <v>1.33</v>
      </c>
      <c r="I48" s="1">
        <v>2</v>
      </c>
      <c r="J48" s="1">
        <f>IFERROR(INDEX(nQ4_Css_Ratio,MATCH("EX-C04|2|Q4-C04-half-fe0.5",nQ4_Key,0)),"(row not found)")</f>
        <v>1.3333333333333333</v>
      </c>
      <c r="K48" s="1" t="str">
        <f>IFERROR(INDEX(nQ4_Result_Display,MATCH("EX-C04|2|Q4-C04-half-fe0.5",nQ4_Key,0)),"(row not found)")</f>
        <v>Half-life ratio 1.33; average steady-state concentration ratio 1.33</v>
      </c>
      <c r="L48" s="1" t="b">
        <f>IF(ISNUMBER(J48),ABS(ROUND(J48,I48)-H48)&lt;0.000000001,FALSE)</f>
        <v>1</v>
      </c>
    </row>
    <row r="49" spans="1:12" x14ac:dyDescent="0.2">
      <c r="A49" s="1">
        <v>43</v>
      </c>
      <c r="B49" s="1" t="s">
        <v>295</v>
      </c>
      <c r="C49" s="1" t="s">
        <v>1647</v>
      </c>
      <c r="D49" s="1" t="s">
        <v>1651</v>
      </c>
      <c r="E49" s="1" t="s">
        <v>1652</v>
      </c>
      <c r="F49" s="4" t="s">
        <v>1653</v>
      </c>
      <c r="G49" s="1" t="s">
        <v>1520</v>
      </c>
      <c r="H49" s="1">
        <v>1.54</v>
      </c>
      <c r="I49" s="1">
        <v>2</v>
      </c>
      <c r="J49" s="1">
        <f>IFERROR(INDEX(nQ4_Css_Ratio,MATCH("EX-C04|2|Q4-C04-half-fe0.7",nQ4_Key,0)),"(row not found)")</f>
        <v>1.5384615384615383</v>
      </c>
      <c r="K49" s="1" t="str">
        <f>IFERROR(INDEX(nQ4_Result_Display,MATCH("EX-C04|2|Q4-C04-half-fe0.7",nQ4_Key,0)),"(row not found)")</f>
        <v>Half-life ratio 1.54; average steady-state concentration ratio 1.54</v>
      </c>
      <c r="L49" s="1" t="b">
        <f>IF(ISNUMBER(J49),ABS(ROUND(J49,I49)-H49)&lt;0.000000001,FALSE)</f>
        <v>1</v>
      </c>
    </row>
    <row r="50" spans="1:12" x14ac:dyDescent="0.2">
      <c r="A50" s="1">
        <v>44</v>
      </c>
      <c r="B50" s="1" t="s">
        <v>295</v>
      </c>
      <c r="C50" s="1" t="s">
        <v>1647</v>
      </c>
      <c r="D50" s="1" t="s">
        <v>1654</v>
      </c>
      <c r="E50" s="1" t="s">
        <v>1655</v>
      </c>
      <c r="F50" s="4" t="s">
        <v>1656</v>
      </c>
      <c r="G50" s="1" t="s">
        <v>1520</v>
      </c>
      <c r="H50" s="1">
        <v>1.6</v>
      </c>
      <c r="I50" s="1">
        <v>2</v>
      </c>
      <c r="J50" s="1">
        <f>IFERROR(INDEX(nQ4_Css_Ratio,MATCH("EX-C04|2|Q4-C04-quarter-fe0.5",nQ4_Key,0)),"(row not found)")</f>
        <v>1.6</v>
      </c>
      <c r="K50" s="1" t="str">
        <f>IFERROR(INDEX(nQ4_Result_Display,MATCH("EX-C04|2|Q4-C04-quarter-fe0.5",nQ4_Key,0)),"(row not found)")</f>
        <v>Half-life ratio 1.60; average steady-state concentration ratio 1.60</v>
      </c>
      <c r="L50" s="1" t="b">
        <f>IF(ISNUMBER(J50),ABS(ROUND(J50,I50)-H50)&lt;0.000000001,FALSE)</f>
        <v>1</v>
      </c>
    </row>
    <row r="51" spans="1:12" x14ac:dyDescent="0.2">
      <c r="A51" s="1">
        <v>45</v>
      </c>
      <c r="B51" s="1" t="s">
        <v>295</v>
      </c>
      <c r="C51" s="1" t="s">
        <v>1647</v>
      </c>
      <c r="D51" s="1" t="s">
        <v>1657</v>
      </c>
      <c r="E51" s="1" t="s">
        <v>1658</v>
      </c>
      <c r="F51" s="4" t="s">
        <v>1659</v>
      </c>
      <c r="G51" s="1" t="s">
        <v>1520</v>
      </c>
      <c r="H51" s="1">
        <v>2.11</v>
      </c>
      <c r="I51" s="1">
        <v>2</v>
      </c>
      <c r="J51" s="1">
        <f>IFERROR(INDEX(nQ4_Css_Ratio,MATCH("EX-C04|2|Q4-C04-quarter-fe0.7",nQ4_Key,0)),"(row not found)")</f>
        <v>2.1052631578947367</v>
      </c>
      <c r="K51" s="1" t="str">
        <f>IFERROR(INDEX(nQ4_Result_Display,MATCH("EX-C04|2|Q4-C04-quarter-fe0.7",nQ4_Key,0)),"(row not found)")</f>
        <v>Half-life ratio 2.11; average steady-state concentration ratio 2.11</v>
      </c>
      <c r="L51" s="1" t="b">
        <f>IF(ISNUMBER(J51),ABS(ROUND(J51,I51)-H51)&lt;0.000000001,FALSE)</f>
        <v>1</v>
      </c>
    </row>
    <row r="52" spans="1:12" x14ac:dyDescent="0.2">
      <c r="A52" s="1">
        <v>46</v>
      </c>
      <c r="B52" s="1" t="s">
        <v>299</v>
      </c>
      <c r="C52" s="1" t="s">
        <v>1660</v>
      </c>
      <c r="D52" s="1" t="s">
        <v>1661</v>
      </c>
      <c r="E52" s="1" t="s">
        <v>1662</v>
      </c>
      <c r="F52" s="4" t="s">
        <v>1663</v>
      </c>
      <c r="G52" s="1" t="s">
        <v>1520</v>
      </c>
      <c r="H52" s="1">
        <v>435</v>
      </c>
      <c r="I52" s="1">
        <v>0</v>
      </c>
      <c r="J52" s="1">
        <f>IFERROR(INDEX(nINT_Interval_Value,MATCH("EX-C28|2|I01",nINT_Key,0)),"(row not found)")</f>
        <v>435</v>
      </c>
      <c r="K52" s="1" t="str">
        <f>IFERROR(INDEX(nINT_Result_Display,MATCH("EX-C28|2|I01",nINT_Key,0)),"(row not found)")</f>
        <v>435 calendar days</v>
      </c>
      <c r="L52" s="1" t="b">
        <f>IF(ISNUMBER(J52),ABS(ROUND(J52,I52)-H52)&lt;0.000000001,FALSE)</f>
        <v>1</v>
      </c>
    </row>
    <row r="53" spans="1:12" x14ac:dyDescent="0.2">
      <c r="A53" s="1">
        <v>47</v>
      </c>
      <c r="B53" s="1" t="s">
        <v>299</v>
      </c>
      <c r="C53" s="1" t="s">
        <v>1664</v>
      </c>
      <c r="D53" s="1" t="s">
        <v>1665</v>
      </c>
      <c r="E53" s="1" t="s">
        <v>1666</v>
      </c>
      <c r="F53" s="4" t="s">
        <v>262</v>
      </c>
      <c r="G53" s="1" t="s">
        <v>1570</v>
      </c>
      <c r="H53" s="4" t="s">
        <v>262</v>
      </c>
      <c r="J53" s="1" t="str">
        <f>IFERROR(INDEX(nINT_QC_Flags,MATCH("EX-C28|2|I01",nINT_Key,0)),"(row not found)")</f>
        <v>I_APPROXIMATE_NOT_COMPARED</v>
      </c>
      <c r="K53" s="1" t="str">
        <f>IFERROR(INDEX(nINT_Result_Display,MATCH("EX-C28|2|I01",nINT_Key,0)),"(row not found)")</f>
        <v>435 calendar days</v>
      </c>
      <c r="L53" s="1" t="b">
        <f>ISNUMBER(SEARCH(H53,J53))</f>
        <v>1</v>
      </c>
    </row>
    <row r="54" spans="1:12" x14ac:dyDescent="0.2">
      <c r="A54" s="1">
        <v>48</v>
      </c>
      <c r="B54" s="1" t="s">
        <v>299</v>
      </c>
      <c r="C54" s="1" t="s">
        <v>1667</v>
      </c>
      <c r="D54" s="1" t="s">
        <v>1668</v>
      </c>
      <c r="E54" s="1" t="s">
        <v>1669</v>
      </c>
      <c r="F54" s="4" t="s">
        <v>1670</v>
      </c>
      <c r="G54" s="1" t="s">
        <v>1525</v>
      </c>
      <c r="H54" s="4" t="s">
        <v>605</v>
      </c>
      <c r="J54" s="1" t="str">
        <f>IFERROR(INDEX(nINT_Anchor_Record_ID_Used,MATCH("EX-C28|2|I02",nINT_Key,0)),"(row not found)")</f>
        <v>ADM-RTX-6</v>
      </c>
      <c r="K54" s="1" t="str">
        <f>IFERROR(INDEX(nINT_Result_Display,MATCH("EX-C28|2|I02",nINT_Key,0)),"(row not found)")</f>
        <v>343 to 435 calendar days</v>
      </c>
      <c r="L54" s="1" t="b">
        <f>EXACT(J54&amp;"",H54&amp;"")</f>
        <v>1</v>
      </c>
    </row>
    <row r="55" spans="1:12" x14ac:dyDescent="0.2">
      <c r="A55" s="1">
        <v>49</v>
      </c>
      <c r="B55" s="1" t="s">
        <v>299</v>
      </c>
      <c r="C55" s="1" t="s">
        <v>1660</v>
      </c>
      <c r="D55" s="1" t="s">
        <v>1671</v>
      </c>
      <c r="E55" s="1" t="s">
        <v>1672</v>
      </c>
      <c r="F55" s="4" t="s">
        <v>1673</v>
      </c>
      <c r="G55" s="1" t="s">
        <v>1520</v>
      </c>
      <c r="H55" s="1">
        <v>343</v>
      </c>
      <c r="I55" s="1">
        <v>0</v>
      </c>
      <c r="J55" s="1">
        <f>IFERROR(INDEX(nINT_Interval_Minimum,MATCH("EX-C28|2|I02",nINT_Key,0)),"(row not found)")</f>
        <v>343</v>
      </c>
      <c r="K55" s="1" t="str">
        <f>IFERROR(INDEX(nINT_Result_Display,MATCH("EX-C28|2|I02",nINT_Key,0)),"(row not found)")</f>
        <v>343 to 435 calendar days</v>
      </c>
      <c r="L55" s="1" t="b">
        <f>IF(ISNUMBER(J55),ABS(ROUND(J55,I55)-H55)&lt;0.000000001,FALSE)</f>
        <v>1</v>
      </c>
    </row>
    <row r="56" spans="1:12" x14ac:dyDescent="0.2">
      <c r="A56" s="1">
        <v>50</v>
      </c>
      <c r="B56" s="1" t="s">
        <v>299</v>
      </c>
      <c r="C56" s="1" t="s">
        <v>1660</v>
      </c>
      <c r="D56" s="1" t="s">
        <v>1674</v>
      </c>
      <c r="E56" s="1" t="s">
        <v>1675</v>
      </c>
      <c r="F56" s="4" t="s">
        <v>1676</v>
      </c>
      <c r="G56" s="1" t="s">
        <v>1520</v>
      </c>
      <c r="H56" s="1">
        <v>435</v>
      </c>
      <c r="I56" s="1">
        <v>0</v>
      </c>
      <c r="J56" s="1">
        <f>IFERROR(INDEX(nINT_Interval_Maximum,MATCH("EX-C28|2|I02",nINT_Key,0)),"(row not found)")</f>
        <v>435</v>
      </c>
      <c r="K56" s="1" t="str">
        <f>IFERROR(INDEX(nINT_Result_Display,MATCH("EX-C28|2|I02",nINT_Key,0)),"(row not found)")</f>
        <v>343 to 435 calendar days</v>
      </c>
      <c r="L56" s="1" t="b">
        <f>IF(ISNUMBER(J56),ABS(ROUND(J56,I56)-H56)&lt;0.000000001,FALSE)</f>
        <v>1</v>
      </c>
    </row>
    <row r="57" spans="1:12" x14ac:dyDescent="0.2">
      <c r="A57" s="1">
        <v>51</v>
      </c>
      <c r="B57" s="1" t="s">
        <v>299</v>
      </c>
      <c r="C57" s="1" t="s">
        <v>1660</v>
      </c>
      <c r="D57" s="1" t="s">
        <v>1677</v>
      </c>
      <c r="E57" s="1" t="s">
        <v>1678</v>
      </c>
      <c r="F57" s="4" t="s">
        <v>1524</v>
      </c>
      <c r="G57" s="1" t="s">
        <v>1525</v>
      </c>
      <c r="H57" s="4" t="s">
        <v>1524</v>
      </c>
      <c r="J57" s="1" t="str">
        <f>IFERROR(INDEX(nINT_Sequence_Status,MATCH("EX-C28|2|I02",nINT_Key,0)),"(row not found)")</f>
        <v>AFTER</v>
      </c>
      <c r="K57" s="1" t="str">
        <f>IFERROR(INDEX(nINT_Result_Display,MATCH("EX-C28|2|I02",nINT_Key,0)),"(row not found)")</f>
        <v>343 to 435 calendar days</v>
      </c>
      <c r="L57" s="1" t="b">
        <f>EXACT(J57&amp;"",H57&amp;"")</f>
        <v>1</v>
      </c>
    </row>
    <row r="58" spans="1:12" x14ac:dyDescent="0.2">
      <c r="A58" s="1">
        <v>52</v>
      </c>
      <c r="B58" s="1" t="s">
        <v>299</v>
      </c>
      <c r="C58" s="1" t="s">
        <v>1660</v>
      </c>
      <c r="D58" s="1" t="s">
        <v>1679</v>
      </c>
      <c r="E58" s="1" t="s">
        <v>1680</v>
      </c>
      <c r="F58" s="4" t="s">
        <v>1681</v>
      </c>
      <c r="G58" s="1" t="s">
        <v>1520</v>
      </c>
      <c r="H58" s="1">
        <v>540</v>
      </c>
      <c r="I58" s="1">
        <v>0</v>
      </c>
      <c r="J58" s="1">
        <f>IFERROR(INDEX(nINT_Interval_Value,MATCH("EX-C28|2|I03",nINT_Key,0)),"(row not found)")</f>
        <v>540</v>
      </c>
      <c r="K58" s="1" t="str">
        <f>IFERROR(INDEX(nINT_Result_Display,MATCH("EX-C28|2|I03",nINT_Key,0)),"(row not found)")</f>
        <v>540 calendar days</v>
      </c>
      <c r="L58" s="1" t="b">
        <f>IF(ISNUMBER(J58),ABS(ROUND(J58,I58)-H58)&lt;0.000000001,FALSE)</f>
        <v>1</v>
      </c>
    </row>
    <row r="59" spans="1:12" x14ac:dyDescent="0.2">
      <c r="A59" s="1">
        <v>53</v>
      </c>
      <c r="B59" s="1" t="s">
        <v>299</v>
      </c>
      <c r="C59" s="1" t="s">
        <v>1682</v>
      </c>
      <c r="D59" s="1" t="s">
        <v>1683</v>
      </c>
      <c r="E59" s="1" t="s">
        <v>1684</v>
      </c>
      <c r="F59" s="4" t="s">
        <v>1685</v>
      </c>
      <c r="G59" s="1" t="s">
        <v>1520</v>
      </c>
      <c r="H59" s="1">
        <v>448</v>
      </c>
      <c r="I59" s="1">
        <v>0</v>
      </c>
      <c r="J59" s="1">
        <f>IFERROR(INDEX(nINT_Interval_Minimum,MATCH("EX-C28|2|I04",nINT_Key,0)),"(row not found)")</f>
        <v>448</v>
      </c>
      <c r="K59" s="1" t="str">
        <f>IFERROR(INDEX(nINT_Result_Display,MATCH("EX-C28|2|I04",nINT_Key,0)),"(row not found)")</f>
        <v>448 to 540 calendar days</v>
      </c>
      <c r="L59" s="1" t="b">
        <f>IF(ISNUMBER(J59),ABS(ROUND(J59,I59)-H59)&lt;0.000000001,FALSE)</f>
        <v>1</v>
      </c>
    </row>
    <row r="60" spans="1:12" x14ac:dyDescent="0.2">
      <c r="A60" s="1">
        <v>54</v>
      </c>
      <c r="B60" s="1" t="s">
        <v>299</v>
      </c>
      <c r="C60" s="1" t="s">
        <v>1682</v>
      </c>
      <c r="D60" s="1" t="s">
        <v>1686</v>
      </c>
      <c r="E60" s="1" t="s">
        <v>1687</v>
      </c>
      <c r="F60" s="4" t="s">
        <v>1688</v>
      </c>
      <c r="G60" s="1" t="s">
        <v>1520</v>
      </c>
      <c r="H60" s="1">
        <v>540</v>
      </c>
      <c r="I60" s="1">
        <v>0</v>
      </c>
      <c r="J60" s="1">
        <f>IFERROR(INDEX(nINT_Interval_Maximum,MATCH("EX-C28|2|I04",nINT_Key,0)),"(row not found)")</f>
        <v>540</v>
      </c>
      <c r="K60" s="1" t="str">
        <f>IFERROR(INDEX(nINT_Result_Display,MATCH("EX-C28|2|I04",nINT_Key,0)),"(row not found)")</f>
        <v>448 to 540 calendar days</v>
      </c>
      <c r="L60" s="1" t="b">
        <f>IF(ISNUMBER(J60),ABS(ROUND(J60,I60)-H60)&lt;0.000000001,FALSE)</f>
        <v>1</v>
      </c>
    </row>
    <row r="61" spans="1:12" x14ac:dyDescent="0.2">
      <c r="A61" s="1">
        <v>55</v>
      </c>
      <c r="B61" s="1" t="s">
        <v>299</v>
      </c>
      <c r="C61" s="1" t="s">
        <v>1660</v>
      </c>
      <c r="D61" s="1" t="s">
        <v>1689</v>
      </c>
      <c r="E61" s="1" t="s">
        <v>1690</v>
      </c>
      <c r="F61" s="4" t="s">
        <v>1691</v>
      </c>
      <c r="G61" s="1" t="s">
        <v>1520</v>
      </c>
      <c r="H61" s="1">
        <v>251</v>
      </c>
      <c r="I61" s="1">
        <v>0</v>
      </c>
      <c r="J61" s="1">
        <f>IFERROR(INDEX(nINT_Interval_Value,MATCH("EX-C28|2|I05",nINT_Key,0)),"(row not found)")</f>
        <v>251</v>
      </c>
      <c r="K61" s="1" t="str">
        <f>IFERROR(INDEX(nINT_Result_Display,MATCH("EX-C28|2|I05",nINT_Key,0)),"(row not found)")</f>
        <v>251 calendar days</v>
      </c>
      <c r="L61" s="1" t="b">
        <f>IF(ISNUMBER(J61),ABS(ROUND(J61,I61)-H61)&lt;0.000000001,FALSE)</f>
        <v>1</v>
      </c>
    </row>
    <row r="62" spans="1:12" x14ac:dyDescent="0.2">
      <c r="A62" s="1">
        <v>56</v>
      </c>
      <c r="B62" s="1" t="s">
        <v>299</v>
      </c>
      <c r="C62" s="1" t="s">
        <v>1660</v>
      </c>
      <c r="D62" s="1" t="s">
        <v>1692</v>
      </c>
      <c r="E62" s="1" t="s">
        <v>1693</v>
      </c>
      <c r="F62" s="4" t="s">
        <v>1694</v>
      </c>
      <c r="G62" s="1" t="s">
        <v>1520</v>
      </c>
      <c r="H62" s="1">
        <v>159</v>
      </c>
      <c r="I62" s="1">
        <v>0</v>
      </c>
      <c r="J62" s="1">
        <f>IFERROR(INDEX(nINT_Interval_Minimum,MATCH("EX-C28|2|I06",nINT_Key,0)),"(row not found)")</f>
        <v>159</v>
      </c>
      <c r="K62" s="1" t="str">
        <f>IFERROR(INDEX(nINT_Result_Display,MATCH("EX-C28|2|I06",nINT_Key,0)),"(row not found)")</f>
        <v>159 to 251 calendar days</v>
      </c>
      <c r="L62" s="1" t="b">
        <f>IF(ISNUMBER(J62),ABS(ROUND(J62,I62)-H62)&lt;0.000000001,FALSE)</f>
        <v>1</v>
      </c>
    </row>
    <row r="63" spans="1:12" x14ac:dyDescent="0.2">
      <c r="A63" s="1">
        <v>57</v>
      </c>
      <c r="B63" s="1" t="s">
        <v>299</v>
      </c>
      <c r="C63" s="1" t="s">
        <v>1660</v>
      </c>
      <c r="D63" s="1" t="s">
        <v>1695</v>
      </c>
      <c r="E63" s="1" t="s">
        <v>1696</v>
      </c>
      <c r="F63" s="4" t="s">
        <v>1697</v>
      </c>
      <c r="G63" s="1" t="s">
        <v>1520</v>
      </c>
      <c r="H63" s="1">
        <v>251</v>
      </c>
      <c r="I63" s="1">
        <v>0</v>
      </c>
      <c r="J63" s="1">
        <f>IFERROR(INDEX(nINT_Interval_Maximum,MATCH("EX-C28|2|I06",nINT_Key,0)),"(row not found)")</f>
        <v>251</v>
      </c>
      <c r="K63" s="1" t="str">
        <f>IFERROR(INDEX(nINT_Result_Display,MATCH("EX-C28|2|I06",nINT_Key,0)),"(row not found)")</f>
        <v>159 to 251 calendar days</v>
      </c>
      <c r="L63" s="1" t="b">
        <f>IF(ISNUMBER(J63),ABS(ROUND(J63,I63)-H63)&lt;0.000000001,FALSE)</f>
        <v>1</v>
      </c>
    </row>
    <row r="64" spans="1:12" x14ac:dyDescent="0.2">
      <c r="A64" s="1">
        <v>58</v>
      </c>
      <c r="B64" s="1" t="s">
        <v>299</v>
      </c>
      <c r="C64" s="1" t="s">
        <v>1660</v>
      </c>
      <c r="D64" s="1" t="s">
        <v>1698</v>
      </c>
      <c r="E64" s="1" t="s">
        <v>1699</v>
      </c>
      <c r="F64" s="4" t="s">
        <v>1700</v>
      </c>
      <c r="G64" s="1" t="s">
        <v>1520</v>
      </c>
      <c r="H64" s="1">
        <v>71</v>
      </c>
      <c r="I64" s="1">
        <v>0</v>
      </c>
      <c r="J64" s="1">
        <f>IFERROR(INDEX(nINT_Interval_Value,MATCH("EX-C28|2|I07",nINT_Key,0)),"(row not found)")</f>
        <v>71</v>
      </c>
      <c r="K64" s="1" t="str">
        <f>IFERROR(INDEX(nINT_Result_Display,MATCH("EX-C28|2|I07",nINT_Key,0)),"(row not found)")</f>
        <v>71 calendar days</v>
      </c>
      <c r="L64" s="1" t="b">
        <f>IF(ISNUMBER(J64),ABS(ROUND(J64,I64)-H64)&lt;0.000000001,FALSE)</f>
        <v>1</v>
      </c>
    </row>
    <row r="65" spans="1:12" x14ac:dyDescent="0.2">
      <c r="A65" s="1">
        <v>59</v>
      </c>
      <c r="B65" s="1" t="s">
        <v>299</v>
      </c>
      <c r="C65" s="1" t="s">
        <v>1660</v>
      </c>
      <c r="D65" s="1" t="s">
        <v>1701</v>
      </c>
      <c r="E65" s="1" t="s">
        <v>1702</v>
      </c>
      <c r="F65" s="4" t="s">
        <v>1703</v>
      </c>
      <c r="G65" s="1" t="s">
        <v>1520</v>
      </c>
      <c r="H65" s="1">
        <v>-21</v>
      </c>
      <c r="I65" s="1">
        <v>0</v>
      </c>
      <c r="J65" s="1">
        <f>IFERROR(INDEX(nINT_Interval_Minimum,MATCH("EX-C28|2|I08",nINT_Key,0)),"(row not found)")</f>
        <v>-21</v>
      </c>
      <c r="K65" s="1" t="str">
        <f>IFERROR(INDEX(nINT_Result_Display,MATCH("EX-C28|2|I08",nINT_Key,0)),"(row not found)")</f>
        <v>-21 to 71 calendar days</v>
      </c>
      <c r="L65" s="1" t="b">
        <f>IF(ISNUMBER(J65),ABS(ROUND(J65,I65)-H65)&lt;0.000000001,FALSE)</f>
        <v>1</v>
      </c>
    </row>
    <row r="66" spans="1:12" x14ac:dyDescent="0.2">
      <c r="A66" s="1">
        <v>60</v>
      </c>
      <c r="B66" s="1" t="s">
        <v>299</v>
      </c>
      <c r="C66" s="1" t="s">
        <v>1660</v>
      </c>
      <c r="D66" s="1" t="s">
        <v>1704</v>
      </c>
      <c r="E66" s="1" t="s">
        <v>1705</v>
      </c>
      <c r="F66" s="4" t="s">
        <v>1706</v>
      </c>
      <c r="G66" s="1" t="s">
        <v>1520</v>
      </c>
      <c r="H66" s="1">
        <v>71</v>
      </c>
      <c r="I66" s="1">
        <v>0</v>
      </c>
      <c r="J66" s="1">
        <f>IFERROR(INDEX(nINT_Interval_Maximum,MATCH("EX-C28|2|I08",nINT_Key,0)),"(row not found)")</f>
        <v>71</v>
      </c>
      <c r="K66" s="1" t="str">
        <f>IFERROR(INDEX(nINT_Result_Display,MATCH("EX-C28|2|I08",nINT_Key,0)),"(row not found)")</f>
        <v>-21 to 71 calendar days</v>
      </c>
      <c r="L66" s="1" t="b">
        <f>IF(ISNUMBER(J66),ABS(ROUND(J66,I66)-H66)&lt;0.000000001,FALSE)</f>
        <v>1</v>
      </c>
    </row>
    <row r="67" spans="1:12" x14ac:dyDescent="0.2">
      <c r="A67" s="1">
        <v>61</v>
      </c>
      <c r="B67" s="1" t="s">
        <v>299</v>
      </c>
      <c r="C67" s="1" t="s">
        <v>1660</v>
      </c>
      <c r="D67" s="1" t="s">
        <v>1707</v>
      </c>
      <c r="E67" s="1" t="s">
        <v>1708</v>
      </c>
      <c r="F67" s="4" t="s">
        <v>1709</v>
      </c>
      <c r="G67" s="1" t="s">
        <v>1525</v>
      </c>
      <c r="H67" s="4" t="s">
        <v>1709</v>
      </c>
      <c r="J67" s="1" t="str">
        <f>IFERROR(INDEX(nINT_Sequence_Status,MATCH("EX-C28|2|I08",nINT_Key,0)),"(row not found)")</f>
        <v>SEQUENCE_UNCERTAIN</v>
      </c>
      <c r="K67" s="1" t="str">
        <f>IFERROR(INDEX(nINT_Result_Display,MATCH("EX-C28|2|I08",nINT_Key,0)),"(row not found)")</f>
        <v>-21 to 71 calendar days</v>
      </c>
      <c r="L67" s="1" t="b">
        <f>EXACT(J67&amp;"",H67&amp;"")</f>
        <v>1</v>
      </c>
    </row>
    <row r="68" spans="1:12" x14ac:dyDescent="0.2">
      <c r="A68" s="1">
        <v>62</v>
      </c>
      <c r="B68" s="1" t="s">
        <v>299</v>
      </c>
      <c r="C68" s="1" t="s">
        <v>1660</v>
      </c>
      <c r="D68" s="1" t="s">
        <v>1710</v>
      </c>
      <c r="E68" s="1" t="s">
        <v>1711</v>
      </c>
      <c r="F68" s="4" t="s">
        <v>237</v>
      </c>
      <c r="G68" s="1" t="s">
        <v>1570</v>
      </c>
      <c r="H68" s="4" t="s">
        <v>237</v>
      </c>
      <c r="J68" s="1" t="str">
        <f>IFERROR(INDEX(nINT_QC_Flags,MATCH("EX-C28|2|I08",nINT_Key,0)),"(row not found)")</f>
        <v>W_SEQUENCE_UNCERTAIN</v>
      </c>
      <c r="K68" s="1" t="str">
        <f>IFERROR(INDEX(nINT_Result_Display,MATCH("EX-C28|2|I08",nINT_Key,0)),"(row not found)")</f>
        <v>-21 to 71 calendar days</v>
      </c>
      <c r="L68" s="1" t="b">
        <f>ISNUMBER(SEARCH(H68,J68))</f>
        <v>1</v>
      </c>
    </row>
    <row r="69" spans="1:12" x14ac:dyDescent="0.2">
      <c r="A69" s="1">
        <v>63</v>
      </c>
      <c r="B69" s="1" t="s">
        <v>299</v>
      </c>
      <c r="C69" s="1" t="s">
        <v>1660</v>
      </c>
      <c r="D69" s="1" t="s">
        <v>1712</v>
      </c>
      <c r="E69" s="1" t="s">
        <v>1713</v>
      </c>
      <c r="F69" s="4" t="s">
        <v>1714</v>
      </c>
      <c r="G69" s="1" t="s">
        <v>1520</v>
      </c>
      <c r="H69" s="1">
        <v>449</v>
      </c>
      <c r="I69" s="1">
        <v>0</v>
      </c>
      <c r="J69" s="1">
        <f>IFERROR(INDEX(nINT_Interval_Value,MATCH("EX-C28|2|I09",nINT_Key,0)),"(row not found)")</f>
        <v>449</v>
      </c>
      <c r="K69" s="1" t="str">
        <f>IFERROR(INDEX(nINT_Result_Display,MATCH("EX-C28|2|I09",nINT_Key,0)),"(row not found)")</f>
        <v>449 calendar days</v>
      </c>
      <c r="L69" s="1" t="b">
        <f>IF(ISNUMBER(J69),ABS(ROUND(J69,I69)-H69)&lt;0.000000001,FALSE)</f>
        <v>1</v>
      </c>
    </row>
    <row r="70" spans="1:12" x14ac:dyDescent="0.2">
      <c r="A70" s="1">
        <v>64</v>
      </c>
      <c r="B70" s="1" t="s">
        <v>299</v>
      </c>
      <c r="C70" s="1" t="s">
        <v>1715</v>
      </c>
      <c r="D70" s="1" t="s">
        <v>1716</v>
      </c>
      <c r="E70" s="1" t="s">
        <v>1717</v>
      </c>
      <c r="F70" s="4" t="s">
        <v>1718</v>
      </c>
      <c r="G70" s="1" t="s">
        <v>1520</v>
      </c>
      <c r="H70" s="1">
        <v>92</v>
      </c>
      <c r="I70" s="1">
        <v>0</v>
      </c>
      <c r="J70" s="1">
        <f>IFERROR(INDEX(nINT_Interval_Value,MATCH("EX-C28|2|I10",nINT_Key,0)),"(row not found)")</f>
        <v>92</v>
      </c>
      <c r="K70" s="1" t="str">
        <f>IFERROR(INDEX(nINT_Result_Display,MATCH("EX-C28|2|I10",nINT_Key,0)),"(row not found)")</f>
        <v>92 calendar days</v>
      </c>
      <c r="L70" s="1" t="b">
        <f>IF(ISNUMBER(J70),ABS(ROUND(J70,I70)-H70)&lt;0.000000001,FALSE)</f>
        <v>1</v>
      </c>
    </row>
    <row r="71" spans="1:12" x14ac:dyDescent="0.2">
      <c r="A71" s="1">
        <v>65</v>
      </c>
      <c r="B71" s="1" t="s">
        <v>299</v>
      </c>
      <c r="C71" s="1" t="s">
        <v>1719</v>
      </c>
      <c r="D71" s="1" t="s">
        <v>1002</v>
      </c>
      <c r="E71" s="1" t="s">
        <v>1720</v>
      </c>
      <c r="F71" s="4" t="s">
        <v>1721</v>
      </c>
      <c r="G71" s="1" t="s">
        <v>1520</v>
      </c>
      <c r="H71" s="1">
        <v>184</v>
      </c>
      <c r="I71" s="1">
        <v>0</v>
      </c>
      <c r="J71" s="1">
        <f>IFERROR(INDEX(nINT_Interval_Value,MATCH("EX-C28|2|I11",nINT_Key,0)),"(row not found)")</f>
        <v>184</v>
      </c>
      <c r="K71" s="1" t="str">
        <f>IFERROR(INDEX(nINT_Result_Display,MATCH("EX-C28|2|I11",nINT_Key,0)),"(row not found)")</f>
        <v>184 calendar days</v>
      </c>
      <c r="L71" s="1" t="b">
        <f>IF(ISNUMBER(J71),ABS(ROUND(J71,I71)-H71)&lt;0.000000001,FALSE)</f>
        <v>1</v>
      </c>
    </row>
    <row r="72" spans="1:12" x14ac:dyDescent="0.2">
      <c r="A72" s="1">
        <v>66</v>
      </c>
      <c r="B72" s="1" t="s">
        <v>299</v>
      </c>
      <c r="C72" s="1" t="s">
        <v>1722</v>
      </c>
      <c r="D72" s="1" t="s">
        <v>1723</v>
      </c>
      <c r="E72" s="1" t="s">
        <v>1724</v>
      </c>
      <c r="F72" s="4" t="s">
        <v>1725</v>
      </c>
      <c r="G72" s="1" t="s">
        <v>1520</v>
      </c>
      <c r="H72" s="1">
        <v>1.12E-4</v>
      </c>
      <c r="I72" s="1">
        <v>6</v>
      </c>
      <c r="J72" s="1">
        <f>IFERROR(INDEX(nQ7_Percent_Remaining,MATCH("EX-C28|2|Q7-C28-435",nQ7_Key,0)),"(row not found)")</f>
        <v>1.1163901469344257E-4</v>
      </c>
      <c r="K72" s="1" t="str">
        <f>IFERROR(INDEX(nQ7_Result_Display,MATCH("EX-C28|2|Q7-C28-435",nQ7_Key,0)),"(row not found)")</f>
        <v>0.000112% of the post-infusion concentration remains after 435 days (W_BIOLOGIC_MODEL_CAUTION)</v>
      </c>
      <c r="L72" s="1" t="b">
        <f>IF(ISNUMBER(J72),ABS(ROUND(J72,I72)-H72)&lt;0.000000001,FALSE)</f>
        <v>1</v>
      </c>
    </row>
    <row r="73" spans="1:12" x14ac:dyDescent="0.2">
      <c r="A73" s="1">
        <v>67</v>
      </c>
      <c r="B73" s="1" t="s">
        <v>299</v>
      </c>
      <c r="C73" s="1" t="s">
        <v>1722</v>
      </c>
      <c r="D73" s="1" t="s">
        <v>1726</v>
      </c>
      <c r="E73" s="1" t="s">
        <v>1727</v>
      </c>
      <c r="F73" s="4" t="s">
        <v>1728</v>
      </c>
      <c r="G73" s="1" t="s">
        <v>1520</v>
      </c>
      <c r="H73" s="1">
        <v>2.0300000000000001E-3</v>
      </c>
      <c r="I73" s="1">
        <v>5</v>
      </c>
      <c r="J73" s="1">
        <f>IFERROR(INDEX(nQ7_Percent_Remaining,MATCH("EX-C28|2|Q7-C28-343",nQ7_Key,0)),"(row not found)")</f>
        <v>2.02613651731736E-3</v>
      </c>
      <c r="K73" s="1" t="str">
        <f>IFERROR(INDEX(nQ7_Result_Display,MATCH("EX-C28|2|Q7-C28-343",nQ7_Key,0)),"(row not found)")</f>
        <v>0.00203% of the post-infusion concentration remains after 343 days (W_BIOLOGIC_MODEL_CAUTION)</v>
      </c>
      <c r="L73" s="1" t="b">
        <f>IF(ISNUMBER(J73),ABS(ROUND(J73,I73)-H73)&lt;0.000000001,FALSE)</f>
        <v>1</v>
      </c>
    </row>
    <row r="74" spans="1:12" x14ac:dyDescent="0.2">
      <c r="A74" s="1">
        <v>68</v>
      </c>
      <c r="B74" s="1" t="s">
        <v>299</v>
      </c>
      <c r="C74" s="1" t="s">
        <v>1722</v>
      </c>
      <c r="D74" s="1" t="s">
        <v>1729</v>
      </c>
      <c r="E74" s="1" t="s">
        <v>1730</v>
      </c>
      <c r="F74" s="4" t="s">
        <v>249</v>
      </c>
      <c r="G74" s="1" t="s">
        <v>1525</v>
      </c>
      <c r="H74" s="4" t="s">
        <v>249</v>
      </c>
      <c r="J74" s="1" t="str">
        <f>IFERROR(INDEX(nQ7_QC_Flags,MATCH("EX-C28|2|Q7-C28-435",nQ7_Key,0)),"(row not found)")</f>
        <v>W_BIOLOGIC_MODEL_CAUTION</v>
      </c>
      <c r="K74" s="1" t="str">
        <f>IFERROR(INDEX(nQ7_Result_Display,MATCH("EX-C28|2|Q7-C28-435",nQ7_Key,0)),"(row not found)")</f>
        <v>0.000112% of the post-infusion concentration remains after 435 days (W_BIOLOGIC_MODEL_CAUTION)</v>
      </c>
      <c r="L74" s="1" t="b">
        <f>EXACT(J74&amp;"",H74&amp;"")</f>
        <v>1</v>
      </c>
    </row>
    <row r="75" spans="1:12" x14ac:dyDescent="0.2">
      <c r="A75" s="1">
        <v>69</v>
      </c>
      <c r="B75" s="1" t="s">
        <v>299</v>
      </c>
      <c r="C75" s="1" t="s">
        <v>1731</v>
      </c>
      <c r="D75" s="1" t="s">
        <v>1732</v>
      </c>
      <c r="E75" s="1" t="s">
        <v>1733</v>
      </c>
      <c r="F75" s="4" t="s">
        <v>1734</v>
      </c>
      <c r="G75" s="1" t="s">
        <v>1520</v>
      </c>
      <c r="H75" s="1">
        <v>0.30299999999999999</v>
      </c>
      <c r="I75" s="1">
        <v>3</v>
      </c>
      <c r="J75" s="1">
        <f>IFERROR(INDEX(nQ8_Percent_at_Upper,MATCH("EX-C28|2|Q8-C28-435",nQ8_Key,0)),"(row not found)")</f>
        <v>0.30322730461636493</v>
      </c>
      <c r="K75" s="1" t="str">
        <f>IFERROR(INDEX(nQ8_Result_Display,MATCH("EX-C28|2|Q8-C28-435",nQ8_Key,0)),"(row not found)")</f>
        <v>From 3.41 x 10^-20% (t_half 6.1 days) to 0.303% (t_half 52 days) remaining; scenario range, not a confidence interval</v>
      </c>
      <c r="L75" s="1" t="b">
        <f>IF(ISNUMBER(J75),ABS(ROUND(J75,I75)-H75)&lt;0.000000001,FALSE)</f>
        <v>1</v>
      </c>
    </row>
    <row r="76" spans="1:12" x14ac:dyDescent="0.2">
      <c r="A76" s="1">
        <v>70</v>
      </c>
      <c r="B76" s="1" t="s">
        <v>299</v>
      </c>
      <c r="C76" s="1" t="s">
        <v>1731</v>
      </c>
      <c r="D76" s="1" t="s">
        <v>1735</v>
      </c>
      <c r="E76" s="1" t="s">
        <v>1736</v>
      </c>
      <c r="F76" s="4" t="s">
        <v>1737</v>
      </c>
      <c r="G76" s="1" t="s">
        <v>1738</v>
      </c>
      <c r="H76" s="1">
        <v>1E-4</v>
      </c>
      <c r="J76" s="1">
        <f>IFERROR(INDEX(nQ8_Percent_at_Lower,MATCH("EX-C28|2|Q8-C28-435",nQ8_Key,0)),"(row not found)")</f>
        <v>3.4127687908932026E-20</v>
      </c>
      <c r="K76" s="1" t="str">
        <f>IFERROR(INDEX(nQ8_Result_Display,MATCH("EX-C28|2|Q8-C28-435",nQ8_Key,0)),"(row not found)")</f>
        <v>From 3.41 x 10^-20% (t_half 6.1 days) to 0.303% (t_half 52 days) remaining; scenario range, not a confidence interval</v>
      </c>
      <c r="L76" s="1" t="b">
        <f>IF(ISNUMBER(J76),J76&lt;H76,FALSE)</f>
        <v>1</v>
      </c>
    </row>
    <row r="77" spans="1:12" x14ac:dyDescent="0.2">
      <c r="A77" s="1">
        <v>71</v>
      </c>
      <c r="B77" s="1" t="s">
        <v>299</v>
      </c>
      <c r="C77" s="1" t="s">
        <v>1739</v>
      </c>
      <c r="D77" s="1" t="s">
        <v>1740</v>
      </c>
      <c r="E77" s="1" t="s">
        <v>1741</v>
      </c>
      <c r="F77" s="4" t="s">
        <v>1742</v>
      </c>
      <c r="G77" s="1" t="s">
        <v>1520</v>
      </c>
      <c r="H77" s="1">
        <v>1.03</v>
      </c>
      <c r="I77" s="1">
        <v>2</v>
      </c>
      <c r="J77" s="1">
        <f>IFERROR(INDEX(nQ8_Percent_at_Upper,MATCH("EX-C28|2|Q8-C28-343",nQ8_Key,0)),"(row not found)")</f>
        <v>1.0336174586237674</v>
      </c>
      <c r="K77" s="1" t="str">
        <f>IFERROR(INDEX(nQ8_Result_Display,MATCH("EX-C28|2|Q8-C28-343",nQ8_Key,0)),"(row not found)")</f>
        <v>From 1.18 x 10^-15% (t_half 6.1 days) to 1.03% (t_half 52 days) remaining; scenario range, not a confidence interval</v>
      </c>
      <c r="L77" s="1" t="b">
        <f>IF(ISNUMBER(J77),ABS(ROUND(J77,I77)-H77)&lt;0.000000001,FALSE)</f>
        <v>1</v>
      </c>
    </row>
    <row r="79" spans="1:12" x14ac:dyDescent="0.2">
      <c r="A79" s="7" t="s">
        <v>1744</v>
      </c>
    </row>
    <row r="80" spans="1:12" x14ac:dyDescent="0.2">
      <c r="D80" s="1" t="s">
        <v>1745</v>
      </c>
      <c r="F80" s="33">
        <v>46449</v>
      </c>
      <c r="J80" s="13">
        <f>IFERROR(EDATE(INDEX(nTP_Lo,MATCH("EX-C28|2|ADM-RTX-6",nTP_Key,0)),24),"(row not found)")</f>
        <v>46449</v>
      </c>
    </row>
    <row r="81" spans="4:10" x14ac:dyDescent="0.2">
      <c r="D81" s="1" t="s">
        <v>1746</v>
      </c>
      <c r="F81" s="1" t="s">
        <v>1747</v>
      </c>
      <c r="J81" s="1">
        <f>IFERROR(J80-INDEX(nTP_Lo,MATCH("EX-C28|2|ADM-RTX-6",nTP_Key,0)),"(row not found)")</f>
        <v>730</v>
      </c>
    </row>
  </sheetData>
  <sheetProtection sheet="1" objects="1" scenarios="1" formatColumns="0" formatRows="0" autoFilter="0"/>
  <mergeCells count="1">
    <mergeCell ref="A2:L2"/>
  </mergeCells>
  <conditionalFormatting sqref="L7:L77">
    <cfRule type="cellIs" dxfId="5" priority="1" stopIfTrue="1" operator="equal">
      <formula>TRUE</formula>
    </cfRule>
    <cfRule type="cellIs" dxfId="4" priority="2" stopIfTrue="1" operator="equal">
      <formula>FALSE</formula>
    </cfRule>
  </conditionalFormatting>
  <pageMargins left="0.7" right="0.7" top="0.75" bottom="0.75" header="0.3" footer="0.3"/>
  <pageSetup paperSize="257" scale="24" fitToHeight="0" orientation="landscape" horizontalDpi="0" verticalDpi="0" r:id="rId1"/>
  <headerFooter>
    <oddFooter>&amp;LTTO Companion Tools v1.0 (CALC-SPEC 1.0) - educational tool; not validated for regulated use; not a dosing tool; never assigns causality&amp;RPage &amp;P of &amp;N</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08BA00-5109-4E4A-8A8A-C3F17BA01569}">
  <sheetPr>
    <pageSetUpPr fitToPage="1"/>
  </sheetPr>
  <dimension ref="A1:H143"/>
  <sheetViews>
    <sheetView zoomScale="90" zoomScaleNormal="90" workbookViewId="0"/>
  </sheetViews>
  <sheetFormatPr defaultRowHeight="12.75" x14ac:dyDescent="0.2"/>
  <cols>
    <col min="1" max="1" width="6.7109375" style="1" customWidth="1"/>
    <col min="2" max="2" width="10.7109375" style="1" customWidth="1"/>
    <col min="3" max="3" width="34.7109375" style="1" customWidth="1"/>
    <col min="4" max="4" width="9.7109375" style="1" customWidth="1"/>
    <col min="5" max="5" width="42.7109375" style="1" customWidth="1"/>
    <col min="6" max="7" width="30.7109375" style="1" customWidth="1"/>
    <col min="8" max="8" width="9.7109375" style="1" customWidth="1"/>
    <col min="9" max="16384" width="9.140625" style="1"/>
  </cols>
  <sheetData>
    <row r="1" spans="1:8" ht="18.75" x14ac:dyDescent="0.3">
      <c r="A1" s="30" t="s">
        <v>1748</v>
      </c>
    </row>
    <row r="2" spans="1:8" ht="54" customHeight="1" x14ac:dyDescent="0.2">
      <c r="A2" s="31" t="s">
        <v>1749</v>
      </c>
      <c r="B2" s="31"/>
      <c r="C2" s="31"/>
      <c r="D2" s="31"/>
      <c r="E2" s="31"/>
      <c r="F2" s="31"/>
      <c r="G2" s="31"/>
      <c r="H2" s="31"/>
    </row>
    <row r="4" spans="1:8" ht="15.75" x14ac:dyDescent="0.25">
      <c r="A4" s="32" t="s">
        <v>1750</v>
      </c>
      <c r="C4" s="32" t="str">
        <f>IF(COUNTIFS($D$8:$D$34,"numeric",$H$8:$H$34,"PASS")=COUNTIF($D$8:$D$34,"numeric"),"PASS: all "&amp;COUNTIF($D$8:$D$34,"numeric")&amp;" numeric vectors reproduce within the JSON tolerance","FAIL: "&amp;COUNTIFS($D$8:$D$34,"numeric",$H$8:$H$34,"PASS")&amp;" of "&amp;COUNTIF($D$8:$D$34,"numeric")&amp;" numeric vectors pass")</f>
        <v>PASS: all 25 numeric vectors reproduce within the JSON tolerance</v>
      </c>
    </row>
    <row r="5" spans="1:8" x14ac:dyDescent="0.2">
      <c r="A5" s="1" t="s">
        <v>1751</v>
      </c>
      <c r="B5" s="34">
        <v>9.9999999999999995E-7</v>
      </c>
      <c r="C5" s="1" t="s">
        <v>1752</v>
      </c>
      <c r="D5" s="34">
        <v>1.0000000000000001E-9</v>
      </c>
      <c r="E5" s="1" t="s">
        <v>1753</v>
      </c>
    </row>
    <row r="7" spans="1:8" x14ac:dyDescent="0.2">
      <c r="A7" s="5" t="s">
        <v>1754</v>
      </c>
      <c r="B7" s="5" t="s">
        <v>1755</v>
      </c>
      <c r="C7" s="5" t="s">
        <v>1756</v>
      </c>
      <c r="D7" s="5" t="s">
        <v>193</v>
      </c>
      <c r="E7" s="5" t="s">
        <v>1757</v>
      </c>
      <c r="F7" s="5" t="s">
        <v>1758</v>
      </c>
      <c r="G7" s="5" t="s">
        <v>1759</v>
      </c>
      <c r="H7" s="5" t="s">
        <v>1760</v>
      </c>
    </row>
    <row r="8" spans="1:8" ht="51" x14ac:dyDescent="0.2">
      <c r="A8" s="35" t="s">
        <v>1761</v>
      </c>
      <c r="B8" s="35" t="s">
        <v>57</v>
      </c>
      <c r="C8" s="36" t="s">
        <v>1762</v>
      </c>
      <c r="D8" s="35" t="s">
        <v>1763</v>
      </c>
      <c r="E8" s="36" t="s">
        <v>1764</v>
      </c>
      <c r="F8" s="35">
        <f>COUNTIF($B$39:$B$138,A8)</f>
        <v>4</v>
      </c>
      <c r="G8" s="35">
        <f>COUNTIFS($B$39:$B$138,A8,$H$39:$H$138,TRUE)</f>
        <v>4</v>
      </c>
      <c r="H8" s="35" t="str">
        <f>IF(D8="behavioral","INSPECT",IF(AND(F8&gt;0,G8=F8),"PASS","FAIL"))</f>
        <v>PASS</v>
      </c>
    </row>
    <row r="9" spans="1:8" ht="76.5" x14ac:dyDescent="0.2">
      <c r="A9" s="35" t="s">
        <v>1765</v>
      </c>
      <c r="B9" s="35" t="s">
        <v>1766</v>
      </c>
      <c r="C9" s="36" t="s">
        <v>1762</v>
      </c>
      <c r="D9" s="35" t="s">
        <v>1763</v>
      </c>
      <c r="E9" s="36" t="s">
        <v>1767</v>
      </c>
      <c r="F9" s="35">
        <f>COUNTIF($B$39:$B$138,A9)</f>
        <v>5</v>
      </c>
      <c r="G9" s="35">
        <f>COUNTIFS($B$39:$B$138,A9,$H$39:$H$138,TRUE)</f>
        <v>5</v>
      </c>
      <c r="H9" s="35" t="str">
        <f>IF(D9="behavioral","INSPECT",IF(AND(F9&gt;0,G9=F9),"PASS","FAIL"))</f>
        <v>PASS</v>
      </c>
    </row>
    <row r="10" spans="1:8" ht="140.25" x14ac:dyDescent="0.2">
      <c r="A10" s="35" t="s">
        <v>1768</v>
      </c>
      <c r="B10" s="35" t="s">
        <v>58</v>
      </c>
      <c r="C10" s="36" t="s">
        <v>1762</v>
      </c>
      <c r="D10" s="35" t="s">
        <v>1763</v>
      </c>
      <c r="E10" s="36" t="s">
        <v>1769</v>
      </c>
      <c r="F10" s="35">
        <f>COUNTIF($B$39:$B$138,A10)</f>
        <v>4</v>
      </c>
      <c r="G10" s="35">
        <f>COUNTIFS($B$39:$B$138,A10,$H$39:$H$138,TRUE)</f>
        <v>4</v>
      </c>
      <c r="H10" s="35" t="str">
        <f>IF(D10="behavioral","INSPECT",IF(AND(F10&gt;0,G10=F10),"PASS","FAIL"))</f>
        <v>PASS</v>
      </c>
    </row>
    <row r="11" spans="1:8" ht="51" x14ac:dyDescent="0.2">
      <c r="A11" s="35" t="s">
        <v>1770</v>
      </c>
      <c r="B11" s="35" t="s">
        <v>58</v>
      </c>
      <c r="C11" s="36" t="s">
        <v>1762</v>
      </c>
      <c r="D11" s="35" t="s">
        <v>1763</v>
      </c>
      <c r="E11" s="36" t="s">
        <v>1771</v>
      </c>
      <c r="F11" s="35">
        <f>COUNTIF($B$39:$B$138,A11)</f>
        <v>4</v>
      </c>
      <c r="G11" s="35">
        <f>COUNTIFS($B$39:$B$138,A11,$H$39:$H$138,TRUE)</f>
        <v>4</v>
      </c>
      <c r="H11" s="35" t="str">
        <f>IF(D11="behavioral","INSPECT",IF(AND(F11&gt;0,G11=F11),"PASS","FAIL"))</f>
        <v>PASS</v>
      </c>
    </row>
    <row r="12" spans="1:8" ht="51" x14ac:dyDescent="0.2">
      <c r="A12" s="35" t="s">
        <v>1772</v>
      </c>
      <c r="B12" s="35" t="s">
        <v>59</v>
      </c>
      <c r="C12" s="36" t="s">
        <v>1762</v>
      </c>
      <c r="D12" s="35" t="s">
        <v>1763</v>
      </c>
      <c r="E12" s="36" t="s">
        <v>1773</v>
      </c>
      <c r="F12" s="35">
        <f>COUNTIF($B$39:$B$138,A12)</f>
        <v>5</v>
      </c>
      <c r="G12" s="35">
        <f>COUNTIFS($B$39:$B$138,A12,$H$39:$H$138,TRUE)</f>
        <v>5</v>
      </c>
      <c r="H12" s="35" t="str">
        <f>IF(D12="behavioral","INSPECT",IF(AND(F12&gt;0,G12=F12),"PASS","FAIL"))</f>
        <v>PASS</v>
      </c>
    </row>
    <row r="13" spans="1:8" ht="114.75" x14ac:dyDescent="0.2">
      <c r="A13" s="35" t="s">
        <v>1774</v>
      </c>
      <c r="B13" s="35" t="s">
        <v>59</v>
      </c>
      <c r="C13" s="36" t="s">
        <v>1762</v>
      </c>
      <c r="D13" s="35" t="s">
        <v>1763</v>
      </c>
      <c r="E13" s="36" t="s">
        <v>1775</v>
      </c>
      <c r="F13" s="35">
        <f>COUNTIF($B$39:$B$138,A13)</f>
        <v>5</v>
      </c>
      <c r="G13" s="35">
        <f>COUNTIFS($B$39:$B$138,A13,$H$39:$H$138,TRUE)</f>
        <v>5</v>
      </c>
      <c r="H13" s="35" t="str">
        <f>IF(D13="behavioral","INSPECT",IF(AND(F13&gt;0,G13=F13),"PASS","FAIL"))</f>
        <v>PASS</v>
      </c>
    </row>
    <row r="14" spans="1:8" ht="89.25" x14ac:dyDescent="0.2">
      <c r="A14" s="35" t="s">
        <v>1776</v>
      </c>
      <c r="B14" s="35" t="s">
        <v>1777</v>
      </c>
      <c r="C14" s="36" t="s">
        <v>1778</v>
      </c>
      <c r="D14" s="35" t="s">
        <v>1763</v>
      </c>
      <c r="E14" s="36" t="s">
        <v>1779</v>
      </c>
      <c r="F14" s="35">
        <f>COUNTIF($B$39:$B$138,A14)</f>
        <v>5</v>
      </c>
      <c r="G14" s="35">
        <f>COUNTIFS($B$39:$B$138,A14,$H$39:$H$138,TRUE)</f>
        <v>5</v>
      </c>
      <c r="H14" s="35" t="str">
        <f>IF(D14="behavioral","INSPECT",IF(AND(F14&gt;0,G14=F14),"PASS","FAIL"))</f>
        <v>PASS</v>
      </c>
    </row>
    <row r="15" spans="1:8" ht="89.25" x14ac:dyDescent="0.2">
      <c r="A15" s="35" t="s">
        <v>1780</v>
      </c>
      <c r="B15" s="35" t="s">
        <v>1777</v>
      </c>
      <c r="C15" s="36" t="s">
        <v>1781</v>
      </c>
      <c r="D15" s="35" t="s">
        <v>1763</v>
      </c>
      <c r="E15" s="36" t="s">
        <v>1782</v>
      </c>
      <c r="F15" s="35">
        <f>COUNTIF($B$39:$B$138,A15)</f>
        <v>5</v>
      </c>
      <c r="G15" s="35">
        <f>COUNTIFS($B$39:$B$138,A15,$H$39:$H$138,TRUE)</f>
        <v>5</v>
      </c>
      <c r="H15" s="35" t="str">
        <f>IF(D15="behavioral","INSPECT",IF(AND(F15&gt;0,G15=F15),"PASS","FAIL"))</f>
        <v>PASS</v>
      </c>
    </row>
    <row r="16" spans="1:8" ht="38.25" x14ac:dyDescent="0.2">
      <c r="A16" s="35" t="s">
        <v>1783</v>
      </c>
      <c r="B16" s="35" t="s">
        <v>57</v>
      </c>
      <c r="C16" s="36" t="s">
        <v>1762</v>
      </c>
      <c r="D16" s="35" t="s">
        <v>1763</v>
      </c>
      <c r="E16" s="36" t="s">
        <v>1784</v>
      </c>
      <c r="F16" s="35">
        <f>COUNTIF($B$39:$B$138,A16)</f>
        <v>4</v>
      </c>
      <c r="G16" s="35">
        <f>COUNTIFS($B$39:$B$138,A16,$H$39:$H$138,TRUE)</f>
        <v>4</v>
      </c>
      <c r="H16" s="35" t="str">
        <f>IF(D16="behavioral","INSPECT",IF(AND(F16&gt;0,G16=F16),"PASS","FAIL"))</f>
        <v>PASS</v>
      </c>
    </row>
    <row r="17" spans="1:8" ht="76.5" x14ac:dyDescent="0.2">
      <c r="A17" s="35" t="s">
        <v>1785</v>
      </c>
      <c r="B17" s="35" t="s">
        <v>57</v>
      </c>
      <c r="C17" s="36" t="s">
        <v>1762</v>
      </c>
      <c r="D17" s="35" t="s">
        <v>1763</v>
      </c>
      <c r="E17" s="36" t="s">
        <v>1786</v>
      </c>
      <c r="F17" s="35">
        <f>COUNTIF($B$39:$B$138,A17)</f>
        <v>4</v>
      </c>
      <c r="G17" s="35">
        <f>COUNTIFS($B$39:$B$138,A17,$H$39:$H$138,TRUE)</f>
        <v>4</v>
      </c>
      <c r="H17" s="35" t="str">
        <f>IF(D17="behavioral","INSPECT",IF(AND(F17&gt;0,G17=F17),"PASS","FAIL"))</f>
        <v>PASS</v>
      </c>
    </row>
    <row r="18" spans="1:8" ht="114.75" x14ac:dyDescent="0.2">
      <c r="A18" s="35" t="s">
        <v>1787</v>
      </c>
      <c r="B18" s="35" t="s">
        <v>1788</v>
      </c>
      <c r="C18" s="36" t="s">
        <v>1762</v>
      </c>
      <c r="D18" s="35" t="s">
        <v>1763</v>
      </c>
      <c r="E18" s="36" t="s">
        <v>1789</v>
      </c>
      <c r="F18" s="35">
        <f>COUNTIF($B$39:$B$138,A18)</f>
        <v>4</v>
      </c>
      <c r="G18" s="35">
        <f>COUNTIFS($B$39:$B$138,A18,$H$39:$H$138,TRUE)</f>
        <v>4</v>
      </c>
      <c r="H18" s="35" t="str">
        <f>IF(D18="behavioral","INSPECT",IF(AND(F18&gt;0,G18=F18),"PASS","FAIL"))</f>
        <v>PASS</v>
      </c>
    </row>
    <row r="19" spans="1:8" ht="76.5" x14ac:dyDescent="0.2">
      <c r="A19" s="35" t="s">
        <v>1790</v>
      </c>
      <c r="B19" s="35" t="s">
        <v>1791</v>
      </c>
      <c r="C19" s="36" t="s">
        <v>1792</v>
      </c>
      <c r="D19" s="35" t="s">
        <v>1793</v>
      </c>
      <c r="E19" s="36" t="s">
        <v>1794</v>
      </c>
      <c r="F19" s="35">
        <f>COUNTIF($B$39:$B$138,A19)</f>
        <v>2</v>
      </c>
      <c r="G19" s="35">
        <f>COUNTIFS($B$39:$B$138,A19,$H$39:$H$138,TRUE)</f>
        <v>2</v>
      </c>
      <c r="H19" s="35" t="str">
        <f>IF(D19="behavioral","INSPECT",IF(AND(F19&gt;0,G19=F19),"PASS","FAIL"))</f>
        <v>INSPECT</v>
      </c>
    </row>
    <row r="20" spans="1:8" ht="114.75" x14ac:dyDescent="0.2">
      <c r="A20" s="35" t="s">
        <v>1795</v>
      </c>
      <c r="B20" s="35" t="s">
        <v>1796</v>
      </c>
      <c r="C20" s="36" t="s">
        <v>1797</v>
      </c>
      <c r="D20" s="35" t="s">
        <v>1763</v>
      </c>
      <c r="E20" s="36" t="s">
        <v>1798</v>
      </c>
      <c r="F20" s="35">
        <f>COUNTIF($B$39:$B$138,A20)</f>
        <v>4</v>
      </c>
      <c r="G20" s="35">
        <f>COUNTIFS($B$39:$B$138,A20,$H$39:$H$138,TRUE)</f>
        <v>4</v>
      </c>
      <c r="H20" s="35" t="str">
        <f>IF(D20="behavioral","INSPECT",IF(AND(F20&gt;0,G20=F20),"PASS","FAIL"))</f>
        <v>PASS</v>
      </c>
    </row>
    <row r="21" spans="1:8" ht="140.25" x14ac:dyDescent="0.2">
      <c r="A21" s="35" t="s">
        <v>1799</v>
      </c>
      <c r="B21" s="35" t="s">
        <v>1800</v>
      </c>
      <c r="C21" s="36" t="s">
        <v>1801</v>
      </c>
      <c r="D21" s="35" t="s">
        <v>1793</v>
      </c>
      <c r="E21" s="36" t="s">
        <v>1802</v>
      </c>
      <c r="F21" s="35">
        <f>COUNTIF($B$39:$B$138,A21)</f>
        <v>0</v>
      </c>
      <c r="G21" s="35">
        <f>COUNTIFS($B$39:$B$138,A21,$H$39:$H$138,TRUE)</f>
        <v>0</v>
      </c>
      <c r="H21" s="35" t="str">
        <f>IF(D21="behavioral","INSPECT",IF(AND(F21&gt;0,G21=F21),"PASS","FAIL"))</f>
        <v>INSPECT</v>
      </c>
    </row>
    <row r="22" spans="1:8" ht="63.75" x14ac:dyDescent="0.2">
      <c r="A22" s="35" t="s">
        <v>1803</v>
      </c>
      <c r="B22" s="35" t="s">
        <v>1788</v>
      </c>
      <c r="C22" s="36" t="s">
        <v>1762</v>
      </c>
      <c r="D22" s="35" t="s">
        <v>1763</v>
      </c>
      <c r="E22" s="36" t="s">
        <v>1804</v>
      </c>
      <c r="F22" s="35">
        <f>COUNTIF($B$39:$B$138,A22)</f>
        <v>2</v>
      </c>
      <c r="G22" s="35">
        <f>COUNTIFS($B$39:$B$138,A22,$H$39:$H$138,TRUE)</f>
        <v>2</v>
      </c>
      <c r="H22" s="35" t="str">
        <f>IF(D22="behavioral","INSPECT",IF(AND(F22&gt;0,G22=F22),"PASS","FAIL"))</f>
        <v>PASS</v>
      </c>
    </row>
    <row r="23" spans="1:8" ht="51" x14ac:dyDescent="0.2">
      <c r="A23" s="35" t="s">
        <v>1805</v>
      </c>
      <c r="B23" s="35" t="s">
        <v>1806</v>
      </c>
      <c r="C23" s="36" t="s">
        <v>1807</v>
      </c>
      <c r="D23" s="35" t="s">
        <v>1763</v>
      </c>
      <c r="E23" s="36" t="s">
        <v>1808</v>
      </c>
      <c r="F23" s="35">
        <f>COUNTIF($B$39:$B$138,A23)</f>
        <v>3</v>
      </c>
      <c r="G23" s="35">
        <f>COUNTIFS($B$39:$B$138,A23,$H$39:$H$138,TRUE)</f>
        <v>3</v>
      </c>
      <c r="H23" s="35" t="str">
        <f>IF(D23="behavioral","INSPECT",IF(AND(F23&gt;0,G23=F23),"PASS","FAIL"))</f>
        <v>PASS</v>
      </c>
    </row>
    <row r="24" spans="1:8" ht="51" x14ac:dyDescent="0.2">
      <c r="A24" s="35" t="s">
        <v>1809</v>
      </c>
      <c r="B24" s="35" t="s">
        <v>1810</v>
      </c>
      <c r="C24" s="36" t="s">
        <v>1811</v>
      </c>
      <c r="D24" s="35" t="s">
        <v>1763</v>
      </c>
      <c r="E24" s="36" t="s">
        <v>1812</v>
      </c>
      <c r="F24" s="35">
        <f>COUNTIF($B$39:$B$138,A24)</f>
        <v>3</v>
      </c>
      <c r="G24" s="35">
        <f>COUNTIFS($B$39:$B$138,A24,$H$39:$H$138,TRUE)</f>
        <v>3</v>
      </c>
      <c r="H24" s="35" t="str">
        <f>IF(D24="behavioral","INSPECT",IF(AND(F24&gt;0,G24=F24),"PASS","FAIL"))</f>
        <v>PASS</v>
      </c>
    </row>
    <row r="25" spans="1:8" ht="25.5" x14ac:dyDescent="0.2">
      <c r="A25" s="35" t="s">
        <v>1813</v>
      </c>
      <c r="B25" s="35" t="s">
        <v>1814</v>
      </c>
      <c r="C25" s="36" t="s">
        <v>1815</v>
      </c>
      <c r="D25" s="35" t="s">
        <v>1763</v>
      </c>
      <c r="E25" s="36">
        <v>3.4142139999999999</v>
      </c>
      <c r="F25" s="35">
        <f>COUNTIF($B$39:$B$138,A25)</f>
        <v>2</v>
      </c>
      <c r="G25" s="35">
        <f>COUNTIFS($B$39:$B$138,A25,$H$39:$H$138,TRUE)</f>
        <v>2</v>
      </c>
      <c r="H25" s="35" t="str">
        <f>IF(D25="behavioral","INSPECT",IF(AND(F25&gt;0,G25=F25),"PASS","FAIL"))</f>
        <v>PASS</v>
      </c>
    </row>
    <row r="26" spans="1:8" ht="63.75" x14ac:dyDescent="0.2">
      <c r="A26" s="35" t="s">
        <v>1816</v>
      </c>
      <c r="B26" s="35" t="s">
        <v>1817</v>
      </c>
      <c r="C26" s="36" t="s">
        <v>1818</v>
      </c>
      <c r="D26" s="35" t="s">
        <v>1763</v>
      </c>
      <c r="E26" s="36" t="s">
        <v>1819</v>
      </c>
      <c r="F26" s="35">
        <f>COUNTIF($B$39:$B$138,A26)</f>
        <v>3</v>
      </c>
      <c r="G26" s="35">
        <f>COUNTIFS($B$39:$B$138,A26,$H$39:$H$138,TRUE)</f>
        <v>3</v>
      </c>
      <c r="H26" s="35" t="str">
        <f>IF(D26="behavioral","INSPECT",IF(AND(F26&gt;0,G26=F26),"PASS","FAIL"))</f>
        <v>PASS</v>
      </c>
    </row>
    <row r="27" spans="1:8" ht="63.75" x14ac:dyDescent="0.2">
      <c r="A27" s="35" t="s">
        <v>1820</v>
      </c>
      <c r="B27" s="35" t="s">
        <v>1821</v>
      </c>
      <c r="C27" s="36" t="s">
        <v>1822</v>
      </c>
      <c r="D27" s="35" t="s">
        <v>1763</v>
      </c>
      <c r="E27" s="36" t="s">
        <v>1823</v>
      </c>
      <c r="F27" s="35">
        <f>COUNTIF($B$39:$B$138,A27)</f>
        <v>3</v>
      </c>
      <c r="G27" s="35">
        <f>COUNTIFS($B$39:$B$138,A27,$H$39:$H$138,TRUE)</f>
        <v>3</v>
      </c>
      <c r="H27" s="35" t="str">
        <f>IF(D27="behavioral","INSPECT",IF(AND(F27&gt;0,G27=F27),"PASS","FAIL"))</f>
        <v>PASS</v>
      </c>
    </row>
    <row r="28" spans="1:8" ht="63.75" x14ac:dyDescent="0.2">
      <c r="A28" s="35" t="s">
        <v>1824</v>
      </c>
      <c r="B28" s="35" t="s">
        <v>1825</v>
      </c>
      <c r="C28" s="36" t="s">
        <v>1826</v>
      </c>
      <c r="D28" s="35" t="s">
        <v>1763</v>
      </c>
      <c r="E28" s="36" t="s">
        <v>1827</v>
      </c>
      <c r="F28" s="35">
        <f>COUNTIF($B$39:$B$138,A28)</f>
        <v>2</v>
      </c>
      <c r="G28" s="35">
        <f>COUNTIFS($B$39:$B$138,A28,$H$39:$H$138,TRUE)</f>
        <v>2</v>
      </c>
      <c r="H28" s="35" t="str">
        <f>IF(D28="behavioral","INSPECT",IF(AND(F28&gt;0,G28=F28),"PASS","FAIL"))</f>
        <v>PASS</v>
      </c>
    </row>
    <row r="29" spans="1:8" ht="63.75" x14ac:dyDescent="0.2">
      <c r="A29" s="35" t="s">
        <v>1828</v>
      </c>
      <c r="B29" s="35" t="s">
        <v>1829</v>
      </c>
      <c r="C29" s="36" t="s">
        <v>1830</v>
      </c>
      <c r="D29" s="35" t="s">
        <v>1763</v>
      </c>
      <c r="E29" s="36" t="s">
        <v>1831</v>
      </c>
      <c r="F29" s="35">
        <f>COUNTIF($B$39:$B$138,A29)</f>
        <v>2</v>
      </c>
      <c r="G29" s="35">
        <f>COUNTIFS($B$39:$B$138,A29,$H$39:$H$138,TRUE)</f>
        <v>2</v>
      </c>
      <c r="H29" s="35" t="str">
        <f>IF(D29="behavioral","INSPECT",IF(AND(F29&gt;0,G29=F29),"PASS","FAIL"))</f>
        <v>PASS</v>
      </c>
    </row>
    <row r="30" spans="1:8" ht="51" x14ac:dyDescent="0.2">
      <c r="A30" s="35" t="s">
        <v>1832</v>
      </c>
      <c r="B30" s="35" t="s">
        <v>1833</v>
      </c>
      <c r="C30" s="36" t="s">
        <v>1834</v>
      </c>
      <c r="D30" s="35" t="s">
        <v>1763</v>
      </c>
      <c r="E30" s="36" t="s">
        <v>1835</v>
      </c>
      <c r="F30" s="35">
        <f>COUNTIF($B$39:$B$138,A30)</f>
        <v>3</v>
      </c>
      <c r="G30" s="35">
        <f>COUNTIFS($B$39:$B$138,A30,$H$39:$H$138,TRUE)</f>
        <v>3</v>
      </c>
      <c r="H30" s="35" t="str">
        <f>IF(D30="behavioral","INSPECT",IF(AND(F30&gt;0,G30=F30),"PASS","FAIL"))</f>
        <v>PASS</v>
      </c>
    </row>
    <row r="31" spans="1:8" ht="114.75" x14ac:dyDescent="0.2">
      <c r="A31" s="35" t="s">
        <v>1836</v>
      </c>
      <c r="B31" s="35" t="s">
        <v>1837</v>
      </c>
      <c r="C31" s="36" t="s">
        <v>1807</v>
      </c>
      <c r="D31" s="35" t="s">
        <v>1763</v>
      </c>
      <c r="E31" s="36" t="s">
        <v>1838</v>
      </c>
      <c r="F31" s="35">
        <f>COUNTIF($B$39:$B$138,A31)</f>
        <v>4</v>
      </c>
      <c r="G31" s="35">
        <f>COUNTIFS($B$39:$B$138,A31,$H$39:$H$138,TRUE)</f>
        <v>4</v>
      </c>
      <c r="H31" s="35" t="str">
        <f>IF(D31="behavioral","INSPECT",IF(AND(F31&gt;0,G31=F31),"PASS","FAIL"))</f>
        <v>PASS</v>
      </c>
    </row>
    <row r="32" spans="1:8" ht="63.75" x14ac:dyDescent="0.2">
      <c r="A32" s="35" t="s">
        <v>1839</v>
      </c>
      <c r="B32" s="35" t="s">
        <v>1840</v>
      </c>
      <c r="C32" s="36" t="s">
        <v>1841</v>
      </c>
      <c r="D32" s="35" t="s">
        <v>1763</v>
      </c>
      <c r="E32" s="36" t="s">
        <v>1842</v>
      </c>
      <c r="F32" s="35">
        <f>COUNTIF($B$39:$B$138,A32)</f>
        <v>3</v>
      </c>
      <c r="G32" s="35">
        <f>COUNTIFS($B$39:$B$138,A32,$H$39:$H$138,TRUE)</f>
        <v>3</v>
      </c>
      <c r="H32" s="35" t="str">
        <f>IF(D32="behavioral","INSPECT",IF(AND(F32&gt;0,G32=F32),"PASS","FAIL"))</f>
        <v>PASS</v>
      </c>
    </row>
    <row r="33" spans="1:8" ht="127.5" x14ac:dyDescent="0.2">
      <c r="A33" s="35" t="s">
        <v>1843</v>
      </c>
      <c r="B33" s="35" t="s">
        <v>1844</v>
      </c>
      <c r="C33" s="36" t="s">
        <v>1845</v>
      </c>
      <c r="D33" s="35" t="s">
        <v>1763</v>
      </c>
      <c r="E33" s="36" t="s">
        <v>1846</v>
      </c>
      <c r="F33" s="35">
        <f>COUNTIF($B$39:$B$138,A33)</f>
        <v>4</v>
      </c>
      <c r="G33" s="35">
        <f>COUNTIFS($B$39:$B$138,A33,$H$39:$H$138,TRUE)</f>
        <v>4</v>
      </c>
      <c r="H33" s="35" t="str">
        <f>IF(D33="behavioral","INSPECT",IF(AND(F33&gt;0,G33=F33),"PASS","FAIL"))</f>
        <v>PASS</v>
      </c>
    </row>
    <row r="34" spans="1:8" ht="165.75" x14ac:dyDescent="0.2">
      <c r="A34" s="35" t="s">
        <v>1847</v>
      </c>
      <c r="B34" s="35" t="s">
        <v>1848</v>
      </c>
      <c r="C34" s="36" t="s">
        <v>1849</v>
      </c>
      <c r="D34" s="35" t="s">
        <v>1763</v>
      </c>
      <c r="E34" s="36" t="s">
        <v>1850</v>
      </c>
      <c r="F34" s="35">
        <f>COUNTIF($B$39:$B$138,A34)</f>
        <v>11</v>
      </c>
      <c r="G34" s="35">
        <f>COUNTIFS($B$39:$B$138,A34,$H$39:$H$138,TRUE)</f>
        <v>11</v>
      </c>
      <c r="H34" s="35" t="str">
        <f>IF(D34="behavioral","INSPECT",IF(AND(F34&gt;0,G34=F34),"PASS","FAIL"))</f>
        <v>PASS</v>
      </c>
    </row>
    <row r="36" spans="1:8" x14ac:dyDescent="0.2">
      <c r="A36" s="2" t="s">
        <v>1851</v>
      </c>
    </row>
    <row r="38" spans="1:8" x14ac:dyDescent="0.2">
      <c r="A38" s="5" t="s">
        <v>1505</v>
      </c>
      <c r="B38" s="5" t="s">
        <v>1852</v>
      </c>
      <c r="C38" s="5" t="s">
        <v>1853</v>
      </c>
      <c r="D38" s="5" t="s">
        <v>1854</v>
      </c>
      <c r="E38" s="5" t="s">
        <v>1855</v>
      </c>
      <c r="F38" s="5" t="s">
        <v>1856</v>
      </c>
      <c r="G38" s="5" t="s">
        <v>1513</v>
      </c>
      <c r="H38" s="5" t="s">
        <v>1857</v>
      </c>
    </row>
    <row r="39" spans="1:8" x14ac:dyDescent="0.2">
      <c r="A39" s="1">
        <v>1</v>
      </c>
      <c r="B39" s="1" t="s">
        <v>1761</v>
      </c>
      <c r="C39" s="1" t="s">
        <v>1858</v>
      </c>
      <c r="D39" s="1" t="s">
        <v>1520</v>
      </c>
      <c r="E39" s="1" t="s">
        <v>1859</v>
      </c>
      <c r="F39" s="37">
        <v>15</v>
      </c>
      <c r="G39" s="37">
        <f>IFERROR(INDEX(nINT_Interval_Value,MATCH("VEC-V01|1|I1",nINT_Key,0)),"(row not found)")</f>
        <v>15</v>
      </c>
      <c r="H39" s="1" t="b">
        <f>IF(ISNUMBER(G39),IF(F39=0,ABS(G39)&lt;=nTOL_ABS,ABS(G39-F39)/ABS(F39)&lt;=nTOL_REL),FALSE)</f>
        <v>1</v>
      </c>
    </row>
    <row r="40" spans="1:8" x14ac:dyDescent="0.2">
      <c r="A40" s="1">
        <v>2</v>
      </c>
      <c r="B40" s="1" t="s">
        <v>1761</v>
      </c>
      <c r="C40" s="1" t="s">
        <v>702</v>
      </c>
      <c r="D40" s="1" t="s">
        <v>1525</v>
      </c>
      <c r="E40" s="1" t="s">
        <v>1860</v>
      </c>
      <c r="F40" s="4" t="s">
        <v>64</v>
      </c>
      <c r="G40" s="37" t="str">
        <f>IFERROR(INDEX(nINT_Unit,MATCH("VEC-V01|1|I1",nINT_Key,0)),"(row not found)")</f>
        <v>minutes</v>
      </c>
      <c r="H40" s="1" t="b">
        <f>EXACT(G40&amp;"",F40&amp;"")</f>
        <v>1</v>
      </c>
    </row>
    <row r="41" spans="1:8" x14ac:dyDescent="0.2">
      <c r="A41" s="1">
        <v>3</v>
      </c>
      <c r="B41" s="1" t="s">
        <v>1761</v>
      </c>
      <c r="C41" s="1" t="s">
        <v>1861</v>
      </c>
      <c r="D41" s="1" t="s">
        <v>1525</v>
      </c>
      <c r="E41" s="1" t="s">
        <v>1862</v>
      </c>
      <c r="F41" s="4" t="s">
        <v>1524</v>
      </c>
      <c r="G41" s="37" t="str">
        <f>IFERROR(INDEX(nINT_Sequence_Status,MATCH("VEC-V01|1|I1",nINT_Key,0)),"(row not found)")</f>
        <v>AFTER</v>
      </c>
      <c r="H41" s="1" t="b">
        <f>EXACT(G41&amp;"",F41&amp;"")</f>
        <v>1</v>
      </c>
    </row>
    <row r="42" spans="1:8" x14ac:dyDescent="0.2">
      <c r="A42" s="1">
        <v>4</v>
      </c>
      <c r="B42" s="1" t="s">
        <v>1761</v>
      </c>
      <c r="C42" s="1" t="s">
        <v>1863</v>
      </c>
      <c r="D42" s="1" t="s">
        <v>1864</v>
      </c>
      <c r="E42" s="1" t="s">
        <v>1865</v>
      </c>
      <c r="F42" s="4" t="s">
        <v>1866</v>
      </c>
      <c r="G42" s="37" t="str">
        <f>IFERROR(INDEX(nINT_QC_Flags,MATCH("VEC-V01|1|I1",nINT_Key,0)),"(row not found)")</f>
        <v/>
      </c>
      <c r="H42" s="1" t="b">
        <f>IF(F42="(none)",G42&amp;""="",EXACT(G42&amp;"",F42&amp;""))</f>
        <v>1</v>
      </c>
    </row>
    <row r="43" spans="1:8" x14ac:dyDescent="0.2">
      <c r="A43" s="1">
        <v>5</v>
      </c>
      <c r="B43" s="1" t="s">
        <v>1765</v>
      </c>
      <c r="C43" s="1" t="s">
        <v>1858</v>
      </c>
      <c r="D43" s="1" t="s">
        <v>1520</v>
      </c>
      <c r="E43" s="1" t="s">
        <v>1867</v>
      </c>
      <c r="F43" s="37">
        <v>5</v>
      </c>
      <c r="G43" s="37">
        <f>IFERROR(INDEX(nINT_Interval_Value,MATCH("VEC-V02|1|I1",nINT_Key,0)),"(row not found)")</f>
        <v>5</v>
      </c>
      <c r="H43" s="1" t="b">
        <f>IF(ISNUMBER(G43),IF(F43=0,ABS(G43)&lt;=nTOL_ABS,ABS(G43-F43)/ABS(F43)&lt;=nTOL_REL),FALSE)</f>
        <v>1</v>
      </c>
    </row>
    <row r="44" spans="1:8" x14ac:dyDescent="0.2">
      <c r="A44" s="1">
        <v>6</v>
      </c>
      <c r="B44" s="1" t="s">
        <v>1765</v>
      </c>
      <c r="C44" s="1" t="s">
        <v>702</v>
      </c>
      <c r="D44" s="1" t="s">
        <v>1525</v>
      </c>
      <c r="E44" s="1" t="s">
        <v>1868</v>
      </c>
      <c r="F44" s="4" t="s">
        <v>67</v>
      </c>
      <c r="G44" s="37" t="str">
        <f>IFERROR(INDEX(nINT_Unit,MATCH("VEC-V02|1|I1",nINT_Key,0)),"(row not found)")</f>
        <v>calendar days</v>
      </c>
      <c r="H44" s="1" t="b">
        <f>EXACT(G44&amp;"",F44&amp;"")</f>
        <v>1</v>
      </c>
    </row>
    <row r="45" spans="1:8" x14ac:dyDescent="0.2">
      <c r="A45" s="1">
        <v>7</v>
      </c>
      <c r="B45" s="1" t="s">
        <v>1765</v>
      </c>
      <c r="C45" s="1" t="s">
        <v>1869</v>
      </c>
      <c r="D45" s="1" t="s">
        <v>1520</v>
      </c>
      <c r="E45" s="1" t="s">
        <v>1870</v>
      </c>
      <c r="F45" s="37">
        <v>6</v>
      </c>
      <c r="G45" s="37">
        <f>IFERROR(INDEX(nINT_Treatment_Day,MATCH("VEC-V02|1|I1",nINT_Key,0)),"(row not found)")</f>
        <v>6</v>
      </c>
      <c r="H45" s="1" t="b">
        <f>IF(ISNUMBER(G45),IF(F45=0,ABS(G45)&lt;=nTOL_ABS,ABS(G45-F45)/ABS(F45)&lt;=nTOL_REL),FALSE)</f>
        <v>1</v>
      </c>
    </row>
    <row r="46" spans="1:8" x14ac:dyDescent="0.2">
      <c r="A46" s="1">
        <v>8</v>
      </c>
      <c r="B46" s="1" t="s">
        <v>1765</v>
      </c>
      <c r="C46" s="1" t="s">
        <v>1861</v>
      </c>
      <c r="D46" s="1" t="s">
        <v>1525</v>
      </c>
      <c r="E46" s="1" t="s">
        <v>1871</v>
      </c>
      <c r="F46" s="4" t="s">
        <v>1524</v>
      </c>
      <c r="G46" s="37" t="str">
        <f>IFERROR(INDEX(nINT_Sequence_Status,MATCH("VEC-V02|1|I1",nINT_Key,0)),"(row not found)")</f>
        <v>AFTER</v>
      </c>
      <c r="H46" s="1" t="b">
        <f>EXACT(G46&amp;"",F46&amp;"")</f>
        <v>1</v>
      </c>
    </row>
    <row r="47" spans="1:8" x14ac:dyDescent="0.2">
      <c r="A47" s="1">
        <v>9</v>
      </c>
      <c r="B47" s="1" t="s">
        <v>1765</v>
      </c>
      <c r="C47" s="1" t="s">
        <v>1863</v>
      </c>
      <c r="D47" s="1" t="s">
        <v>1864</v>
      </c>
      <c r="E47" s="1" t="s">
        <v>1872</v>
      </c>
      <c r="F47" s="4" t="s">
        <v>1866</v>
      </c>
      <c r="G47" s="37" t="str">
        <f>IFERROR(INDEX(nINT_QC_Flags,MATCH("VEC-V02|1|I1",nINT_Key,0)),"(row not found)")</f>
        <v/>
      </c>
      <c r="H47" s="1" t="b">
        <f>IF(F47="(none)",G47&amp;""="",EXACT(G47&amp;"",F47&amp;""))</f>
        <v>1</v>
      </c>
    </row>
    <row r="48" spans="1:8" x14ac:dyDescent="0.2">
      <c r="A48" s="1">
        <v>10</v>
      </c>
      <c r="B48" s="1" t="s">
        <v>1768</v>
      </c>
      <c r="C48" s="1" t="s">
        <v>1858</v>
      </c>
      <c r="D48" s="1" t="s">
        <v>1520</v>
      </c>
      <c r="E48" s="1" t="s">
        <v>1873</v>
      </c>
      <c r="F48" s="37">
        <v>0</v>
      </c>
      <c r="G48" s="37">
        <f>IFERROR(INDEX(nINT_Interval_Value,MATCH("VEC-V03|1|I1",nINT_Key,0)),"(row not found)")</f>
        <v>0</v>
      </c>
      <c r="H48" s="1" t="b">
        <f>IF(ISNUMBER(G48),IF(F48=0,ABS(G48)&lt;=nTOL_ABS,ABS(G48-F48)/ABS(F48)&lt;=nTOL_REL),FALSE)</f>
        <v>1</v>
      </c>
    </row>
    <row r="49" spans="1:8" x14ac:dyDescent="0.2">
      <c r="A49" s="1">
        <v>11</v>
      </c>
      <c r="B49" s="1" t="s">
        <v>1768</v>
      </c>
      <c r="C49" s="1" t="s">
        <v>702</v>
      </c>
      <c r="D49" s="1" t="s">
        <v>1525</v>
      </c>
      <c r="E49" s="1" t="s">
        <v>1874</v>
      </c>
      <c r="F49" s="4" t="s">
        <v>67</v>
      </c>
      <c r="G49" s="37" t="str">
        <f>IFERROR(INDEX(nINT_Unit,MATCH("VEC-V03|1|I1",nINT_Key,0)),"(row not found)")</f>
        <v>calendar days</v>
      </c>
      <c r="H49" s="1" t="b">
        <f>EXACT(G49&amp;"",F49&amp;"")</f>
        <v>1</v>
      </c>
    </row>
    <row r="50" spans="1:8" x14ac:dyDescent="0.2">
      <c r="A50" s="1">
        <v>12</v>
      </c>
      <c r="B50" s="1" t="s">
        <v>1768</v>
      </c>
      <c r="C50" s="1" t="s">
        <v>1861</v>
      </c>
      <c r="D50" s="1" t="s">
        <v>1525</v>
      </c>
      <c r="E50" s="1" t="s">
        <v>1875</v>
      </c>
      <c r="F50" s="4" t="s">
        <v>1876</v>
      </c>
      <c r="G50" s="37" t="str">
        <f>IFERROR(INDEX(nINT_Sequence_Status,MATCH("VEC-V03|1|I1",nINT_Key,0)),"(row not found)")</f>
        <v>SAME_DATE_ORDER_UNKNOWN</v>
      </c>
      <c r="H50" s="1" t="b">
        <f>EXACT(G50&amp;"",F50&amp;"")</f>
        <v>1</v>
      </c>
    </row>
    <row r="51" spans="1:8" x14ac:dyDescent="0.2">
      <c r="A51" s="1">
        <v>13</v>
      </c>
      <c r="B51" s="1" t="s">
        <v>1768</v>
      </c>
      <c r="C51" s="1" t="s">
        <v>1863</v>
      </c>
      <c r="D51" s="1" t="s">
        <v>1864</v>
      </c>
      <c r="E51" s="1" t="s">
        <v>1877</v>
      </c>
      <c r="F51" s="4" t="s">
        <v>234</v>
      </c>
      <c r="G51" s="37" t="str">
        <f>IFERROR(INDEX(nINT_QC_Flags,MATCH("VEC-V03|1|I1",nINT_Key,0)),"(row not found)")</f>
        <v>W_SAME_DATE_ORDER_UNKNOWN</v>
      </c>
      <c r="H51" s="1" t="b">
        <f>IF(F51="(none)",G51&amp;""="",EXACT(G51&amp;"",F51&amp;""))</f>
        <v>1</v>
      </c>
    </row>
    <row r="52" spans="1:8" x14ac:dyDescent="0.2">
      <c r="A52" s="1">
        <v>14</v>
      </c>
      <c r="B52" s="1" t="s">
        <v>1770</v>
      </c>
      <c r="C52" s="1" t="s">
        <v>1858</v>
      </c>
      <c r="D52" s="1" t="s">
        <v>1520</v>
      </c>
      <c r="E52" s="1" t="s">
        <v>1878</v>
      </c>
      <c r="F52" s="37">
        <v>2</v>
      </c>
      <c r="G52" s="37">
        <f>IFERROR(INDEX(nINT_Interval_Value,MATCH("VEC-V04|1|I1",nINT_Key,0)),"(row not found)")</f>
        <v>2</v>
      </c>
      <c r="H52" s="1" t="b">
        <f>IF(ISNUMBER(G52),IF(F52=0,ABS(G52)&lt;=nTOL_ABS,ABS(G52-F52)/ABS(F52)&lt;=nTOL_REL),FALSE)</f>
        <v>1</v>
      </c>
    </row>
    <row r="53" spans="1:8" x14ac:dyDescent="0.2">
      <c r="A53" s="1">
        <v>15</v>
      </c>
      <c r="B53" s="1" t="s">
        <v>1770</v>
      </c>
      <c r="C53" s="1" t="s">
        <v>702</v>
      </c>
      <c r="D53" s="1" t="s">
        <v>1525</v>
      </c>
      <c r="E53" s="1" t="s">
        <v>1879</v>
      </c>
      <c r="F53" s="4" t="s">
        <v>67</v>
      </c>
      <c r="G53" s="37" t="str">
        <f>IFERROR(INDEX(nINT_Unit,MATCH("VEC-V04|1|I1",nINT_Key,0)),"(row not found)")</f>
        <v>calendar days</v>
      </c>
      <c r="H53" s="1" t="b">
        <f>EXACT(G53&amp;"",F53&amp;"")</f>
        <v>1</v>
      </c>
    </row>
    <row r="54" spans="1:8" x14ac:dyDescent="0.2">
      <c r="A54" s="1">
        <v>16</v>
      </c>
      <c r="B54" s="1" t="s">
        <v>1770</v>
      </c>
      <c r="C54" s="1" t="s">
        <v>1861</v>
      </c>
      <c r="D54" s="1" t="s">
        <v>1525</v>
      </c>
      <c r="E54" s="1" t="s">
        <v>1880</v>
      </c>
      <c r="F54" s="4" t="s">
        <v>1524</v>
      </c>
      <c r="G54" s="37" t="str">
        <f>IFERROR(INDEX(nINT_Sequence_Status,MATCH("VEC-V04|1|I1",nINT_Key,0)),"(row not found)")</f>
        <v>AFTER</v>
      </c>
      <c r="H54" s="1" t="b">
        <f>EXACT(G54&amp;"",F54&amp;"")</f>
        <v>1</v>
      </c>
    </row>
    <row r="55" spans="1:8" x14ac:dyDescent="0.2">
      <c r="A55" s="1">
        <v>17</v>
      </c>
      <c r="B55" s="1" t="s">
        <v>1770</v>
      </c>
      <c r="C55" s="1" t="s">
        <v>1863</v>
      </c>
      <c r="D55" s="1" t="s">
        <v>1864</v>
      </c>
      <c r="E55" s="1" t="s">
        <v>1881</v>
      </c>
      <c r="F55" s="4" t="s">
        <v>1866</v>
      </c>
      <c r="G55" s="37" t="str">
        <f>IFERROR(INDEX(nINT_QC_Flags,MATCH("VEC-V04|1|I1",nINT_Key,0)),"(row not found)")</f>
        <v/>
      </c>
      <c r="H55" s="1" t="b">
        <f>IF(F55="(none)",G55&amp;""="",EXACT(G55&amp;"",F55&amp;""))</f>
        <v>1</v>
      </c>
    </row>
    <row r="56" spans="1:8" x14ac:dyDescent="0.2">
      <c r="A56" s="1">
        <v>18</v>
      </c>
      <c r="B56" s="1" t="s">
        <v>1772</v>
      </c>
      <c r="C56" s="1" t="s">
        <v>1882</v>
      </c>
      <c r="D56" s="1" t="s">
        <v>1520</v>
      </c>
      <c r="E56" s="1" t="s">
        <v>1883</v>
      </c>
      <c r="F56" s="37">
        <v>5</v>
      </c>
      <c r="G56" s="37">
        <f>IFERROR(INDEX(nINT_Interval_Minimum,MATCH("VEC-V05|1|I1",nINT_Key,0)),"(row not found)")</f>
        <v>5</v>
      </c>
      <c r="H56" s="1" t="b">
        <f>IF(ISNUMBER(G56),IF(F56=0,ABS(G56)&lt;=nTOL_ABS,ABS(G56-F56)/ABS(F56)&lt;=nTOL_REL),FALSE)</f>
        <v>1</v>
      </c>
    </row>
    <row r="57" spans="1:8" x14ac:dyDescent="0.2">
      <c r="A57" s="1">
        <v>19</v>
      </c>
      <c r="B57" s="1" t="s">
        <v>1772</v>
      </c>
      <c r="C57" s="1" t="s">
        <v>1884</v>
      </c>
      <c r="D57" s="1" t="s">
        <v>1520</v>
      </c>
      <c r="E57" s="1" t="s">
        <v>1885</v>
      </c>
      <c r="F57" s="37">
        <v>14</v>
      </c>
      <c r="G57" s="37">
        <f>IFERROR(INDEX(nINT_Interval_Maximum,MATCH("VEC-V05|1|I1",nINT_Key,0)),"(row not found)")</f>
        <v>14</v>
      </c>
      <c r="H57" s="1" t="b">
        <f>IF(ISNUMBER(G57),IF(F57=0,ABS(G57)&lt;=nTOL_ABS,ABS(G57-F57)/ABS(F57)&lt;=nTOL_REL),FALSE)</f>
        <v>1</v>
      </c>
    </row>
    <row r="58" spans="1:8" x14ac:dyDescent="0.2">
      <c r="A58" s="1">
        <v>20</v>
      </c>
      <c r="B58" s="1" t="s">
        <v>1772</v>
      </c>
      <c r="C58" s="1" t="s">
        <v>702</v>
      </c>
      <c r="D58" s="1" t="s">
        <v>1525</v>
      </c>
      <c r="E58" s="1" t="s">
        <v>1886</v>
      </c>
      <c r="F58" s="4" t="s">
        <v>67</v>
      </c>
      <c r="G58" s="37" t="str">
        <f>IFERROR(INDEX(nINT_Unit,MATCH("VEC-V05|1|I1",nINT_Key,0)),"(row not found)")</f>
        <v>calendar days</v>
      </c>
      <c r="H58" s="1" t="b">
        <f>EXACT(G58&amp;"",F58&amp;"")</f>
        <v>1</v>
      </c>
    </row>
    <row r="59" spans="1:8" x14ac:dyDescent="0.2">
      <c r="A59" s="1">
        <v>21</v>
      </c>
      <c r="B59" s="1" t="s">
        <v>1772</v>
      </c>
      <c r="C59" s="1" t="s">
        <v>1861</v>
      </c>
      <c r="D59" s="1" t="s">
        <v>1525</v>
      </c>
      <c r="E59" s="1" t="s">
        <v>1887</v>
      </c>
      <c r="F59" s="4" t="s">
        <v>1524</v>
      </c>
      <c r="G59" s="37" t="str">
        <f>IFERROR(INDEX(nINT_Sequence_Status,MATCH("VEC-V05|1|I1",nINT_Key,0)),"(row not found)")</f>
        <v>AFTER</v>
      </c>
      <c r="H59" s="1" t="b">
        <f>EXACT(G59&amp;"",F59&amp;"")</f>
        <v>1</v>
      </c>
    </row>
    <row r="60" spans="1:8" x14ac:dyDescent="0.2">
      <c r="A60" s="1">
        <v>22</v>
      </c>
      <c r="B60" s="1" t="s">
        <v>1772</v>
      </c>
      <c r="C60" s="1" t="s">
        <v>1863</v>
      </c>
      <c r="D60" s="1" t="s">
        <v>1864</v>
      </c>
      <c r="E60" s="1" t="s">
        <v>1888</v>
      </c>
      <c r="F60" s="4" t="s">
        <v>1866</v>
      </c>
      <c r="G60" s="37" t="str">
        <f>IFERROR(INDEX(nINT_QC_Flags,MATCH("VEC-V05|1|I1",nINT_Key,0)),"(row not found)")</f>
        <v/>
      </c>
      <c r="H60" s="1" t="b">
        <f>IF(F60="(none)",G60&amp;""="",EXACT(G60&amp;"",F60&amp;""))</f>
        <v>1</v>
      </c>
    </row>
    <row r="61" spans="1:8" x14ac:dyDescent="0.2">
      <c r="A61" s="1">
        <v>23</v>
      </c>
      <c r="B61" s="1" t="s">
        <v>1774</v>
      </c>
      <c r="C61" s="1" t="s">
        <v>1882</v>
      </c>
      <c r="D61" s="1" t="s">
        <v>1520</v>
      </c>
      <c r="E61" s="1" t="s">
        <v>1889</v>
      </c>
      <c r="F61" s="37">
        <v>-5</v>
      </c>
      <c r="G61" s="37">
        <f>IFERROR(INDEX(nINT_Interval_Minimum,MATCH("VEC-V06|1|I1",nINT_Key,0)),"(row not found)")</f>
        <v>-5</v>
      </c>
      <c r="H61" s="1" t="b">
        <f>IF(ISNUMBER(G61),IF(F61=0,ABS(G61)&lt;=nTOL_ABS,ABS(G61-F61)/ABS(F61)&lt;=nTOL_REL),FALSE)</f>
        <v>1</v>
      </c>
    </row>
    <row r="62" spans="1:8" x14ac:dyDescent="0.2">
      <c r="A62" s="1">
        <v>24</v>
      </c>
      <c r="B62" s="1" t="s">
        <v>1774</v>
      </c>
      <c r="C62" s="1" t="s">
        <v>1884</v>
      </c>
      <c r="D62" s="1" t="s">
        <v>1520</v>
      </c>
      <c r="E62" s="1" t="s">
        <v>1890</v>
      </c>
      <c r="F62" s="37">
        <v>4</v>
      </c>
      <c r="G62" s="37">
        <f>IFERROR(INDEX(nINT_Interval_Maximum,MATCH("VEC-V06|1|I1",nINT_Key,0)),"(row not found)")</f>
        <v>4</v>
      </c>
      <c r="H62" s="1" t="b">
        <f>IF(ISNUMBER(G62),IF(F62=0,ABS(G62)&lt;=nTOL_ABS,ABS(G62-F62)/ABS(F62)&lt;=nTOL_REL),FALSE)</f>
        <v>1</v>
      </c>
    </row>
    <row r="63" spans="1:8" x14ac:dyDescent="0.2">
      <c r="A63" s="1">
        <v>25</v>
      </c>
      <c r="B63" s="1" t="s">
        <v>1774</v>
      </c>
      <c r="C63" s="1" t="s">
        <v>702</v>
      </c>
      <c r="D63" s="1" t="s">
        <v>1525</v>
      </c>
      <c r="E63" s="1" t="s">
        <v>1891</v>
      </c>
      <c r="F63" s="4" t="s">
        <v>67</v>
      </c>
      <c r="G63" s="37" t="str">
        <f>IFERROR(INDEX(nINT_Unit,MATCH("VEC-V06|1|I1",nINT_Key,0)),"(row not found)")</f>
        <v>calendar days</v>
      </c>
      <c r="H63" s="1" t="b">
        <f>EXACT(G63&amp;"",F63&amp;"")</f>
        <v>1</v>
      </c>
    </row>
    <row r="64" spans="1:8" x14ac:dyDescent="0.2">
      <c r="A64" s="1">
        <v>26</v>
      </c>
      <c r="B64" s="1" t="s">
        <v>1774</v>
      </c>
      <c r="C64" s="1" t="s">
        <v>1861</v>
      </c>
      <c r="D64" s="1" t="s">
        <v>1525</v>
      </c>
      <c r="E64" s="1" t="s">
        <v>1892</v>
      </c>
      <c r="F64" s="4" t="s">
        <v>1709</v>
      </c>
      <c r="G64" s="37" t="str">
        <f>IFERROR(INDEX(nINT_Sequence_Status,MATCH("VEC-V06|1|I1",nINT_Key,0)),"(row not found)")</f>
        <v>SEQUENCE_UNCERTAIN</v>
      </c>
      <c r="H64" s="1" t="b">
        <f>EXACT(G64&amp;"",F64&amp;"")</f>
        <v>1</v>
      </c>
    </row>
    <row r="65" spans="1:8" x14ac:dyDescent="0.2">
      <c r="A65" s="1">
        <v>27</v>
      </c>
      <c r="B65" s="1" t="s">
        <v>1774</v>
      </c>
      <c r="C65" s="1" t="s">
        <v>1863</v>
      </c>
      <c r="D65" s="1" t="s">
        <v>1864</v>
      </c>
      <c r="E65" s="1" t="s">
        <v>1893</v>
      </c>
      <c r="F65" s="4" t="s">
        <v>237</v>
      </c>
      <c r="G65" s="37" t="str">
        <f>IFERROR(INDEX(nINT_QC_Flags,MATCH("VEC-V06|1|I1",nINT_Key,0)),"(row not found)")</f>
        <v>W_SEQUENCE_UNCERTAIN</v>
      </c>
      <c r="H65" s="1" t="b">
        <f>IF(F65="(none)",G65&amp;""="",EXACT(G65&amp;"",F65&amp;""))</f>
        <v>1</v>
      </c>
    </row>
    <row r="66" spans="1:8" x14ac:dyDescent="0.2">
      <c r="A66" s="1">
        <v>28</v>
      </c>
      <c r="B66" s="1" t="s">
        <v>1776</v>
      </c>
      <c r="C66" s="1" t="s">
        <v>1894</v>
      </c>
      <c r="D66" s="1" t="s">
        <v>1525</v>
      </c>
      <c r="E66" s="1" t="s">
        <v>1895</v>
      </c>
      <c r="F66" s="4" t="s">
        <v>609</v>
      </c>
      <c r="G66" s="37" t="str">
        <f>IFERROR(INDEX(nINT_Anchor_ISO,MATCH("VEC-V07|1|I1",nINT_Key,0)),"(row not found)")</f>
        <v>2026-03-02T08:00-05:00</v>
      </c>
      <c r="H66" s="1" t="b">
        <f>EXACT(G66&amp;"",F66&amp;"")</f>
        <v>1</v>
      </c>
    </row>
    <row r="67" spans="1:8" x14ac:dyDescent="0.2">
      <c r="A67" s="1">
        <v>29</v>
      </c>
      <c r="B67" s="1" t="s">
        <v>1776</v>
      </c>
      <c r="C67" s="1" t="s">
        <v>1858</v>
      </c>
      <c r="D67" s="1" t="s">
        <v>1520</v>
      </c>
      <c r="E67" s="1" t="s">
        <v>1896</v>
      </c>
      <c r="F67" s="37">
        <v>720</v>
      </c>
      <c r="G67" s="37">
        <f>IFERROR(INDEX(nINT_Interval_Value,MATCH("VEC-V07|1|I1",nINT_Key,0)),"(row not found)")</f>
        <v>720</v>
      </c>
      <c r="H67" s="1" t="b">
        <f>IF(ISNUMBER(G67),IF(F67=0,ABS(G67)&lt;=nTOL_ABS,ABS(G67-F67)/ABS(F67)&lt;=nTOL_REL),FALSE)</f>
        <v>1</v>
      </c>
    </row>
    <row r="68" spans="1:8" x14ac:dyDescent="0.2">
      <c r="A68" s="1">
        <v>30</v>
      </c>
      <c r="B68" s="1" t="s">
        <v>1776</v>
      </c>
      <c r="C68" s="1" t="s">
        <v>702</v>
      </c>
      <c r="D68" s="1" t="s">
        <v>1525</v>
      </c>
      <c r="E68" s="1" t="s">
        <v>1897</v>
      </c>
      <c r="F68" s="4" t="s">
        <v>64</v>
      </c>
      <c r="G68" s="37" t="str">
        <f>IFERROR(INDEX(nINT_Unit,MATCH("VEC-V07|1|I1",nINT_Key,0)),"(row not found)")</f>
        <v>minutes</v>
      </c>
      <c r="H68" s="1" t="b">
        <f>EXACT(G68&amp;"",F68&amp;"")</f>
        <v>1</v>
      </c>
    </row>
    <row r="69" spans="1:8" x14ac:dyDescent="0.2">
      <c r="A69" s="1">
        <v>31</v>
      </c>
      <c r="B69" s="1" t="s">
        <v>1776</v>
      </c>
      <c r="C69" s="1" t="s">
        <v>1861</v>
      </c>
      <c r="D69" s="1" t="s">
        <v>1525</v>
      </c>
      <c r="E69" s="1" t="s">
        <v>1898</v>
      </c>
      <c r="F69" s="4" t="s">
        <v>1524</v>
      </c>
      <c r="G69" s="37" t="str">
        <f>IFERROR(INDEX(nINT_Sequence_Status,MATCH("VEC-V07|1|I1",nINT_Key,0)),"(row not found)")</f>
        <v>AFTER</v>
      </c>
      <c r="H69" s="1" t="b">
        <f>EXACT(G69&amp;"",F69&amp;"")</f>
        <v>1</v>
      </c>
    </row>
    <row r="70" spans="1:8" x14ac:dyDescent="0.2">
      <c r="A70" s="1">
        <v>32</v>
      </c>
      <c r="B70" s="1" t="s">
        <v>1776</v>
      </c>
      <c r="C70" s="1" t="s">
        <v>1863</v>
      </c>
      <c r="D70" s="1" t="s">
        <v>1864</v>
      </c>
      <c r="E70" s="1" t="s">
        <v>1899</v>
      </c>
      <c r="F70" s="4" t="s">
        <v>1866</v>
      </c>
      <c r="G70" s="37" t="str">
        <f>IFERROR(INDEX(nINT_QC_Flags,MATCH("VEC-V07|1|I1",nINT_Key,0)),"(row not found)")</f>
        <v/>
      </c>
      <c r="H70" s="1" t="b">
        <f>IF(F70="(none)",G70&amp;""="",EXACT(G70&amp;"",F70&amp;""))</f>
        <v>1</v>
      </c>
    </row>
    <row r="71" spans="1:8" x14ac:dyDescent="0.2">
      <c r="A71" s="1">
        <v>33</v>
      </c>
      <c r="B71" s="1" t="s">
        <v>1780</v>
      </c>
      <c r="C71" s="1" t="s">
        <v>1900</v>
      </c>
      <c r="D71" s="1" t="s">
        <v>1520</v>
      </c>
      <c r="E71" s="1" t="s">
        <v>1901</v>
      </c>
      <c r="F71" s="37">
        <v>44</v>
      </c>
      <c r="G71" s="37">
        <f>IFERROR(INDEX(nINT_Interval_Value,MATCH("VEC-V08|1|I1",nINT_Key,0)),"(row not found)")</f>
        <v>44</v>
      </c>
      <c r="H71" s="1" t="b">
        <f>IF(ISNUMBER(G71),IF(F71=0,ABS(G71)&lt;=nTOL_ABS,ABS(G71-F71)/ABS(F71)&lt;=nTOL_REL),FALSE)</f>
        <v>1</v>
      </c>
    </row>
    <row r="72" spans="1:8" x14ac:dyDescent="0.2">
      <c r="A72" s="1">
        <v>34</v>
      </c>
      <c r="B72" s="1" t="s">
        <v>1780</v>
      </c>
      <c r="C72" s="1" t="s">
        <v>1902</v>
      </c>
      <c r="D72" s="1" t="s">
        <v>1520</v>
      </c>
      <c r="E72" s="1" t="s">
        <v>1903</v>
      </c>
      <c r="F72" s="37">
        <v>4</v>
      </c>
      <c r="G72" s="37">
        <f>IFERROR(INDEX(nINT_Interval_Value,MATCH("VEC-V08|1|I2",nINT_Key,0)),"(row not found)")</f>
        <v>4</v>
      </c>
      <c r="H72" s="1" t="b">
        <f>IF(ISNUMBER(G72),IF(F72=0,ABS(G72)&lt;=nTOL_ABS,ABS(G72-F72)/ABS(F72)&lt;=nTOL_REL),FALSE)</f>
        <v>1</v>
      </c>
    </row>
    <row r="73" spans="1:8" x14ac:dyDescent="0.2">
      <c r="A73" s="1">
        <v>35</v>
      </c>
      <c r="B73" s="1" t="s">
        <v>1780</v>
      </c>
      <c r="C73" s="1" t="s">
        <v>1904</v>
      </c>
      <c r="D73" s="1" t="s">
        <v>1525</v>
      </c>
      <c r="E73" s="1" t="s">
        <v>1905</v>
      </c>
      <c r="F73" s="4" t="s">
        <v>67</v>
      </c>
      <c r="G73" s="37" t="str">
        <f>IFERROR(INDEX(nINT_Unit,MATCH("VEC-V08|1|I1",nINT_Key,0)),"(row not found)")</f>
        <v>calendar days</v>
      </c>
      <c r="H73" s="1" t="b">
        <f>EXACT(G73&amp;"",F73&amp;"")</f>
        <v>1</v>
      </c>
    </row>
    <row r="74" spans="1:8" x14ac:dyDescent="0.2">
      <c r="A74" s="1">
        <v>36</v>
      </c>
      <c r="B74" s="1" t="s">
        <v>1780</v>
      </c>
      <c r="C74" s="1" t="s">
        <v>1906</v>
      </c>
      <c r="D74" s="1" t="s">
        <v>1864</v>
      </c>
      <c r="E74" s="1" t="s">
        <v>1907</v>
      </c>
      <c r="F74" s="4" t="s">
        <v>1866</v>
      </c>
      <c r="G74" s="37" t="str">
        <f>IFERROR(INDEX(nINT_QC_Flags,MATCH("VEC-V08|1|I1",nINT_Key,0)),"(row not found)")</f>
        <v/>
      </c>
      <c r="H74" s="1" t="b">
        <f>IF(F74="(none)",G74&amp;""="",EXACT(G74&amp;"",F74&amp;""))</f>
        <v>1</v>
      </c>
    </row>
    <row r="75" spans="1:8" x14ac:dyDescent="0.2">
      <c r="A75" s="1">
        <v>37</v>
      </c>
      <c r="B75" s="1" t="s">
        <v>1780</v>
      </c>
      <c r="C75" s="1" t="s">
        <v>1908</v>
      </c>
      <c r="D75" s="1" t="s">
        <v>1864</v>
      </c>
      <c r="E75" s="1" t="s">
        <v>1909</v>
      </c>
      <c r="F75" s="4" t="s">
        <v>1866</v>
      </c>
      <c r="G75" s="37" t="str">
        <f>IFERROR(INDEX(nINT_QC_Flags,MATCH("VEC-V08|1|I2",nINT_Key,0)),"(row not found)")</f>
        <v/>
      </c>
      <c r="H75" s="1" t="b">
        <f>IF(F75="(none)",G75&amp;""="",EXACT(G75&amp;"",F75&amp;""))</f>
        <v>1</v>
      </c>
    </row>
    <row r="76" spans="1:8" x14ac:dyDescent="0.2">
      <c r="A76" s="1">
        <v>38</v>
      </c>
      <c r="B76" s="1" t="s">
        <v>1783</v>
      </c>
      <c r="C76" s="1" t="s">
        <v>1858</v>
      </c>
      <c r="D76" s="1" t="s">
        <v>1520</v>
      </c>
      <c r="E76" s="1" t="s">
        <v>1910</v>
      </c>
      <c r="F76" s="37">
        <v>60</v>
      </c>
      <c r="G76" s="37">
        <f>IFERROR(INDEX(nINT_Interval_Value,MATCH("VEC-V09|1|I1",nINT_Key,0)),"(row not found)")</f>
        <v>60</v>
      </c>
      <c r="H76" s="1" t="b">
        <f>IF(ISNUMBER(G76),IF(F76=0,ABS(G76)&lt;=nTOL_ABS,ABS(G76-F76)/ABS(F76)&lt;=nTOL_REL),FALSE)</f>
        <v>1</v>
      </c>
    </row>
    <row r="77" spans="1:8" x14ac:dyDescent="0.2">
      <c r="A77" s="1">
        <v>39</v>
      </c>
      <c r="B77" s="1" t="s">
        <v>1783</v>
      </c>
      <c r="C77" s="1" t="s">
        <v>702</v>
      </c>
      <c r="D77" s="1" t="s">
        <v>1525</v>
      </c>
      <c r="E77" s="1" t="s">
        <v>1911</v>
      </c>
      <c r="F77" s="4" t="s">
        <v>64</v>
      </c>
      <c r="G77" s="37" t="str">
        <f>IFERROR(INDEX(nINT_Unit,MATCH("VEC-V09|1|I1",nINT_Key,0)),"(row not found)")</f>
        <v>minutes</v>
      </c>
      <c r="H77" s="1" t="b">
        <f>EXACT(G77&amp;"",F77&amp;"")</f>
        <v>1</v>
      </c>
    </row>
    <row r="78" spans="1:8" x14ac:dyDescent="0.2">
      <c r="A78" s="1">
        <v>40</v>
      </c>
      <c r="B78" s="1" t="s">
        <v>1783</v>
      </c>
      <c r="C78" s="1" t="s">
        <v>1861</v>
      </c>
      <c r="D78" s="1" t="s">
        <v>1525</v>
      </c>
      <c r="E78" s="1" t="s">
        <v>1912</v>
      </c>
      <c r="F78" s="4" t="s">
        <v>1524</v>
      </c>
      <c r="G78" s="37" t="str">
        <f>IFERROR(INDEX(nINT_Sequence_Status,MATCH("VEC-V09|1|I1",nINT_Key,0)),"(row not found)")</f>
        <v>AFTER</v>
      </c>
      <c r="H78" s="1" t="b">
        <f>EXACT(G78&amp;"",F78&amp;"")</f>
        <v>1</v>
      </c>
    </row>
    <row r="79" spans="1:8" x14ac:dyDescent="0.2">
      <c r="A79" s="1">
        <v>41</v>
      </c>
      <c r="B79" s="1" t="s">
        <v>1783</v>
      </c>
      <c r="C79" s="1" t="s">
        <v>1863</v>
      </c>
      <c r="D79" s="1" t="s">
        <v>1864</v>
      </c>
      <c r="E79" s="1" t="s">
        <v>1913</v>
      </c>
      <c r="F79" s="4" t="s">
        <v>1866</v>
      </c>
      <c r="G79" s="37" t="str">
        <f>IFERROR(INDEX(nINT_QC_Flags,MATCH("VEC-V09|1|I1",nINT_Key,0)),"(row not found)")</f>
        <v/>
      </c>
      <c r="H79" s="1" t="b">
        <f>IF(F79="(none)",G79&amp;""="",EXACT(G79&amp;"",F79&amp;""))</f>
        <v>1</v>
      </c>
    </row>
    <row r="80" spans="1:8" x14ac:dyDescent="0.2">
      <c r="A80" s="1">
        <v>42</v>
      </c>
      <c r="B80" s="1" t="s">
        <v>1785</v>
      </c>
      <c r="C80" s="1" t="s">
        <v>1858</v>
      </c>
      <c r="D80" s="1" t="s">
        <v>1520</v>
      </c>
      <c r="E80" s="1" t="s">
        <v>1914</v>
      </c>
      <c r="F80" s="37">
        <v>120</v>
      </c>
      <c r="G80" s="37">
        <f>IFERROR(INDEX(nINT_Interval_Value,MATCH("VEC-V10|1|I1",nINT_Key,0)),"(row not found)")</f>
        <v>120</v>
      </c>
      <c r="H80" s="1" t="b">
        <f>IF(ISNUMBER(G80),IF(F80=0,ABS(G80)&lt;=nTOL_ABS,ABS(G80-F80)/ABS(F80)&lt;=nTOL_REL),FALSE)</f>
        <v>1</v>
      </c>
    </row>
    <row r="81" spans="1:8" x14ac:dyDescent="0.2">
      <c r="A81" s="1">
        <v>43</v>
      </c>
      <c r="B81" s="1" t="s">
        <v>1785</v>
      </c>
      <c r="C81" s="1" t="s">
        <v>702</v>
      </c>
      <c r="D81" s="1" t="s">
        <v>1525</v>
      </c>
      <c r="E81" s="1" t="s">
        <v>1915</v>
      </c>
      <c r="F81" s="4" t="s">
        <v>1615</v>
      </c>
      <c r="G81" s="37" t="str">
        <f>IFERROR(INDEX(nINT_Unit,MATCH("VEC-V10|1|I1",nINT_Key,0)),"(row not found)")</f>
        <v>minutes (local clock)</v>
      </c>
      <c r="H81" s="1" t="b">
        <f>EXACT(G81&amp;"",F81&amp;"")</f>
        <v>1</v>
      </c>
    </row>
    <row r="82" spans="1:8" x14ac:dyDescent="0.2">
      <c r="A82" s="1">
        <v>44</v>
      </c>
      <c r="B82" s="1" t="s">
        <v>1785</v>
      </c>
      <c r="C82" s="1" t="s">
        <v>1861</v>
      </c>
      <c r="D82" s="1" t="s">
        <v>1525</v>
      </c>
      <c r="E82" s="1" t="s">
        <v>1916</v>
      </c>
      <c r="F82" s="4" t="s">
        <v>1524</v>
      </c>
      <c r="G82" s="37" t="str">
        <f>IFERROR(INDEX(nINT_Sequence_Status,MATCH("VEC-V10|1|I1",nINT_Key,0)),"(row not found)")</f>
        <v>AFTER</v>
      </c>
      <c r="H82" s="1" t="b">
        <f>EXACT(G82&amp;"",F82&amp;"")</f>
        <v>1</v>
      </c>
    </row>
    <row r="83" spans="1:8" x14ac:dyDescent="0.2">
      <c r="A83" s="1">
        <v>45</v>
      </c>
      <c r="B83" s="1" t="s">
        <v>1785</v>
      </c>
      <c r="C83" s="1" t="s">
        <v>1863</v>
      </c>
      <c r="D83" s="1" t="s">
        <v>1864</v>
      </c>
      <c r="E83" s="1" t="s">
        <v>1917</v>
      </c>
      <c r="F83" s="4" t="s">
        <v>230</v>
      </c>
      <c r="G83" s="37" t="str">
        <f>IFERROR(INDEX(nINT_QC_Flags,MATCH("VEC-V10|1|I1",nINT_Key,0)),"(row not found)")</f>
        <v>W_TZ_UNKNOWN</v>
      </c>
      <c r="H83" s="1" t="b">
        <f>IF(F83="(none)",G83&amp;""="",EXACT(G83&amp;"",F83&amp;""))</f>
        <v>1</v>
      </c>
    </row>
    <row r="84" spans="1:8" x14ac:dyDescent="0.2">
      <c r="A84" s="1">
        <v>46</v>
      </c>
      <c r="B84" s="1" t="s">
        <v>1787</v>
      </c>
      <c r="C84" s="1" t="s">
        <v>1858</v>
      </c>
      <c r="D84" s="1" t="s">
        <v>1520</v>
      </c>
      <c r="E84" s="1" t="s">
        <v>1918</v>
      </c>
      <c r="F84" s="37">
        <v>360</v>
      </c>
      <c r="G84" s="37">
        <f>IFERROR(INDEX(nINT_Interval_Value,MATCH("VEC-V11|1|I1",nINT_Key,0)),"(row not found)")</f>
        <v>360</v>
      </c>
      <c r="H84" s="1" t="b">
        <f>IF(ISNUMBER(G84),IF(F84=0,ABS(G84)&lt;=nTOL_ABS,ABS(G84-F84)/ABS(F84)&lt;=nTOL_REL),FALSE)</f>
        <v>1</v>
      </c>
    </row>
    <row r="85" spans="1:8" x14ac:dyDescent="0.2">
      <c r="A85" s="1">
        <v>47</v>
      </c>
      <c r="B85" s="1" t="s">
        <v>1787</v>
      </c>
      <c r="C85" s="1" t="s">
        <v>702</v>
      </c>
      <c r="D85" s="1" t="s">
        <v>1525</v>
      </c>
      <c r="E85" s="1" t="s">
        <v>1919</v>
      </c>
      <c r="F85" s="4" t="s">
        <v>64</v>
      </c>
      <c r="G85" s="37" t="str">
        <f>IFERROR(INDEX(nINT_Unit,MATCH("VEC-V11|1|I1",nINT_Key,0)),"(row not found)")</f>
        <v>minutes</v>
      </c>
      <c r="H85" s="1" t="b">
        <f>EXACT(G85&amp;"",F85&amp;"")</f>
        <v>1</v>
      </c>
    </row>
    <row r="86" spans="1:8" x14ac:dyDescent="0.2">
      <c r="A86" s="1">
        <v>48</v>
      </c>
      <c r="B86" s="1" t="s">
        <v>1787</v>
      </c>
      <c r="C86" s="1" t="s">
        <v>1920</v>
      </c>
      <c r="D86" s="1" t="s">
        <v>1570</v>
      </c>
      <c r="E86" s="1" t="s">
        <v>1921</v>
      </c>
      <c r="F86" s="4" t="s">
        <v>1009</v>
      </c>
      <c r="G86" s="37" t="str">
        <f>IFERROR(INDEX(nINT_Reported_Timing_Result,MATCH("VEC-V11|1|I1",nINT_Key,0)),"(row not found)")</f>
        <v>Conflicts with the computed interval; both kept. Reported: "two hours after the dose" [120 to 120 minutes]</v>
      </c>
      <c r="H86" s="1" t="b">
        <f>ISNUMBER(SEARCH(F86,G86))</f>
        <v>1</v>
      </c>
    </row>
    <row r="87" spans="1:8" x14ac:dyDescent="0.2">
      <c r="A87" s="1">
        <v>49</v>
      </c>
      <c r="B87" s="1" t="s">
        <v>1787</v>
      </c>
      <c r="C87" s="1" t="s">
        <v>1863</v>
      </c>
      <c r="D87" s="1" t="s">
        <v>1864</v>
      </c>
      <c r="E87" s="1" t="s">
        <v>1922</v>
      </c>
      <c r="F87" s="4" t="s">
        <v>243</v>
      </c>
      <c r="G87" s="37" t="str">
        <f>IFERROR(INDEX(nINT_QC_Flags,MATCH("VEC-V11|1|I1",nINT_Key,0)),"(row not found)")</f>
        <v>W_REPORTED_TIMING_CONFLICT</v>
      </c>
      <c r="H87" s="1" t="b">
        <f>IF(F87="(none)",G87&amp;""="",EXACT(G87&amp;"",F87&amp;""))</f>
        <v>1</v>
      </c>
    </row>
    <row r="88" spans="1:8" x14ac:dyDescent="0.2">
      <c r="A88" s="1">
        <v>50</v>
      </c>
      <c r="B88" s="1" t="s">
        <v>1790</v>
      </c>
      <c r="C88" s="1" t="s">
        <v>1923</v>
      </c>
      <c r="D88" s="1" t="s">
        <v>1520</v>
      </c>
      <c r="E88" s="1" t="s">
        <v>1924</v>
      </c>
      <c r="F88" s="37">
        <v>9</v>
      </c>
      <c r="G88" s="37">
        <f>IFERROR(INDEX(nINT_Interval_Value,MATCH("VEC-V12|1|I1",nINT_Key,0)),"(row not found)")</f>
        <v>9</v>
      </c>
      <c r="H88" s="1" t="b">
        <f>IF(ISNUMBER(G88),IF(F88=0,ABS(G88)&lt;=nTOL_ABS,ABS(G88-F88)/ABS(F88)&lt;=nTOL_REL),FALSE)</f>
        <v>1</v>
      </c>
    </row>
    <row r="89" spans="1:8" x14ac:dyDescent="0.2">
      <c r="A89" s="1">
        <v>51</v>
      </c>
      <c r="B89" s="1" t="s">
        <v>1790</v>
      </c>
      <c r="C89" s="1" t="s">
        <v>1925</v>
      </c>
      <c r="D89" s="1" t="s">
        <v>1520</v>
      </c>
      <c r="E89" s="1" t="s">
        <v>1926</v>
      </c>
      <c r="F89" s="37">
        <v>7</v>
      </c>
      <c r="G89" s="37">
        <f>IFERROR(INDEX(nINT_Interval_Value,MATCH("VEC-V12|2|I1",nINT_Key,0)),"(row not found)")</f>
        <v>7</v>
      </c>
      <c r="H89" s="1" t="b">
        <f>IF(ISNUMBER(G89),IF(F89=0,ABS(G89)&lt;=nTOL_ABS,ABS(G89-F89)/ABS(F89)&lt;=nTOL_REL),FALSE)</f>
        <v>1</v>
      </c>
    </row>
    <row r="90" spans="1:8" x14ac:dyDescent="0.2">
      <c r="A90" s="1">
        <v>52</v>
      </c>
      <c r="B90" s="1" t="s">
        <v>1795</v>
      </c>
      <c r="C90" s="1" t="s">
        <v>1927</v>
      </c>
      <c r="D90" s="1" t="s">
        <v>1864</v>
      </c>
      <c r="E90" s="1" t="s">
        <v>1928</v>
      </c>
      <c r="F90" s="4" t="s">
        <v>196</v>
      </c>
      <c r="G90" s="37" t="str">
        <f>IFERROR(INDEX(nINT_QC_Flags,MATCH("VEC-V13|1|I-DATE",nINT_Key,0)),"(row not found)")</f>
        <v>E_INVALID_DATE</v>
      </c>
      <c r="H90" s="1" t="b">
        <f>IF(F90="(none)",G90&amp;""="",EXACT(G90&amp;"",F90&amp;""))</f>
        <v>1</v>
      </c>
    </row>
    <row r="91" spans="1:8" x14ac:dyDescent="0.2">
      <c r="A91" s="1">
        <v>53</v>
      </c>
      <c r="B91" s="1" t="s">
        <v>1795</v>
      </c>
      <c r="C91" s="1" t="s">
        <v>1929</v>
      </c>
      <c r="D91" s="1" t="s">
        <v>1864</v>
      </c>
      <c r="E91" s="1" t="s">
        <v>1930</v>
      </c>
      <c r="F91" s="4" t="s">
        <v>200</v>
      </c>
      <c r="G91" s="37" t="str">
        <f>IFERROR(INDEX(nINT_QC_Flags,MATCH("VEC-V13|1|I-BOUNDS",nINT_Key,0)),"(row not found)")</f>
        <v>E_REVERSED_BOUNDS</v>
      </c>
      <c r="H91" s="1" t="b">
        <f>IF(F91="(none)",G91&amp;""="",EXACT(G91&amp;"",F91&amp;""))</f>
        <v>1</v>
      </c>
    </row>
    <row r="92" spans="1:8" x14ac:dyDescent="0.2">
      <c r="A92" s="1">
        <v>54</v>
      </c>
      <c r="B92" s="1" t="s">
        <v>1795</v>
      </c>
      <c r="C92" s="1" t="s">
        <v>1931</v>
      </c>
      <c r="D92" s="1" t="s">
        <v>1864</v>
      </c>
      <c r="E92" s="1" t="s">
        <v>1932</v>
      </c>
      <c r="F92" s="4" t="s">
        <v>203</v>
      </c>
      <c r="G92" s="37" t="str">
        <f>IFERROR(INDEX(nINT_QC_Flags,MATCH("VEC-V13|1|I-IDS",nINT_Key,0)),"(row not found)")</f>
        <v>E_DUPLICATE_ID</v>
      </c>
      <c r="H92" s="1" t="b">
        <f>IF(F92="(none)",G92&amp;""="",EXACT(G92&amp;"",F92&amp;""))</f>
        <v>1</v>
      </c>
    </row>
    <row r="93" spans="1:8" x14ac:dyDescent="0.2">
      <c r="A93" s="1">
        <v>55</v>
      </c>
      <c r="B93" s="1" t="s">
        <v>1795</v>
      </c>
      <c r="C93" s="1" t="s">
        <v>1933</v>
      </c>
      <c r="D93" s="1" t="s">
        <v>1864</v>
      </c>
      <c r="E93" s="1" t="s">
        <v>1934</v>
      </c>
      <c r="F93" s="4" t="s">
        <v>206</v>
      </c>
      <c r="G93" s="37" t="str">
        <f>IFERROR(INDEX(nINT_QC_Flags,MATCH("VEC-V13|1|I-LINK",nINT_Key,0)),"(row not found)")</f>
        <v>E_MISSING_LINK</v>
      </c>
      <c r="H93" s="1" t="b">
        <f>IF(F93="(none)",G93&amp;""="",EXACT(G93&amp;"",F93&amp;""))</f>
        <v>1</v>
      </c>
    </row>
    <row r="94" spans="1:8" x14ac:dyDescent="0.2">
      <c r="A94" s="1">
        <v>56</v>
      </c>
      <c r="B94" s="1" t="s">
        <v>1803</v>
      </c>
      <c r="C94" s="1" t="s">
        <v>1935</v>
      </c>
      <c r="D94" s="1" t="s">
        <v>1936</v>
      </c>
      <c r="E94" s="1" t="s">
        <v>1937</v>
      </c>
      <c r="F94" s="4" t="s">
        <v>1938</v>
      </c>
      <c r="G94" s="37" t="str">
        <f>IFERROR(INDEX(nINT_Interval_Value,MATCH("VEC-V15|1|I1",nINT_Key,0)),"(row not found)")</f>
        <v/>
      </c>
      <c r="H94" s="1" t="b">
        <f>G94&amp;""=""</f>
        <v>1</v>
      </c>
    </row>
    <row r="95" spans="1:8" x14ac:dyDescent="0.2">
      <c r="A95" s="1">
        <v>57</v>
      </c>
      <c r="B95" s="1" t="s">
        <v>1803</v>
      </c>
      <c r="C95" s="1" t="s">
        <v>1939</v>
      </c>
      <c r="D95" s="1" t="s">
        <v>1525</v>
      </c>
      <c r="E95" s="1" t="s">
        <v>1940</v>
      </c>
      <c r="F95" s="4" t="s">
        <v>262</v>
      </c>
      <c r="G95" s="37" t="str">
        <f>IFERROR(INDEX(nINT_C6_Code,MATCH("VEC-V15|1|I1",nINT_Key,0)),"(row not found)")</f>
        <v>I_APPROXIMATE_NOT_COMPARED</v>
      </c>
      <c r="H95" s="1" t="b">
        <f>EXACT(G95&amp;"",F95&amp;"")</f>
        <v>1</v>
      </c>
    </row>
    <row r="96" spans="1:8" x14ac:dyDescent="0.2">
      <c r="A96" s="1">
        <v>58</v>
      </c>
      <c r="B96" s="1" t="s">
        <v>1805</v>
      </c>
      <c r="C96" s="1" t="s">
        <v>1941</v>
      </c>
      <c r="D96" s="1" t="s">
        <v>1520</v>
      </c>
      <c r="E96" s="1" t="s">
        <v>1942</v>
      </c>
      <c r="F96" s="37">
        <v>0.125</v>
      </c>
      <c r="G96" s="37">
        <f>IFERROR(INDEX(nQ1_Fraction_Remaining,MATCH("VEC-V16|1|Q1-V16",nQ1_Key,0)),"(row not found)")</f>
        <v>0.125</v>
      </c>
      <c r="H96" s="1" t="b">
        <f>IF(ISNUMBER(G96),IF(F96=0,ABS(G96)&lt;=nTOL_ABS,ABS(G96-F96)/ABS(F96)&lt;=nTOL_REL),FALSE)</f>
        <v>1</v>
      </c>
    </row>
    <row r="97" spans="1:8" x14ac:dyDescent="0.2">
      <c r="A97" s="1">
        <v>59</v>
      </c>
      <c r="B97" s="1" t="s">
        <v>1805</v>
      </c>
      <c r="C97" s="1" t="s">
        <v>1943</v>
      </c>
      <c r="D97" s="1" t="s">
        <v>1520</v>
      </c>
      <c r="E97" s="1" t="s">
        <v>1944</v>
      </c>
      <c r="F97" s="37">
        <v>2.8881133E-2</v>
      </c>
      <c r="G97" s="37">
        <f>IFERROR(INDEX(nQ1_k_per_hour,MATCH("VEC-V16|1|Q1-V16",nQ1_Key,0)),"(row not found)")</f>
        <v>2.8881132523331052E-2</v>
      </c>
      <c r="H97" s="1" t="b">
        <f>IF(ISNUMBER(G97),IF(F97=0,ABS(G97)&lt;=nTOL_ABS,ABS(G97-F97)/ABS(F97)&lt;=nTOL_REL),FALSE)</f>
        <v>1</v>
      </c>
    </row>
    <row r="98" spans="1:8" x14ac:dyDescent="0.2">
      <c r="A98" s="1">
        <v>60</v>
      </c>
      <c r="B98" s="1" t="s">
        <v>1805</v>
      </c>
      <c r="C98" s="1" t="s">
        <v>1863</v>
      </c>
      <c r="D98" s="1" t="s">
        <v>1864</v>
      </c>
      <c r="E98" s="1" t="s">
        <v>1945</v>
      </c>
      <c r="F98" s="4" t="s">
        <v>1866</v>
      </c>
      <c r="G98" s="37" t="str">
        <f>IFERROR(INDEX(nQ1_QC_Flags,MATCH("VEC-V16|1|Q1-V16",nQ1_Key,0)),"(row not found)")</f>
        <v/>
      </c>
      <c r="H98" s="1" t="b">
        <f>IF(F98="(none)",G98&amp;""="",EXACT(G98&amp;"",F98&amp;""))</f>
        <v>1</v>
      </c>
    </row>
    <row r="99" spans="1:8" x14ac:dyDescent="0.2">
      <c r="A99" s="1">
        <v>61</v>
      </c>
      <c r="B99" s="1" t="s">
        <v>1809</v>
      </c>
      <c r="C99" s="1" t="s">
        <v>1946</v>
      </c>
      <c r="D99" s="1" t="s">
        <v>1520</v>
      </c>
      <c r="E99" s="1" t="s">
        <v>1947</v>
      </c>
      <c r="F99" s="37">
        <v>79.726274000000004</v>
      </c>
      <c r="G99" s="37">
        <f>IFERROR(INDEX(nQ2_Time_to_f,MATCH("VEC-V17|1|Q2-V17",nQ2_Key,0)),"(row not found)")</f>
        <v>79.72627427729671</v>
      </c>
      <c r="H99" s="1" t="b">
        <f>IF(ISNUMBER(G99),IF(F99=0,ABS(G99)&lt;=nTOL_ABS,ABS(G99-F99)/ABS(F99)&lt;=nTOL_REL),FALSE)</f>
        <v>1</v>
      </c>
    </row>
    <row r="100" spans="1:8" x14ac:dyDescent="0.2">
      <c r="A100" s="1">
        <v>62</v>
      </c>
      <c r="B100" s="1" t="s">
        <v>1809</v>
      </c>
      <c r="C100" s="1" t="s">
        <v>1948</v>
      </c>
      <c r="D100" s="1" t="s">
        <v>1520</v>
      </c>
      <c r="E100" s="1" t="s">
        <v>1949</v>
      </c>
      <c r="F100" s="37">
        <v>3.3219280000000002</v>
      </c>
      <c r="G100" s="37">
        <f>IFERROR(INDEX(nQ2_Half_Lives,MATCH("VEC-V17|1|Q2-V17",nQ2_Key,0)),"(row not found)")</f>
        <v>3.3219280948873626</v>
      </c>
      <c r="H100" s="1" t="b">
        <f>IF(ISNUMBER(G100),IF(F100=0,ABS(G100)&lt;=nTOL_ABS,ABS(G100-F100)/ABS(F100)&lt;=nTOL_REL),FALSE)</f>
        <v>1</v>
      </c>
    </row>
    <row r="101" spans="1:8" x14ac:dyDescent="0.2">
      <c r="A101" s="1">
        <v>63</v>
      </c>
      <c r="B101" s="1" t="s">
        <v>1809</v>
      </c>
      <c r="C101" s="1" t="s">
        <v>1863</v>
      </c>
      <c r="D101" s="1" t="s">
        <v>1864</v>
      </c>
      <c r="E101" s="1" t="s">
        <v>1950</v>
      </c>
      <c r="F101" s="4" t="s">
        <v>1866</v>
      </c>
      <c r="G101" s="37" t="str">
        <f>IFERROR(INDEX(nQ2_QC_Flags,MATCH("VEC-V17|1|Q2-V17",nQ2_Key,0)),"(row not found)")</f>
        <v/>
      </c>
      <c r="H101" s="1" t="b">
        <f>IF(F101="(none)",G101&amp;""="",EXACT(G101&amp;"",F101&amp;""))</f>
        <v>1</v>
      </c>
    </row>
    <row r="102" spans="1:8" x14ac:dyDescent="0.2">
      <c r="A102" s="1">
        <v>64</v>
      </c>
      <c r="B102" s="1" t="s">
        <v>1813</v>
      </c>
      <c r="C102" s="1" t="s">
        <v>1951</v>
      </c>
      <c r="D102" s="1" t="s">
        <v>1520</v>
      </c>
      <c r="E102" s="1" t="s">
        <v>1952</v>
      </c>
      <c r="F102" s="37">
        <v>3.4142139999999999</v>
      </c>
      <c r="G102" s="37">
        <f>IFERROR(INDEX(nQ3_Accumulation_Factor,MATCH("VEC-V18|1|Q3-V18",nQ3_Key,0)),"(row not found)")</f>
        <v>3.4142135623730945</v>
      </c>
      <c r="H102" s="1" t="b">
        <f>IF(ISNUMBER(G102),IF(F102=0,ABS(G102)&lt;=nTOL_ABS,ABS(G102-F102)/ABS(F102)&lt;=nTOL_REL),FALSE)</f>
        <v>1</v>
      </c>
    </row>
    <row r="103" spans="1:8" x14ac:dyDescent="0.2">
      <c r="A103" s="1">
        <v>65</v>
      </c>
      <c r="B103" s="1" t="s">
        <v>1813</v>
      </c>
      <c r="C103" s="1" t="s">
        <v>1863</v>
      </c>
      <c r="D103" s="1" t="s">
        <v>1864</v>
      </c>
      <c r="E103" s="1" t="s">
        <v>1953</v>
      </c>
      <c r="F103" s="4" t="s">
        <v>1866</v>
      </c>
      <c r="G103" s="37" t="str">
        <f>IFERROR(INDEX(nQ3_QC_Flags,MATCH("VEC-V18|1|Q3-V18",nQ3_Key,0)),"(row not found)")</f>
        <v/>
      </c>
      <c r="H103" s="1" t="b">
        <f>IF(F103="(none)",G103&amp;""="",EXACT(G103&amp;"",F103&amp;""))</f>
        <v>1</v>
      </c>
    </row>
    <row r="104" spans="1:8" x14ac:dyDescent="0.2">
      <c r="A104" s="1">
        <v>66</v>
      </c>
      <c r="B104" s="1" t="s">
        <v>1816</v>
      </c>
      <c r="C104" s="1" t="s">
        <v>1954</v>
      </c>
      <c r="D104" s="1" t="s">
        <v>1520</v>
      </c>
      <c r="E104" s="1" t="s">
        <v>1955</v>
      </c>
      <c r="F104" s="37">
        <v>2</v>
      </c>
      <c r="G104" s="37">
        <f>IFERROR(INDEX(nQ4_HalfLife_Ratio,MATCH("VEC-V19|1|Q4-V19",nQ4_Key,0)),"(row not found)")</f>
        <v>2</v>
      </c>
      <c r="H104" s="1" t="b">
        <f>IF(ISNUMBER(G104),IF(F104=0,ABS(G104)&lt;=nTOL_ABS,ABS(G104-F104)/ABS(F104)&lt;=nTOL_REL),FALSE)</f>
        <v>1</v>
      </c>
    </row>
    <row r="105" spans="1:8" x14ac:dyDescent="0.2">
      <c r="A105" s="1">
        <v>67</v>
      </c>
      <c r="B105" s="1" t="s">
        <v>1816</v>
      </c>
      <c r="C105" s="1" t="s">
        <v>1956</v>
      </c>
      <c r="D105" s="1" t="s">
        <v>1520</v>
      </c>
      <c r="E105" s="1" t="s">
        <v>1957</v>
      </c>
      <c r="F105" s="37">
        <v>2</v>
      </c>
      <c r="G105" s="37">
        <f>IFERROR(INDEX(nQ4_Css_Ratio,MATCH("VEC-V19|1|Q4-V19",nQ4_Key,0)),"(row not found)")</f>
        <v>2</v>
      </c>
      <c r="H105" s="1" t="b">
        <f>IF(ISNUMBER(G105),IF(F105=0,ABS(G105)&lt;=nTOL_ABS,ABS(G105-F105)/ABS(F105)&lt;=nTOL_REL),FALSE)</f>
        <v>1</v>
      </c>
    </row>
    <row r="106" spans="1:8" x14ac:dyDescent="0.2">
      <c r="A106" s="1">
        <v>68</v>
      </c>
      <c r="B106" s="1" t="s">
        <v>1816</v>
      </c>
      <c r="C106" s="1" t="s">
        <v>1863</v>
      </c>
      <c r="D106" s="1" t="s">
        <v>1864</v>
      </c>
      <c r="E106" s="1" t="s">
        <v>1958</v>
      </c>
      <c r="F106" s="4" t="s">
        <v>1866</v>
      </c>
      <c r="G106" s="37" t="str">
        <f>IFERROR(INDEX(nQ4_QC_Flags,MATCH("VEC-V19|1|Q4-V19",nQ4_Key,0)),"(row not found)")</f>
        <v/>
      </c>
      <c r="H106" s="1" t="b">
        <f>IF(F106="(none)",G106&amp;""="",EXACT(G106&amp;"",F106&amp;""))</f>
        <v>1</v>
      </c>
    </row>
    <row r="107" spans="1:8" x14ac:dyDescent="0.2">
      <c r="A107" s="1">
        <v>69</v>
      </c>
      <c r="B107" s="1" t="s">
        <v>1820</v>
      </c>
      <c r="C107" s="1" t="s">
        <v>1959</v>
      </c>
      <c r="D107" s="1" t="s">
        <v>1520</v>
      </c>
      <c r="E107" s="1" t="s">
        <v>1960</v>
      </c>
      <c r="F107" s="37">
        <v>0.390625</v>
      </c>
      <c r="G107" s="37">
        <f>IFERROR(INDEX(nQ5_Parent_Percent,MATCH("VEC-V20|1|Q5-V20",nQ5_Key,0)),"(row not found)")</f>
        <v>0.390625</v>
      </c>
      <c r="H107" s="1" t="b">
        <f>IF(ISNUMBER(G107),IF(F107=0,ABS(G107)&lt;=nTOL_ABS,ABS(G107-F107)/ABS(F107)&lt;=nTOL_REL),FALSE)</f>
        <v>1</v>
      </c>
    </row>
    <row r="108" spans="1:8" x14ac:dyDescent="0.2">
      <c r="A108" s="1">
        <v>70</v>
      </c>
      <c r="B108" s="1" t="s">
        <v>1820</v>
      </c>
      <c r="C108" s="1" t="s">
        <v>1961</v>
      </c>
      <c r="D108" s="1" t="s">
        <v>1520</v>
      </c>
      <c r="E108" s="1" t="s">
        <v>1962</v>
      </c>
      <c r="F108" s="37">
        <v>62.996051999999999</v>
      </c>
      <c r="G108" s="37">
        <f>IFERROR(INDEX(nQ5_Metabolite_Percent,MATCH("VEC-V20|1|Q5-V20",nQ5_Key,0)),"(row not found)")</f>
        <v>62.996052494743658</v>
      </c>
      <c r="H108" s="1" t="b">
        <f>IF(ISNUMBER(G108),IF(F108=0,ABS(G108)&lt;=nTOL_ABS,ABS(G108-F108)/ABS(F108)&lt;=nTOL_REL),FALSE)</f>
        <v>1</v>
      </c>
    </row>
    <row r="109" spans="1:8" x14ac:dyDescent="0.2">
      <c r="A109" s="1">
        <v>71</v>
      </c>
      <c r="B109" s="1" t="s">
        <v>1820</v>
      </c>
      <c r="C109" s="1" t="s">
        <v>1863</v>
      </c>
      <c r="D109" s="1" t="s">
        <v>1864</v>
      </c>
      <c r="E109" s="1" t="s">
        <v>1963</v>
      </c>
      <c r="F109" s="4" t="s">
        <v>1866</v>
      </c>
      <c r="G109" s="37" t="str">
        <f>IFERROR(INDEX(nQ5_QC_Flags,MATCH("VEC-V20|1|Q5-V20",nQ5_Key,0)),"(row not found)")</f>
        <v/>
      </c>
      <c r="H109" s="1" t="b">
        <f>IF(F109="(none)",G109&amp;""="",EXACT(G109&amp;"",F109&amp;""))</f>
        <v>1</v>
      </c>
    </row>
    <row r="110" spans="1:8" x14ac:dyDescent="0.2">
      <c r="A110" s="1">
        <v>72</v>
      </c>
      <c r="B110" s="1" t="s">
        <v>1824</v>
      </c>
      <c r="C110" s="1" t="s">
        <v>1964</v>
      </c>
      <c r="D110" s="1" t="s">
        <v>1520</v>
      </c>
      <c r="E110" s="1" t="s">
        <v>1965</v>
      </c>
      <c r="F110" s="37">
        <v>0.75</v>
      </c>
      <c r="G110" s="37">
        <f>IFERROR(INDEX(nQ6_Fraction_Replaced,MATCH("VEC-V21|1|Q6-V21",nQ6_Key,0)),"(row not found)")</f>
        <v>0.75</v>
      </c>
      <c r="H110" s="1" t="b">
        <f>IF(ISNUMBER(G110),IF(F110=0,ABS(G110)&lt;=nTOL_ABS,ABS(G110-F110)/ABS(F110)&lt;=nTOL_REL),FALSE)</f>
        <v>1</v>
      </c>
    </row>
    <row r="111" spans="1:8" x14ac:dyDescent="0.2">
      <c r="A111" s="1">
        <v>73</v>
      </c>
      <c r="B111" s="1" t="s">
        <v>1824</v>
      </c>
      <c r="C111" s="1" t="s">
        <v>1863</v>
      </c>
      <c r="D111" s="1" t="s">
        <v>1864</v>
      </c>
      <c r="E111" s="1" t="s">
        <v>1966</v>
      </c>
      <c r="F111" s="4" t="s">
        <v>268</v>
      </c>
      <c r="G111" s="37" t="str">
        <f>IFERROR(INDEX(nQ6_QC_Flags,MATCH("VEC-V21|1|Q6-V21",nQ6_Key,0)),"(row not found)")</f>
        <v>I_TEACHING_DEMONSTRATION</v>
      </c>
      <c r="H111" s="1" t="b">
        <f>IF(F111="(none)",G111&amp;""="",EXACT(G111&amp;"",F111&amp;""))</f>
        <v>1</v>
      </c>
    </row>
    <row r="112" spans="1:8" x14ac:dyDescent="0.2">
      <c r="A112" s="1">
        <v>74</v>
      </c>
      <c r="B112" s="1" t="s">
        <v>1828</v>
      </c>
      <c r="C112" s="1" t="s">
        <v>1941</v>
      </c>
      <c r="D112" s="1" t="s">
        <v>1520</v>
      </c>
      <c r="E112" s="1" t="s">
        <v>1967</v>
      </c>
      <c r="F112" s="37">
        <v>0.25</v>
      </c>
      <c r="G112" s="37">
        <f>IFERROR(INDEX(nQ7_Fraction_Remaining,MATCH("VEC-V22|1|Q7-V22",nQ7_Key,0)),"(row not found)")</f>
        <v>0.25</v>
      </c>
      <c r="H112" s="1" t="b">
        <f>IF(ISNUMBER(G112),IF(F112=0,ABS(G112)&lt;=nTOL_ABS,ABS(G112-F112)/ABS(F112)&lt;=nTOL_REL),FALSE)</f>
        <v>1</v>
      </c>
    </row>
    <row r="113" spans="1:8" x14ac:dyDescent="0.2">
      <c r="A113" s="1">
        <v>75</v>
      </c>
      <c r="B113" s="1" t="s">
        <v>1828</v>
      </c>
      <c r="C113" s="1" t="s">
        <v>1863</v>
      </c>
      <c r="D113" s="1" t="s">
        <v>1864</v>
      </c>
      <c r="E113" s="1" t="s">
        <v>1968</v>
      </c>
      <c r="F113" s="4" t="s">
        <v>249</v>
      </c>
      <c r="G113" s="37" t="str">
        <f>IFERROR(INDEX(nQ7_QC_Flags,MATCH("VEC-V22|1|Q7-V22",nQ7_Key,0)),"(row not found)")</f>
        <v>W_BIOLOGIC_MODEL_CAUTION</v>
      </c>
      <c r="H113" s="1" t="b">
        <f>IF(F113="(none)",G113&amp;""="",EXACT(G113&amp;"",F113&amp;""))</f>
        <v>1</v>
      </c>
    </row>
    <row r="114" spans="1:8" x14ac:dyDescent="0.2">
      <c r="A114" s="1">
        <v>76</v>
      </c>
      <c r="B114" s="1" t="s">
        <v>1832</v>
      </c>
      <c r="C114" s="1" t="s">
        <v>1969</v>
      </c>
      <c r="D114" s="1" t="s">
        <v>1520</v>
      </c>
      <c r="E114" s="1" t="s">
        <v>1970</v>
      </c>
      <c r="F114" s="37">
        <v>6.25E-2</v>
      </c>
      <c r="G114" s="37">
        <f>IFERROR(INDEX(nQ8_Fraction_at_Lower,MATCH("VEC-V23|1|Q8-V23",nQ8_Key,0)),"(row not found)")</f>
        <v>6.25E-2</v>
      </c>
      <c r="H114" s="1" t="b">
        <f>IF(ISNUMBER(G114),IF(F114=0,ABS(G114)&lt;=nTOL_ABS,ABS(G114-F114)/ABS(F114)&lt;=nTOL_REL),FALSE)</f>
        <v>1</v>
      </c>
    </row>
    <row r="115" spans="1:8" x14ac:dyDescent="0.2">
      <c r="A115" s="1">
        <v>77</v>
      </c>
      <c r="B115" s="1" t="s">
        <v>1832</v>
      </c>
      <c r="C115" s="1" t="s">
        <v>1971</v>
      </c>
      <c r="D115" s="1" t="s">
        <v>1520</v>
      </c>
      <c r="E115" s="1" t="s">
        <v>1972</v>
      </c>
      <c r="F115" s="37">
        <v>0.25</v>
      </c>
      <c r="G115" s="37">
        <f>IFERROR(INDEX(nQ8_Fraction_at_Upper,MATCH("VEC-V23|1|Q8-V23",nQ8_Key,0)),"(row not found)")</f>
        <v>0.25</v>
      </c>
      <c r="H115" s="1" t="b">
        <f>IF(ISNUMBER(G115),IF(F115=0,ABS(G115)&lt;=nTOL_ABS,ABS(G115-F115)/ABS(F115)&lt;=nTOL_REL),FALSE)</f>
        <v>1</v>
      </c>
    </row>
    <row r="116" spans="1:8" x14ac:dyDescent="0.2">
      <c r="A116" s="1">
        <v>78</v>
      </c>
      <c r="B116" s="1" t="s">
        <v>1832</v>
      </c>
      <c r="C116" s="1" t="s">
        <v>1863</v>
      </c>
      <c r="D116" s="1" t="s">
        <v>1864</v>
      </c>
      <c r="E116" s="1" t="s">
        <v>1973</v>
      </c>
      <c r="F116" s="4" t="s">
        <v>265</v>
      </c>
      <c r="G116" s="37" t="str">
        <f>IFERROR(INDEX(nQ8_QC_Flags,MATCH("VEC-V23|1|Q8-V23",nQ8_Key,0)),"(row not found)")</f>
        <v>I_SCENARIO_NOT_CI</v>
      </c>
      <c r="H116" s="1" t="b">
        <f>IF(F116="(none)",G116&amp;""="",EXACT(G116&amp;"",F116&amp;""))</f>
        <v>1</v>
      </c>
    </row>
    <row r="117" spans="1:8" x14ac:dyDescent="0.2">
      <c r="A117" s="1">
        <v>79</v>
      </c>
      <c r="B117" s="1" t="s">
        <v>1836</v>
      </c>
      <c r="C117" s="1" t="s">
        <v>1974</v>
      </c>
      <c r="D117" s="1" t="s">
        <v>1864</v>
      </c>
      <c r="E117" s="1" t="s">
        <v>1975</v>
      </c>
      <c r="F117" s="4" t="s">
        <v>215</v>
      </c>
      <c r="G117" s="37" t="str">
        <f>IFERROR(INDEX(nQ1_QC_Flags,MATCH("VEC-V24|1|Q1-V24a",nQ1_Key,0)),"(row not found)")</f>
        <v>E_NONPOSITIVE_PARAMETER</v>
      </c>
      <c r="H117" s="1" t="b">
        <f>IF(F117="(none)",G117&amp;""="",EXACT(G117&amp;"",F117&amp;""))</f>
        <v>1</v>
      </c>
    </row>
    <row r="118" spans="1:8" x14ac:dyDescent="0.2">
      <c r="A118" s="1">
        <v>80</v>
      </c>
      <c r="B118" s="1" t="s">
        <v>1836</v>
      </c>
      <c r="C118" s="1" t="s">
        <v>1976</v>
      </c>
      <c r="D118" s="1" t="s">
        <v>1864</v>
      </c>
      <c r="E118" s="1" t="s">
        <v>1977</v>
      </c>
      <c r="F118" s="4" t="s">
        <v>212</v>
      </c>
      <c r="G118" s="37" t="str">
        <f>IFERROR(INDEX(nQ1_QC_Flags,MATCH("VEC-V24|1|Q1-V24b",nQ1_Key,0)),"(row not found)")</f>
        <v>E_INVALID_UNIT</v>
      </c>
      <c r="H118" s="1" t="b">
        <f>IF(F118="(none)",G118&amp;""="",EXACT(G118&amp;"",F118&amp;""))</f>
        <v>1</v>
      </c>
    </row>
    <row r="119" spans="1:8" x14ac:dyDescent="0.2">
      <c r="A119" s="1">
        <v>81</v>
      </c>
      <c r="B119" s="1" t="s">
        <v>1836</v>
      </c>
      <c r="C119" s="1" t="s">
        <v>1978</v>
      </c>
      <c r="D119" s="1" t="s">
        <v>1864</v>
      </c>
      <c r="E119" s="1" t="s">
        <v>1979</v>
      </c>
      <c r="F119" s="4" t="s">
        <v>221</v>
      </c>
      <c r="G119" s="37" t="str">
        <f>IFERROR(INDEX(nQ1_QC_Flags,MATCH("VEC-V24|1|Q1-V24c",nQ1_Key,0)),"(row not found)")</f>
        <v>E_APPLICABILITY_UNCONFIRMED</v>
      </c>
      <c r="H119" s="1" t="b">
        <f>IF(F119="(none)",G119&amp;""="",EXACT(G119&amp;"",F119&amp;""))</f>
        <v>1</v>
      </c>
    </row>
    <row r="120" spans="1:8" x14ac:dyDescent="0.2">
      <c r="A120" s="1">
        <v>82</v>
      </c>
      <c r="B120" s="1" t="s">
        <v>1836</v>
      </c>
      <c r="C120" s="1" t="s">
        <v>1980</v>
      </c>
      <c r="D120" s="1" t="s">
        <v>1570</v>
      </c>
      <c r="E120" s="1" t="s">
        <v>1981</v>
      </c>
      <c r="F120" s="4" t="s">
        <v>81</v>
      </c>
      <c r="G120" s="37" t="str">
        <f>IFERROR(INDEX(nQ1_Parameter_Set,MATCH("VEC-V16|1|Q1-V16",nQ1_Key,0)),"(row not found)")</f>
        <v>t_half = 24 hours [hypothetical example; V15 V16]; t = 72 hours [hypothetical example; V15 V16]</v>
      </c>
      <c r="H120" s="1" t="b">
        <f>ISNUMBER(SEARCH(F120,G120))</f>
        <v>1</v>
      </c>
    </row>
    <row r="121" spans="1:8" x14ac:dyDescent="0.2">
      <c r="A121" s="1">
        <v>83</v>
      </c>
      <c r="B121" s="1" t="s">
        <v>1839</v>
      </c>
      <c r="C121" s="1" t="s">
        <v>1982</v>
      </c>
      <c r="D121" s="1" t="s">
        <v>1520</v>
      </c>
      <c r="E121" s="1" t="s">
        <v>1983</v>
      </c>
      <c r="F121" s="37">
        <v>58.333333000000003</v>
      </c>
      <c r="G121" s="37">
        <f>IFERROR(INDEX(nQ9_Amount_mg,MATCH("VEC-V25|1|Q9-V25",nQ9_Key,0)),"(row not found)")</f>
        <v>58.333333333333336</v>
      </c>
      <c r="H121" s="1" t="b">
        <f>IF(ISNUMBER(G121),IF(F121=0,ABS(G121)&lt;=nTOL_ABS,ABS(G121-F121)/ABS(F121)&lt;=nTOL_REL),FALSE)</f>
        <v>1</v>
      </c>
    </row>
    <row r="122" spans="1:8" x14ac:dyDescent="0.2">
      <c r="A122" s="1">
        <v>84</v>
      </c>
      <c r="B122" s="1" t="s">
        <v>1839</v>
      </c>
      <c r="C122" s="1" t="s">
        <v>1984</v>
      </c>
      <c r="D122" s="1" t="s">
        <v>1520</v>
      </c>
      <c r="E122" s="1" t="s">
        <v>1985</v>
      </c>
      <c r="F122" s="37">
        <v>11.666667</v>
      </c>
      <c r="G122" s="37">
        <f>IFERROR(INDEX(nQ9_Percent_of_Planned,MATCH("VEC-V25|1|Q9-V25",nQ9_Key,0)),"(row not found)")</f>
        <v>11.666666666666668</v>
      </c>
      <c r="H122" s="1" t="b">
        <f>IF(ISNUMBER(G122),IF(F122=0,ABS(G122)&lt;=nTOL_ABS,ABS(G122-F122)/ABS(F122)&lt;=nTOL_REL),FALSE)</f>
        <v>1</v>
      </c>
    </row>
    <row r="123" spans="1:8" x14ac:dyDescent="0.2">
      <c r="A123" s="1">
        <v>85</v>
      </c>
      <c r="B123" s="1" t="s">
        <v>1839</v>
      </c>
      <c r="C123" s="1" t="s">
        <v>1863</v>
      </c>
      <c r="D123" s="1" t="s">
        <v>1864</v>
      </c>
      <c r="E123" s="1" t="s">
        <v>1986</v>
      </c>
      <c r="F123" s="4" t="s">
        <v>1866</v>
      </c>
      <c r="G123" s="37" t="str">
        <f>IFERROR(INDEX(nQ9_QC_Flags,MATCH("VEC-V25|1|Q9-V25",nQ9_Key,0)),"(row not found)")</f>
        <v/>
      </c>
      <c r="H123" s="1" t="b">
        <f>IF(F123="(none)",G123&amp;""="",EXACT(G123&amp;"",F123&amp;""))</f>
        <v>1</v>
      </c>
    </row>
    <row r="124" spans="1:8" x14ac:dyDescent="0.2">
      <c r="A124" s="1">
        <v>86</v>
      </c>
      <c r="B124" s="1" t="s">
        <v>1843</v>
      </c>
      <c r="C124" s="1" t="s">
        <v>1987</v>
      </c>
      <c r="D124" s="1" t="s">
        <v>1520</v>
      </c>
      <c r="E124" s="1" t="s">
        <v>1988</v>
      </c>
      <c r="F124" s="37">
        <v>164.052288</v>
      </c>
      <c r="G124" s="37">
        <f>IFERROR(INDEX(nQ10_Method_A_mg_m2,MATCH("VEC-V26|1|Q10-V26-first",nQ10_Key,0)),"(row not found)")</f>
        <v>164.05228758169935</v>
      </c>
      <c r="H124" s="1" t="b">
        <f>IF(ISNUMBER(G124),IF(F124=0,ABS(G124)&lt;=nTOL_ABS,ABS(G124-F124)/ABS(F124)&lt;=nTOL_REL),FALSE)</f>
        <v>1</v>
      </c>
    </row>
    <row r="125" spans="1:8" x14ac:dyDescent="0.2">
      <c r="A125" s="1">
        <v>87</v>
      </c>
      <c r="B125" s="1" t="s">
        <v>1843</v>
      </c>
      <c r="C125" s="1" t="s">
        <v>1989</v>
      </c>
      <c r="D125" s="1" t="s">
        <v>1520</v>
      </c>
      <c r="E125" s="1" t="s">
        <v>1990</v>
      </c>
      <c r="F125" s="37">
        <v>161.11111099999999</v>
      </c>
      <c r="G125" s="37">
        <f>IFERROR(INDEX(nQ10_Method_B_mg_m2,MATCH("VEC-V26|1|Q10-V26-first",nQ10_Key,0)),"(row not found)")</f>
        <v>161.11111111111111</v>
      </c>
      <c r="H125" s="1" t="b">
        <f>IF(ISNUMBER(G125),IF(F125=0,ABS(G125)&lt;=nTOL_ABS,ABS(G125-F125)/ABS(F125)&lt;=nTOL_REL),FALSE)</f>
        <v>1</v>
      </c>
    </row>
    <row r="126" spans="1:8" x14ac:dyDescent="0.2">
      <c r="A126" s="1">
        <v>88</v>
      </c>
      <c r="B126" s="1" t="s">
        <v>1843</v>
      </c>
      <c r="C126" s="1" t="s">
        <v>1991</v>
      </c>
      <c r="D126" s="1" t="s">
        <v>1520</v>
      </c>
      <c r="E126" s="1" t="s">
        <v>1992</v>
      </c>
      <c r="F126" s="37">
        <v>170.588235</v>
      </c>
      <c r="G126" s="37">
        <f>IFERROR(INDEX(nQ10_Method_B_mg_m2,MATCH("VEC-V26|1|Q10-V26-last",nQ10_Key,0)),"(row not found)")</f>
        <v>170.58823529411765</v>
      </c>
      <c r="H126" s="1" t="b">
        <f>IF(ISNUMBER(G126),IF(F126=0,ABS(G126)&lt;=nTOL_ABS,ABS(G126-F126)/ABS(F126)&lt;=nTOL_REL),FALSE)</f>
        <v>1</v>
      </c>
    </row>
    <row r="127" spans="1:8" x14ac:dyDescent="0.2">
      <c r="A127" s="1">
        <v>89</v>
      </c>
      <c r="B127" s="1" t="s">
        <v>1843</v>
      </c>
      <c r="C127" s="1" t="s">
        <v>1863</v>
      </c>
      <c r="D127" s="1" t="s">
        <v>1864</v>
      </c>
      <c r="E127" s="1" t="s">
        <v>1993</v>
      </c>
      <c r="F127" s="4" t="s">
        <v>1866</v>
      </c>
      <c r="G127" s="37" t="str">
        <f>IFERROR(INDEX(nQ10_QC_Flags,MATCH("VEC-V26|1|Q10-V26-first",nQ10_Key,0)),"(row not found)")</f>
        <v/>
      </c>
      <c r="H127" s="1" t="b">
        <f>IF(F127="(none)",G127&amp;""="",EXACT(G127&amp;"",F127&amp;""))</f>
        <v>1</v>
      </c>
    </row>
    <row r="128" spans="1:8" x14ac:dyDescent="0.2">
      <c r="A128" s="1">
        <v>90</v>
      </c>
      <c r="B128" s="1" t="s">
        <v>1847</v>
      </c>
      <c r="C128" s="1" t="s">
        <v>1994</v>
      </c>
      <c r="D128" s="1" t="s">
        <v>1520</v>
      </c>
      <c r="E128" s="1" t="s">
        <v>1995</v>
      </c>
      <c r="F128" s="37">
        <v>68.055555999999996</v>
      </c>
      <c r="G128" s="37">
        <f>IFERROR(INDEX(nQ11_CrCl_mL_min,MATCH("VEC-V27|1|Q11-V27a",nQ11_Key,0)),"(row not found)")</f>
        <v>68.055555555555557</v>
      </c>
      <c r="H128" s="1" t="b">
        <f>IF(ISNUMBER(G128),IF(F128=0,ABS(G128)&lt;=nTOL_ABS,ABS(G128-F128)/ABS(F128)&lt;=nTOL_REL),FALSE)</f>
        <v>1</v>
      </c>
    </row>
    <row r="129" spans="1:8" x14ac:dyDescent="0.2">
      <c r="A129" s="1">
        <v>91</v>
      </c>
      <c r="B129" s="1" t="s">
        <v>1847</v>
      </c>
      <c r="C129" s="1" t="s">
        <v>1996</v>
      </c>
      <c r="D129" s="1" t="s">
        <v>1520</v>
      </c>
      <c r="E129" s="1" t="s">
        <v>1997</v>
      </c>
      <c r="F129" s="37">
        <v>34.027777999999998</v>
      </c>
      <c r="G129" s="37">
        <f>IFERROR(INDEX(nQ11_CrCl_mL_min,MATCH("VEC-V27|1|Q11-V27b",nQ11_Key,0)),"(row not found)")</f>
        <v>34.027777777777779</v>
      </c>
      <c r="H129" s="1" t="b">
        <f>IF(ISNUMBER(G129),IF(F129=0,ABS(G129)&lt;=nTOL_ABS,ABS(G129-F129)/ABS(F129)&lt;=nTOL_REL),FALSE)</f>
        <v>1</v>
      </c>
    </row>
    <row r="130" spans="1:8" x14ac:dyDescent="0.2">
      <c r="A130" s="1">
        <v>92</v>
      </c>
      <c r="B130" s="1" t="s">
        <v>1847</v>
      </c>
      <c r="C130" s="1" t="s">
        <v>1998</v>
      </c>
      <c r="D130" s="1" t="s">
        <v>1520</v>
      </c>
      <c r="E130" s="1" t="s">
        <v>1999</v>
      </c>
      <c r="F130" s="37">
        <v>57.847222000000002</v>
      </c>
      <c r="G130" s="37">
        <f>IFERROR(INDEX(nQ11_CrCl_mL_min,MATCH("VEC-V27|1|Q11-V27c",nQ11_Key,0)),"(row not found)")</f>
        <v>57.847222222222221</v>
      </c>
      <c r="H130" s="1" t="b">
        <f>IF(ISNUMBER(G130),IF(F130=0,ABS(G130)&lt;=nTOL_ABS,ABS(G130-F130)/ABS(F130)&lt;=nTOL_REL),FALSE)</f>
        <v>1</v>
      </c>
    </row>
    <row r="131" spans="1:8" x14ac:dyDescent="0.2">
      <c r="A131" s="1">
        <v>93</v>
      </c>
      <c r="B131" s="1" t="s">
        <v>1847</v>
      </c>
      <c r="C131" s="1" t="s">
        <v>2000</v>
      </c>
      <c r="D131" s="1" t="s">
        <v>1520</v>
      </c>
      <c r="E131" s="1" t="s">
        <v>2001</v>
      </c>
      <c r="F131" s="37">
        <v>57.847222000000002</v>
      </c>
      <c r="G131" s="37">
        <f>IFERROR(INDEX(nQ11_CrCl_Female_If_Sex_Not_Recorded,MATCH("VEC-V27|1|Q11-V27d",nQ11_Key,0)),"(row not found)")</f>
        <v>57.847222222222221</v>
      </c>
      <c r="H131" s="1" t="b">
        <f>IF(ISNUMBER(G131),IF(F131=0,ABS(G131)&lt;=nTOL_ABS,ABS(G131-F131)/ABS(F131)&lt;=nTOL_REL),FALSE)</f>
        <v>1</v>
      </c>
    </row>
    <row r="132" spans="1:8" x14ac:dyDescent="0.2">
      <c r="A132" s="1">
        <v>94</v>
      </c>
      <c r="B132" s="1" t="s">
        <v>1847</v>
      </c>
      <c r="C132" s="1" t="s">
        <v>2002</v>
      </c>
      <c r="D132" s="1" t="s">
        <v>1520</v>
      </c>
      <c r="E132" s="1" t="s">
        <v>2003</v>
      </c>
      <c r="F132" s="37">
        <v>68.055555999999996</v>
      </c>
      <c r="G132" s="37">
        <f>IFERROR(INDEX(nQ11_CrCl_Male_If_Sex_Not_Recorded,MATCH("VEC-V27|1|Q11-V27d",nQ11_Key,0)),"(row not found)")</f>
        <v>68.055555555555557</v>
      </c>
      <c r="H132" s="1" t="b">
        <f>IF(ISNUMBER(G132),IF(F132=0,ABS(G132)&lt;=nTOL_ABS,ABS(G132-F132)/ABS(F132)&lt;=nTOL_REL),FALSE)</f>
        <v>1</v>
      </c>
    </row>
    <row r="133" spans="1:8" x14ac:dyDescent="0.2">
      <c r="A133" s="1">
        <v>95</v>
      </c>
      <c r="B133" s="1" t="s">
        <v>1847</v>
      </c>
      <c r="C133" s="1" t="s">
        <v>2004</v>
      </c>
      <c r="D133" s="1" t="s">
        <v>1936</v>
      </c>
      <c r="E133" s="1" t="s">
        <v>2005</v>
      </c>
      <c r="F133" s="4" t="s">
        <v>1938</v>
      </c>
      <c r="G133" s="37" t="str">
        <f>IFERROR(INDEX(nQ11_CrCl_mL_min,MATCH("VEC-V27|1|Q11-V27e",nQ11_Key,0)),"(row not found)")</f>
        <v/>
      </c>
      <c r="H133" s="1" t="b">
        <f>G133&amp;""=""</f>
        <v>1</v>
      </c>
    </row>
    <row r="134" spans="1:8" x14ac:dyDescent="0.2">
      <c r="A134" s="1">
        <v>96</v>
      </c>
      <c r="B134" s="1" t="s">
        <v>1847</v>
      </c>
      <c r="C134" s="1" t="s">
        <v>2006</v>
      </c>
      <c r="D134" s="1" t="s">
        <v>1864</v>
      </c>
      <c r="E134" s="1" t="s">
        <v>2007</v>
      </c>
      <c r="F134" s="4" t="s">
        <v>1866</v>
      </c>
      <c r="G134" s="37" t="str">
        <f>IFERROR(INDEX(nQ11_QC_Flags,MATCH("VEC-V27|1|Q11-V27a",nQ11_Key,0)),"(row not found)")</f>
        <v/>
      </c>
      <c r="H134" s="1" t="b">
        <f>IF(F134="(none)",G134&amp;""="",EXACT(G134&amp;"",F134&amp;""))</f>
        <v>1</v>
      </c>
    </row>
    <row r="135" spans="1:8" x14ac:dyDescent="0.2">
      <c r="A135" s="1">
        <v>97</v>
      </c>
      <c r="B135" s="1" t="s">
        <v>1847</v>
      </c>
      <c r="C135" s="1" t="s">
        <v>2008</v>
      </c>
      <c r="D135" s="1" t="s">
        <v>1864</v>
      </c>
      <c r="E135" s="1" t="s">
        <v>2009</v>
      </c>
      <c r="F135" s="4" t="s">
        <v>1866</v>
      </c>
      <c r="G135" s="37" t="str">
        <f>IFERROR(INDEX(nQ11_QC_Flags,MATCH("VEC-V27|1|Q11-V27b",nQ11_Key,0)),"(row not found)")</f>
        <v/>
      </c>
      <c r="H135" s="1" t="b">
        <f>IF(F135="(none)",G135&amp;""="",EXACT(G135&amp;"",F135&amp;""))</f>
        <v>1</v>
      </c>
    </row>
    <row r="136" spans="1:8" x14ac:dyDescent="0.2">
      <c r="A136" s="1">
        <v>98</v>
      </c>
      <c r="B136" s="1" t="s">
        <v>1847</v>
      </c>
      <c r="C136" s="1" t="s">
        <v>2010</v>
      </c>
      <c r="D136" s="1" t="s">
        <v>1864</v>
      </c>
      <c r="E136" s="1" t="s">
        <v>2011</v>
      </c>
      <c r="F136" s="4" t="s">
        <v>1866</v>
      </c>
      <c r="G136" s="37" t="str">
        <f>IFERROR(INDEX(nQ11_QC_Flags,MATCH("VEC-V27|1|Q11-V27c",nQ11_Key,0)),"(row not found)")</f>
        <v/>
      </c>
      <c r="H136" s="1" t="b">
        <f>IF(F136="(none)",G136&amp;""="",EXACT(G136&amp;"",F136&amp;""))</f>
        <v>1</v>
      </c>
    </row>
    <row r="137" spans="1:8" x14ac:dyDescent="0.2">
      <c r="A137" s="1">
        <v>99</v>
      </c>
      <c r="B137" s="1" t="s">
        <v>1847</v>
      </c>
      <c r="C137" s="1" t="s">
        <v>2012</v>
      </c>
      <c r="D137" s="1" t="s">
        <v>1864</v>
      </c>
      <c r="E137" s="1" t="s">
        <v>2013</v>
      </c>
      <c r="F137" s="4" t="s">
        <v>252</v>
      </c>
      <c r="G137" s="37" t="str">
        <f>IFERROR(INDEX(nQ11_QC_Flags,MATCH("VEC-V27|1|Q11-V27d",nQ11_Key,0)),"(row not found)")</f>
        <v>W_SEX_NOT_RECORDED</v>
      </c>
      <c r="H137" s="1" t="b">
        <f>IF(F137="(none)",G137&amp;""="",EXACT(G137&amp;"",F137&amp;""))</f>
        <v>1</v>
      </c>
    </row>
    <row r="138" spans="1:8" x14ac:dyDescent="0.2">
      <c r="A138" s="1">
        <v>100</v>
      </c>
      <c r="B138" s="1" t="s">
        <v>1847</v>
      </c>
      <c r="C138" s="1" t="s">
        <v>2014</v>
      </c>
      <c r="D138" s="1" t="s">
        <v>1864</v>
      </c>
      <c r="E138" s="1" t="s">
        <v>2015</v>
      </c>
      <c r="F138" s="4" t="s">
        <v>224</v>
      </c>
      <c r="G138" s="37" t="str">
        <f>IFERROR(INDEX(nQ11_QC_Flags,MATCH("VEC-V27|1|Q11-V27e",nQ11_Key,0)),"(row not found)")</f>
        <v>E_CREATININE_STABILITY_UNCONFIRMED</v>
      </c>
      <c r="H138" s="1" t="b">
        <f>IF(F138="(none)",G138&amp;""="",EXACT(G138&amp;"",F138&amp;""))</f>
        <v>1</v>
      </c>
    </row>
    <row r="140" spans="1:8" x14ac:dyDescent="0.2">
      <c r="A140" s="2" t="s">
        <v>2016</v>
      </c>
    </row>
    <row r="141" spans="1:8" x14ac:dyDescent="0.2">
      <c r="A141" s="1" t="s">
        <v>2017</v>
      </c>
    </row>
    <row r="142" spans="1:8" x14ac:dyDescent="0.2">
      <c r="A142" s="1" t="s">
        <v>2018</v>
      </c>
    </row>
    <row r="143" spans="1:8" x14ac:dyDescent="0.2">
      <c r="A143" s="1" t="s">
        <v>2019</v>
      </c>
    </row>
  </sheetData>
  <sheetProtection sheet="1" objects="1" scenarios="1" formatColumns="0" formatRows="0" autoFilter="0"/>
  <mergeCells count="1">
    <mergeCell ref="A2:H2"/>
  </mergeCells>
  <conditionalFormatting sqref="H8:H34">
    <cfRule type="cellIs" dxfId="3" priority="1" stopIfTrue="1" operator="equal">
      <formula>"PASS"</formula>
    </cfRule>
    <cfRule type="cellIs" dxfId="2" priority="2" stopIfTrue="1" operator="equal">
      <formula>"FAIL"</formula>
    </cfRule>
  </conditionalFormatting>
  <conditionalFormatting sqref="H39:H138">
    <cfRule type="cellIs" dxfId="1" priority="3" stopIfTrue="1" operator="equal">
      <formula>TRUE</formula>
    </cfRule>
    <cfRule type="cellIs" dxfId="0" priority="4" stopIfTrue="1" operator="equal">
      <formula>FALSE</formula>
    </cfRule>
  </conditionalFormatting>
  <pageMargins left="0.7" right="0.7" top="0.75" bottom="0.75" header="0.3" footer="0.3"/>
  <pageSetup paperSize="257" scale="33" fitToHeight="0" orientation="landscape" horizontalDpi="0" verticalDpi="0" r:id="rId1"/>
  <headerFooter>
    <oddFooter>&amp;LTTO Companion Tools v1.0 (CALC-SPEC 1.0) - educational tool; not validated for regulated use; not a dosing tool; never assigns causality&amp;RPage &amp;P of &amp;N</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32B6E1-9981-469E-A2A7-99AD5F9661EA}">
  <dimension ref="A1:Z403"/>
  <sheetViews>
    <sheetView zoomScale="90" zoomScaleNormal="90" workbookViewId="0">
      <pane xSplit="2" ySplit="4" topLeftCell="C5" activePane="bottomRight" state="frozenSplit"/>
      <selection pane="topRight" activeCell="C1" sqref="C1"/>
      <selection pane="bottomLeft" activeCell="A5" sqref="A5"/>
      <selection pane="bottomRight"/>
    </sheetView>
  </sheetViews>
  <sheetFormatPr defaultRowHeight="12.75" x14ac:dyDescent="0.2"/>
  <cols>
    <col min="1" max="1" width="26.7109375" style="1" customWidth="1"/>
    <col min="2" max="2" width="16.7109375" style="1" customWidth="1"/>
    <col min="3" max="3" width="22.7109375" style="1" customWidth="1"/>
    <col min="4" max="5" width="9.7109375" style="1" customWidth="1"/>
    <col min="6" max="6" width="12.7109375" style="1" customWidth="1"/>
    <col min="7" max="16" width="9.7109375" style="1" customWidth="1"/>
    <col min="17" max="17" width="24.7109375" style="1" customWidth="1"/>
    <col min="18" max="18" width="36.7109375" style="1" customWidth="1"/>
    <col min="19" max="19" width="34.7109375" style="1" customWidth="1"/>
    <col min="20" max="21" width="26.7109375" style="1" customWidth="1"/>
    <col min="22" max="26" width="9.7109375" style="1" customWidth="1"/>
    <col min="27" max="16384" width="9.140625" style="1"/>
  </cols>
  <sheetData>
    <row r="1" spans="1:26" ht="17.25" x14ac:dyDescent="0.3">
      <c r="A1" s="3" t="s">
        <v>829</v>
      </c>
    </row>
    <row r="2" spans="1:26" x14ac:dyDescent="0.2">
      <c r="A2" s="1" t="s">
        <v>830</v>
      </c>
    </row>
    <row r="4" spans="1:26" x14ac:dyDescent="0.2">
      <c r="A4" s="5" t="s">
        <v>831</v>
      </c>
      <c r="B4" s="5" t="s">
        <v>832</v>
      </c>
      <c r="C4" s="5" t="s">
        <v>833</v>
      </c>
      <c r="D4" s="5" t="s">
        <v>274</v>
      </c>
      <c r="E4" s="5" t="s">
        <v>275</v>
      </c>
      <c r="F4" s="5" t="s">
        <v>834</v>
      </c>
      <c r="G4" s="5" t="s">
        <v>835</v>
      </c>
      <c r="H4" s="5" t="s">
        <v>2</v>
      </c>
      <c r="I4" s="5" t="s">
        <v>8</v>
      </c>
      <c r="J4" s="5" t="s">
        <v>836</v>
      </c>
      <c r="K4" s="5" t="s">
        <v>837</v>
      </c>
      <c r="L4" s="5" t="s">
        <v>838</v>
      </c>
      <c r="M4" s="5" t="s">
        <v>839</v>
      </c>
      <c r="N4" s="5" t="s">
        <v>840</v>
      </c>
      <c r="O4" s="5" t="s">
        <v>841</v>
      </c>
      <c r="P4" s="5" t="s">
        <v>842</v>
      </c>
      <c r="Q4" s="5" t="s">
        <v>843</v>
      </c>
      <c r="R4" s="5" t="s">
        <v>844</v>
      </c>
      <c r="S4" s="5" t="s">
        <v>845</v>
      </c>
      <c r="T4" s="5" t="s">
        <v>846</v>
      </c>
      <c r="U4" s="5" t="s">
        <v>847</v>
      </c>
      <c r="V4" s="5" t="s">
        <v>848</v>
      </c>
      <c r="W4" s="5" t="s">
        <v>849</v>
      </c>
      <c r="X4" s="5" t="s">
        <v>850</v>
      </c>
      <c r="Y4" s="5" t="s">
        <v>851</v>
      </c>
      <c r="Z4" s="5" t="s">
        <v>852</v>
      </c>
    </row>
    <row r="5" spans="1:26" x14ac:dyDescent="0.2">
      <c r="A5" s="20" t="str">
        <f t="shared" ref="A5:A68" si="0">IF(B5="","",F5&amp;"|"&amp;B5)</f>
        <v/>
      </c>
      <c r="B5" s="20" t="str">
        <f>IF(AND(Exposures!$D5&lt;&gt;"",COUNTA(Exposures!$N5:$U5)&gt;0),Exposures!$D5&amp;"/START","")</f>
        <v/>
      </c>
      <c r="C5" s="20" t="str">
        <f t="shared" ref="C5:C36" si="1">IF(B5="","","EXPOSURE_START")</f>
        <v/>
      </c>
      <c r="D5" s="20" t="str">
        <f>IF(B5="","",Exposures!$A5&amp;"")</f>
        <v/>
      </c>
      <c r="E5" s="20" t="str">
        <f>IF(B5="","",Exposures!$B5&amp;"")</f>
        <v/>
      </c>
      <c r="F5" s="20" t="str">
        <f t="shared" ref="F5:F68" si="2">IF(B5="","",D5&amp;"|"&amp;E5)</f>
        <v/>
      </c>
      <c r="G5" s="20" t="str">
        <f>IF(B5="","",Exposures!$D5&amp;"")</f>
        <v/>
      </c>
      <c r="H5" s="20" t="str">
        <f>IF(B5="","",Exposures!$N5&amp;"")</f>
        <v/>
      </c>
      <c r="I5" s="20" t="str">
        <f>IF(B5="","",Exposures!$Q5&amp;"")</f>
        <v/>
      </c>
      <c r="J5" s="20" t="str">
        <f>IF(B5="","",Exposures!$W5&amp;"")</f>
        <v/>
      </c>
      <c r="K5" s="20">
        <f>IF(B5="",0,Exposures!$X5)</f>
        <v>0</v>
      </c>
      <c r="L5" s="20">
        <f>IF(B5="",0,Exposures!$Y5)</f>
        <v>0</v>
      </c>
      <c r="M5" s="20" t="str">
        <f>IF(B5="","",Exposures!$AB5)</f>
        <v/>
      </c>
      <c r="N5" s="20" t="str">
        <f>IF(B5="","",Exposures!$AC5)</f>
        <v/>
      </c>
      <c r="O5" s="27" t="str">
        <f>IF(B5="","",Exposures!$Z5)</f>
        <v/>
      </c>
      <c r="P5" s="27" t="str">
        <f>IF(B5="","",Exposures!$AA5)</f>
        <v/>
      </c>
      <c r="Q5" s="20" t="str">
        <f t="shared" ref="Q5:Q68" si="3">IF(OR(A5="",J5&lt;&gt;""),"",IF(H5="TIMESTAMP",YEAR(INT(M5/1440))&amp;"-"&amp;RIGHT("0"&amp;MONTH(INT(M5/1440)),2)&amp;"-"&amp;RIGHT("0"&amp;DAY(INT(M5/1440)),2)&amp;"T"&amp;RIGHT("0"&amp;INT(MOD(M5,1440)/60),2)&amp;":"&amp;RIGHT("0"&amp;MOD(M5,60),2)&amp;IF(L5=1,I5,""),IF(H5="DATE",YEAR(O5)&amp;"-"&amp;RIGHT("0"&amp;MONTH(O5),2)&amp;"-"&amp;RIGHT("0"&amp;DAY(O5),2),IF(H5="MONTH",YEAR(O5)&amp;"-"&amp;RIGHT("0"&amp;MONTH(O5),2),IF(H5="YEAR",YEAR(O5)&amp;"",YEAR(O5)&amp;"-"&amp;RIGHT("0"&amp;MONTH(O5),2)&amp;"-"&amp;RIGHT("0"&amp;DAY(O5),2)&amp;"/"&amp;YEAR(P5)&amp;"-"&amp;RIGHT("0"&amp;MONTH(P5),2)&amp;"-"&amp;RIGHT("0"&amp;DAY(P5),2))))))</f>
        <v/>
      </c>
      <c r="R5" s="20" t="str">
        <f>IF(A5="","",IF(J5&lt;&gt;"",J5,IF(H5="TIMESTAMP",DAY(INT(M5/1440))&amp;" "&amp;INDEX(nLIST_Months,MONTH(INT(M5/1440)))&amp;" "&amp;YEAR(INT(M5/1440))&amp;" "&amp;RIGHT("0"&amp;INT(MOD(M5,1440)/60),2)&amp;":"&amp;RIGHT("0"&amp;MOD(M5,60),2)&amp;IF(L5=1," (UTC"&amp;I5&amp;")"," (offset unknown)"),IF(H5="DATE",DAY(O5)&amp;" "&amp;INDEX(nLIST_Months,MONTH(O5))&amp;" "&amp;YEAR(O5),IF(H5="MONTH",INDEX(nLIST_Months,MONTH(O5))&amp;" "&amp;YEAR(O5)&amp;" ("&amp;DAY(O5)&amp;" "&amp;INDEX(nLIST_Months,MONTH(O5))&amp;" "&amp;YEAR(O5)&amp;" to "&amp;DAY(P5)&amp;" "&amp;INDEX(nLIST_Months,MONTH(P5))&amp;" "&amp;YEAR(P5)&amp;")",IF(H5="YEAR",YEAR(O5)&amp;" (1 January to 31 December)",DAY(O5)&amp;" "&amp;INDEX(nLIST_Months,MONTH(O5))&amp;" "&amp;YEAR(O5)&amp;" to "&amp;DAY(P5)&amp;" "&amp;INDEX(nLIST_Months,MONTH(P5))&amp;" "&amp;YEAR(P5)))))))</f>
        <v/>
      </c>
      <c r="S5" s="20" t="str">
        <f>IF(B5="","",Exposures!$M5&amp;"")</f>
        <v/>
      </c>
      <c r="T5" s="20" t="str">
        <f>IF(B5="","",Exposures!$V5&amp;"")</f>
        <v/>
      </c>
      <c r="U5" s="20" t="str">
        <f>IF(B5="","","Exposures row "&amp;ROW(Exposures!$A5)&amp;", Start")</f>
        <v/>
      </c>
      <c r="V5" s="20">
        <f>IF(A5="",0,COUNTIF(nTP_Key,A5))</f>
        <v>0</v>
      </c>
      <c r="W5" s="20">
        <f t="shared" ref="W5:W68" si="4">IF(M5="",0,M5)</f>
        <v>0</v>
      </c>
      <c r="X5" s="20">
        <f t="shared" ref="X5:X68" si="5">IF(N5="",0,N5)</f>
        <v>0</v>
      </c>
      <c r="Y5" s="20">
        <f t="shared" ref="Y5:Y68" si="6">IF(O5="",0,O5)</f>
        <v>0</v>
      </c>
      <c r="Z5" s="20">
        <f t="shared" ref="Z5:Z68" si="7">IF(P5="",0,P5)</f>
        <v>0</v>
      </c>
    </row>
    <row r="6" spans="1:26" x14ac:dyDescent="0.2">
      <c r="A6" s="20" t="str">
        <f t="shared" si="0"/>
        <v/>
      </c>
      <c r="B6" s="20" t="str">
        <f>IF(AND(Exposures!$D6&lt;&gt;"",COUNTA(Exposures!$N6:$U6)&gt;0),Exposures!$D6&amp;"/START","")</f>
        <v/>
      </c>
      <c r="C6" s="20" t="str">
        <f t="shared" si="1"/>
        <v/>
      </c>
      <c r="D6" s="20" t="str">
        <f>IF(B6="","",Exposures!$A6&amp;"")</f>
        <v/>
      </c>
      <c r="E6" s="20" t="str">
        <f>IF(B6="","",Exposures!$B6&amp;"")</f>
        <v/>
      </c>
      <c r="F6" s="20" t="str">
        <f t="shared" si="2"/>
        <v/>
      </c>
      <c r="G6" s="20" t="str">
        <f>IF(B6="","",Exposures!$D6&amp;"")</f>
        <v/>
      </c>
      <c r="H6" s="20" t="str">
        <f>IF(B6="","",Exposures!$N6&amp;"")</f>
        <v/>
      </c>
      <c r="I6" s="20" t="str">
        <f>IF(B6="","",Exposures!$Q6&amp;"")</f>
        <v/>
      </c>
      <c r="J6" s="20" t="str">
        <f>IF(B6="","",Exposures!$W6&amp;"")</f>
        <v/>
      </c>
      <c r="K6" s="20">
        <f>IF(B6="",0,Exposures!$X6)</f>
        <v>0</v>
      </c>
      <c r="L6" s="20">
        <f>IF(B6="",0,Exposures!$Y6)</f>
        <v>0</v>
      </c>
      <c r="M6" s="20" t="str">
        <f>IF(B6="","",Exposures!$AB6)</f>
        <v/>
      </c>
      <c r="N6" s="20" t="str">
        <f>IF(B6="","",Exposures!$AC6)</f>
        <v/>
      </c>
      <c r="O6" s="27" t="str">
        <f>IF(B6="","",Exposures!$Z6)</f>
        <v/>
      </c>
      <c r="P6" s="27" t="str">
        <f>IF(B6="","",Exposures!$AA6)</f>
        <v/>
      </c>
      <c r="Q6" s="20" t="str">
        <f t="shared" si="3"/>
        <v/>
      </c>
      <c r="R6" s="20" t="str">
        <f>IF(A6="","",IF(J6&lt;&gt;"",J6,IF(H6="TIMESTAMP",DAY(INT(M6/1440))&amp;" "&amp;INDEX(nLIST_Months,MONTH(INT(M6/1440)))&amp;" "&amp;YEAR(INT(M6/1440))&amp;" "&amp;RIGHT("0"&amp;INT(MOD(M6,1440)/60),2)&amp;":"&amp;RIGHT("0"&amp;MOD(M6,60),2)&amp;IF(L6=1," (UTC"&amp;I6&amp;")"," (offset unknown)"),IF(H6="DATE",DAY(O6)&amp;" "&amp;INDEX(nLIST_Months,MONTH(O6))&amp;" "&amp;YEAR(O6),IF(H6="MONTH",INDEX(nLIST_Months,MONTH(O6))&amp;" "&amp;YEAR(O6)&amp;" ("&amp;DAY(O6)&amp;" "&amp;INDEX(nLIST_Months,MONTH(O6))&amp;" "&amp;YEAR(O6)&amp;" to "&amp;DAY(P6)&amp;" "&amp;INDEX(nLIST_Months,MONTH(P6))&amp;" "&amp;YEAR(P6)&amp;")",IF(H6="YEAR",YEAR(O6)&amp;" (1 January to 31 December)",DAY(O6)&amp;" "&amp;INDEX(nLIST_Months,MONTH(O6))&amp;" "&amp;YEAR(O6)&amp;" to "&amp;DAY(P6)&amp;" "&amp;INDEX(nLIST_Months,MONTH(P6))&amp;" "&amp;YEAR(P6)))))))</f>
        <v/>
      </c>
      <c r="S6" s="20" t="str">
        <f>IF(B6="","",Exposures!$M6&amp;"")</f>
        <v/>
      </c>
      <c r="T6" s="20" t="str">
        <f>IF(B6="","",Exposures!$V6&amp;"")</f>
        <v/>
      </c>
      <c r="U6" s="20" t="str">
        <f>IF(B6="","","Exposures row "&amp;ROW(Exposures!$A6)&amp;", Start")</f>
        <v/>
      </c>
      <c r="V6" s="20">
        <f>IF(A6="",0,COUNTIF(nTP_Key,A6))</f>
        <v>0</v>
      </c>
      <c r="W6" s="20">
        <f t="shared" si="4"/>
        <v>0</v>
      </c>
      <c r="X6" s="20">
        <f t="shared" si="5"/>
        <v>0</v>
      </c>
      <c r="Y6" s="20">
        <f t="shared" si="6"/>
        <v>0</v>
      </c>
      <c r="Z6" s="20">
        <f t="shared" si="7"/>
        <v>0</v>
      </c>
    </row>
    <row r="7" spans="1:26" x14ac:dyDescent="0.2">
      <c r="A7" s="20" t="str">
        <f t="shared" si="0"/>
        <v/>
      </c>
      <c r="B7" s="20" t="str">
        <f>IF(AND(Exposures!$D7&lt;&gt;"",COUNTA(Exposures!$N7:$U7)&gt;0),Exposures!$D7&amp;"/START","")</f>
        <v/>
      </c>
      <c r="C7" s="20" t="str">
        <f t="shared" si="1"/>
        <v/>
      </c>
      <c r="D7" s="20" t="str">
        <f>IF(B7="","",Exposures!$A7&amp;"")</f>
        <v/>
      </c>
      <c r="E7" s="20" t="str">
        <f>IF(B7="","",Exposures!$B7&amp;"")</f>
        <v/>
      </c>
      <c r="F7" s="20" t="str">
        <f t="shared" si="2"/>
        <v/>
      </c>
      <c r="G7" s="20" t="str">
        <f>IF(B7="","",Exposures!$D7&amp;"")</f>
        <v/>
      </c>
      <c r="H7" s="20" t="str">
        <f>IF(B7="","",Exposures!$N7&amp;"")</f>
        <v/>
      </c>
      <c r="I7" s="20" t="str">
        <f>IF(B7="","",Exposures!$Q7&amp;"")</f>
        <v/>
      </c>
      <c r="J7" s="20" t="str">
        <f>IF(B7="","",Exposures!$W7&amp;"")</f>
        <v/>
      </c>
      <c r="K7" s="20">
        <f>IF(B7="",0,Exposures!$X7)</f>
        <v>0</v>
      </c>
      <c r="L7" s="20">
        <f>IF(B7="",0,Exposures!$Y7)</f>
        <v>0</v>
      </c>
      <c r="M7" s="20" t="str">
        <f>IF(B7="","",Exposures!$AB7)</f>
        <v/>
      </c>
      <c r="N7" s="20" t="str">
        <f>IF(B7="","",Exposures!$AC7)</f>
        <v/>
      </c>
      <c r="O7" s="27" t="str">
        <f>IF(B7="","",Exposures!$Z7)</f>
        <v/>
      </c>
      <c r="P7" s="27" t="str">
        <f>IF(B7="","",Exposures!$AA7)</f>
        <v/>
      </c>
      <c r="Q7" s="20" t="str">
        <f t="shared" si="3"/>
        <v/>
      </c>
      <c r="R7" s="20" t="str">
        <f>IF(A7="","",IF(J7&lt;&gt;"",J7,IF(H7="TIMESTAMP",DAY(INT(M7/1440))&amp;" "&amp;INDEX(nLIST_Months,MONTH(INT(M7/1440)))&amp;" "&amp;YEAR(INT(M7/1440))&amp;" "&amp;RIGHT("0"&amp;INT(MOD(M7,1440)/60),2)&amp;":"&amp;RIGHT("0"&amp;MOD(M7,60),2)&amp;IF(L7=1," (UTC"&amp;I7&amp;")"," (offset unknown)"),IF(H7="DATE",DAY(O7)&amp;" "&amp;INDEX(nLIST_Months,MONTH(O7))&amp;" "&amp;YEAR(O7),IF(H7="MONTH",INDEX(nLIST_Months,MONTH(O7))&amp;" "&amp;YEAR(O7)&amp;" ("&amp;DAY(O7)&amp;" "&amp;INDEX(nLIST_Months,MONTH(O7))&amp;" "&amp;YEAR(O7)&amp;" to "&amp;DAY(P7)&amp;" "&amp;INDEX(nLIST_Months,MONTH(P7))&amp;" "&amp;YEAR(P7)&amp;")",IF(H7="YEAR",YEAR(O7)&amp;" (1 January to 31 December)",DAY(O7)&amp;" "&amp;INDEX(nLIST_Months,MONTH(O7))&amp;" "&amp;YEAR(O7)&amp;" to "&amp;DAY(P7)&amp;" "&amp;INDEX(nLIST_Months,MONTH(P7))&amp;" "&amp;YEAR(P7)))))))</f>
        <v/>
      </c>
      <c r="S7" s="20" t="str">
        <f>IF(B7="","",Exposures!$M7&amp;"")</f>
        <v/>
      </c>
      <c r="T7" s="20" t="str">
        <f>IF(B7="","",Exposures!$V7&amp;"")</f>
        <v/>
      </c>
      <c r="U7" s="20" t="str">
        <f>IF(B7="","","Exposures row "&amp;ROW(Exposures!$A7)&amp;", Start")</f>
        <v/>
      </c>
      <c r="V7" s="20">
        <f>IF(A7="",0,COUNTIF(nTP_Key,A7))</f>
        <v>0</v>
      </c>
      <c r="W7" s="20">
        <f t="shared" si="4"/>
        <v>0</v>
      </c>
      <c r="X7" s="20">
        <f t="shared" si="5"/>
        <v>0</v>
      </c>
      <c r="Y7" s="20">
        <f t="shared" si="6"/>
        <v>0</v>
      </c>
      <c r="Z7" s="20">
        <f t="shared" si="7"/>
        <v>0</v>
      </c>
    </row>
    <row r="8" spans="1:26" x14ac:dyDescent="0.2">
      <c r="A8" s="20" t="str">
        <f t="shared" si="0"/>
        <v/>
      </c>
      <c r="B8" s="20" t="str">
        <f>IF(AND(Exposures!$D8&lt;&gt;"",COUNTA(Exposures!$N8:$U8)&gt;0),Exposures!$D8&amp;"/START","")</f>
        <v/>
      </c>
      <c r="C8" s="20" t="str">
        <f t="shared" si="1"/>
        <v/>
      </c>
      <c r="D8" s="20" t="str">
        <f>IF(B8="","",Exposures!$A8&amp;"")</f>
        <v/>
      </c>
      <c r="E8" s="20" t="str">
        <f>IF(B8="","",Exposures!$B8&amp;"")</f>
        <v/>
      </c>
      <c r="F8" s="20" t="str">
        <f t="shared" si="2"/>
        <v/>
      </c>
      <c r="G8" s="20" t="str">
        <f>IF(B8="","",Exposures!$D8&amp;"")</f>
        <v/>
      </c>
      <c r="H8" s="20" t="str">
        <f>IF(B8="","",Exposures!$N8&amp;"")</f>
        <v/>
      </c>
      <c r="I8" s="20" t="str">
        <f>IF(B8="","",Exposures!$Q8&amp;"")</f>
        <v/>
      </c>
      <c r="J8" s="20" t="str">
        <f>IF(B8="","",Exposures!$W8&amp;"")</f>
        <v/>
      </c>
      <c r="K8" s="20">
        <f>IF(B8="",0,Exposures!$X8)</f>
        <v>0</v>
      </c>
      <c r="L8" s="20">
        <f>IF(B8="",0,Exposures!$Y8)</f>
        <v>0</v>
      </c>
      <c r="M8" s="20" t="str">
        <f>IF(B8="","",Exposures!$AB8)</f>
        <v/>
      </c>
      <c r="N8" s="20" t="str">
        <f>IF(B8="","",Exposures!$AC8)</f>
        <v/>
      </c>
      <c r="O8" s="27" t="str">
        <f>IF(B8="","",Exposures!$Z8)</f>
        <v/>
      </c>
      <c r="P8" s="27" t="str">
        <f>IF(B8="","",Exposures!$AA8)</f>
        <v/>
      </c>
      <c r="Q8" s="20" t="str">
        <f t="shared" si="3"/>
        <v/>
      </c>
      <c r="R8" s="20" t="str">
        <f>IF(A8="","",IF(J8&lt;&gt;"",J8,IF(H8="TIMESTAMP",DAY(INT(M8/1440))&amp;" "&amp;INDEX(nLIST_Months,MONTH(INT(M8/1440)))&amp;" "&amp;YEAR(INT(M8/1440))&amp;" "&amp;RIGHT("0"&amp;INT(MOD(M8,1440)/60),2)&amp;":"&amp;RIGHT("0"&amp;MOD(M8,60),2)&amp;IF(L8=1," (UTC"&amp;I8&amp;")"," (offset unknown)"),IF(H8="DATE",DAY(O8)&amp;" "&amp;INDEX(nLIST_Months,MONTH(O8))&amp;" "&amp;YEAR(O8),IF(H8="MONTH",INDEX(nLIST_Months,MONTH(O8))&amp;" "&amp;YEAR(O8)&amp;" ("&amp;DAY(O8)&amp;" "&amp;INDEX(nLIST_Months,MONTH(O8))&amp;" "&amp;YEAR(O8)&amp;" to "&amp;DAY(P8)&amp;" "&amp;INDEX(nLIST_Months,MONTH(P8))&amp;" "&amp;YEAR(P8)&amp;")",IF(H8="YEAR",YEAR(O8)&amp;" (1 January to 31 December)",DAY(O8)&amp;" "&amp;INDEX(nLIST_Months,MONTH(O8))&amp;" "&amp;YEAR(O8)&amp;" to "&amp;DAY(P8)&amp;" "&amp;INDEX(nLIST_Months,MONTH(P8))&amp;" "&amp;YEAR(P8)))))))</f>
        <v/>
      </c>
      <c r="S8" s="20" t="str">
        <f>IF(B8="","",Exposures!$M8&amp;"")</f>
        <v/>
      </c>
      <c r="T8" s="20" t="str">
        <f>IF(B8="","",Exposures!$V8&amp;"")</f>
        <v/>
      </c>
      <c r="U8" s="20" t="str">
        <f>IF(B8="","","Exposures row "&amp;ROW(Exposures!$A8)&amp;", Start")</f>
        <v/>
      </c>
      <c r="V8" s="20">
        <f>IF(A8="",0,COUNTIF(nTP_Key,A8))</f>
        <v>0</v>
      </c>
      <c r="W8" s="20">
        <f t="shared" si="4"/>
        <v>0</v>
      </c>
      <c r="X8" s="20">
        <f t="shared" si="5"/>
        <v>0</v>
      </c>
      <c r="Y8" s="20">
        <f t="shared" si="6"/>
        <v>0</v>
      </c>
      <c r="Z8" s="20">
        <f t="shared" si="7"/>
        <v>0</v>
      </c>
    </row>
    <row r="9" spans="1:26" x14ac:dyDescent="0.2">
      <c r="A9" s="20" t="str">
        <f t="shared" si="0"/>
        <v/>
      </c>
      <c r="B9" s="20" t="str">
        <f>IF(AND(Exposures!$D9&lt;&gt;"",COUNTA(Exposures!$N9:$U9)&gt;0),Exposures!$D9&amp;"/START","")</f>
        <v/>
      </c>
      <c r="C9" s="20" t="str">
        <f t="shared" si="1"/>
        <v/>
      </c>
      <c r="D9" s="20" t="str">
        <f>IF(B9="","",Exposures!$A9&amp;"")</f>
        <v/>
      </c>
      <c r="E9" s="20" t="str">
        <f>IF(B9="","",Exposures!$B9&amp;"")</f>
        <v/>
      </c>
      <c r="F9" s="20" t="str">
        <f t="shared" si="2"/>
        <v/>
      </c>
      <c r="G9" s="20" t="str">
        <f>IF(B9="","",Exposures!$D9&amp;"")</f>
        <v/>
      </c>
      <c r="H9" s="20" t="str">
        <f>IF(B9="","",Exposures!$N9&amp;"")</f>
        <v/>
      </c>
      <c r="I9" s="20" t="str">
        <f>IF(B9="","",Exposures!$Q9&amp;"")</f>
        <v/>
      </c>
      <c r="J9" s="20" t="str">
        <f>IF(B9="","",Exposures!$W9&amp;"")</f>
        <v/>
      </c>
      <c r="K9" s="20">
        <f>IF(B9="",0,Exposures!$X9)</f>
        <v>0</v>
      </c>
      <c r="L9" s="20">
        <f>IF(B9="",0,Exposures!$Y9)</f>
        <v>0</v>
      </c>
      <c r="M9" s="20" t="str">
        <f>IF(B9="","",Exposures!$AB9)</f>
        <v/>
      </c>
      <c r="N9" s="20" t="str">
        <f>IF(B9="","",Exposures!$AC9)</f>
        <v/>
      </c>
      <c r="O9" s="27" t="str">
        <f>IF(B9="","",Exposures!$Z9)</f>
        <v/>
      </c>
      <c r="P9" s="27" t="str">
        <f>IF(B9="","",Exposures!$AA9)</f>
        <v/>
      </c>
      <c r="Q9" s="20" t="str">
        <f t="shared" si="3"/>
        <v/>
      </c>
      <c r="R9" s="20" t="str">
        <f>IF(A9="","",IF(J9&lt;&gt;"",J9,IF(H9="TIMESTAMP",DAY(INT(M9/1440))&amp;" "&amp;INDEX(nLIST_Months,MONTH(INT(M9/1440)))&amp;" "&amp;YEAR(INT(M9/1440))&amp;" "&amp;RIGHT("0"&amp;INT(MOD(M9,1440)/60),2)&amp;":"&amp;RIGHT("0"&amp;MOD(M9,60),2)&amp;IF(L9=1," (UTC"&amp;I9&amp;")"," (offset unknown)"),IF(H9="DATE",DAY(O9)&amp;" "&amp;INDEX(nLIST_Months,MONTH(O9))&amp;" "&amp;YEAR(O9),IF(H9="MONTH",INDEX(nLIST_Months,MONTH(O9))&amp;" "&amp;YEAR(O9)&amp;" ("&amp;DAY(O9)&amp;" "&amp;INDEX(nLIST_Months,MONTH(O9))&amp;" "&amp;YEAR(O9)&amp;" to "&amp;DAY(P9)&amp;" "&amp;INDEX(nLIST_Months,MONTH(P9))&amp;" "&amp;YEAR(P9)&amp;")",IF(H9="YEAR",YEAR(O9)&amp;" (1 January to 31 December)",DAY(O9)&amp;" "&amp;INDEX(nLIST_Months,MONTH(O9))&amp;" "&amp;YEAR(O9)&amp;" to "&amp;DAY(P9)&amp;" "&amp;INDEX(nLIST_Months,MONTH(P9))&amp;" "&amp;YEAR(P9)))))))</f>
        <v/>
      </c>
      <c r="S9" s="20" t="str">
        <f>IF(B9="","",Exposures!$M9&amp;"")</f>
        <v/>
      </c>
      <c r="T9" s="20" t="str">
        <f>IF(B9="","",Exposures!$V9&amp;"")</f>
        <v/>
      </c>
      <c r="U9" s="20" t="str">
        <f>IF(B9="","","Exposures row "&amp;ROW(Exposures!$A9)&amp;", Start")</f>
        <v/>
      </c>
      <c r="V9" s="20">
        <f>IF(A9="",0,COUNTIF(nTP_Key,A9))</f>
        <v>0</v>
      </c>
      <c r="W9" s="20">
        <f t="shared" si="4"/>
        <v>0</v>
      </c>
      <c r="X9" s="20">
        <f t="shared" si="5"/>
        <v>0</v>
      </c>
      <c r="Y9" s="20">
        <f t="shared" si="6"/>
        <v>0</v>
      </c>
      <c r="Z9" s="20">
        <f t="shared" si="7"/>
        <v>0</v>
      </c>
    </row>
    <row r="10" spans="1:26" x14ac:dyDescent="0.2">
      <c r="A10" s="20" t="str">
        <f t="shared" si="0"/>
        <v/>
      </c>
      <c r="B10" s="20" t="str">
        <f>IF(AND(Exposures!$D10&lt;&gt;"",COUNTA(Exposures!$N10:$U10)&gt;0),Exposures!$D10&amp;"/START","")</f>
        <v/>
      </c>
      <c r="C10" s="20" t="str">
        <f t="shared" si="1"/>
        <v/>
      </c>
      <c r="D10" s="20" t="str">
        <f>IF(B10="","",Exposures!$A10&amp;"")</f>
        <v/>
      </c>
      <c r="E10" s="20" t="str">
        <f>IF(B10="","",Exposures!$B10&amp;"")</f>
        <v/>
      </c>
      <c r="F10" s="20" t="str">
        <f t="shared" si="2"/>
        <v/>
      </c>
      <c r="G10" s="20" t="str">
        <f>IF(B10="","",Exposures!$D10&amp;"")</f>
        <v/>
      </c>
      <c r="H10" s="20" t="str">
        <f>IF(B10="","",Exposures!$N10&amp;"")</f>
        <v/>
      </c>
      <c r="I10" s="20" t="str">
        <f>IF(B10="","",Exposures!$Q10&amp;"")</f>
        <v/>
      </c>
      <c r="J10" s="20" t="str">
        <f>IF(B10="","",Exposures!$W10&amp;"")</f>
        <v/>
      </c>
      <c r="K10" s="20">
        <f>IF(B10="",0,Exposures!$X10)</f>
        <v>0</v>
      </c>
      <c r="L10" s="20">
        <f>IF(B10="",0,Exposures!$Y10)</f>
        <v>0</v>
      </c>
      <c r="M10" s="20" t="str">
        <f>IF(B10="","",Exposures!$AB10)</f>
        <v/>
      </c>
      <c r="N10" s="20" t="str">
        <f>IF(B10="","",Exposures!$AC10)</f>
        <v/>
      </c>
      <c r="O10" s="27" t="str">
        <f>IF(B10="","",Exposures!$Z10)</f>
        <v/>
      </c>
      <c r="P10" s="27" t="str">
        <f>IF(B10="","",Exposures!$AA10)</f>
        <v/>
      </c>
      <c r="Q10" s="20" t="str">
        <f t="shared" si="3"/>
        <v/>
      </c>
      <c r="R10" s="20" t="str">
        <f>IF(A10="","",IF(J10&lt;&gt;"",J10,IF(H10="TIMESTAMP",DAY(INT(M10/1440))&amp;" "&amp;INDEX(nLIST_Months,MONTH(INT(M10/1440)))&amp;" "&amp;YEAR(INT(M10/1440))&amp;" "&amp;RIGHT("0"&amp;INT(MOD(M10,1440)/60),2)&amp;":"&amp;RIGHT("0"&amp;MOD(M10,60),2)&amp;IF(L10=1," (UTC"&amp;I10&amp;")"," (offset unknown)"),IF(H10="DATE",DAY(O10)&amp;" "&amp;INDEX(nLIST_Months,MONTH(O10))&amp;" "&amp;YEAR(O10),IF(H10="MONTH",INDEX(nLIST_Months,MONTH(O10))&amp;" "&amp;YEAR(O10)&amp;" ("&amp;DAY(O10)&amp;" "&amp;INDEX(nLIST_Months,MONTH(O10))&amp;" "&amp;YEAR(O10)&amp;" to "&amp;DAY(P10)&amp;" "&amp;INDEX(nLIST_Months,MONTH(P10))&amp;" "&amp;YEAR(P10)&amp;")",IF(H10="YEAR",YEAR(O10)&amp;" (1 January to 31 December)",DAY(O10)&amp;" "&amp;INDEX(nLIST_Months,MONTH(O10))&amp;" "&amp;YEAR(O10)&amp;" to "&amp;DAY(P10)&amp;" "&amp;INDEX(nLIST_Months,MONTH(P10))&amp;" "&amp;YEAR(P10)))))))</f>
        <v/>
      </c>
      <c r="S10" s="20" t="str">
        <f>IF(B10="","",Exposures!$M10&amp;"")</f>
        <v/>
      </c>
      <c r="T10" s="20" t="str">
        <f>IF(B10="","",Exposures!$V10&amp;"")</f>
        <v/>
      </c>
      <c r="U10" s="20" t="str">
        <f>IF(B10="","","Exposures row "&amp;ROW(Exposures!$A10)&amp;", Start")</f>
        <v/>
      </c>
      <c r="V10" s="20">
        <f>IF(A10="",0,COUNTIF(nTP_Key,A10))</f>
        <v>0</v>
      </c>
      <c r="W10" s="20">
        <f t="shared" si="4"/>
        <v>0</v>
      </c>
      <c r="X10" s="20">
        <f t="shared" si="5"/>
        <v>0</v>
      </c>
      <c r="Y10" s="20">
        <f t="shared" si="6"/>
        <v>0</v>
      </c>
      <c r="Z10" s="20">
        <f t="shared" si="7"/>
        <v>0</v>
      </c>
    </row>
    <row r="11" spans="1:26" x14ac:dyDescent="0.2">
      <c r="A11" s="20" t="str">
        <f t="shared" si="0"/>
        <v/>
      </c>
      <c r="B11" s="20" t="str">
        <f>IF(AND(Exposures!$D11&lt;&gt;"",COUNTA(Exposures!$N11:$U11)&gt;0),Exposures!$D11&amp;"/START","")</f>
        <v/>
      </c>
      <c r="C11" s="20" t="str">
        <f t="shared" si="1"/>
        <v/>
      </c>
      <c r="D11" s="20" t="str">
        <f>IF(B11="","",Exposures!$A11&amp;"")</f>
        <v/>
      </c>
      <c r="E11" s="20" t="str">
        <f>IF(B11="","",Exposures!$B11&amp;"")</f>
        <v/>
      </c>
      <c r="F11" s="20" t="str">
        <f t="shared" si="2"/>
        <v/>
      </c>
      <c r="G11" s="20" t="str">
        <f>IF(B11="","",Exposures!$D11&amp;"")</f>
        <v/>
      </c>
      <c r="H11" s="20" t="str">
        <f>IF(B11="","",Exposures!$N11&amp;"")</f>
        <v/>
      </c>
      <c r="I11" s="20" t="str">
        <f>IF(B11="","",Exposures!$Q11&amp;"")</f>
        <v/>
      </c>
      <c r="J11" s="20" t="str">
        <f>IF(B11="","",Exposures!$W11&amp;"")</f>
        <v/>
      </c>
      <c r="K11" s="20">
        <f>IF(B11="",0,Exposures!$X11)</f>
        <v>0</v>
      </c>
      <c r="L11" s="20">
        <f>IF(B11="",0,Exposures!$Y11)</f>
        <v>0</v>
      </c>
      <c r="M11" s="20" t="str">
        <f>IF(B11="","",Exposures!$AB11)</f>
        <v/>
      </c>
      <c r="N11" s="20" t="str">
        <f>IF(B11="","",Exposures!$AC11)</f>
        <v/>
      </c>
      <c r="O11" s="27" t="str">
        <f>IF(B11="","",Exposures!$Z11)</f>
        <v/>
      </c>
      <c r="P11" s="27" t="str">
        <f>IF(B11="","",Exposures!$AA11)</f>
        <v/>
      </c>
      <c r="Q11" s="20" t="str">
        <f t="shared" si="3"/>
        <v/>
      </c>
      <c r="R11" s="20" t="str">
        <f>IF(A11="","",IF(J11&lt;&gt;"",J11,IF(H11="TIMESTAMP",DAY(INT(M11/1440))&amp;" "&amp;INDEX(nLIST_Months,MONTH(INT(M11/1440)))&amp;" "&amp;YEAR(INT(M11/1440))&amp;" "&amp;RIGHT("0"&amp;INT(MOD(M11,1440)/60),2)&amp;":"&amp;RIGHT("0"&amp;MOD(M11,60),2)&amp;IF(L11=1," (UTC"&amp;I11&amp;")"," (offset unknown)"),IF(H11="DATE",DAY(O11)&amp;" "&amp;INDEX(nLIST_Months,MONTH(O11))&amp;" "&amp;YEAR(O11),IF(H11="MONTH",INDEX(nLIST_Months,MONTH(O11))&amp;" "&amp;YEAR(O11)&amp;" ("&amp;DAY(O11)&amp;" "&amp;INDEX(nLIST_Months,MONTH(O11))&amp;" "&amp;YEAR(O11)&amp;" to "&amp;DAY(P11)&amp;" "&amp;INDEX(nLIST_Months,MONTH(P11))&amp;" "&amp;YEAR(P11)&amp;")",IF(H11="YEAR",YEAR(O11)&amp;" (1 January to 31 December)",DAY(O11)&amp;" "&amp;INDEX(nLIST_Months,MONTH(O11))&amp;" "&amp;YEAR(O11)&amp;" to "&amp;DAY(P11)&amp;" "&amp;INDEX(nLIST_Months,MONTH(P11))&amp;" "&amp;YEAR(P11)))))))</f>
        <v/>
      </c>
      <c r="S11" s="20" t="str">
        <f>IF(B11="","",Exposures!$M11&amp;"")</f>
        <v/>
      </c>
      <c r="T11" s="20" t="str">
        <f>IF(B11="","",Exposures!$V11&amp;"")</f>
        <v/>
      </c>
      <c r="U11" s="20" t="str">
        <f>IF(B11="","","Exposures row "&amp;ROW(Exposures!$A11)&amp;", Start")</f>
        <v/>
      </c>
      <c r="V11" s="20">
        <f>IF(A11="",0,COUNTIF(nTP_Key,A11))</f>
        <v>0</v>
      </c>
      <c r="W11" s="20">
        <f t="shared" si="4"/>
        <v>0</v>
      </c>
      <c r="X11" s="20">
        <f t="shared" si="5"/>
        <v>0</v>
      </c>
      <c r="Y11" s="20">
        <f t="shared" si="6"/>
        <v>0</v>
      </c>
      <c r="Z11" s="20">
        <f t="shared" si="7"/>
        <v>0</v>
      </c>
    </row>
    <row r="12" spans="1:26" x14ac:dyDescent="0.2">
      <c r="A12" s="20" t="str">
        <f t="shared" si="0"/>
        <v/>
      </c>
      <c r="B12" s="20" t="str">
        <f>IF(AND(Exposures!$D12&lt;&gt;"",COUNTA(Exposures!$N12:$U12)&gt;0),Exposures!$D12&amp;"/START","")</f>
        <v/>
      </c>
      <c r="C12" s="20" t="str">
        <f t="shared" si="1"/>
        <v/>
      </c>
      <c r="D12" s="20" t="str">
        <f>IF(B12="","",Exposures!$A12&amp;"")</f>
        <v/>
      </c>
      <c r="E12" s="20" t="str">
        <f>IF(B12="","",Exposures!$B12&amp;"")</f>
        <v/>
      </c>
      <c r="F12" s="20" t="str">
        <f t="shared" si="2"/>
        <v/>
      </c>
      <c r="G12" s="20" t="str">
        <f>IF(B12="","",Exposures!$D12&amp;"")</f>
        <v/>
      </c>
      <c r="H12" s="20" t="str">
        <f>IF(B12="","",Exposures!$N12&amp;"")</f>
        <v/>
      </c>
      <c r="I12" s="20" t="str">
        <f>IF(B12="","",Exposures!$Q12&amp;"")</f>
        <v/>
      </c>
      <c r="J12" s="20" t="str">
        <f>IF(B12="","",Exposures!$W12&amp;"")</f>
        <v/>
      </c>
      <c r="K12" s="20">
        <f>IF(B12="",0,Exposures!$X12)</f>
        <v>0</v>
      </c>
      <c r="L12" s="20">
        <f>IF(B12="",0,Exposures!$Y12)</f>
        <v>0</v>
      </c>
      <c r="M12" s="20" t="str">
        <f>IF(B12="","",Exposures!$AB12)</f>
        <v/>
      </c>
      <c r="N12" s="20" t="str">
        <f>IF(B12="","",Exposures!$AC12)</f>
        <v/>
      </c>
      <c r="O12" s="27" t="str">
        <f>IF(B12="","",Exposures!$Z12)</f>
        <v/>
      </c>
      <c r="P12" s="27" t="str">
        <f>IF(B12="","",Exposures!$AA12)</f>
        <v/>
      </c>
      <c r="Q12" s="20" t="str">
        <f t="shared" si="3"/>
        <v/>
      </c>
      <c r="R12" s="20" t="str">
        <f>IF(A12="","",IF(J12&lt;&gt;"",J12,IF(H12="TIMESTAMP",DAY(INT(M12/1440))&amp;" "&amp;INDEX(nLIST_Months,MONTH(INT(M12/1440)))&amp;" "&amp;YEAR(INT(M12/1440))&amp;" "&amp;RIGHT("0"&amp;INT(MOD(M12,1440)/60),2)&amp;":"&amp;RIGHT("0"&amp;MOD(M12,60),2)&amp;IF(L12=1," (UTC"&amp;I12&amp;")"," (offset unknown)"),IF(H12="DATE",DAY(O12)&amp;" "&amp;INDEX(nLIST_Months,MONTH(O12))&amp;" "&amp;YEAR(O12),IF(H12="MONTH",INDEX(nLIST_Months,MONTH(O12))&amp;" "&amp;YEAR(O12)&amp;" ("&amp;DAY(O12)&amp;" "&amp;INDEX(nLIST_Months,MONTH(O12))&amp;" "&amp;YEAR(O12)&amp;" to "&amp;DAY(P12)&amp;" "&amp;INDEX(nLIST_Months,MONTH(P12))&amp;" "&amp;YEAR(P12)&amp;")",IF(H12="YEAR",YEAR(O12)&amp;" (1 January to 31 December)",DAY(O12)&amp;" "&amp;INDEX(nLIST_Months,MONTH(O12))&amp;" "&amp;YEAR(O12)&amp;" to "&amp;DAY(P12)&amp;" "&amp;INDEX(nLIST_Months,MONTH(P12))&amp;" "&amp;YEAR(P12)))))))</f>
        <v/>
      </c>
      <c r="S12" s="20" t="str">
        <f>IF(B12="","",Exposures!$M12&amp;"")</f>
        <v/>
      </c>
      <c r="T12" s="20" t="str">
        <f>IF(B12="","",Exposures!$V12&amp;"")</f>
        <v/>
      </c>
      <c r="U12" s="20" t="str">
        <f>IF(B12="","","Exposures row "&amp;ROW(Exposures!$A12)&amp;", Start")</f>
        <v/>
      </c>
      <c r="V12" s="20">
        <f>IF(A12="",0,COUNTIF(nTP_Key,A12))</f>
        <v>0</v>
      </c>
      <c r="W12" s="20">
        <f t="shared" si="4"/>
        <v>0</v>
      </c>
      <c r="X12" s="20">
        <f t="shared" si="5"/>
        <v>0</v>
      </c>
      <c r="Y12" s="20">
        <f t="shared" si="6"/>
        <v>0</v>
      </c>
      <c r="Z12" s="20">
        <f t="shared" si="7"/>
        <v>0</v>
      </c>
    </row>
    <row r="13" spans="1:26" x14ac:dyDescent="0.2">
      <c r="A13" s="20" t="str">
        <f t="shared" si="0"/>
        <v/>
      </c>
      <c r="B13" s="20" t="str">
        <f>IF(AND(Exposures!$D13&lt;&gt;"",COUNTA(Exposures!$N13:$U13)&gt;0),Exposures!$D13&amp;"/START","")</f>
        <v/>
      </c>
      <c r="C13" s="20" t="str">
        <f t="shared" si="1"/>
        <v/>
      </c>
      <c r="D13" s="20" t="str">
        <f>IF(B13="","",Exposures!$A13&amp;"")</f>
        <v/>
      </c>
      <c r="E13" s="20" t="str">
        <f>IF(B13="","",Exposures!$B13&amp;"")</f>
        <v/>
      </c>
      <c r="F13" s="20" t="str">
        <f t="shared" si="2"/>
        <v/>
      </c>
      <c r="G13" s="20" t="str">
        <f>IF(B13="","",Exposures!$D13&amp;"")</f>
        <v/>
      </c>
      <c r="H13" s="20" t="str">
        <f>IF(B13="","",Exposures!$N13&amp;"")</f>
        <v/>
      </c>
      <c r="I13" s="20" t="str">
        <f>IF(B13="","",Exposures!$Q13&amp;"")</f>
        <v/>
      </c>
      <c r="J13" s="20" t="str">
        <f>IF(B13="","",Exposures!$W13&amp;"")</f>
        <v/>
      </c>
      <c r="K13" s="20">
        <f>IF(B13="",0,Exposures!$X13)</f>
        <v>0</v>
      </c>
      <c r="L13" s="20">
        <f>IF(B13="",0,Exposures!$Y13)</f>
        <v>0</v>
      </c>
      <c r="M13" s="20" t="str">
        <f>IF(B13="","",Exposures!$AB13)</f>
        <v/>
      </c>
      <c r="N13" s="20" t="str">
        <f>IF(B13="","",Exposures!$AC13)</f>
        <v/>
      </c>
      <c r="O13" s="27" t="str">
        <f>IF(B13="","",Exposures!$Z13)</f>
        <v/>
      </c>
      <c r="P13" s="27" t="str">
        <f>IF(B13="","",Exposures!$AA13)</f>
        <v/>
      </c>
      <c r="Q13" s="20" t="str">
        <f t="shared" si="3"/>
        <v/>
      </c>
      <c r="R13" s="20" t="str">
        <f>IF(A13="","",IF(J13&lt;&gt;"",J13,IF(H13="TIMESTAMP",DAY(INT(M13/1440))&amp;" "&amp;INDEX(nLIST_Months,MONTH(INT(M13/1440)))&amp;" "&amp;YEAR(INT(M13/1440))&amp;" "&amp;RIGHT("0"&amp;INT(MOD(M13,1440)/60),2)&amp;":"&amp;RIGHT("0"&amp;MOD(M13,60),2)&amp;IF(L13=1," (UTC"&amp;I13&amp;")"," (offset unknown)"),IF(H13="DATE",DAY(O13)&amp;" "&amp;INDEX(nLIST_Months,MONTH(O13))&amp;" "&amp;YEAR(O13),IF(H13="MONTH",INDEX(nLIST_Months,MONTH(O13))&amp;" "&amp;YEAR(O13)&amp;" ("&amp;DAY(O13)&amp;" "&amp;INDEX(nLIST_Months,MONTH(O13))&amp;" "&amp;YEAR(O13)&amp;" to "&amp;DAY(P13)&amp;" "&amp;INDEX(nLIST_Months,MONTH(P13))&amp;" "&amp;YEAR(P13)&amp;")",IF(H13="YEAR",YEAR(O13)&amp;" (1 January to 31 December)",DAY(O13)&amp;" "&amp;INDEX(nLIST_Months,MONTH(O13))&amp;" "&amp;YEAR(O13)&amp;" to "&amp;DAY(P13)&amp;" "&amp;INDEX(nLIST_Months,MONTH(P13))&amp;" "&amp;YEAR(P13)))))))</f>
        <v/>
      </c>
      <c r="S13" s="20" t="str">
        <f>IF(B13="","",Exposures!$M13&amp;"")</f>
        <v/>
      </c>
      <c r="T13" s="20" t="str">
        <f>IF(B13="","",Exposures!$V13&amp;"")</f>
        <v/>
      </c>
      <c r="U13" s="20" t="str">
        <f>IF(B13="","","Exposures row "&amp;ROW(Exposures!$A13)&amp;", Start")</f>
        <v/>
      </c>
      <c r="V13" s="20">
        <f>IF(A13="",0,COUNTIF(nTP_Key,A13))</f>
        <v>0</v>
      </c>
      <c r="W13" s="20">
        <f t="shared" si="4"/>
        <v>0</v>
      </c>
      <c r="X13" s="20">
        <f t="shared" si="5"/>
        <v>0</v>
      </c>
      <c r="Y13" s="20">
        <f t="shared" si="6"/>
        <v>0</v>
      </c>
      <c r="Z13" s="20">
        <f t="shared" si="7"/>
        <v>0</v>
      </c>
    </row>
    <row r="14" spans="1:26" x14ac:dyDescent="0.2">
      <c r="A14" s="20" t="str">
        <f t="shared" si="0"/>
        <v/>
      </c>
      <c r="B14" s="20" t="str">
        <f>IF(AND(Exposures!$D14&lt;&gt;"",COUNTA(Exposures!$N14:$U14)&gt;0),Exposures!$D14&amp;"/START","")</f>
        <v/>
      </c>
      <c r="C14" s="20" t="str">
        <f t="shared" si="1"/>
        <v/>
      </c>
      <c r="D14" s="20" t="str">
        <f>IF(B14="","",Exposures!$A14&amp;"")</f>
        <v/>
      </c>
      <c r="E14" s="20" t="str">
        <f>IF(B14="","",Exposures!$B14&amp;"")</f>
        <v/>
      </c>
      <c r="F14" s="20" t="str">
        <f t="shared" si="2"/>
        <v/>
      </c>
      <c r="G14" s="20" t="str">
        <f>IF(B14="","",Exposures!$D14&amp;"")</f>
        <v/>
      </c>
      <c r="H14" s="20" t="str">
        <f>IF(B14="","",Exposures!$N14&amp;"")</f>
        <v/>
      </c>
      <c r="I14" s="20" t="str">
        <f>IF(B14="","",Exposures!$Q14&amp;"")</f>
        <v/>
      </c>
      <c r="J14" s="20" t="str">
        <f>IF(B14="","",Exposures!$W14&amp;"")</f>
        <v/>
      </c>
      <c r="K14" s="20">
        <f>IF(B14="",0,Exposures!$X14)</f>
        <v>0</v>
      </c>
      <c r="L14" s="20">
        <f>IF(B14="",0,Exposures!$Y14)</f>
        <v>0</v>
      </c>
      <c r="M14" s="20" t="str">
        <f>IF(B14="","",Exposures!$AB14)</f>
        <v/>
      </c>
      <c r="N14" s="20" t="str">
        <f>IF(B14="","",Exposures!$AC14)</f>
        <v/>
      </c>
      <c r="O14" s="27" t="str">
        <f>IF(B14="","",Exposures!$Z14)</f>
        <v/>
      </c>
      <c r="P14" s="27" t="str">
        <f>IF(B14="","",Exposures!$AA14)</f>
        <v/>
      </c>
      <c r="Q14" s="20" t="str">
        <f t="shared" si="3"/>
        <v/>
      </c>
      <c r="R14" s="20" t="str">
        <f>IF(A14="","",IF(J14&lt;&gt;"",J14,IF(H14="TIMESTAMP",DAY(INT(M14/1440))&amp;" "&amp;INDEX(nLIST_Months,MONTH(INT(M14/1440)))&amp;" "&amp;YEAR(INT(M14/1440))&amp;" "&amp;RIGHT("0"&amp;INT(MOD(M14,1440)/60),2)&amp;":"&amp;RIGHT("0"&amp;MOD(M14,60),2)&amp;IF(L14=1," (UTC"&amp;I14&amp;")"," (offset unknown)"),IF(H14="DATE",DAY(O14)&amp;" "&amp;INDEX(nLIST_Months,MONTH(O14))&amp;" "&amp;YEAR(O14),IF(H14="MONTH",INDEX(nLIST_Months,MONTH(O14))&amp;" "&amp;YEAR(O14)&amp;" ("&amp;DAY(O14)&amp;" "&amp;INDEX(nLIST_Months,MONTH(O14))&amp;" "&amp;YEAR(O14)&amp;" to "&amp;DAY(P14)&amp;" "&amp;INDEX(nLIST_Months,MONTH(P14))&amp;" "&amp;YEAR(P14)&amp;")",IF(H14="YEAR",YEAR(O14)&amp;" (1 January to 31 December)",DAY(O14)&amp;" "&amp;INDEX(nLIST_Months,MONTH(O14))&amp;" "&amp;YEAR(O14)&amp;" to "&amp;DAY(P14)&amp;" "&amp;INDEX(nLIST_Months,MONTH(P14))&amp;" "&amp;YEAR(P14)))))))</f>
        <v/>
      </c>
      <c r="S14" s="20" t="str">
        <f>IF(B14="","",Exposures!$M14&amp;"")</f>
        <v/>
      </c>
      <c r="T14" s="20" t="str">
        <f>IF(B14="","",Exposures!$V14&amp;"")</f>
        <v/>
      </c>
      <c r="U14" s="20" t="str">
        <f>IF(B14="","","Exposures row "&amp;ROW(Exposures!$A14)&amp;", Start")</f>
        <v/>
      </c>
      <c r="V14" s="20">
        <f>IF(A14="",0,COUNTIF(nTP_Key,A14))</f>
        <v>0</v>
      </c>
      <c r="W14" s="20">
        <f t="shared" si="4"/>
        <v>0</v>
      </c>
      <c r="X14" s="20">
        <f t="shared" si="5"/>
        <v>0</v>
      </c>
      <c r="Y14" s="20">
        <f t="shared" si="6"/>
        <v>0</v>
      </c>
      <c r="Z14" s="20">
        <f t="shared" si="7"/>
        <v>0</v>
      </c>
    </row>
    <row r="15" spans="1:26" x14ac:dyDescent="0.2">
      <c r="A15" s="20" t="str">
        <f t="shared" si="0"/>
        <v/>
      </c>
      <c r="B15" s="20" t="str">
        <f>IF(AND(Exposures!$D15&lt;&gt;"",COUNTA(Exposures!$N15:$U15)&gt;0),Exposures!$D15&amp;"/START","")</f>
        <v/>
      </c>
      <c r="C15" s="20" t="str">
        <f t="shared" si="1"/>
        <v/>
      </c>
      <c r="D15" s="20" t="str">
        <f>IF(B15="","",Exposures!$A15&amp;"")</f>
        <v/>
      </c>
      <c r="E15" s="20" t="str">
        <f>IF(B15="","",Exposures!$B15&amp;"")</f>
        <v/>
      </c>
      <c r="F15" s="20" t="str">
        <f t="shared" si="2"/>
        <v/>
      </c>
      <c r="G15" s="20" t="str">
        <f>IF(B15="","",Exposures!$D15&amp;"")</f>
        <v/>
      </c>
      <c r="H15" s="20" t="str">
        <f>IF(B15="","",Exposures!$N15&amp;"")</f>
        <v/>
      </c>
      <c r="I15" s="20" t="str">
        <f>IF(B15="","",Exposures!$Q15&amp;"")</f>
        <v/>
      </c>
      <c r="J15" s="20" t="str">
        <f>IF(B15="","",Exposures!$W15&amp;"")</f>
        <v/>
      </c>
      <c r="K15" s="20">
        <f>IF(B15="",0,Exposures!$X15)</f>
        <v>0</v>
      </c>
      <c r="L15" s="20">
        <f>IF(B15="",0,Exposures!$Y15)</f>
        <v>0</v>
      </c>
      <c r="M15" s="20" t="str">
        <f>IF(B15="","",Exposures!$AB15)</f>
        <v/>
      </c>
      <c r="N15" s="20" t="str">
        <f>IF(B15="","",Exposures!$AC15)</f>
        <v/>
      </c>
      <c r="O15" s="27" t="str">
        <f>IF(B15="","",Exposures!$Z15)</f>
        <v/>
      </c>
      <c r="P15" s="27" t="str">
        <f>IF(B15="","",Exposures!$AA15)</f>
        <v/>
      </c>
      <c r="Q15" s="20" t="str">
        <f t="shared" si="3"/>
        <v/>
      </c>
      <c r="R15" s="20" t="str">
        <f>IF(A15="","",IF(J15&lt;&gt;"",J15,IF(H15="TIMESTAMP",DAY(INT(M15/1440))&amp;" "&amp;INDEX(nLIST_Months,MONTH(INT(M15/1440)))&amp;" "&amp;YEAR(INT(M15/1440))&amp;" "&amp;RIGHT("0"&amp;INT(MOD(M15,1440)/60),2)&amp;":"&amp;RIGHT("0"&amp;MOD(M15,60),2)&amp;IF(L15=1," (UTC"&amp;I15&amp;")"," (offset unknown)"),IF(H15="DATE",DAY(O15)&amp;" "&amp;INDEX(nLIST_Months,MONTH(O15))&amp;" "&amp;YEAR(O15),IF(H15="MONTH",INDEX(nLIST_Months,MONTH(O15))&amp;" "&amp;YEAR(O15)&amp;" ("&amp;DAY(O15)&amp;" "&amp;INDEX(nLIST_Months,MONTH(O15))&amp;" "&amp;YEAR(O15)&amp;" to "&amp;DAY(P15)&amp;" "&amp;INDEX(nLIST_Months,MONTH(P15))&amp;" "&amp;YEAR(P15)&amp;")",IF(H15="YEAR",YEAR(O15)&amp;" (1 January to 31 December)",DAY(O15)&amp;" "&amp;INDEX(nLIST_Months,MONTH(O15))&amp;" "&amp;YEAR(O15)&amp;" to "&amp;DAY(P15)&amp;" "&amp;INDEX(nLIST_Months,MONTH(P15))&amp;" "&amp;YEAR(P15)))))))</f>
        <v/>
      </c>
      <c r="S15" s="20" t="str">
        <f>IF(B15="","",Exposures!$M15&amp;"")</f>
        <v/>
      </c>
      <c r="T15" s="20" t="str">
        <f>IF(B15="","",Exposures!$V15&amp;"")</f>
        <v/>
      </c>
      <c r="U15" s="20" t="str">
        <f>IF(B15="","","Exposures row "&amp;ROW(Exposures!$A15)&amp;", Start")</f>
        <v/>
      </c>
      <c r="V15" s="20">
        <f>IF(A15="",0,COUNTIF(nTP_Key,A15))</f>
        <v>0</v>
      </c>
      <c r="W15" s="20">
        <f t="shared" si="4"/>
        <v>0</v>
      </c>
      <c r="X15" s="20">
        <f t="shared" si="5"/>
        <v>0</v>
      </c>
      <c r="Y15" s="20">
        <f t="shared" si="6"/>
        <v>0</v>
      </c>
      <c r="Z15" s="20">
        <f t="shared" si="7"/>
        <v>0</v>
      </c>
    </row>
    <row r="16" spans="1:26" x14ac:dyDescent="0.2">
      <c r="A16" s="20" t="str">
        <f t="shared" si="0"/>
        <v/>
      </c>
      <c r="B16" s="20" t="str">
        <f>IF(AND(Exposures!$D16&lt;&gt;"",COUNTA(Exposures!$N16:$U16)&gt;0),Exposures!$D16&amp;"/START","")</f>
        <v/>
      </c>
      <c r="C16" s="20" t="str">
        <f t="shared" si="1"/>
        <v/>
      </c>
      <c r="D16" s="20" t="str">
        <f>IF(B16="","",Exposures!$A16&amp;"")</f>
        <v/>
      </c>
      <c r="E16" s="20" t="str">
        <f>IF(B16="","",Exposures!$B16&amp;"")</f>
        <v/>
      </c>
      <c r="F16" s="20" t="str">
        <f t="shared" si="2"/>
        <v/>
      </c>
      <c r="G16" s="20" t="str">
        <f>IF(B16="","",Exposures!$D16&amp;"")</f>
        <v/>
      </c>
      <c r="H16" s="20" t="str">
        <f>IF(B16="","",Exposures!$N16&amp;"")</f>
        <v/>
      </c>
      <c r="I16" s="20" t="str">
        <f>IF(B16="","",Exposures!$Q16&amp;"")</f>
        <v/>
      </c>
      <c r="J16" s="20" t="str">
        <f>IF(B16="","",Exposures!$W16&amp;"")</f>
        <v/>
      </c>
      <c r="K16" s="20">
        <f>IF(B16="",0,Exposures!$X16)</f>
        <v>0</v>
      </c>
      <c r="L16" s="20">
        <f>IF(B16="",0,Exposures!$Y16)</f>
        <v>0</v>
      </c>
      <c r="M16" s="20" t="str">
        <f>IF(B16="","",Exposures!$AB16)</f>
        <v/>
      </c>
      <c r="N16" s="20" t="str">
        <f>IF(B16="","",Exposures!$AC16)</f>
        <v/>
      </c>
      <c r="O16" s="27" t="str">
        <f>IF(B16="","",Exposures!$Z16)</f>
        <v/>
      </c>
      <c r="P16" s="27" t="str">
        <f>IF(B16="","",Exposures!$AA16)</f>
        <v/>
      </c>
      <c r="Q16" s="20" t="str">
        <f t="shared" si="3"/>
        <v/>
      </c>
      <c r="R16" s="20" t="str">
        <f>IF(A16="","",IF(J16&lt;&gt;"",J16,IF(H16="TIMESTAMP",DAY(INT(M16/1440))&amp;" "&amp;INDEX(nLIST_Months,MONTH(INT(M16/1440)))&amp;" "&amp;YEAR(INT(M16/1440))&amp;" "&amp;RIGHT("0"&amp;INT(MOD(M16,1440)/60),2)&amp;":"&amp;RIGHT("0"&amp;MOD(M16,60),2)&amp;IF(L16=1," (UTC"&amp;I16&amp;")"," (offset unknown)"),IF(H16="DATE",DAY(O16)&amp;" "&amp;INDEX(nLIST_Months,MONTH(O16))&amp;" "&amp;YEAR(O16),IF(H16="MONTH",INDEX(nLIST_Months,MONTH(O16))&amp;" "&amp;YEAR(O16)&amp;" ("&amp;DAY(O16)&amp;" "&amp;INDEX(nLIST_Months,MONTH(O16))&amp;" "&amp;YEAR(O16)&amp;" to "&amp;DAY(P16)&amp;" "&amp;INDEX(nLIST_Months,MONTH(P16))&amp;" "&amp;YEAR(P16)&amp;")",IF(H16="YEAR",YEAR(O16)&amp;" (1 January to 31 December)",DAY(O16)&amp;" "&amp;INDEX(nLIST_Months,MONTH(O16))&amp;" "&amp;YEAR(O16)&amp;" to "&amp;DAY(P16)&amp;" "&amp;INDEX(nLIST_Months,MONTH(P16))&amp;" "&amp;YEAR(P16)))))))</f>
        <v/>
      </c>
      <c r="S16" s="20" t="str">
        <f>IF(B16="","",Exposures!$M16&amp;"")</f>
        <v/>
      </c>
      <c r="T16" s="20" t="str">
        <f>IF(B16="","",Exposures!$V16&amp;"")</f>
        <v/>
      </c>
      <c r="U16" s="20" t="str">
        <f>IF(B16="","","Exposures row "&amp;ROW(Exposures!$A16)&amp;", Start")</f>
        <v/>
      </c>
      <c r="V16" s="20">
        <f>IF(A16="",0,COUNTIF(nTP_Key,A16))</f>
        <v>0</v>
      </c>
      <c r="W16" s="20">
        <f t="shared" si="4"/>
        <v>0</v>
      </c>
      <c r="X16" s="20">
        <f t="shared" si="5"/>
        <v>0</v>
      </c>
      <c r="Y16" s="20">
        <f t="shared" si="6"/>
        <v>0</v>
      </c>
      <c r="Z16" s="20">
        <f t="shared" si="7"/>
        <v>0</v>
      </c>
    </row>
    <row r="17" spans="1:26" x14ac:dyDescent="0.2">
      <c r="A17" s="20" t="str">
        <f t="shared" si="0"/>
        <v/>
      </c>
      <c r="B17" s="20" t="str">
        <f>IF(AND(Exposures!$D17&lt;&gt;"",COUNTA(Exposures!$N17:$U17)&gt;0),Exposures!$D17&amp;"/START","")</f>
        <v/>
      </c>
      <c r="C17" s="20" t="str">
        <f t="shared" si="1"/>
        <v/>
      </c>
      <c r="D17" s="20" t="str">
        <f>IF(B17="","",Exposures!$A17&amp;"")</f>
        <v/>
      </c>
      <c r="E17" s="20" t="str">
        <f>IF(B17="","",Exposures!$B17&amp;"")</f>
        <v/>
      </c>
      <c r="F17" s="20" t="str">
        <f t="shared" si="2"/>
        <v/>
      </c>
      <c r="G17" s="20" t="str">
        <f>IF(B17="","",Exposures!$D17&amp;"")</f>
        <v/>
      </c>
      <c r="H17" s="20" t="str">
        <f>IF(B17="","",Exposures!$N17&amp;"")</f>
        <v/>
      </c>
      <c r="I17" s="20" t="str">
        <f>IF(B17="","",Exposures!$Q17&amp;"")</f>
        <v/>
      </c>
      <c r="J17" s="20" t="str">
        <f>IF(B17="","",Exposures!$W17&amp;"")</f>
        <v/>
      </c>
      <c r="K17" s="20">
        <f>IF(B17="",0,Exposures!$X17)</f>
        <v>0</v>
      </c>
      <c r="L17" s="20">
        <f>IF(B17="",0,Exposures!$Y17)</f>
        <v>0</v>
      </c>
      <c r="M17" s="20" t="str">
        <f>IF(B17="","",Exposures!$AB17)</f>
        <v/>
      </c>
      <c r="N17" s="20" t="str">
        <f>IF(B17="","",Exposures!$AC17)</f>
        <v/>
      </c>
      <c r="O17" s="27" t="str">
        <f>IF(B17="","",Exposures!$Z17)</f>
        <v/>
      </c>
      <c r="P17" s="27" t="str">
        <f>IF(B17="","",Exposures!$AA17)</f>
        <v/>
      </c>
      <c r="Q17" s="20" t="str">
        <f t="shared" si="3"/>
        <v/>
      </c>
      <c r="R17" s="20" t="str">
        <f>IF(A17="","",IF(J17&lt;&gt;"",J17,IF(H17="TIMESTAMP",DAY(INT(M17/1440))&amp;" "&amp;INDEX(nLIST_Months,MONTH(INT(M17/1440)))&amp;" "&amp;YEAR(INT(M17/1440))&amp;" "&amp;RIGHT("0"&amp;INT(MOD(M17,1440)/60),2)&amp;":"&amp;RIGHT("0"&amp;MOD(M17,60),2)&amp;IF(L17=1," (UTC"&amp;I17&amp;")"," (offset unknown)"),IF(H17="DATE",DAY(O17)&amp;" "&amp;INDEX(nLIST_Months,MONTH(O17))&amp;" "&amp;YEAR(O17),IF(H17="MONTH",INDEX(nLIST_Months,MONTH(O17))&amp;" "&amp;YEAR(O17)&amp;" ("&amp;DAY(O17)&amp;" "&amp;INDEX(nLIST_Months,MONTH(O17))&amp;" "&amp;YEAR(O17)&amp;" to "&amp;DAY(P17)&amp;" "&amp;INDEX(nLIST_Months,MONTH(P17))&amp;" "&amp;YEAR(P17)&amp;")",IF(H17="YEAR",YEAR(O17)&amp;" (1 January to 31 December)",DAY(O17)&amp;" "&amp;INDEX(nLIST_Months,MONTH(O17))&amp;" "&amp;YEAR(O17)&amp;" to "&amp;DAY(P17)&amp;" "&amp;INDEX(nLIST_Months,MONTH(P17))&amp;" "&amp;YEAR(P17)))))))</f>
        <v/>
      </c>
      <c r="S17" s="20" t="str">
        <f>IF(B17="","",Exposures!$M17&amp;"")</f>
        <v/>
      </c>
      <c r="T17" s="20" t="str">
        <f>IF(B17="","",Exposures!$V17&amp;"")</f>
        <v/>
      </c>
      <c r="U17" s="20" t="str">
        <f>IF(B17="","","Exposures row "&amp;ROW(Exposures!$A17)&amp;", Start")</f>
        <v/>
      </c>
      <c r="V17" s="20">
        <f>IF(A17="",0,COUNTIF(nTP_Key,A17))</f>
        <v>0</v>
      </c>
      <c r="W17" s="20">
        <f t="shared" si="4"/>
        <v>0</v>
      </c>
      <c r="X17" s="20">
        <f t="shared" si="5"/>
        <v>0</v>
      </c>
      <c r="Y17" s="20">
        <f t="shared" si="6"/>
        <v>0</v>
      </c>
      <c r="Z17" s="20">
        <f t="shared" si="7"/>
        <v>0</v>
      </c>
    </row>
    <row r="18" spans="1:26" x14ac:dyDescent="0.2">
      <c r="A18" s="20" t="str">
        <f t="shared" si="0"/>
        <v/>
      </c>
      <c r="B18" s="20" t="str">
        <f>IF(AND(Exposures!$D18&lt;&gt;"",COUNTA(Exposures!$N18:$U18)&gt;0),Exposures!$D18&amp;"/START","")</f>
        <v/>
      </c>
      <c r="C18" s="20" t="str">
        <f t="shared" si="1"/>
        <v/>
      </c>
      <c r="D18" s="20" t="str">
        <f>IF(B18="","",Exposures!$A18&amp;"")</f>
        <v/>
      </c>
      <c r="E18" s="20" t="str">
        <f>IF(B18="","",Exposures!$B18&amp;"")</f>
        <v/>
      </c>
      <c r="F18" s="20" t="str">
        <f t="shared" si="2"/>
        <v/>
      </c>
      <c r="G18" s="20" t="str">
        <f>IF(B18="","",Exposures!$D18&amp;"")</f>
        <v/>
      </c>
      <c r="H18" s="20" t="str">
        <f>IF(B18="","",Exposures!$N18&amp;"")</f>
        <v/>
      </c>
      <c r="I18" s="20" t="str">
        <f>IF(B18="","",Exposures!$Q18&amp;"")</f>
        <v/>
      </c>
      <c r="J18" s="20" t="str">
        <f>IF(B18="","",Exposures!$W18&amp;"")</f>
        <v/>
      </c>
      <c r="K18" s="20">
        <f>IF(B18="",0,Exposures!$X18)</f>
        <v>0</v>
      </c>
      <c r="L18" s="20">
        <f>IF(B18="",0,Exposures!$Y18)</f>
        <v>0</v>
      </c>
      <c r="M18" s="20" t="str">
        <f>IF(B18="","",Exposures!$AB18)</f>
        <v/>
      </c>
      <c r="N18" s="20" t="str">
        <f>IF(B18="","",Exposures!$AC18)</f>
        <v/>
      </c>
      <c r="O18" s="27" t="str">
        <f>IF(B18="","",Exposures!$Z18)</f>
        <v/>
      </c>
      <c r="P18" s="27" t="str">
        <f>IF(B18="","",Exposures!$AA18)</f>
        <v/>
      </c>
      <c r="Q18" s="20" t="str">
        <f t="shared" si="3"/>
        <v/>
      </c>
      <c r="R18" s="20" t="str">
        <f>IF(A18="","",IF(J18&lt;&gt;"",J18,IF(H18="TIMESTAMP",DAY(INT(M18/1440))&amp;" "&amp;INDEX(nLIST_Months,MONTH(INT(M18/1440)))&amp;" "&amp;YEAR(INT(M18/1440))&amp;" "&amp;RIGHT("0"&amp;INT(MOD(M18,1440)/60),2)&amp;":"&amp;RIGHT("0"&amp;MOD(M18,60),2)&amp;IF(L18=1," (UTC"&amp;I18&amp;")"," (offset unknown)"),IF(H18="DATE",DAY(O18)&amp;" "&amp;INDEX(nLIST_Months,MONTH(O18))&amp;" "&amp;YEAR(O18),IF(H18="MONTH",INDEX(nLIST_Months,MONTH(O18))&amp;" "&amp;YEAR(O18)&amp;" ("&amp;DAY(O18)&amp;" "&amp;INDEX(nLIST_Months,MONTH(O18))&amp;" "&amp;YEAR(O18)&amp;" to "&amp;DAY(P18)&amp;" "&amp;INDEX(nLIST_Months,MONTH(P18))&amp;" "&amp;YEAR(P18)&amp;")",IF(H18="YEAR",YEAR(O18)&amp;" (1 January to 31 December)",DAY(O18)&amp;" "&amp;INDEX(nLIST_Months,MONTH(O18))&amp;" "&amp;YEAR(O18)&amp;" to "&amp;DAY(P18)&amp;" "&amp;INDEX(nLIST_Months,MONTH(P18))&amp;" "&amp;YEAR(P18)))))))</f>
        <v/>
      </c>
      <c r="S18" s="20" t="str">
        <f>IF(B18="","",Exposures!$M18&amp;"")</f>
        <v/>
      </c>
      <c r="T18" s="20" t="str">
        <f>IF(B18="","",Exposures!$V18&amp;"")</f>
        <v/>
      </c>
      <c r="U18" s="20" t="str">
        <f>IF(B18="","","Exposures row "&amp;ROW(Exposures!$A18)&amp;", Start")</f>
        <v/>
      </c>
      <c r="V18" s="20">
        <f>IF(A18="",0,COUNTIF(nTP_Key,A18))</f>
        <v>0</v>
      </c>
      <c r="W18" s="20">
        <f t="shared" si="4"/>
        <v>0</v>
      </c>
      <c r="X18" s="20">
        <f t="shared" si="5"/>
        <v>0</v>
      </c>
      <c r="Y18" s="20">
        <f t="shared" si="6"/>
        <v>0</v>
      </c>
      <c r="Z18" s="20">
        <f t="shared" si="7"/>
        <v>0</v>
      </c>
    </row>
    <row r="19" spans="1:26" x14ac:dyDescent="0.2">
      <c r="A19" s="20" t="str">
        <f t="shared" si="0"/>
        <v/>
      </c>
      <c r="B19" s="20" t="str">
        <f>IF(AND(Exposures!$D19&lt;&gt;"",COUNTA(Exposures!$N19:$U19)&gt;0),Exposures!$D19&amp;"/START","")</f>
        <v/>
      </c>
      <c r="C19" s="20" t="str">
        <f t="shared" si="1"/>
        <v/>
      </c>
      <c r="D19" s="20" t="str">
        <f>IF(B19="","",Exposures!$A19&amp;"")</f>
        <v/>
      </c>
      <c r="E19" s="20" t="str">
        <f>IF(B19="","",Exposures!$B19&amp;"")</f>
        <v/>
      </c>
      <c r="F19" s="20" t="str">
        <f t="shared" si="2"/>
        <v/>
      </c>
      <c r="G19" s="20" t="str">
        <f>IF(B19="","",Exposures!$D19&amp;"")</f>
        <v/>
      </c>
      <c r="H19" s="20" t="str">
        <f>IF(B19="","",Exposures!$N19&amp;"")</f>
        <v/>
      </c>
      <c r="I19" s="20" t="str">
        <f>IF(B19="","",Exposures!$Q19&amp;"")</f>
        <v/>
      </c>
      <c r="J19" s="20" t="str">
        <f>IF(B19="","",Exposures!$W19&amp;"")</f>
        <v/>
      </c>
      <c r="K19" s="20">
        <f>IF(B19="",0,Exposures!$X19)</f>
        <v>0</v>
      </c>
      <c r="L19" s="20">
        <f>IF(B19="",0,Exposures!$Y19)</f>
        <v>0</v>
      </c>
      <c r="M19" s="20" t="str">
        <f>IF(B19="","",Exposures!$AB19)</f>
        <v/>
      </c>
      <c r="N19" s="20" t="str">
        <f>IF(B19="","",Exposures!$AC19)</f>
        <v/>
      </c>
      <c r="O19" s="27" t="str">
        <f>IF(B19="","",Exposures!$Z19)</f>
        <v/>
      </c>
      <c r="P19" s="27" t="str">
        <f>IF(B19="","",Exposures!$AA19)</f>
        <v/>
      </c>
      <c r="Q19" s="20" t="str">
        <f t="shared" si="3"/>
        <v/>
      </c>
      <c r="R19" s="20" t="str">
        <f>IF(A19="","",IF(J19&lt;&gt;"",J19,IF(H19="TIMESTAMP",DAY(INT(M19/1440))&amp;" "&amp;INDEX(nLIST_Months,MONTH(INT(M19/1440)))&amp;" "&amp;YEAR(INT(M19/1440))&amp;" "&amp;RIGHT("0"&amp;INT(MOD(M19,1440)/60),2)&amp;":"&amp;RIGHT("0"&amp;MOD(M19,60),2)&amp;IF(L19=1," (UTC"&amp;I19&amp;")"," (offset unknown)"),IF(H19="DATE",DAY(O19)&amp;" "&amp;INDEX(nLIST_Months,MONTH(O19))&amp;" "&amp;YEAR(O19),IF(H19="MONTH",INDEX(nLIST_Months,MONTH(O19))&amp;" "&amp;YEAR(O19)&amp;" ("&amp;DAY(O19)&amp;" "&amp;INDEX(nLIST_Months,MONTH(O19))&amp;" "&amp;YEAR(O19)&amp;" to "&amp;DAY(P19)&amp;" "&amp;INDEX(nLIST_Months,MONTH(P19))&amp;" "&amp;YEAR(P19)&amp;")",IF(H19="YEAR",YEAR(O19)&amp;" (1 January to 31 December)",DAY(O19)&amp;" "&amp;INDEX(nLIST_Months,MONTH(O19))&amp;" "&amp;YEAR(O19)&amp;" to "&amp;DAY(P19)&amp;" "&amp;INDEX(nLIST_Months,MONTH(P19))&amp;" "&amp;YEAR(P19)))))))</f>
        <v/>
      </c>
      <c r="S19" s="20" t="str">
        <f>IF(B19="","",Exposures!$M19&amp;"")</f>
        <v/>
      </c>
      <c r="T19" s="20" t="str">
        <f>IF(B19="","",Exposures!$V19&amp;"")</f>
        <v/>
      </c>
      <c r="U19" s="20" t="str">
        <f>IF(B19="","","Exposures row "&amp;ROW(Exposures!$A19)&amp;", Start")</f>
        <v/>
      </c>
      <c r="V19" s="20">
        <f>IF(A19="",0,COUNTIF(nTP_Key,A19))</f>
        <v>0</v>
      </c>
      <c r="W19" s="20">
        <f t="shared" si="4"/>
        <v>0</v>
      </c>
      <c r="X19" s="20">
        <f t="shared" si="5"/>
        <v>0</v>
      </c>
      <c r="Y19" s="20">
        <f t="shared" si="6"/>
        <v>0</v>
      </c>
      <c r="Z19" s="20">
        <f t="shared" si="7"/>
        <v>0</v>
      </c>
    </row>
    <row r="20" spans="1:26" x14ac:dyDescent="0.2">
      <c r="A20" s="20" t="str">
        <f t="shared" si="0"/>
        <v/>
      </c>
      <c r="B20" s="20" t="str">
        <f>IF(AND(Exposures!$D20&lt;&gt;"",COUNTA(Exposures!$N20:$U20)&gt;0),Exposures!$D20&amp;"/START","")</f>
        <v/>
      </c>
      <c r="C20" s="20" t="str">
        <f t="shared" si="1"/>
        <v/>
      </c>
      <c r="D20" s="20" t="str">
        <f>IF(B20="","",Exposures!$A20&amp;"")</f>
        <v/>
      </c>
      <c r="E20" s="20" t="str">
        <f>IF(B20="","",Exposures!$B20&amp;"")</f>
        <v/>
      </c>
      <c r="F20" s="20" t="str">
        <f t="shared" si="2"/>
        <v/>
      </c>
      <c r="G20" s="20" t="str">
        <f>IF(B20="","",Exposures!$D20&amp;"")</f>
        <v/>
      </c>
      <c r="H20" s="20" t="str">
        <f>IF(B20="","",Exposures!$N20&amp;"")</f>
        <v/>
      </c>
      <c r="I20" s="20" t="str">
        <f>IF(B20="","",Exposures!$Q20&amp;"")</f>
        <v/>
      </c>
      <c r="J20" s="20" t="str">
        <f>IF(B20="","",Exposures!$W20&amp;"")</f>
        <v/>
      </c>
      <c r="K20" s="20">
        <f>IF(B20="",0,Exposures!$X20)</f>
        <v>0</v>
      </c>
      <c r="L20" s="20">
        <f>IF(B20="",0,Exposures!$Y20)</f>
        <v>0</v>
      </c>
      <c r="M20" s="20" t="str">
        <f>IF(B20="","",Exposures!$AB20)</f>
        <v/>
      </c>
      <c r="N20" s="20" t="str">
        <f>IF(B20="","",Exposures!$AC20)</f>
        <v/>
      </c>
      <c r="O20" s="27" t="str">
        <f>IF(B20="","",Exposures!$Z20)</f>
        <v/>
      </c>
      <c r="P20" s="27" t="str">
        <f>IF(B20="","",Exposures!$AA20)</f>
        <v/>
      </c>
      <c r="Q20" s="20" t="str">
        <f t="shared" si="3"/>
        <v/>
      </c>
      <c r="R20" s="20" t="str">
        <f>IF(A20="","",IF(J20&lt;&gt;"",J20,IF(H20="TIMESTAMP",DAY(INT(M20/1440))&amp;" "&amp;INDEX(nLIST_Months,MONTH(INT(M20/1440)))&amp;" "&amp;YEAR(INT(M20/1440))&amp;" "&amp;RIGHT("0"&amp;INT(MOD(M20,1440)/60),2)&amp;":"&amp;RIGHT("0"&amp;MOD(M20,60),2)&amp;IF(L20=1," (UTC"&amp;I20&amp;")"," (offset unknown)"),IF(H20="DATE",DAY(O20)&amp;" "&amp;INDEX(nLIST_Months,MONTH(O20))&amp;" "&amp;YEAR(O20),IF(H20="MONTH",INDEX(nLIST_Months,MONTH(O20))&amp;" "&amp;YEAR(O20)&amp;" ("&amp;DAY(O20)&amp;" "&amp;INDEX(nLIST_Months,MONTH(O20))&amp;" "&amp;YEAR(O20)&amp;" to "&amp;DAY(P20)&amp;" "&amp;INDEX(nLIST_Months,MONTH(P20))&amp;" "&amp;YEAR(P20)&amp;")",IF(H20="YEAR",YEAR(O20)&amp;" (1 January to 31 December)",DAY(O20)&amp;" "&amp;INDEX(nLIST_Months,MONTH(O20))&amp;" "&amp;YEAR(O20)&amp;" to "&amp;DAY(P20)&amp;" "&amp;INDEX(nLIST_Months,MONTH(P20))&amp;" "&amp;YEAR(P20)))))))</f>
        <v/>
      </c>
      <c r="S20" s="20" t="str">
        <f>IF(B20="","",Exposures!$M20&amp;"")</f>
        <v/>
      </c>
      <c r="T20" s="20" t="str">
        <f>IF(B20="","",Exposures!$V20&amp;"")</f>
        <v/>
      </c>
      <c r="U20" s="20" t="str">
        <f>IF(B20="","","Exposures row "&amp;ROW(Exposures!$A20)&amp;", Start")</f>
        <v/>
      </c>
      <c r="V20" s="20">
        <f>IF(A20="",0,COUNTIF(nTP_Key,A20))</f>
        <v>0</v>
      </c>
      <c r="W20" s="20">
        <f t="shared" si="4"/>
        <v>0</v>
      </c>
      <c r="X20" s="20">
        <f t="shared" si="5"/>
        <v>0</v>
      </c>
      <c r="Y20" s="20">
        <f t="shared" si="6"/>
        <v>0</v>
      </c>
      <c r="Z20" s="20">
        <f t="shared" si="7"/>
        <v>0</v>
      </c>
    </row>
    <row r="21" spans="1:26" x14ac:dyDescent="0.2">
      <c r="A21" s="20" t="str">
        <f t="shared" si="0"/>
        <v/>
      </c>
      <c r="B21" s="20" t="str">
        <f>IF(AND(Exposures!$D21&lt;&gt;"",COUNTA(Exposures!$N21:$U21)&gt;0),Exposures!$D21&amp;"/START","")</f>
        <v/>
      </c>
      <c r="C21" s="20" t="str">
        <f t="shared" si="1"/>
        <v/>
      </c>
      <c r="D21" s="20" t="str">
        <f>IF(B21="","",Exposures!$A21&amp;"")</f>
        <v/>
      </c>
      <c r="E21" s="20" t="str">
        <f>IF(B21="","",Exposures!$B21&amp;"")</f>
        <v/>
      </c>
      <c r="F21" s="20" t="str">
        <f t="shared" si="2"/>
        <v/>
      </c>
      <c r="G21" s="20" t="str">
        <f>IF(B21="","",Exposures!$D21&amp;"")</f>
        <v/>
      </c>
      <c r="H21" s="20" t="str">
        <f>IF(B21="","",Exposures!$N21&amp;"")</f>
        <v/>
      </c>
      <c r="I21" s="20" t="str">
        <f>IF(B21="","",Exposures!$Q21&amp;"")</f>
        <v/>
      </c>
      <c r="J21" s="20" t="str">
        <f>IF(B21="","",Exposures!$W21&amp;"")</f>
        <v/>
      </c>
      <c r="K21" s="20">
        <f>IF(B21="",0,Exposures!$X21)</f>
        <v>0</v>
      </c>
      <c r="L21" s="20">
        <f>IF(B21="",0,Exposures!$Y21)</f>
        <v>0</v>
      </c>
      <c r="M21" s="20" t="str">
        <f>IF(B21="","",Exposures!$AB21)</f>
        <v/>
      </c>
      <c r="N21" s="20" t="str">
        <f>IF(B21="","",Exposures!$AC21)</f>
        <v/>
      </c>
      <c r="O21" s="27" t="str">
        <f>IF(B21="","",Exposures!$Z21)</f>
        <v/>
      </c>
      <c r="P21" s="27" t="str">
        <f>IF(B21="","",Exposures!$AA21)</f>
        <v/>
      </c>
      <c r="Q21" s="20" t="str">
        <f t="shared" si="3"/>
        <v/>
      </c>
      <c r="R21" s="20" t="str">
        <f>IF(A21="","",IF(J21&lt;&gt;"",J21,IF(H21="TIMESTAMP",DAY(INT(M21/1440))&amp;" "&amp;INDEX(nLIST_Months,MONTH(INT(M21/1440)))&amp;" "&amp;YEAR(INT(M21/1440))&amp;" "&amp;RIGHT("0"&amp;INT(MOD(M21,1440)/60),2)&amp;":"&amp;RIGHT("0"&amp;MOD(M21,60),2)&amp;IF(L21=1," (UTC"&amp;I21&amp;")"," (offset unknown)"),IF(H21="DATE",DAY(O21)&amp;" "&amp;INDEX(nLIST_Months,MONTH(O21))&amp;" "&amp;YEAR(O21),IF(H21="MONTH",INDEX(nLIST_Months,MONTH(O21))&amp;" "&amp;YEAR(O21)&amp;" ("&amp;DAY(O21)&amp;" "&amp;INDEX(nLIST_Months,MONTH(O21))&amp;" "&amp;YEAR(O21)&amp;" to "&amp;DAY(P21)&amp;" "&amp;INDEX(nLIST_Months,MONTH(P21))&amp;" "&amp;YEAR(P21)&amp;")",IF(H21="YEAR",YEAR(O21)&amp;" (1 January to 31 December)",DAY(O21)&amp;" "&amp;INDEX(nLIST_Months,MONTH(O21))&amp;" "&amp;YEAR(O21)&amp;" to "&amp;DAY(P21)&amp;" "&amp;INDEX(nLIST_Months,MONTH(P21))&amp;" "&amp;YEAR(P21)))))))</f>
        <v/>
      </c>
      <c r="S21" s="20" t="str">
        <f>IF(B21="","",Exposures!$M21&amp;"")</f>
        <v/>
      </c>
      <c r="T21" s="20" t="str">
        <f>IF(B21="","",Exposures!$V21&amp;"")</f>
        <v/>
      </c>
      <c r="U21" s="20" t="str">
        <f>IF(B21="","","Exposures row "&amp;ROW(Exposures!$A21)&amp;", Start")</f>
        <v/>
      </c>
      <c r="V21" s="20">
        <f>IF(A21="",0,COUNTIF(nTP_Key,A21))</f>
        <v>0</v>
      </c>
      <c r="W21" s="20">
        <f t="shared" si="4"/>
        <v>0</v>
      </c>
      <c r="X21" s="20">
        <f t="shared" si="5"/>
        <v>0</v>
      </c>
      <c r="Y21" s="20">
        <f t="shared" si="6"/>
        <v>0</v>
      </c>
      <c r="Z21" s="20">
        <f t="shared" si="7"/>
        <v>0</v>
      </c>
    </row>
    <row r="22" spans="1:26" x14ac:dyDescent="0.2">
      <c r="A22" s="20" t="str">
        <f t="shared" si="0"/>
        <v/>
      </c>
      <c r="B22" s="20" t="str">
        <f>IF(AND(Exposures!$D22&lt;&gt;"",COUNTA(Exposures!$N22:$U22)&gt;0),Exposures!$D22&amp;"/START","")</f>
        <v/>
      </c>
      <c r="C22" s="20" t="str">
        <f t="shared" si="1"/>
        <v/>
      </c>
      <c r="D22" s="20" t="str">
        <f>IF(B22="","",Exposures!$A22&amp;"")</f>
        <v/>
      </c>
      <c r="E22" s="20" t="str">
        <f>IF(B22="","",Exposures!$B22&amp;"")</f>
        <v/>
      </c>
      <c r="F22" s="20" t="str">
        <f t="shared" si="2"/>
        <v/>
      </c>
      <c r="G22" s="20" t="str">
        <f>IF(B22="","",Exposures!$D22&amp;"")</f>
        <v/>
      </c>
      <c r="H22" s="20" t="str">
        <f>IF(B22="","",Exposures!$N22&amp;"")</f>
        <v/>
      </c>
      <c r="I22" s="20" t="str">
        <f>IF(B22="","",Exposures!$Q22&amp;"")</f>
        <v/>
      </c>
      <c r="J22" s="20" t="str">
        <f>IF(B22="","",Exposures!$W22&amp;"")</f>
        <v/>
      </c>
      <c r="K22" s="20">
        <f>IF(B22="",0,Exposures!$X22)</f>
        <v>0</v>
      </c>
      <c r="L22" s="20">
        <f>IF(B22="",0,Exposures!$Y22)</f>
        <v>0</v>
      </c>
      <c r="M22" s="20" t="str">
        <f>IF(B22="","",Exposures!$AB22)</f>
        <v/>
      </c>
      <c r="N22" s="20" t="str">
        <f>IF(B22="","",Exposures!$AC22)</f>
        <v/>
      </c>
      <c r="O22" s="27" t="str">
        <f>IF(B22="","",Exposures!$Z22)</f>
        <v/>
      </c>
      <c r="P22" s="27" t="str">
        <f>IF(B22="","",Exposures!$AA22)</f>
        <v/>
      </c>
      <c r="Q22" s="20" t="str">
        <f t="shared" si="3"/>
        <v/>
      </c>
      <c r="R22" s="20" t="str">
        <f>IF(A22="","",IF(J22&lt;&gt;"",J22,IF(H22="TIMESTAMP",DAY(INT(M22/1440))&amp;" "&amp;INDEX(nLIST_Months,MONTH(INT(M22/1440)))&amp;" "&amp;YEAR(INT(M22/1440))&amp;" "&amp;RIGHT("0"&amp;INT(MOD(M22,1440)/60),2)&amp;":"&amp;RIGHT("0"&amp;MOD(M22,60),2)&amp;IF(L22=1," (UTC"&amp;I22&amp;")"," (offset unknown)"),IF(H22="DATE",DAY(O22)&amp;" "&amp;INDEX(nLIST_Months,MONTH(O22))&amp;" "&amp;YEAR(O22),IF(H22="MONTH",INDEX(nLIST_Months,MONTH(O22))&amp;" "&amp;YEAR(O22)&amp;" ("&amp;DAY(O22)&amp;" "&amp;INDEX(nLIST_Months,MONTH(O22))&amp;" "&amp;YEAR(O22)&amp;" to "&amp;DAY(P22)&amp;" "&amp;INDEX(nLIST_Months,MONTH(P22))&amp;" "&amp;YEAR(P22)&amp;")",IF(H22="YEAR",YEAR(O22)&amp;" (1 January to 31 December)",DAY(O22)&amp;" "&amp;INDEX(nLIST_Months,MONTH(O22))&amp;" "&amp;YEAR(O22)&amp;" to "&amp;DAY(P22)&amp;" "&amp;INDEX(nLIST_Months,MONTH(P22))&amp;" "&amp;YEAR(P22)))))))</f>
        <v/>
      </c>
      <c r="S22" s="20" t="str">
        <f>IF(B22="","",Exposures!$M22&amp;"")</f>
        <v/>
      </c>
      <c r="T22" s="20" t="str">
        <f>IF(B22="","",Exposures!$V22&amp;"")</f>
        <v/>
      </c>
      <c r="U22" s="20" t="str">
        <f>IF(B22="","","Exposures row "&amp;ROW(Exposures!$A22)&amp;", Start")</f>
        <v/>
      </c>
      <c r="V22" s="20">
        <f>IF(A22="",0,COUNTIF(nTP_Key,A22))</f>
        <v>0</v>
      </c>
      <c r="W22" s="20">
        <f t="shared" si="4"/>
        <v>0</v>
      </c>
      <c r="X22" s="20">
        <f t="shared" si="5"/>
        <v>0</v>
      </c>
      <c r="Y22" s="20">
        <f t="shared" si="6"/>
        <v>0</v>
      </c>
      <c r="Z22" s="20">
        <f t="shared" si="7"/>
        <v>0</v>
      </c>
    </row>
    <row r="23" spans="1:26" x14ac:dyDescent="0.2">
      <c r="A23" s="20" t="str">
        <f t="shared" si="0"/>
        <v/>
      </c>
      <c r="B23" s="20" t="str">
        <f>IF(AND(Exposures!$D23&lt;&gt;"",COUNTA(Exposures!$N23:$U23)&gt;0),Exposures!$D23&amp;"/START","")</f>
        <v/>
      </c>
      <c r="C23" s="20" t="str">
        <f t="shared" si="1"/>
        <v/>
      </c>
      <c r="D23" s="20" t="str">
        <f>IF(B23="","",Exposures!$A23&amp;"")</f>
        <v/>
      </c>
      <c r="E23" s="20" t="str">
        <f>IF(B23="","",Exposures!$B23&amp;"")</f>
        <v/>
      </c>
      <c r="F23" s="20" t="str">
        <f t="shared" si="2"/>
        <v/>
      </c>
      <c r="G23" s="20" t="str">
        <f>IF(B23="","",Exposures!$D23&amp;"")</f>
        <v/>
      </c>
      <c r="H23" s="20" t="str">
        <f>IF(B23="","",Exposures!$N23&amp;"")</f>
        <v/>
      </c>
      <c r="I23" s="20" t="str">
        <f>IF(B23="","",Exposures!$Q23&amp;"")</f>
        <v/>
      </c>
      <c r="J23" s="20" t="str">
        <f>IF(B23="","",Exposures!$W23&amp;"")</f>
        <v/>
      </c>
      <c r="K23" s="20">
        <f>IF(B23="",0,Exposures!$X23)</f>
        <v>0</v>
      </c>
      <c r="L23" s="20">
        <f>IF(B23="",0,Exposures!$Y23)</f>
        <v>0</v>
      </c>
      <c r="M23" s="20" t="str">
        <f>IF(B23="","",Exposures!$AB23)</f>
        <v/>
      </c>
      <c r="N23" s="20" t="str">
        <f>IF(B23="","",Exposures!$AC23)</f>
        <v/>
      </c>
      <c r="O23" s="27" t="str">
        <f>IF(B23="","",Exposures!$Z23)</f>
        <v/>
      </c>
      <c r="P23" s="27" t="str">
        <f>IF(B23="","",Exposures!$AA23)</f>
        <v/>
      </c>
      <c r="Q23" s="20" t="str">
        <f t="shared" si="3"/>
        <v/>
      </c>
      <c r="R23" s="20" t="str">
        <f>IF(A23="","",IF(J23&lt;&gt;"",J23,IF(H23="TIMESTAMP",DAY(INT(M23/1440))&amp;" "&amp;INDEX(nLIST_Months,MONTH(INT(M23/1440)))&amp;" "&amp;YEAR(INT(M23/1440))&amp;" "&amp;RIGHT("0"&amp;INT(MOD(M23,1440)/60),2)&amp;":"&amp;RIGHT("0"&amp;MOD(M23,60),2)&amp;IF(L23=1," (UTC"&amp;I23&amp;")"," (offset unknown)"),IF(H23="DATE",DAY(O23)&amp;" "&amp;INDEX(nLIST_Months,MONTH(O23))&amp;" "&amp;YEAR(O23),IF(H23="MONTH",INDEX(nLIST_Months,MONTH(O23))&amp;" "&amp;YEAR(O23)&amp;" ("&amp;DAY(O23)&amp;" "&amp;INDEX(nLIST_Months,MONTH(O23))&amp;" "&amp;YEAR(O23)&amp;" to "&amp;DAY(P23)&amp;" "&amp;INDEX(nLIST_Months,MONTH(P23))&amp;" "&amp;YEAR(P23)&amp;")",IF(H23="YEAR",YEAR(O23)&amp;" (1 January to 31 December)",DAY(O23)&amp;" "&amp;INDEX(nLIST_Months,MONTH(O23))&amp;" "&amp;YEAR(O23)&amp;" to "&amp;DAY(P23)&amp;" "&amp;INDEX(nLIST_Months,MONTH(P23))&amp;" "&amp;YEAR(P23)))))))</f>
        <v/>
      </c>
      <c r="S23" s="20" t="str">
        <f>IF(B23="","",Exposures!$M23&amp;"")</f>
        <v/>
      </c>
      <c r="T23" s="20" t="str">
        <f>IF(B23="","",Exposures!$V23&amp;"")</f>
        <v/>
      </c>
      <c r="U23" s="20" t="str">
        <f>IF(B23="","","Exposures row "&amp;ROW(Exposures!$A23)&amp;", Start")</f>
        <v/>
      </c>
      <c r="V23" s="20">
        <f>IF(A23="",0,COUNTIF(nTP_Key,A23))</f>
        <v>0</v>
      </c>
      <c r="W23" s="20">
        <f t="shared" si="4"/>
        <v>0</v>
      </c>
      <c r="X23" s="20">
        <f t="shared" si="5"/>
        <v>0</v>
      </c>
      <c r="Y23" s="20">
        <f t="shared" si="6"/>
        <v>0</v>
      </c>
      <c r="Z23" s="20">
        <f t="shared" si="7"/>
        <v>0</v>
      </c>
    </row>
    <row r="24" spans="1:26" x14ac:dyDescent="0.2">
      <c r="A24" s="20" t="str">
        <f t="shared" si="0"/>
        <v/>
      </c>
      <c r="B24" s="20" t="str">
        <f>IF(AND(Exposures!$D24&lt;&gt;"",COUNTA(Exposures!$N24:$U24)&gt;0),Exposures!$D24&amp;"/START","")</f>
        <v/>
      </c>
      <c r="C24" s="20" t="str">
        <f t="shared" si="1"/>
        <v/>
      </c>
      <c r="D24" s="20" t="str">
        <f>IF(B24="","",Exposures!$A24&amp;"")</f>
        <v/>
      </c>
      <c r="E24" s="20" t="str">
        <f>IF(B24="","",Exposures!$B24&amp;"")</f>
        <v/>
      </c>
      <c r="F24" s="20" t="str">
        <f t="shared" si="2"/>
        <v/>
      </c>
      <c r="G24" s="20" t="str">
        <f>IF(B24="","",Exposures!$D24&amp;"")</f>
        <v/>
      </c>
      <c r="H24" s="20" t="str">
        <f>IF(B24="","",Exposures!$N24&amp;"")</f>
        <v/>
      </c>
      <c r="I24" s="20" t="str">
        <f>IF(B24="","",Exposures!$Q24&amp;"")</f>
        <v/>
      </c>
      <c r="J24" s="20" t="str">
        <f>IF(B24="","",Exposures!$W24&amp;"")</f>
        <v/>
      </c>
      <c r="K24" s="20">
        <f>IF(B24="",0,Exposures!$X24)</f>
        <v>0</v>
      </c>
      <c r="L24" s="20">
        <f>IF(B24="",0,Exposures!$Y24)</f>
        <v>0</v>
      </c>
      <c r="M24" s="20" t="str">
        <f>IF(B24="","",Exposures!$AB24)</f>
        <v/>
      </c>
      <c r="N24" s="20" t="str">
        <f>IF(B24="","",Exposures!$AC24)</f>
        <v/>
      </c>
      <c r="O24" s="27" t="str">
        <f>IF(B24="","",Exposures!$Z24)</f>
        <v/>
      </c>
      <c r="P24" s="27" t="str">
        <f>IF(B24="","",Exposures!$AA24)</f>
        <v/>
      </c>
      <c r="Q24" s="20" t="str">
        <f t="shared" si="3"/>
        <v/>
      </c>
      <c r="R24" s="20" t="str">
        <f>IF(A24="","",IF(J24&lt;&gt;"",J24,IF(H24="TIMESTAMP",DAY(INT(M24/1440))&amp;" "&amp;INDEX(nLIST_Months,MONTH(INT(M24/1440)))&amp;" "&amp;YEAR(INT(M24/1440))&amp;" "&amp;RIGHT("0"&amp;INT(MOD(M24,1440)/60),2)&amp;":"&amp;RIGHT("0"&amp;MOD(M24,60),2)&amp;IF(L24=1," (UTC"&amp;I24&amp;")"," (offset unknown)"),IF(H24="DATE",DAY(O24)&amp;" "&amp;INDEX(nLIST_Months,MONTH(O24))&amp;" "&amp;YEAR(O24),IF(H24="MONTH",INDEX(nLIST_Months,MONTH(O24))&amp;" "&amp;YEAR(O24)&amp;" ("&amp;DAY(O24)&amp;" "&amp;INDEX(nLIST_Months,MONTH(O24))&amp;" "&amp;YEAR(O24)&amp;" to "&amp;DAY(P24)&amp;" "&amp;INDEX(nLIST_Months,MONTH(P24))&amp;" "&amp;YEAR(P24)&amp;")",IF(H24="YEAR",YEAR(O24)&amp;" (1 January to 31 December)",DAY(O24)&amp;" "&amp;INDEX(nLIST_Months,MONTH(O24))&amp;" "&amp;YEAR(O24)&amp;" to "&amp;DAY(P24)&amp;" "&amp;INDEX(nLIST_Months,MONTH(P24))&amp;" "&amp;YEAR(P24)))))))</f>
        <v/>
      </c>
      <c r="S24" s="20" t="str">
        <f>IF(B24="","",Exposures!$M24&amp;"")</f>
        <v/>
      </c>
      <c r="T24" s="20" t="str">
        <f>IF(B24="","",Exposures!$V24&amp;"")</f>
        <v/>
      </c>
      <c r="U24" s="20" t="str">
        <f>IF(B24="","","Exposures row "&amp;ROW(Exposures!$A24)&amp;", Start")</f>
        <v/>
      </c>
      <c r="V24" s="20">
        <f>IF(A24="",0,COUNTIF(nTP_Key,A24))</f>
        <v>0</v>
      </c>
      <c r="W24" s="20">
        <f t="shared" si="4"/>
        <v>0</v>
      </c>
      <c r="X24" s="20">
        <f t="shared" si="5"/>
        <v>0</v>
      </c>
      <c r="Y24" s="20">
        <f t="shared" si="6"/>
        <v>0</v>
      </c>
      <c r="Z24" s="20">
        <f t="shared" si="7"/>
        <v>0</v>
      </c>
    </row>
    <row r="25" spans="1:26" x14ac:dyDescent="0.2">
      <c r="A25" s="20" t="str">
        <f t="shared" si="0"/>
        <v/>
      </c>
      <c r="B25" s="20" t="str">
        <f>IF(AND(Exposures!$D25&lt;&gt;"",COUNTA(Exposures!$N25:$U25)&gt;0),Exposures!$D25&amp;"/START","")</f>
        <v/>
      </c>
      <c r="C25" s="20" t="str">
        <f t="shared" si="1"/>
        <v/>
      </c>
      <c r="D25" s="20" t="str">
        <f>IF(B25="","",Exposures!$A25&amp;"")</f>
        <v/>
      </c>
      <c r="E25" s="20" t="str">
        <f>IF(B25="","",Exposures!$B25&amp;"")</f>
        <v/>
      </c>
      <c r="F25" s="20" t="str">
        <f t="shared" si="2"/>
        <v/>
      </c>
      <c r="G25" s="20" t="str">
        <f>IF(B25="","",Exposures!$D25&amp;"")</f>
        <v/>
      </c>
      <c r="H25" s="20" t="str">
        <f>IF(B25="","",Exposures!$N25&amp;"")</f>
        <v/>
      </c>
      <c r="I25" s="20" t="str">
        <f>IF(B25="","",Exposures!$Q25&amp;"")</f>
        <v/>
      </c>
      <c r="J25" s="20" t="str">
        <f>IF(B25="","",Exposures!$W25&amp;"")</f>
        <v/>
      </c>
      <c r="K25" s="20">
        <f>IF(B25="",0,Exposures!$X25)</f>
        <v>0</v>
      </c>
      <c r="L25" s="20">
        <f>IF(B25="",0,Exposures!$Y25)</f>
        <v>0</v>
      </c>
      <c r="M25" s="20" t="str">
        <f>IF(B25="","",Exposures!$AB25)</f>
        <v/>
      </c>
      <c r="N25" s="20" t="str">
        <f>IF(B25="","",Exposures!$AC25)</f>
        <v/>
      </c>
      <c r="O25" s="27" t="str">
        <f>IF(B25="","",Exposures!$Z25)</f>
        <v/>
      </c>
      <c r="P25" s="27" t="str">
        <f>IF(B25="","",Exposures!$AA25)</f>
        <v/>
      </c>
      <c r="Q25" s="20" t="str">
        <f t="shared" si="3"/>
        <v/>
      </c>
      <c r="R25" s="20" t="str">
        <f>IF(A25="","",IF(J25&lt;&gt;"",J25,IF(H25="TIMESTAMP",DAY(INT(M25/1440))&amp;" "&amp;INDEX(nLIST_Months,MONTH(INT(M25/1440)))&amp;" "&amp;YEAR(INT(M25/1440))&amp;" "&amp;RIGHT("0"&amp;INT(MOD(M25,1440)/60),2)&amp;":"&amp;RIGHT("0"&amp;MOD(M25,60),2)&amp;IF(L25=1," (UTC"&amp;I25&amp;")"," (offset unknown)"),IF(H25="DATE",DAY(O25)&amp;" "&amp;INDEX(nLIST_Months,MONTH(O25))&amp;" "&amp;YEAR(O25),IF(H25="MONTH",INDEX(nLIST_Months,MONTH(O25))&amp;" "&amp;YEAR(O25)&amp;" ("&amp;DAY(O25)&amp;" "&amp;INDEX(nLIST_Months,MONTH(O25))&amp;" "&amp;YEAR(O25)&amp;" to "&amp;DAY(P25)&amp;" "&amp;INDEX(nLIST_Months,MONTH(P25))&amp;" "&amp;YEAR(P25)&amp;")",IF(H25="YEAR",YEAR(O25)&amp;" (1 January to 31 December)",DAY(O25)&amp;" "&amp;INDEX(nLIST_Months,MONTH(O25))&amp;" "&amp;YEAR(O25)&amp;" to "&amp;DAY(P25)&amp;" "&amp;INDEX(nLIST_Months,MONTH(P25))&amp;" "&amp;YEAR(P25)))))))</f>
        <v/>
      </c>
      <c r="S25" s="20" t="str">
        <f>IF(B25="","",Exposures!$M25&amp;"")</f>
        <v/>
      </c>
      <c r="T25" s="20" t="str">
        <f>IF(B25="","",Exposures!$V25&amp;"")</f>
        <v/>
      </c>
      <c r="U25" s="20" t="str">
        <f>IF(B25="","","Exposures row "&amp;ROW(Exposures!$A25)&amp;", Start")</f>
        <v/>
      </c>
      <c r="V25" s="20">
        <f>IF(A25="",0,COUNTIF(nTP_Key,A25))</f>
        <v>0</v>
      </c>
      <c r="W25" s="20">
        <f t="shared" si="4"/>
        <v>0</v>
      </c>
      <c r="X25" s="20">
        <f t="shared" si="5"/>
        <v>0</v>
      </c>
      <c r="Y25" s="20">
        <f t="shared" si="6"/>
        <v>0</v>
      </c>
      <c r="Z25" s="20">
        <f t="shared" si="7"/>
        <v>0</v>
      </c>
    </row>
    <row r="26" spans="1:26" x14ac:dyDescent="0.2">
      <c r="A26" s="20" t="str">
        <f t="shared" si="0"/>
        <v/>
      </c>
      <c r="B26" s="20" t="str">
        <f>IF(AND(Exposures!$D26&lt;&gt;"",COUNTA(Exposures!$N26:$U26)&gt;0),Exposures!$D26&amp;"/START","")</f>
        <v/>
      </c>
      <c r="C26" s="20" t="str">
        <f t="shared" si="1"/>
        <v/>
      </c>
      <c r="D26" s="20" t="str">
        <f>IF(B26="","",Exposures!$A26&amp;"")</f>
        <v/>
      </c>
      <c r="E26" s="20" t="str">
        <f>IF(B26="","",Exposures!$B26&amp;"")</f>
        <v/>
      </c>
      <c r="F26" s="20" t="str">
        <f t="shared" si="2"/>
        <v/>
      </c>
      <c r="G26" s="20" t="str">
        <f>IF(B26="","",Exposures!$D26&amp;"")</f>
        <v/>
      </c>
      <c r="H26" s="20" t="str">
        <f>IF(B26="","",Exposures!$N26&amp;"")</f>
        <v/>
      </c>
      <c r="I26" s="20" t="str">
        <f>IF(B26="","",Exposures!$Q26&amp;"")</f>
        <v/>
      </c>
      <c r="J26" s="20" t="str">
        <f>IF(B26="","",Exposures!$W26&amp;"")</f>
        <v/>
      </c>
      <c r="K26" s="20">
        <f>IF(B26="",0,Exposures!$X26)</f>
        <v>0</v>
      </c>
      <c r="L26" s="20">
        <f>IF(B26="",0,Exposures!$Y26)</f>
        <v>0</v>
      </c>
      <c r="M26" s="20" t="str">
        <f>IF(B26="","",Exposures!$AB26)</f>
        <v/>
      </c>
      <c r="N26" s="20" t="str">
        <f>IF(B26="","",Exposures!$AC26)</f>
        <v/>
      </c>
      <c r="O26" s="27" t="str">
        <f>IF(B26="","",Exposures!$Z26)</f>
        <v/>
      </c>
      <c r="P26" s="27" t="str">
        <f>IF(B26="","",Exposures!$AA26)</f>
        <v/>
      </c>
      <c r="Q26" s="20" t="str">
        <f t="shared" si="3"/>
        <v/>
      </c>
      <c r="R26" s="20" t="str">
        <f>IF(A26="","",IF(J26&lt;&gt;"",J26,IF(H26="TIMESTAMP",DAY(INT(M26/1440))&amp;" "&amp;INDEX(nLIST_Months,MONTH(INT(M26/1440)))&amp;" "&amp;YEAR(INT(M26/1440))&amp;" "&amp;RIGHT("0"&amp;INT(MOD(M26,1440)/60),2)&amp;":"&amp;RIGHT("0"&amp;MOD(M26,60),2)&amp;IF(L26=1," (UTC"&amp;I26&amp;")"," (offset unknown)"),IF(H26="DATE",DAY(O26)&amp;" "&amp;INDEX(nLIST_Months,MONTH(O26))&amp;" "&amp;YEAR(O26),IF(H26="MONTH",INDEX(nLIST_Months,MONTH(O26))&amp;" "&amp;YEAR(O26)&amp;" ("&amp;DAY(O26)&amp;" "&amp;INDEX(nLIST_Months,MONTH(O26))&amp;" "&amp;YEAR(O26)&amp;" to "&amp;DAY(P26)&amp;" "&amp;INDEX(nLIST_Months,MONTH(P26))&amp;" "&amp;YEAR(P26)&amp;")",IF(H26="YEAR",YEAR(O26)&amp;" (1 January to 31 December)",DAY(O26)&amp;" "&amp;INDEX(nLIST_Months,MONTH(O26))&amp;" "&amp;YEAR(O26)&amp;" to "&amp;DAY(P26)&amp;" "&amp;INDEX(nLIST_Months,MONTH(P26))&amp;" "&amp;YEAR(P26)))))))</f>
        <v/>
      </c>
      <c r="S26" s="20" t="str">
        <f>IF(B26="","",Exposures!$M26&amp;"")</f>
        <v/>
      </c>
      <c r="T26" s="20" t="str">
        <f>IF(B26="","",Exposures!$V26&amp;"")</f>
        <v/>
      </c>
      <c r="U26" s="20" t="str">
        <f>IF(B26="","","Exposures row "&amp;ROW(Exposures!$A26)&amp;", Start")</f>
        <v/>
      </c>
      <c r="V26" s="20">
        <f>IF(A26="",0,COUNTIF(nTP_Key,A26))</f>
        <v>0</v>
      </c>
      <c r="W26" s="20">
        <f t="shared" si="4"/>
        <v>0</v>
      </c>
      <c r="X26" s="20">
        <f t="shared" si="5"/>
        <v>0</v>
      </c>
      <c r="Y26" s="20">
        <f t="shared" si="6"/>
        <v>0</v>
      </c>
      <c r="Z26" s="20">
        <f t="shared" si="7"/>
        <v>0</v>
      </c>
    </row>
    <row r="27" spans="1:26" x14ac:dyDescent="0.2">
      <c r="A27" s="20" t="str">
        <f t="shared" si="0"/>
        <v/>
      </c>
      <c r="B27" s="20" t="str">
        <f>IF(AND(Exposures!$D27&lt;&gt;"",COUNTA(Exposures!$N27:$U27)&gt;0),Exposures!$D27&amp;"/START","")</f>
        <v/>
      </c>
      <c r="C27" s="20" t="str">
        <f t="shared" si="1"/>
        <v/>
      </c>
      <c r="D27" s="20" t="str">
        <f>IF(B27="","",Exposures!$A27&amp;"")</f>
        <v/>
      </c>
      <c r="E27" s="20" t="str">
        <f>IF(B27="","",Exposures!$B27&amp;"")</f>
        <v/>
      </c>
      <c r="F27" s="20" t="str">
        <f t="shared" si="2"/>
        <v/>
      </c>
      <c r="G27" s="20" t="str">
        <f>IF(B27="","",Exposures!$D27&amp;"")</f>
        <v/>
      </c>
      <c r="H27" s="20" t="str">
        <f>IF(B27="","",Exposures!$N27&amp;"")</f>
        <v/>
      </c>
      <c r="I27" s="20" t="str">
        <f>IF(B27="","",Exposures!$Q27&amp;"")</f>
        <v/>
      </c>
      <c r="J27" s="20" t="str">
        <f>IF(B27="","",Exposures!$W27&amp;"")</f>
        <v/>
      </c>
      <c r="K27" s="20">
        <f>IF(B27="",0,Exposures!$X27)</f>
        <v>0</v>
      </c>
      <c r="L27" s="20">
        <f>IF(B27="",0,Exposures!$Y27)</f>
        <v>0</v>
      </c>
      <c r="M27" s="20" t="str">
        <f>IF(B27="","",Exposures!$AB27)</f>
        <v/>
      </c>
      <c r="N27" s="20" t="str">
        <f>IF(B27="","",Exposures!$AC27)</f>
        <v/>
      </c>
      <c r="O27" s="27" t="str">
        <f>IF(B27="","",Exposures!$Z27)</f>
        <v/>
      </c>
      <c r="P27" s="27" t="str">
        <f>IF(B27="","",Exposures!$AA27)</f>
        <v/>
      </c>
      <c r="Q27" s="20" t="str">
        <f t="shared" si="3"/>
        <v/>
      </c>
      <c r="R27" s="20" t="str">
        <f>IF(A27="","",IF(J27&lt;&gt;"",J27,IF(H27="TIMESTAMP",DAY(INT(M27/1440))&amp;" "&amp;INDEX(nLIST_Months,MONTH(INT(M27/1440)))&amp;" "&amp;YEAR(INT(M27/1440))&amp;" "&amp;RIGHT("0"&amp;INT(MOD(M27,1440)/60),2)&amp;":"&amp;RIGHT("0"&amp;MOD(M27,60),2)&amp;IF(L27=1," (UTC"&amp;I27&amp;")"," (offset unknown)"),IF(H27="DATE",DAY(O27)&amp;" "&amp;INDEX(nLIST_Months,MONTH(O27))&amp;" "&amp;YEAR(O27),IF(H27="MONTH",INDEX(nLIST_Months,MONTH(O27))&amp;" "&amp;YEAR(O27)&amp;" ("&amp;DAY(O27)&amp;" "&amp;INDEX(nLIST_Months,MONTH(O27))&amp;" "&amp;YEAR(O27)&amp;" to "&amp;DAY(P27)&amp;" "&amp;INDEX(nLIST_Months,MONTH(P27))&amp;" "&amp;YEAR(P27)&amp;")",IF(H27="YEAR",YEAR(O27)&amp;" (1 January to 31 December)",DAY(O27)&amp;" "&amp;INDEX(nLIST_Months,MONTH(O27))&amp;" "&amp;YEAR(O27)&amp;" to "&amp;DAY(P27)&amp;" "&amp;INDEX(nLIST_Months,MONTH(P27))&amp;" "&amp;YEAR(P27)))))))</f>
        <v/>
      </c>
      <c r="S27" s="20" t="str">
        <f>IF(B27="","",Exposures!$M27&amp;"")</f>
        <v/>
      </c>
      <c r="T27" s="20" t="str">
        <f>IF(B27="","",Exposures!$V27&amp;"")</f>
        <v/>
      </c>
      <c r="U27" s="20" t="str">
        <f>IF(B27="","","Exposures row "&amp;ROW(Exposures!$A27)&amp;", Start")</f>
        <v/>
      </c>
      <c r="V27" s="20">
        <f>IF(A27="",0,COUNTIF(nTP_Key,A27))</f>
        <v>0</v>
      </c>
      <c r="W27" s="20">
        <f t="shared" si="4"/>
        <v>0</v>
      </c>
      <c r="X27" s="20">
        <f t="shared" si="5"/>
        <v>0</v>
      </c>
      <c r="Y27" s="20">
        <f t="shared" si="6"/>
        <v>0</v>
      </c>
      <c r="Z27" s="20">
        <f t="shared" si="7"/>
        <v>0</v>
      </c>
    </row>
    <row r="28" spans="1:26" x14ac:dyDescent="0.2">
      <c r="A28" s="20" t="str">
        <f t="shared" si="0"/>
        <v/>
      </c>
      <c r="B28" s="20" t="str">
        <f>IF(AND(Exposures!$D28&lt;&gt;"",COUNTA(Exposures!$N28:$U28)&gt;0),Exposures!$D28&amp;"/START","")</f>
        <v/>
      </c>
      <c r="C28" s="20" t="str">
        <f t="shared" si="1"/>
        <v/>
      </c>
      <c r="D28" s="20" t="str">
        <f>IF(B28="","",Exposures!$A28&amp;"")</f>
        <v/>
      </c>
      <c r="E28" s="20" t="str">
        <f>IF(B28="","",Exposures!$B28&amp;"")</f>
        <v/>
      </c>
      <c r="F28" s="20" t="str">
        <f t="shared" si="2"/>
        <v/>
      </c>
      <c r="G28" s="20" t="str">
        <f>IF(B28="","",Exposures!$D28&amp;"")</f>
        <v/>
      </c>
      <c r="H28" s="20" t="str">
        <f>IF(B28="","",Exposures!$N28&amp;"")</f>
        <v/>
      </c>
      <c r="I28" s="20" t="str">
        <f>IF(B28="","",Exposures!$Q28&amp;"")</f>
        <v/>
      </c>
      <c r="J28" s="20" t="str">
        <f>IF(B28="","",Exposures!$W28&amp;"")</f>
        <v/>
      </c>
      <c r="K28" s="20">
        <f>IF(B28="",0,Exposures!$X28)</f>
        <v>0</v>
      </c>
      <c r="L28" s="20">
        <f>IF(B28="",0,Exposures!$Y28)</f>
        <v>0</v>
      </c>
      <c r="M28" s="20" t="str">
        <f>IF(B28="","",Exposures!$AB28)</f>
        <v/>
      </c>
      <c r="N28" s="20" t="str">
        <f>IF(B28="","",Exposures!$AC28)</f>
        <v/>
      </c>
      <c r="O28" s="27" t="str">
        <f>IF(B28="","",Exposures!$Z28)</f>
        <v/>
      </c>
      <c r="P28" s="27" t="str">
        <f>IF(B28="","",Exposures!$AA28)</f>
        <v/>
      </c>
      <c r="Q28" s="20" t="str">
        <f t="shared" si="3"/>
        <v/>
      </c>
      <c r="R28" s="20" t="str">
        <f>IF(A28="","",IF(J28&lt;&gt;"",J28,IF(H28="TIMESTAMP",DAY(INT(M28/1440))&amp;" "&amp;INDEX(nLIST_Months,MONTH(INT(M28/1440)))&amp;" "&amp;YEAR(INT(M28/1440))&amp;" "&amp;RIGHT("0"&amp;INT(MOD(M28,1440)/60),2)&amp;":"&amp;RIGHT("0"&amp;MOD(M28,60),2)&amp;IF(L28=1," (UTC"&amp;I28&amp;")"," (offset unknown)"),IF(H28="DATE",DAY(O28)&amp;" "&amp;INDEX(nLIST_Months,MONTH(O28))&amp;" "&amp;YEAR(O28),IF(H28="MONTH",INDEX(nLIST_Months,MONTH(O28))&amp;" "&amp;YEAR(O28)&amp;" ("&amp;DAY(O28)&amp;" "&amp;INDEX(nLIST_Months,MONTH(O28))&amp;" "&amp;YEAR(O28)&amp;" to "&amp;DAY(P28)&amp;" "&amp;INDEX(nLIST_Months,MONTH(P28))&amp;" "&amp;YEAR(P28)&amp;")",IF(H28="YEAR",YEAR(O28)&amp;" (1 January to 31 December)",DAY(O28)&amp;" "&amp;INDEX(nLIST_Months,MONTH(O28))&amp;" "&amp;YEAR(O28)&amp;" to "&amp;DAY(P28)&amp;" "&amp;INDEX(nLIST_Months,MONTH(P28))&amp;" "&amp;YEAR(P28)))))))</f>
        <v/>
      </c>
      <c r="S28" s="20" t="str">
        <f>IF(B28="","",Exposures!$M28&amp;"")</f>
        <v/>
      </c>
      <c r="T28" s="20" t="str">
        <f>IF(B28="","",Exposures!$V28&amp;"")</f>
        <v/>
      </c>
      <c r="U28" s="20" t="str">
        <f>IF(B28="","","Exposures row "&amp;ROW(Exposures!$A28)&amp;", Start")</f>
        <v/>
      </c>
      <c r="V28" s="20">
        <f>IF(A28="",0,COUNTIF(nTP_Key,A28))</f>
        <v>0</v>
      </c>
      <c r="W28" s="20">
        <f t="shared" si="4"/>
        <v>0</v>
      </c>
      <c r="X28" s="20">
        <f t="shared" si="5"/>
        <v>0</v>
      </c>
      <c r="Y28" s="20">
        <f t="shared" si="6"/>
        <v>0</v>
      </c>
      <c r="Z28" s="20">
        <f t="shared" si="7"/>
        <v>0</v>
      </c>
    </row>
    <row r="29" spans="1:26" x14ac:dyDescent="0.2">
      <c r="A29" s="20" t="str">
        <f t="shared" si="0"/>
        <v/>
      </c>
      <c r="B29" s="20" t="str">
        <f>IF(AND(Exposures!$D29&lt;&gt;"",COUNTA(Exposures!$N29:$U29)&gt;0),Exposures!$D29&amp;"/START","")</f>
        <v/>
      </c>
      <c r="C29" s="20" t="str">
        <f t="shared" si="1"/>
        <v/>
      </c>
      <c r="D29" s="20" t="str">
        <f>IF(B29="","",Exposures!$A29&amp;"")</f>
        <v/>
      </c>
      <c r="E29" s="20" t="str">
        <f>IF(B29="","",Exposures!$B29&amp;"")</f>
        <v/>
      </c>
      <c r="F29" s="20" t="str">
        <f t="shared" si="2"/>
        <v/>
      </c>
      <c r="G29" s="20" t="str">
        <f>IF(B29="","",Exposures!$D29&amp;"")</f>
        <v/>
      </c>
      <c r="H29" s="20" t="str">
        <f>IF(B29="","",Exposures!$N29&amp;"")</f>
        <v/>
      </c>
      <c r="I29" s="20" t="str">
        <f>IF(B29="","",Exposures!$Q29&amp;"")</f>
        <v/>
      </c>
      <c r="J29" s="20" t="str">
        <f>IF(B29="","",Exposures!$W29&amp;"")</f>
        <v/>
      </c>
      <c r="K29" s="20">
        <f>IF(B29="",0,Exposures!$X29)</f>
        <v>0</v>
      </c>
      <c r="L29" s="20">
        <f>IF(B29="",0,Exposures!$Y29)</f>
        <v>0</v>
      </c>
      <c r="M29" s="20" t="str">
        <f>IF(B29="","",Exposures!$AB29)</f>
        <v/>
      </c>
      <c r="N29" s="20" t="str">
        <f>IF(B29="","",Exposures!$AC29)</f>
        <v/>
      </c>
      <c r="O29" s="27" t="str">
        <f>IF(B29="","",Exposures!$Z29)</f>
        <v/>
      </c>
      <c r="P29" s="27" t="str">
        <f>IF(B29="","",Exposures!$AA29)</f>
        <v/>
      </c>
      <c r="Q29" s="20" t="str">
        <f t="shared" si="3"/>
        <v/>
      </c>
      <c r="R29" s="20" t="str">
        <f>IF(A29="","",IF(J29&lt;&gt;"",J29,IF(H29="TIMESTAMP",DAY(INT(M29/1440))&amp;" "&amp;INDEX(nLIST_Months,MONTH(INT(M29/1440)))&amp;" "&amp;YEAR(INT(M29/1440))&amp;" "&amp;RIGHT("0"&amp;INT(MOD(M29,1440)/60),2)&amp;":"&amp;RIGHT("0"&amp;MOD(M29,60),2)&amp;IF(L29=1," (UTC"&amp;I29&amp;")"," (offset unknown)"),IF(H29="DATE",DAY(O29)&amp;" "&amp;INDEX(nLIST_Months,MONTH(O29))&amp;" "&amp;YEAR(O29),IF(H29="MONTH",INDEX(nLIST_Months,MONTH(O29))&amp;" "&amp;YEAR(O29)&amp;" ("&amp;DAY(O29)&amp;" "&amp;INDEX(nLIST_Months,MONTH(O29))&amp;" "&amp;YEAR(O29)&amp;" to "&amp;DAY(P29)&amp;" "&amp;INDEX(nLIST_Months,MONTH(P29))&amp;" "&amp;YEAR(P29)&amp;")",IF(H29="YEAR",YEAR(O29)&amp;" (1 January to 31 December)",DAY(O29)&amp;" "&amp;INDEX(nLIST_Months,MONTH(O29))&amp;" "&amp;YEAR(O29)&amp;" to "&amp;DAY(P29)&amp;" "&amp;INDEX(nLIST_Months,MONTH(P29))&amp;" "&amp;YEAR(P29)))))))</f>
        <v/>
      </c>
      <c r="S29" s="20" t="str">
        <f>IF(B29="","",Exposures!$M29&amp;"")</f>
        <v/>
      </c>
      <c r="T29" s="20" t="str">
        <f>IF(B29="","",Exposures!$V29&amp;"")</f>
        <v/>
      </c>
      <c r="U29" s="20" t="str">
        <f>IF(B29="","","Exposures row "&amp;ROW(Exposures!$A29)&amp;", Start")</f>
        <v/>
      </c>
      <c r="V29" s="20">
        <f>IF(A29="",0,COUNTIF(nTP_Key,A29))</f>
        <v>0</v>
      </c>
      <c r="W29" s="20">
        <f t="shared" si="4"/>
        <v>0</v>
      </c>
      <c r="X29" s="20">
        <f t="shared" si="5"/>
        <v>0</v>
      </c>
      <c r="Y29" s="20">
        <f t="shared" si="6"/>
        <v>0</v>
      </c>
      <c r="Z29" s="20">
        <f t="shared" si="7"/>
        <v>0</v>
      </c>
    </row>
    <row r="30" spans="1:26" x14ac:dyDescent="0.2">
      <c r="A30" s="20" t="str">
        <f t="shared" si="0"/>
        <v/>
      </c>
      <c r="B30" s="20" t="str">
        <f>IF(AND(Exposures!$D30&lt;&gt;"",COUNTA(Exposures!$N30:$U30)&gt;0),Exposures!$D30&amp;"/START","")</f>
        <v/>
      </c>
      <c r="C30" s="20" t="str">
        <f t="shared" si="1"/>
        <v/>
      </c>
      <c r="D30" s="20" t="str">
        <f>IF(B30="","",Exposures!$A30&amp;"")</f>
        <v/>
      </c>
      <c r="E30" s="20" t="str">
        <f>IF(B30="","",Exposures!$B30&amp;"")</f>
        <v/>
      </c>
      <c r="F30" s="20" t="str">
        <f t="shared" si="2"/>
        <v/>
      </c>
      <c r="G30" s="20" t="str">
        <f>IF(B30="","",Exposures!$D30&amp;"")</f>
        <v/>
      </c>
      <c r="H30" s="20" t="str">
        <f>IF(B30="","",Exposures!$N30&amp;"")</f>
        <v/>
      </c>
      <c r="I30" s="20" t="str">
        <f>IF(B30="","",Exposures!$Q30&amp;"")</f>
        <v/>
      </c>
      <c r="J30" s="20" t="str">
        <f>IF(B30="","",Exposures!$W30&amp;"")</f>
        <v/>
      </c>
      <c r="K30" s="20">
        <f>IF(B30="",0,Exposures!$X30)</f>
        <v>0</v>
      </c>
      <c r="L30" s="20">
        <f>IF(B30="",0,Exposures!$Y30)</f>
        <v>0</v>
      </c>
      <c r="M30" s="20" t="str">
        <f>IF(B30="","",Exposures!$AB30)</f>
        <v/>
      </c>
      <c r="N30" s="20" t="str">
        <f>IF(B30="","",Exposures!$AC30)</f>
        <v/>
      </c>
      <c r="O30" s="27" t="str">
        <f>IF(B30="","",Exposures!$Z30)</f>
        <v/>
      </c>
      <c r="P30" s="27" t="str">
        <f>IF(B30="","",Exposures!$AA30)</f>
        <v/>
      </c>
      <c r="Q30" s="20" t="str">
        <f t="shared" si="3"/>
        <v/>
      </c>
      <c r="R30" s="20" t="str">
        <f>IF(A30="","",IF(J30&lt;&gt;"",J30,IF(H30="TIMESTAMP",DAY(INT(M30/1440))&amp;" "&amp;INDEX(nLIST_Months,MONTH(INT(M30/1440)))&amp;" "&amp;YEAR(INT(M30/1440))&amp;" "&amp;RIGHT("0"&amp;INT(MOD(M30,1440)/60),2)&amp;":"&amp;RIGHT("0"&amp;MOD(M30,60),2)&amp;IF(L30=1," (UTC"&amp;I30&amp;")"," (offset unknown)"),IF(H30="DATE",DAY(O30)&amp;" "&amp;INDEX(nLIST_Months,MONTH(O30))&amp;" "&amp;YEAR(O30),IF(H30="MONTH",INDEX(nLIST_Months,MONTH(O30))&amp;" "&amp;YEAR(O30)&amp;" ("&amp;DAY(O30)&amp;" "&amp;INDEX(nLIST_Months,MONTH(O30))&amp;" "&amp;YEAR(O30)&amp;" to "&amp;DAY(P30)&amp;" "&amp;INDEX(nLIST_Months,MONTH(P30))&amp;" "&amp;YEAR(P30)&amp;")",IF(H30="YEAR",YEAR(O30)&amp;" (1 January to 31 December)",DAY(O30)&amp;" "&amp;INDEX(nLIST_Months,MONTH(O30))&amp;" "&amp;YEAR(O30)&amp;" to "&amp;DAY(P30)&amp;" "&amp;INDEX(nLIST_Months,MONTH(P30))&amp;" "&amp;YEAR(P30)))))))</f>
        <v/>
      </c>
      <c r="S30" s="20" t="str">
        <f>IF(B30="","",Exposures!$M30&amp;"")</f>
        <v/>
      </c>
      <c r="T30" s="20" t="str">
        <f>IF(B30="","",Exposures!$V30&amp;"")</f>
        <v/>
      </c>
      <c r="U30" s="20" t="str">
        <f>IF(B30="","","Exposures row "&amp;ROW(Exposures!$A30)&amp;", Start")</f>
        <v/>
      </c>
      <c r="V30" s="20">
        <f>IF(A30="",0,COUNTIF(nTP_Key,A30))</f>
        <v>0</v>
      </c>
      <c r="W30" s="20">
        <f t="shared" si="4"/>
        <v>0</v>
      </c>
      <c r="X30" s="20">
        <f t="shared" si="5"/>
        <v>0</v>
      </c>
      <c r="Y30" s="20">
        <f t="shared" si="6"/>
        <v>0</v>
      </c>
      <c r="Z30" s="20">
        <f t="shared" si="7"/>
        <v>0</v>
      </c>
    </row>
    <row r="31" spans="1:26" x14ac:dyDescent="0.2">
      <c r="A31" s="20" t="str">
        <f t="shared" si="0"/>
        <v/>
      </c>
      <c r="B31" s="20" t="str">
        <f>IF(AND(Exposures!$D31&lt;&gt;"",COUNTA(Exposures!$N31:$U31)&gt;0),Exposures!$D31&amp;"/START","")</f>
        <v/>
      </c>
      <c r="C31" s="20" t="str">
        <f t="shared" si="1"/>
        <v/>
      </c>
      <c r="D31" s="20" t="str">
        <f>IF(B31="","",Exposures!$A31&amp;"")</f>
        <v/>
      </c>
      <c r="E31" s="20" t="str">
        <f>IF(B31="","",Exposures!$B31&amp;"")</f>
        <v/>
      </c>
      <c r="F31" s="20" t="str">
        <f t="shared" si="2"/>
        <v/>
      </c>
      <c r="G31" s="20" t="str">
        <f>IF(B31="","",Exposures!$D31&amp;"")</f>
        <v/>
      </c>
      <c r="H31" s="20" t="str">
        <f>IF(B31="","",Exposures!$N31&amp;"")</f>
        <v/>
      </c>
      <c r="I31" s="20" t="str">
        <f>IF(B31="","",Exposures!$Q31&amp;"")</f>
        <v/>
      </c>
      <c r="J31" s="20" t="str">
        <f>IF(B31="","",Exposures!$W31&amp;"")</f>
        <v/>
      </c>
      <c r="K31" s="20">
        <f>IF(B31="",0,Exposures!$X31)</f>
        <v>0</v>
      </c>
      <c r="L31" s="20">
        <f>IF(B31="",0,Exposures!$Y31)</f>
        <v>0</v>
      </c>
      <c r="M31" s="20" t="str">
        <f>IF(B31="","",Exposures!$AB31)</f>
        <v/>
      </c>
      <c r="N31" s="20" t="str">
        <f>IF(B31="","",Exposures!$AC31)</f>
        <v/>
      </c>
      <c r="O31" s="27" t="str">
        <f>IF(B31="","",Exposures!$Z31)</f>
        <v/>
      </c>
      <c r="P31" s="27" t="str">
        <f>IF(B31="","",Exposures!$AA31)</f>
        <v/>
      </c>
      <c r="Q31" s="20" t="str">
        <f t="shared" si="3"/>
        <v/>
      </c>
      <c r="R31" s="20" t="str">
        <f>IF(A31="","",IF(J31&lt;&gt;"",J31,IF(H31="TIMESTAMP",DAY(INT(M31/1440))&amp;" "&amp;INDEX(nLIST_Months,MONTH(INT(M31/1440)))&amp;" "&amp;YEAR(INT(M31/1440))&amp;" "&amp;RIGHT("0"&amp;INT(MOD(M31,1440)/60),2)&amp;":"&amp;RIGHT("0"&amp;MOD(M31,60),2)&amp;IF(L31=1," (UTC"&amp;I31&amp;")"," (offset unknown)"),IF(H31="DATE",DAY(O31)&amp;" "&amp;INDEX(nLIST_Months,MONTH(O31))&amp;" "&amp;YEAR(O31),IF(H31="MONTH",INDEX(nLIST_Months,MONTH(O31))&amp;" "&amp;YEAR(O31)&amp;" ("&amp;DAY(O31)&amp;" "&amp;INDEX(nLIST_Months,MONTH(O31))&amp;" "&amp;YEAR(O31)&amp;" to "&amp;DAY(P31)&amp;" "&amp;INDEX(nLIST_Months,MONTH(P31))&amp;" "&amp;YEAR(P31)&amp;")",IF(H31="YEAR",YEAR(O31)&amp;" (1 January to 31 December)",DAY(O31)&amp;" "&amp;INDEX(nLIST_Months,MONTH(O31))&amp;" "&amp;YEAR(O31)&amp;" to "&amp;DAY(P31)&amp;" "&amp;INDEX(nLIST_Months,MONTH(P31))&amp;" "&amp;YEAR(P31)))))))</f>
        <v/>
      </c>
      <c r="S31" s="20" t="str">
        <f>IF(B31="","",Exposures!$M31&amp;"")</f>
        <v/>
      </c>
      <c r="T31" s="20" t="str">
        <f>IF(B31="","",Exposures!$V31&amp;"")</f>
        <v/>
      </c>
      <c r="U31" s="20" t="str">
        <f>IF(B31="","","Exposures row "&amp;ROW(Exposures!$A31)&amp;", Start")</f>
        <v/>
      </c>
      <c r="V31" s="20">
        <f>IF(A31="",0,COUNTIF(nTP_Key,A31))</f>
        <v>0</v>
      </c>
      <c r="W31" s="20">
        <f t="shared" si="4"/>
        <v>0</v>
      </c>
      <c r="X31" s="20">
        <f t="shared" si="5"/>
        <v>0</v>
      </c>
      <c r="Y31" s="20">
        <f t="shared" si="6"/>
        <v>0</v>
      </c>
      <c r="Z31" s="20">
        <f t="shared" si="7"/>
        <v>0</v>
      </c>
    </row>
    <row r="32" spans="1:26" x14ac:dyDescent="0.2">
      <c r="A32" s="20" t="str">
        <f t="shared" si="0"/>
        <v/>
      </c>
      <c r="B32" s="20" t="str">
        <f>IF(AND(Exposures!$D32&lt;&gt;"",COUNTA(Exposures!$N32:$U32)&gt;0),Exposures!$D32&amp;"/START","")</f>
        <v/>
      </c>
      <c r="C32" s="20" t="str">
        <f t="shared" si="1"/>
        <v/>
      </c>
      <c r="D32" s="20" t="str">
        <f>IF(B32="","",Exposures!$A32&amp;"")</f>
        <v/>
      </c>
      <c r="E32" s="20" t="str">
        <f>IF(B32="","",Exposures!$B32&amp;"")</f>
        <v/>
      </c>
      <c r="F32" s="20" t="str">
        <f t="shared" si="2"/>
        <v/>
      </c>
      <c r="G32" s="20" t="str">
        <f>IF(B32="","",Exposures!$D32&amp;"")</f>
        <v/>
      </c>
      <c r="H32" s="20" t="str">
        <f>IF(B32="","",Exposures!$N32&amp;"")</f>
        <v/>
      </c>
      <c r="I32" s="20" t="str">
        <f>IF(B32="","",Exposures!$Q32&amp;"")</f>
        <v/>
      </c>
      <c r="J32" s="20" t="str">
        <f>IF(B32="","",Exposures!$W32&amp;"")</f>
        <v/>
      </c>
      <c r="K32" s="20">
        <f>IF(B32="",0,Exposures!$X32)</f>
        <v>0</v>
      </c>
      <c r="L32" s="20">
        <f>IF(B32="",0,Exposures!$Y32)</f>
        <v>0</v>
      </c>
      <c r="M32" s="20" t="str">
        <f>IF(B32="","",Exposures!$AB32)</f>
        <v/>
      </c>
      <c r="N32" s="20" t="str">
        <f>IF(B32="","",Exposures!$AC32)</f>
        <v/>
      </c>
      <c r="O32" s="27" t="str">
        <f>IF(B32="","",Exposures!$Z32)</f>
        <v/>
      </c>
      <c r="P32" s="27" t="str">
        <f>IF(B32="","",Exposures!$AA32)</f>
        <v/>
      </c>
      <c r="Q32" s="20" t="str">
        <f t="shared" si="3"/>
        <v/>
      </c>
      <c r="R32" s="20" t="str">
        <f>IF(A32="","",IF(J32&lt;&gt;"",J32,IF(H32="TIMESTAMP",DAY(INT(M32/1440))&amp;" "&amp;INDEX(nLIST_Months,MONTH(INT(M32/1440)))&amp;" "&amp;YEAR(INT(M32/1440))&amp;" "&amp;RIGHT("0"&amp;INT(MOD(M32,1440)/60),2)&amp;":"&amp;RIGHT("0"&amp;MOD(M32,60),2)&amp;IF(L32=1," (UTC"&amp;I32&amp;")"," (offset unknown)"),IF(H32="DATE",DAY(O32)&amp;" "&amp;INDEX(nLIST_Months,MONTH(O32))&amp;" "&amp;YEAR(O32),IF(H32="MONTH",INDEX(nLIST_Months,MONTH(O32))&amp;" "&amp;YEAR(O32)&amp;" ("&amp;DAY(O32)&amp;" "&amp;INDEX(nLIST_Months,MONTH(O32))&amp;" "&amp;YEAR(O32)&amp;" to "&amp;DAY(P32)&amp;" "&amp;INDEX(nLIST_Months,MONTH(P32))&amp;" "&amp;YEAR(P32)&amp;")",IF(H32="YEAR",YEAR(O32)&amp;" (1 January to 31 December)",DAY(O32)&amp;" "&amp;INDEX(nLIST_Months,MONTH(O32))&amp;" "&amp;YEAR(O32)&amp;" to "&amp;DAY(P32)&amp;" "&amp;INDEX(nLIST_Months,MONTH(P32))&amp;" "&amp;YEAR(P32)))))))</f>
        <v/>
      </c>
      <c r="S32" s="20" t="str">
        <f>IF(B32="","",Exposures!$M32&amp;"")</f>
        <v/>
      </c>
      <c r="T32" s="20" t="str">
        <f>IF(B32="","",Exposures!$V32&amp;"")</f>
        <v/>
      </c>
      <c r="U32" s="20" t="str">
        <f>IF(B32="","","Exposures row "&amp;ROW(Exposures!$A32)&amp;", Start")</f>
        <v/>
      </c>
      <c r="V32" s="20">
        <f>IF(A32="",0,COUNTIF(nTP_Key,A32))</f>
        <v>0</v>
      </c>
      <c r="W32" s="20">
        <f t="shared" si="4"/>
        <v>0</v>
      </c>
      <c r="X32" s="20">
        <f t="shared" si="5"/>
        <v>0</v>
      </c>
      <c r="Y32" s="20">
        <f t="shared" si="6"/>
        <v>0</v>
      </c>
      <c r="Z32" s="20">
        <f t="shared" si="7"/>
        <v>0</v>
      </c>
    </row>
    <row r="33" spans="1:26" x14ac:dyDescent="0.2">
      <c r="A33" s="20" t="str">
        <f t="shared" si="0"/>
        <v/>
      </c>
      <c r="B33" s="20" t="str">
        <f>IF(AND(Exposures!$D33&lt;&gt;"",COUNTA(Exposures!$N33:$U33)&gt;0),Exposures!$D33&amp;"/START","")</f>
        <v/>
      </c>
      <c r="C33" s="20" t="str">
        <f t="shared" si="1"/>
        <v/>
      </c>
      <c r="D33" s="20" t="str">
        <f>IF(B33="","",Exposures!$A33&amp;"")</f>
        <v/>
      </c>
      <c r="E33" s="20" t="str">
        <f>IF(B33="","",Exposures!$B33&amp;"")</f>
        <v/>
      </c>
      <c r="F33" s="20" t="str">
        <f t="shared" si="2"/>
        <v/>
      </c>
      <c r="G33" s="20" t="str">
        <f>IF(B33="","",Exposures!$D33&amp;"")</f>
        <v/>
      </c>
      <c r="H33" s="20" t="str">
        <f>IF(B33="","",Exposures!$N33&amp;"")</f>
        <v/>
      </c>
      <c r="I33" s="20" t="str">
        <f>IF(B33="","",Exposures!$Q33&amp;"")</f>
        <v/>
      </c>
      <c r="J33" s="20" t="str">
        <f>IF(B33="","",Exposures!$W33&amp;"")</f>
        <v/>
      </c>
      <c r="K33" s="20">
        <f>IF(B33="",0,Exposures!$X33)</f>
        <v>0</v>
      </c>
      <c r="L33" s="20">
        <f>IF(B33="",0,Exposures!$Y33)</f>
        <v>0</v>
      </c>
      <c r="M33" s="20" t="str">
        <f>IF(B33="","",Exposures!$AB33)</f>
        <v/>
      </c>
      <c r="N33" s="20" t="str">
        <f>IF(B33="","",Exposures!$AC33)</f>
        <v/>
      </c>
      <c r="O33" s="27" t="str">
        <f>IF(B33="","",Exposures!$Z33)</f>
        <v/>
      </c>
      <c r="P33" s="27" t="str">
        <f>IF(B33="","",Exposures!$AA33)</f>
        <v/>
      </c>
      <c r="Q33" s="20" t="str">
        <f t="shared" si="3"/>
        <v/>
      </c>
      <c r="R33" s="20" t="str">
        <f>IF(A33="","",IF(J33&lt;&gt;"",J33,IF(H33="TIMESTAMP",DAY(INT(M33/1440))&amp;" "&amp;INDEX(nLIST_Months,MONTH(INT(M33/1440)))&amp;" "&amp;YEAR(INT(M33/1440))&amp;" "&amp;RIGHT("0"&amp;INT(MOD(M33,1440)/60),2)&amp;":"&amp;RIGHT("0"&amp;MOD(M33,60),2)&amp;IF(L33=1," (UTC"&amp;I33&amp;")"," (offset unknown)"),IF(H33="DATE",DAY(O33)&amp;" "&amp;INDEX(nLIST_Months,MONTH(O33))&amp;" "&amp;YEAR(O33),IF(H33="MONTH",INDEX(nLIST_Months,MONTH(O33))&amp;" "&amp;YEAR(O33)&amp;" ("&amp;DAY(O33)&amp;" "&amp;INDEX(nLIST_Months,MONTH(O33))&amp;" "&amp;YEAR(O33)&amp;" to "&amp;DAY(P33)&amp;" "&amp;INDEX(nLIST_Months,MONTH(P33))&amp;" "&amp;YEAR(P33)&amp;")",IF(H33="YEAR",YEAR(O33)&amp;" (1 January to 31 December)",DAY(O33)&amp;" "&amp;INDEX(nLIST_Months,MONTH(O33))&amp;" "&amp;YEAR(O33)&amp;" to "&amp;DAY(P33)&amp;" "&amp;INDEX(nLIST_Months,MONTH(P33))&amp;" "&amp;YEAR(P33)))))))</f>
        <v/>
      </c>
      <c r="S33" s="20" t="str">
        <f>IF(B33="","",Exposures!$M33&amp;"")</f>
        <v/>
      </c>
      <c r="T33" s="20" t="str">
        <f>IF(B33="","",Exposures!$V33&amp;"")</f>
        <v/>
      </c>
      <c r="U33" s="20" t="str">
        <f>IF(B33="","","Exposures row "&amp;ROW(Exposures!$A33)&amp;", Start")</f>
        <v/>
      </c>
      <c r="V33" s="20">
        <f>IF(A33="",0,COUNTIF(nTP_Key,A33))</f>
        <v>0</v>
      </c>
      <c r="W33" s="20">
        <f t="shared" si="4"/>
        <v>0</v>
      </c>
      <c r="X33" s="20">
        <f t="shared" si="5"/>
        <v>0</v>
      </c>
      <c r="Y33" s="20">
        <f t="shared" si="6"/>
        <v>0</v>
      </c>
      <c r="Z33" s="20">
        <f t="shared" si="7"/>
        <v>0</v>
      </c>
    </row>
    <row r="34" spans="1:26" x14ac:dyDescent="0.2">
      <c r="A34" s="20" t="str">
        <f t="shared" si="0"/>
        <v/>
      </c>
      <c r="B34" s="20" t="str">
        <f>IF(AND(Exposures!$D34&lt;&gt;"",COUNTA(Exposures!$N34:$U34)&gt;0),Exposures!$D34&amp;"/START","")</f>
        <v/>
      </c>
      <c r="C34" s="20" t="str">
        <f t="shared" si="1"/>
        <v/>
      </c>
      <c r="D34" s="20" t="str">
        <f>IF(B34="","",Exposures!$A34&amp;"")</f>
        <v/>
      </c>
      <c r="E34" s="20" t="str">
        <f>IF(B34="","",Exposures!$B34&amp;"")</f>
        <v/>
      </c>
      <c r="F34" s="20" t="str">
        <f t="shared" si="2"/>
        <v/>
      </c>
      <c r="G34" s="20" t="str">
        <f>IF(B34="","",Exposures!$D34&amp;"")</f>
        <v/>
      </c>
      <c r="H34" s="20" t="str">
        <f>IF(B34="","",Exposures!$N34&amp;"")</f>
        <v/>
      </c>
      <c r="I34" s="20" t="str">
        <f>IF(B34="","",Exposures!$Q34&amp;"")</f>
        <v/>
      </c>
      <c r="J34" s="20" t="str">
        <f>IF(B34="","",Exposures!$W34&amp;"")</f>
        <v/>
      </c>
      <c r="K34" s="20">
        <f>IF(B34="",0,Exposures!$X34)</f>
        <v>0</v>
      </c>
      <c r="L34" s="20">
        <f>IF(B34="",0,Exposures!$Y34)</f>
        <v>0</v>
      </c>
      <c r="M34" s="20" t="str">
        <f>IF(B34="","",Exposures!$AB34)</f>
        <v/>
      </c>
      <c r="N34" s="20" t="str">
        <f>IF(B34="","",Exposures!$AC34)</f>
        <v/>
      </c>
      <c r="O34" s="27" t="str">
        <f>IF(B34="","",Exposures!$Z34)</f>
        <v/>
      </c>
      <c r="P34" s="27" t="str">
        <f>IF(B34="","",Exposures!$AA34)</f>
        <v/>
      </c>
      <c r="Q34" s="20" t="str">
        <f t="shared" si="3"/>
        <v/>
      </c>
      <c r="R34" s="20" t="str">
        <f>IF(A34="","",IF(J34&lt;&gt;"",J34,IF(H34="TIMESTAMP",DAY(INT(M34/1440))&amp;" "&amp;INDEX(nLIST_Months,MONTH(INT(M34/1440)))&amp;" "&amp;YEAR(INT(M34/1440))&amp;" "&amp;RIGHT("0"&amp;INT(MOD(M34,1440)/60),2)&amp;":"&amp;RIGHT("0"&amp;MOD(M34,60),2)&amp;IF(L34=1," (UTC"&amp;I34&amp;")"," (offset unknown)"),IF(H34="DATE",DAY(O34)&amp;" "&amp;INDEX(nLIST_Months,MONTH(O34))&amp;" "&amp;YEAR(O34),IF(H34="MONTH",INDEX(nLIST_Months,MONTH(O34))&amp;" "&amp;YEAR(O34)&amp;" ("&amp;DAY(O34)&amp;" "&amp;INDEX(nLIST_Months,MONTH(O34))&amp;" "&amp;YEAR(O34)&amp;" to "&amp;DAY(P34)&amp;" "&amp;INDEX(nLIST_Months,MONTH(P34))&amp;" "&amp;YEAR(P34)&amp;")",IF(H34="YEAR",YEAR(O34)&amp;" (1 January to 31 December)",DAY(O34)&amp;" "&amp;INDEX(nLIST_Months,MONTH(O34))&amp;" "&amp;YEAR(O34)&amp;" to "&amp;DAY(P34)&amp;" "&amp;INDEX(nLIST_Months,MONTH(P34))&amp;" "&amp;YEAR(P34)))))))</f>
        <v/>
      </c>
      <c r="S34" s="20" t="str">
        <f>IF(B34="","",Exposures!$M34&amp;"")</f>
        <v/>
      </c>
      <c r="T34" s="20" t="str">
        <f>IF(B34="","",Exposures!$V34&amp;"")</f>
        <v/>
      </c>
      <c r="U34" s="20" t="str">
        <f>IF(B34="","","Exposures row "&amp;ROW(Exposures!$A34)&amp;", Start")</f>
        <v/>
      </c>
      <c r="V34" s="20">
        <f>IF(A34="",0,COUNTIF(nTP_Key,A34))</f>
        <v>0</v>
      </c>
      <c r="W34" s="20">
        <f t="shared" si="4"/>
        <v>0</v>
      </c>
      <c r="X34" s="20">
        <f t="shared" si="5"/>
        <v>0</v>
      </c>
      <c r="Y34" s="20">
        <f t="shared" si="6"/>
        <v>0</v>
      </c>
      <c r="Z34" s="20">
        <f t="shared" si="7"/>
        <v>0</v>
      </c>
    </row>
    <row r="35" spans="1:26" x14ac:dyDescent="0.2">
      <c r="A35" s="20" t="str">
        <f t="shared" si="0"/>
        <v/>
      </c>
      <c r="B35" s="20" t="str">
        <f>IF(AND(Exposures!$D35&lt;&gt;"",COUNTA(Exposures!$N35:$U35)&gt;0),Exposures!$D35&amp;"/START","")</f>
        <v/>
      </c>
      <c r="C35" s="20" t="str">
        <f t="shared" si="1"/>
        <v/>
      </c>
      <c r="D35" s="20" t="str">
        <f>IF(B35="","",Exposures!$A35&amp;"")</f>
        <v/>
      </c>
      <c r="E35" s="20" t="str">
        <f>IF(B35="","",Exposures!$B35&amp;"")</f>
        <v/>
      </c>
      <c r="F35" s="20" t="str">
        <f t="shared" si="2"/>
        <v/>
      </c>
      <c r="G35" s="20" t="str">
        <f>IF(B35="","",Exposures!$D35&amp;"")</f>
        <v/>
      </c>
      <c r="H35" s="20" t="str">
        <f>IF(B35="","",Exposures!$N35&amp;"")</f>
        <v/>
      </c>
      <c r="I35" s="20" t="str">
        <f>IF(B35="","",Exposures!$Q35&amp;"")</f>
        <v/>
      </c>
      <c r="J35" s="20" t="str">
        <f>IF(B35="","",Exposures!$W35&amp;"")</f>
        <v/>
      </c>
      <c r="K35" s="20">
        <f>IF(B35="",0,Exposures!$X35)</f>
        <v>0</v>
      </c>
      <c r="L35" s="20">
        <f>IF(B35="",0,Exposures!$Y35)</f>
        <v>0</v>
      </c>
      <c r="M35" s="20" t="str">
        <f>IF(B35="","",Exposures!$AB35)</f>
        <v/>
      </c>
      <c r="N35" s="20" t="str">
        <f>IF(B35="","",Exposures!$AC35)</f>
        <v/>
      </c>
      <c r="O35" s="27" t="str">
        <f>IF(B35="","",Exposures!$Z35)</f>
        <v/>
      </c>
      <c r="P35" s="27" t="str">
        <f>IF(B35="","",Exposures!$AA35)</f>
        <v/>
      </c>
      <c r="Q35" s="20" t="str">
        <f t="shared" si="3"/>
        <v/>
      </c>
      <c r="R35" s="20" t="str">
        <f>IF(A35="","",IF(J35&lt;&gt;"",J35,IF(H35="TIMESTAMP",DAY(INT(M35/1440))&amp;" "&amp;INDEX(nLIST_Months,MONTH(INT(M35/1440)))&amp;" "&amp;YEAR(INT(M35/1440))&amp;" "&amp;RIGHT("0"&amp;INT(MOD(M35,1440)/60),2)&amp;":"&amp;RIGHT("0"&amp;MOD(M35,60),2)&amp;IF(L35=1," (UTC"&amp;I35&amp;")"," (offset unknown)"),IF(H35="DATE",DAY(O35)&amp;" "&amp;INDEX(nLIST_Months,MONTH(O35))&amp;" "&amp;YEAR(O35),IF(H35="MONTH",INDEX(nLIST_Months,MONTH(O35))&amp;" "&amp;YEAR(O35)&amp;" ("&amp;DAY(O35)&amp;" "&amp;INDEX(nLIST_Months,MONTH(O35))&amp;" "&amp;YEAR(O35)&amp;" to "&amp;DAY(P35)&amp;" "&amp;INDEX(nLIST_Months,MONTH(P35))&amp;" "&amp;YEAR(P35)&amp;")",IF(H35="YEAR",YEAR(O35)&amp;" (1 January to 31 December)",DAY(O35)&amp;" "&amp;INDEX(nLIST_Months,MONTH(O35))&amp;" "&amp;YEAR(O35)&amp;" to "&amp;DAY(P35)&amp;" "&amp;INDEX(nLIST_Months,MONTH(P35))&amp;" "&amp;YEAR(P35)))))))</f>
        <v/>
      </c>
      <c r="S35" s="20" t="str">
        <f>IF(B35="","",Exposures!$M35&amp;"")</f>
        <v/>
      </c>
      <c r="T35" s="20" t="str">
        <f>IF(B35="","",Exposures!$V35&amp;"")</f>
        <v/>
      </c>
      <c r="U35" s="20" t="str">
        <f>IF(B35="","","Exposures row "&amp;ROW(Exposures!$A35)&amp;", Start")</f>
        <v/>
      </c>
      <c r="V35" s="20">
        <f>IF(A35="",0,COUNTIF(nTP_Key,A35))</f>
        <v>0</v>
      </c>
      <c r="W35" s="20">
        <f t="shared" si="4"/>
        <v>0</v>
      </c>
      <c r="X35" s="20">
        <f t="shared" si="5"/>
        <v>0</v>
      </c>
      <c r="Y35" s="20">
        <f t="shared" si="6"/>
        <v>0</v>
      </c>
      <c r="Z35" s="20">
        <f t="shared" si="7"/>
        <v>0</v>
      </c>
    </row>
    <row r="36" spans="1:26" x14ac:dyDescent="0.2">
      <c r="A36" s="20" t="str">
        <f t="shared" si="0"/>
        <v>EX-C01|2|EX-A/START</v>
      </c>
      <c r="B36" s="20" t="str">
        <f>IF(AND(Exposures!$D36&lt;&gt;"",COUNTA(Exposures!$N36:$U36)&gt;0),Exposures!$D36&amp;"/START","")</f>
        <v>EX-A/START</v>
      </c>
      <c r="C36" s="20" t="str">
        <f t="shared" si="1"/>
        <v>EXPOSURE_START</v>
      </c>
      <c r="D36" s="20" t="str">
        <f>IF(B36="","",Exposures!$A36&amp;"")</f>
        <v>EX-C01</v>
      </c>
      <c r="E36" s="20" t="str">
        <f>IF(B36="","",Exposures!$B36&amp;"")</f>
        <v>2</v>
      </c>
      <c r="F36" s="20" t="str">
        <f t="shared" si="2"/>
        <v>EX-C01|2</v>
      </c>
      <c r="G36" s="20" t="str">
        <f>IF(B36="","",Exposures!$D36&amp;"")</f>
        <v>EX-A</v>
      </c>
      <c r="H36" s="20" t="str">
        <f>IF(B36="","",Exposures!$N36&amp;"")</f>
        <v>TIMESTAMP</v>
      </c>
      <c r="I36" s="20" t="str">
        <f>IF(B36="","",Exposures!$Q36&amp;"")</f>
        <v>-05:00</v>
      </c>
      <c r="J36" s="20" t="str">
        <f>IF(B36="","",Exposures!$W36&amp;"")</f>
        <v/>
      </c>
      <c r="K36" s="20">
        <f>IF(B36="",0,Exposures!$X36)</f>
        <v>1</v>
      </c>
      <c r="L36" s="20">
        <f>IF(B36="",0,Exposures!$Y36)</f>
        <v>1</v>
      </c>
      <c r="M36" s="20">
        <f>IF(B36="","",Exposures!$AB36)</f>
        <v>66286620</v>
      </c>
      <c r="N36" s="20">
        <f>IF(B36="","",Exposures!$AC36)</f>
        <v>66286920</v>
      </c>
      <c r="O36" s="27">
        <f>IF(B36="","",Exposures!$Z36)</f>
        <v>46032</v>
      </c>
      <c r="P36" s="27">
        <f>IF(B36="","",Exposures!$AA36)</f>
        <v>46032</v>
      </c>
      <c r="Q36" s="20" t="str">
        <f t="shared" si="3"/>
        <v>2026-01-10T09:00-05:00</v>
      </c>
      <c r="R36" s="20" t="str">
        <f>IF(A36="","",IF(J36&lt;&gt;"",J36,IF(H36="TIMESTAMP",DAY(INT(M36/1440))&amp;" "&amp;INDEX(nLIST_Months,MONTH(INT(M36/1440)))&amp;" "&amp;YEAR(INT(M36/1440))&amp;" "&amp;RIGHT("0"&amp;INT(MOD(M36,1440)/60),2)&amp;":"&amp;RIGHT("0"&amp;MOD(M36,60),2)&amp;IF(L36=1," (UTC"&amp;I36&amp;")"," (offset unknown)"),IF(H36="DATE",DAY(O36)&amp;" "&amp;INDEX(nLIST_Months,MONTH(O36))&amp;" "&amp;YEAR(O36),IF(H36="MONTH",INDEX(nLIST_Months,MONTH(O36))&amp;" "&amp;YEAR(O36)&amp;" ("&amp;DAY(O36)&amp;" "&amp;INDEX(nLIST_Months,MONTH(O36))&amp;" "&amp;YEAR(O36)&amp;" to "&amp;DAY(P36)&amp;" "&amp;INDEX(nLIST_Months,MONTH(P36))&amp;" "&amp;YEAR(P36)&amp;")",IF(H36="YEAR",YEAR(O36)&amp;" (1 January to 31 December)",DAY(O36)&amp;" "&amp;INDEX(nLIST_Months,MONTH(O36))&amp;" "&amp;YEAR(O36)&amp;" to "&amp;DAY(P36)&amp;" "&amp;INDEX(nLIST_Months,MONTH(P36))&amp;" "&amp;YEAR(P36)))))))</f>
        <v>10 January 2026 09:00 (UTC-05:00)</v>
      </c>
      <c r="S36" s="20" t="str">
        <f>IF(B36="","",Exposures!$M36&amp;"")</f>
        <v>09:00 Drug A infusion commenced</v>
      </c>
      <c r="T36" s="20" t="str">
        <f>IF(B36="","",Exposures!$V36&amp;"")</f>
        <v>Nursing chart; medication administration record</v>
      </c>
      <c r="U36" s="20" t="str">
        <f>IF(B36="","","Exposures row "&amp;ROW(Exposures!$A36)&amp;", Start")</f>
        <v>Exposures row 36, Start</v>
      </c>
      <c r="V36" s="20">
        <f>IF(A36="",0,COUNTIF(nTP_Key,A36))</f>
        <v>1</v>
      </c>
      <c r="W36" s="20">
        <f t="shared" si="4"/>
        <v>66286620</v>
      </c>
      <c r="X36" s="20">
        <f t="shared" si="5"/>
        <v>66286920</v>
      </c>
      <c r="Y36" s="20">
        <f t="shared" si="6"/>
        <v>46032</v>
      </c>
      <c r="Z36" s="20">
        <f t="shared" si="7"/>
        <v>46032</v>
      </c>
    </row>
    <row r="37" spans="1:26" x14ac:dyDescent="0.2">
      <c r="A37" s="20" t="str">
        <f t="shared" si="0"/>
        <v>EX-C01|2|EX-B/START</v>
      </c>
      <c r="B37" s="20" t="str">
        <f>IF(AND(Exposures!$D37&lt;&gt;"",COUNTA(Exposures!$N37:$U37)&gt;0),Exposures!$D37&amp;"/START","")</f>
        <v>EX-B/START</v>
      </c>
      <c r="C37" s="20" t="str">
        <f t="shared" ref="C37:C68" si="8">IF(B37="","","EXPOSURE_START")</f>
        <v>EXPOSURE_START</v>
      </c>
      <c r="D37" s="20" t="str">
        <f>IF(B37="","",Exposures!$A37&amp;"")</f>
        <v>EX-C01</v>
      </c>
      <c r="E37" s="20" t="str">
        <f>IF(B37="","",Exposures!$B37&amp;"")</f>
        <v>2</v>
      </c>
      <c r="F37" s="20" t="str">
        <f t="shared" si="2"/>
        <v>EX-C01|2</v>
      </c>
      <c r="G37" s="20" t="str">
        <f>IF(B37="","",Exposures!$D37&amp;"")</f>
        <v>EX-B</v>
      </c>
      <c r="H37" s="20" t="str">
        <f>IF(B37="","",Exposures!$N37&amp;"")</f>
        <v>TIMESTAMP</v>
      </c>
      <c r="I37" s="20" t="str">
        <f>IF(B37="","",Exposures!$Q37&amp;"")</f>
        <v>-05:00</v>
      </c>
      <c r="J37" s="20" t="str">
        <f>IF(B37="","",Exposures!$W37&amp;"")</f>
        <v/>
      </c>
      <c r="K37" s="20">
        <f>IF(B37="",0,Exposures!$X37)</f>
        <v>1</v>
      </c>
      <c r="L37" s="20">
        <f>IF(B37="",0,Exposures!$Y37)</f>
        <v>1</v>
      </c>
      <c r="M37" s="20">
        <f>IF(B37="","",Exposures!$AB37)</f>
        <v>66286580</v>
      </c>
      <c r="N37" s="20">
        <f>IF(B37="","",Exposures!$AC37)</f>
        <v>66286880</v>
      </c>
      <c r="O37" s="27">
        <f>IF(B37="","",Exposures!$Z37)</f>
        <v>46032</v>
      </c>
      <c r="P37" s="27">
        <f>IF(B37="","",Exposures!$AA37)</f>
        <v>46032</v>
      </c>
      <c r="Q37" s="20" t="str">
        <f t="shared" si="3"/>
        <v>2026-01-10T08:20-05:00</v>
      </c>
      <c r="R37" s="20" t="str">
        <f>IF(A37="","",IF(J37&lt;&gt;"",J37,IF(H37="TIMESTAMP",DAY(INT(M37/1440))&amp;" "&amp;INDEX(nLIST_Months,MONTH(INT(M37/1440)))&amp;" "&amp;YEAR(INT(M37/1440))&amp;" "&amp;RIGHT("0"&amp;INT(MOD(M37,1440)/60),2)&amp;":"&amp;RIGHT("0"&amp;MOD(M37,60),2)&amp;IF(L37=1," (UTC"&amp;I37&amp;")"," (offset unknown)"),IF(H37="DATE",DAY(O37)&amp;" "&amp;INDEX(nLIST_Months,MONTH(O37))&amp;" "&amp;YEAR(O37),IF(H37="MONTH",INDEX(nLIST_Months,MONTH(O37))&amp;" "&amp;YEAR(O37)&amp;" ("&amp;DAY(O37)&amp;" "&amp;INDEX(nLIST_Months,MONTH(O37))&amp;" "&amp;YEAR(O37)&amp;" to "&amp;DAY(P37)&amp;" "&amp;INDEX(nLIST_Months,MONTH(P37))&amp;" "&amp;YEAR(P37)&amp;")",IF(H37="YEAR",YEAR(O37)&amp;" (1 January to 31 December)",DAY(O37)&amp;" "&amp;INDEX(nLIST_Months,MONTH(O37))&amp;" "&amp;YEAR(O37)&amp;" to "&amp;DAY(P37)&amp;" "&amp;INDEX(nLIST_Months,MONTH(P37))&amp;" "&amp;YEAR(P37)))))))</f>
        <v>10 January 2026 08:20 (UTC-05:00)</v>
      </c>
      <c r="S37" s="20" t="str">
        <f>IF(B37="","",Exposures!$M37&amp;"")</f>
        <v>Drug B IV given earlier this morning via same cannula</v>
      </c>
      <c r="T37" s="20" t="str">
        <f>IF(B37="","",Exposures!$V37&amp;"")</f>
        <v>Follow-up, version 2</v>
      </c>
      <c r="U37" s="20" t="str">
        <f>IF(B37="","","Exposures row "&amp;ROW(Exposures!$A37)&amp;", Start")</f>
        <v>Exposures row 37, Start</v>
      </c>
      <c r="V37" s="20">
        <f>IF(A37="",0,COUNTIF(nTP_Key,A37))</f>
        <v>1</v>
      </c>
      <c r="W37" s="20">
        <f t="shared" si="4"/>
        <v>66286580</v>
      </c>
      <c r="X37" s="20">
        <f t="shared" si="5"/>
        <v>66286880</v>
      </c>
      <c r="Y37" s="20">
        <f t="shared" si="6"/>
        <v>46032</v>
      </c>
      <c r="Z37" s="20">
        <f t="shared" si="7"/>
        <v>46032</v>
      </c>
    </row>
    <row r="38" spans="1:26" x14ac:dyDescent="0.2">
      <c r="A38" s="20" t="str">
        <f t="shared" si="0"/>
        <v>EX-C01|2|EX-AS/START</v>
      </c>
      <c r="B38" s="20" t="str">
        <f>IF(AND(Exposures!$D38&lt;&gt;"",COUNTA(Exposures!$N38:$U38)&gt;0),Exposures!$D38&amp;"/START","")</f>
        <v>EX-AS/START</v>
      </c>
      <c r="C38" s="20" t="str">
        <f t="shared" si="8"/>
        <v>EXPOSURE_START</v>
      </c>
      <c r="D38" s="20" t="str">
        <f>IF(B38="","",Exposures!$A38&amp;"")</f>
        <v>EX-C01</v>
      </c>
      <c r="E38" s="20" t="str">
        <f>IF(B38="","",Exposures!$B38&amp;"")</f>
        <v>2</v>
      </c>
      <c r="F38" s="20" t="str">
        <f t="shared" si="2"/>
        <v>EX-C01|2</v>
      </c>
      <c r="G38" s="20" t="str">
        <f>IF(B38="","",Exposures!$D38&amp;"")</f>
        <v>EX-AS</v>
      </c>
      <c r="H38" s="20" t="str">
        <f>IF(B38="","",Exposures!$N38&amp;"")</f>
        <v>TIMESTAMP</v>
      </c>
      <c r="I38" s="20" t="str">
        <f>IF(B38="","",Exposures!$Q38&amp;"")</f>
        <v>-05:00</v>
      </c>
      <c r="J38" s="20" t="str">
        <f>IF(B38="","",Exposures!$W38&amp;"")</f>
        <v/>
      </c>
      <c r="K38" s="20">
        <f>IF(B38="",0,Exposures!$X38)</f>
        <v>1</v>
      </c>
      <c r="L38" s="20">
        <f>IF(B38="",0,Exposures!$Y38)</f>
        <v>1</v>
      </c>
      <c r="M38" s="20">
        <f>IF(B38="","",Exposures!$AB38)</f>
        <v>66286575</v>
      </c>
      <c r="N38" s="20">
        <f>IF(B38="","",Exposures!$AC38)</f>
        <v>66286875</v>
      </c>
      <c r="O38" s="27">
        <f>IF(B38="","",Exposures!$Z38)</f>
        <v>46032</v>
      </c>
      <c r="P38" s="27">
        <f>IF(B38="","",Exposures!$AA38)</f>
        <v>46032</v>
      </c>
      <c r="Q38" s="20" t="str">
        <f t="shared" si="3"/>
        <v>2026-01-10T08:15-05:00</v>
      </c>
      <c r="R38" s="20" t="str">
        <f>IF(A38="","",IF(J38&lt;&gt;"",J38,IF(H38="TIMESTAMP",DAY(INT(M38/1440))&amp;" "&amp;INDEX(nLIST_Months,MONTH(INT(M38/1440)))&amp;" "&amp;YEAR(INT(M38/1440))&amp;" "&amp;RIGHT("0"&amp;INT(MOD(M38,1440)/60),2)&amp;":"&amp;RIGHT("0"&amp;MOD(M38,60),2)&amp;IF(L38=1," (UTC"&amp;I38&amp;")"," (offset unknown)"),IF(H38="DATE",DAY(O38)&amp;" "&amp;INDEX(nLIST_Months,MONTH(O38))&amp;" "&amp;YEAR(O38),IF(H38="MONTH",INDEX(nLIST_Months,MONTH(O38))&amp;" "&amp;YEAR(O38)&amp;" ("&amp;DAY(O38)&amp;" "&amp;INDEX(nLIST_Months,MONTH(O38))&amp;" "&amp;YEAR(O38)&amp;" to "&amp;DAY(P38)&amp;" "&amp;INDEX(nLIST_Months,MONTH(P38))&amp;" "&amp;YEAR(P38)&amp;")",IF(H38="YEAR",YEAR(O38)&amp;" (1 January to 31 December)",DAY(O38)&amp;" "&amp;INDEX(nLIST_Months,MONTH(O38))&amp;" "&amp;YEAR(O38)&amp;" to "&amp;DAY(P38)&amp;" "&amp;INDEX(nLIST_Months,MONTH(P38))&amp;" "&amp;YEAR(P38)))))))</f>
        <v>10 January 2026 08:15 (UTC-05:00)</v>
      </c>
      <c r="S38" s="20" t="str">
        <f>IF(B38="","",Exposures!$M38&amp;"")</f>
        <v>Antiseptic applied at cannulation</v>
      </c>
      <c r="T38" s="20" t="str">
        <f>IF(B38="","",Exposures!$V38&amp;"")</f>
        <v>Follow-up, version 2</v>
      </c>
      <c r="U38" s="20" t="str">
        <f>IF(B38="","","Exposures row "&amp;ROW(Exposures!$A38)&amp;", Start")</f>
        <v>Exposures row 38, Start</v>
      </c>
      <c r="V38" s="20">
        <f>IF(A38="",0,COUNTIF(nTP_Key,A38))</f>
        <v>1</v>
      </c>
      <c r="W38" s="20">
        <f t="shared" si="4"/>
        <v>66286575</v>
      </c>
      <c r="X38" s="20">
        <f t="shared" si="5"/>
        <v>66286875</v>
      </c>
      <c r="Y38" s="20">
        <f t="shared" si="6"/>
        <v>46032</v>
      </c>
      <c r="Z38" s="20">
        <f t="shared" si="7"/>
        <v>46032</v>
      </c>
    </row>
    <row r="39" spans="1:26" x14ac:dyDescent="0.2">
      <c r="A39" s="20" t="str">
        <f t="shared" si="0"/>
        <v>EX-C04|2|EX-DIG/START</v>
      </c>
      <c r="B39" s="20" t="str">
        <f>IF(AND(Exposures!$D39&lt;&gt;"",COUNTA(Exposures!$N39:$U39)&gt;0),Exposures!$D39&amp;"/START","")</f>
        <v>EX-DIG/START</v>
      </c>
      <c r="C39" s="20" t="str">
        <f t="shared" si="8"/>
        <v>EXPOSURE_START</v>
      </c>
      <c r="D39" s="20" t="str">
        <f>IF(B39="","",Exposures!$A39&amp;"")</f>
        <v>EX-C04</v>
      </c>
      <c r="E39" s="20" t="str">
        <f>IF(B39="","",Exposures!$B39&amp;"")</f>
        <v>2</v>
      </c>
      <c r="F39" s="20" t="str">
        <f t="shared" si="2"/>
        <v>EX-C04|2</v>
      </c>
      <c r="G39" s="20" t="str">
        <f>IF(B39="","",Exposures!$D39&amp;"")</f>
        <v>EX-DIG</v>
      </c>
      <c r="H39" s="20" t="str">
        <f>IF(B39="","",Exposures!$N39&amp;"")</f>
        <v>DATE</v>
      </c>
      <c r="I39" s="20" t="str">
        <f>IF(B39="","",Exposures!$Q39&amp;"")</f>
        <v/>
      </c>
      <c r="J39" s="20" t="str">
        <f>IF(B39="","",Exposures!$W39&amp;"")</f>
        <v/>
      </c>
      <c r="K39" s="20">
        <f>IF(B39="",0,Exposures!$X39)</f>
        <v>0</v>
      </c>
      <c r="L39" s="20">
        <f>IF(B39="",0,Exposures!$Y39)</f>
        <v>0</v>
      </c>
      <c r="M39" s="20" t="str">
        <f>IF(B39="","",Exposures!$AB39)</f>
        <v/>
      </c>
      <c r="N39" s="20" t="str">
        <f>IF(B39="","",Exposures!$AC39)</f>
        <v/>
      </c>
      <c r="O39" s="27">
        <f>IF(B39="","",Exposures!$Z39)</f>
        <v>46023</v>
      </c>
      <c r="P39" s="27">
        <f>IF(B39="","",Exposures!$AA39)</f>
        <v>46023</v>
      </c>
      <c r="Q39" s="20" t="str">
        <f t="shared" si="3"/>
        <v>2026-01-01</v>
      </c>
      <c r="R39" s="20" t="str">
        <f>IF(A39="","",IF(J39&lt;&gt;"",J39,IF(H39="TIMESTAMP",DAY(INT(M39/1440))&amp;" "&amp;INDEX(nLIST_Months,MONTH(INT(M39/1440)))&amp;" "&amp;YEAR(INT(M39/1440))&amp;" "&amp;RIGHT("0"&amp;INT(MOD(M39,1440)/60),2)&amp;":"&amp;RIGHT("0"&amp;MOD(M39,60),2)&amp;IF(L39=1," (UTC"&amp;I39&amp;")"," (offset unknown)"),IF(H39="DATE",DAY(O39)&amp;" "&amp;INDEX(nLIST_Months,MONTH(O39))&amp;" "&amp;YEAR(O39),IF(H39="MONTH",INDEX(nLIST_Months,MONTH(O39))&amp;" "&amp;YEAR(O39)&amp;" ("&amp;DAY(O39)&amp;" "&amp;INDEX(nLIST_Months,MONTH(O39))&amp;" "&amp;YEAR(O39)&amp;" to "&amp;DAY(P39)&amp;" "&amp;INDEX(nLIST_Months,MONTH(P39))&amp;" "&amp;YEAR(P39)&amp;")",IF(H39="YEAR",YEAR(O39)&amp;" (1 January to 31 December)",DAY(O39)&amp;" "&amp;INDEX(nLIST_Months,MONTH(O39))&amp;" "&amp;YEAR(O39)&amp;" to "&amp;DAY(P39)&amp;" "&amp;INDEX(nLIST_Months,MONTH(P39))&amp;" "&amp;YEAR(P39)))))))</f>
        <v>1 January 2026</v>
      </c>
      <c r="S39" s="20" t="str">
        <f>IF(B39="","",Exposures!$M39&amp;"")</f>
        <v>digoxin 125 micrograms each morning since 1 January 2026</v>
      </c>
      <c r="T39" s="20" t="str">
        <f>IF(B39="","",Exposures!$V39&amp;"")</f>
        <v>GP letter (version 2)</v>
      </c>
      <c r="U39" s="20" t="str">
        <f>IF(B39="","","Exposures row "&amp;ROW(Exposures!$A39)&amp;", Start")</f>
        <v>Exposures row 39, Start</v>
      </c>
      <c r="V39" s="20">
        <f>IF(A39="",0,COUNTIF(nTP_Key,A39))</f>
        <v>1</v>
      </c>
      <c r="W39" s="20">
        <f t="shared" si="4"/>
        <v>0</v>
      </c>
      <c r="X39" s="20">
        <f t="shared" si="5"/>
        <v>0</v>
      </c>
      <c r="Y39" s="20">
        <f t="shared" si="6"/>
        <v>46023</v>
      </c>
      <c r="Z39" s="20">
        <f t="shared" si="7"/>
        <v>46023</v>
      </c>
    </row>
    <row r="40" spans="1:26" x14ac:dyDescent="0.2">
      <c r="A40" s="20" t="str">
        <f t="shared" si="0"/>
        <v>EX-C04|2|EX-IBU/START</v>
      </c>
      <c r="B40" s="20" t="str">
        <f>IF(AND(Exposures!$D40&lt;&gt;"",COUNTA(Exposures!$N40:$U40)&gt;0),Exposures!$D40&amp;"/START","")</f>
        <v>EX-IBU/START</v>
      </c>
      <c r="C40" s="20" t="str">
        <f t="shared" si="8"/>
        <v>EXPOSURE_START</v>
      </c>
      <c r="D40" s="20" t="str">
        <f>IF(B40="","",Exposures!$A40&amp;"")</f>
        <v>EX-C04</v>
      </c>
      <c r="E40" s="20" t="str">
        <f>IF(B40="","",Exposures!$B40&amp;"")</f>
        <v>2</v>
      </c>
      <c r="F40" s="20" t="str">
        <f t="shared" si="2"/>
        <v>EX-C04|2</v>
      </c>
      <c r="G40" s="20" t="str">
        <f>IF(B40="","",Exposures!$D40&amp;"")</f>
        <v>EX-IBU</v>
      </c>
      <c r="H40" s="20" t="str">
        <f>IF(B40="","",Exposures!$N40&amp;"")</f>
        <v>DATE</v>
      </c>
      <c r="I40" s="20" t="str">
        <f>IF(B40="","",Exposures!$Q40&amp;"")</f>
        <v/>
      </c>
      <c r="J40" s="20" t="str">
        <f>IF(B40="","",Exposures!$W40&amp;"")</f>
        <v/>
      </c>
      <c r="K40" s="20">
        <f>IF(B40="",0,Exposures!$X40)</f>
        <v>0</v>
      </c>
      <c r="L40" s="20">
        <f>IF(B40="",0,Exposures!$Y40)</f>
        <v>0</v>
      </c>
      <c r="M40" s="20" t="str">
        <f>IF(B40="","",Exposures!$AB40)</f>
        <v/>
      </c>
      <c r="N40" s="20" t="str">
        <f>IF(B40="","",Exposures!$AC40)</f>
        <v/>
      </c>
      <c r="O40" s="27">
        <f>IF(B40="","",Exposures!$Z40)</f>
        <v>46199</v>
      </c>
      <c r="P40" s="27">
        <f>IF(B40="","",Exposures!$AA40)</f>
        <v>46199</v>
      </c>
      <c r="Q40" s="20" t="str">
        <f t="shared" si="3"/>
        <v>2026-06-26</v>
      </c>
      <c r="R40" s="20" t="str">
        <f>IF(A40="","",IF(J40&lt;&gt;"",J40,IF(H40="TIMESTAMP",DAY(INT(M40/1440))&amp;" "&amp;INDEX(nLIST_Months,MONTH(INT(M40/1440)))&amp;" "&amp;YEAR(INT(M40/1440))&amp;" "&amp;RIGHT("0"&amp;INT(MOD(M40,1440)/60),2)&amp;":"&amp;RIGHT("0"&amp;MOD(M40,60),2)&amp;IF(L40=1," (UTC"&amp;I40&amp;")"," (offset unknown)"),IF(H40="DATE",DAY(O40)&amp;" "&amp;INDEX(nLIST_Months,MONTH(O40))&amp;" "&amp;YEAR(O40),IF(H40="MONTH",INDEX(nLIST_Months,MONTH(O40))&amp;" "&amp;YEAR(O40)&amp;" ("&amp;DAY(O40)&amp;" "&amp;INDEX(nLIST_Months,MONTH(O40))&amp;" "&amp;YEAR(O40)&amp;" to "&amp;DAY(P40)&amp;" "&amp;INDEX(nLIST_Months,MONTH(P40))&amp;" "&amp;YEAR(P40)&amp;")",IF(H40="YEAR",YEAR(O40)&amp;" (1 January to 31 December)",DAY(O40)&amp;" "&amp;INDEX(nLIST_Months,MONTH(O40))&amp;" "&amp;YEAR(O40)&amp;" to "&amp;DAY(P40)&amp;" "&amp;INDEX(nLIST_Months,MONTH(P40))&amp;" "&amp;YEAR(P40)))))))</f>
        <v>26 June 2026</v>
      </c>
      <c r="S40" s="20" t="str">
        <f>IF(B40="","",Exposures!$M40&amp;"")</f>
        <v>Bought ibuprofen ... on 26 June</v>
      </c>
      <c r="T40" s="20" t="str">
        <f>IF(B40="","",Exposures!$V40&amp;"")</f>
        <v>GP letter (version 2)</v>
      </c>
      <c r="U40" s="20" t="str">
        <f>IF(B40="","","Exposures row "&amp;ROW(Exposures!$A40)&amp;", Start")</f>
        <v>Exposures row 40, Start</v>
      </c>
      <c r="V40" s="20">
        <f>IF(A40="",0,COUNTIF(nTP_Key,A40))</f>
        <v>1</v>
      </c>
      <c r="W40" s="20">
        <f t="shared" si="4"/>
        <v>0</v>
      </c>
      <c r="X40" s="20">
        <f t="shared" si="5"/>
        <v>0</v>
      </c>
      <c r="Y40" s="20">
        <f t="shared" si="6"/>
        <v>46199</v>
      </c>
      <c r="Z40" s="20">
        <f t="shared" si="7"/>
        <v>46199</v>
      </c>
    </row>
    <row r="41" spans="1:26" x14ac:dyDescent="0.2">
      <c r="A41" s="20" t="str">
        <f t="shared" si="0"/>
        <v/>
      </c>
      <c r="B41" s="20" t="str">
        <f>IF(AND(Exposures!$D41&lt;&gt;"",COUNTA(Exposures!$N41:$U41)&gt;0),Exposures!$D41&amp;"/START","")</f>
        <v/>
      </c>
      <c r="C41" s="20" t="str">
        <f t="shared" si="8"/>
        <v/>
      </c>
      <c r="D41" s="20" t="str">
        <f>IF(B41="","",Exposures!$A41&amp;"")</f>
        <v/>
      </c>
      <c r="E41" s="20" t="str">
        <f>IF(B41="","",Exposures!$B41&amp;"")</f>
        <v/>
      </c>
      <c r="F41" s="20" t="str">
        <f t="shared" si="2"/>
        <v/>
      </c>
      <c r="G41" s="20" t="str">
        <f>IF(B41="","",Exposures!$D41&amp;"")</f>
        <v/>
      </c>
      <c r="H41" s="20" t="str">
        <f>IF(B41="","",Exposures!$N41&amp;"")</f>
        <v/>
      </c>
      <c r="I41" s="20" t="str">
        <f>IF(B41="","",Exposures!$Q41&amp;"")</f>
        <v/>
      </c>
      <c r="J41" s="20" t="str">
        <f>IF(B41="","",Exposures!$W41&amp;"")</f>
        <v/>
      </c>
      <c r="K41" s="20">
        <f>IF(B41="",0,Exposures!$X41)</f>
        <v>0</v>
      </c>
      <c r="L41" s="20">
        <f>IF(B41="",0,Exposures!$Y41)</f>
        <v>0</v>
      </c>
      <c r="M41" s="20" t="str">
        <f>IF(B41="","",Exposures!$AB41)</f>
        <v/>
      </c>
      <c r="N41" s="20" t="str">
        <f>IF(B41="","",Exposures!$AC41)</f>
        <v/>
      </c>
      <c r="O41" s="27" t="str">
        <f>IF(B41="","",Exposures!$Z41)</f>
        <v/>
      </c>
      <c r="P41" s="27" t="str">
        <f>IF(B41="","",Exposures!$AA41)</f>
        <v/>
      </c>
      <c r="Q41" s="20" t="str">
        <f t="shared" si="3"/>
        <v/>
      </c>
      <c r="R41" s="20" t="str">
        <f>IF(A41="","",IF(J41&lt;&gt;"",J41,IF(H41="TIMESTAMP",DAY(INT(M41/1440))&amp;" "&amp;INDEX(nLIST_Months,MONTH(INT(M41/1440)))&amp;" "&amp;YEAR(INT(M41/1440))&amp;" "&amp;RIGHT("0"&amp;INT(MOD(M41,1440)/60),2)&amp;":"&amp;RIGHT("0"&amp;MOD(M41,60),2)&amp;IF(L41=1," (UTC"&amp;I41&amp;")"," (offset unknown)"),IF(H41="DATE",DAY(O41)&amp;" "&amp;INDEX(nLIST_Months,MONTH(O41))&amp;" "&amp;YEAR(O41),IF(H41="MONTH",INDEX(nLIST_Months,MONTH(O41))&amp;" "&amp;YEAR(O41)&amp;" ("&amp;DAY(O41)&amp;" "&amp;INDEX(nLIST_Months,MONTH(O41))&amp;" "&amp;YEAR(O41)&amp;" to "&amp;DAY(P41)&amp;" "&amp;INDEX(nLIST_Months,MONTH(P41))&amp;" "&amp;YEAR(P41)&amp;")",IF(H41="YEAR",YEAR(O41)&amp;" (1 January to 31 December)",DAY(O41)&amp;" "&amp;INDEX(nLIST_Months,MONTH(O41))&amp;" "&amp;YEAR(O41)&amp;" to "&amp;DAY(P41)&amp;" "&amp;INDEX(nLIST_Months,MONTH(P41))&amp;" "&amp;YEAR(P41)))))))</f>
        <v/>
      </c>
      <c r="S41" s="20" t="str">
        <f>IF(B41="","",Exposures!$M41&amp;"")</f>
        <v/>
      </c>
      <c r="T41" s="20" t="str">
        <f>IF(B41="","",Exposures!$V41&amp;"")</f>
        <v/>
      </c>
      <c r="U41" s="20" t="str">
        <f>IF(B41="","","Exposures row "&amp;ROW(Exposures!$A41)&amp;", Start")</f>
        <v/>
      </c>
      <c r="V41" s="20">
        <f>IF(A41="",0,COUNTIF(nTP_Key,A41))</f>
        <v>0</v>
      </c>
      <c r="W41" s="20">
        <f t="shared" si="4"/>
        <v>0</v>
      </c>
      <c r="X41" s="20">
        <f t="shared" si="5"/>
        <v>0</v>
      </c>
      <c r="Y41" s="20">
        <f t="shared" si="6"/>
        <v>0</v>
      </c>
      <c r="Z41" s="20">
        <f t="shared" si="7"/>
        <v>0</v>
      </c>
    </row>
    <row r="42" spans="1:26" x14ac:dyDescent="0.2">
      <c r="A42" s="20" t="str">
        <f t="shared" si="0"/>
        <v>EX-C28|2|EX-RTX/START</v>
      </c>
      <c r="B42" s="20" t="str">
        <f>IF(AND(Exposures!$D42&lt;&gt;"",COUNTA(Exposures!$N42:$U42)&gt;0),Exposures!$D42&amp;"/START","")</f>
        <v>EX-RTX/START</v>
      </c>
      <c r="C42" s="20" t="str">
        <f t="shared" si="8"/>
        <v>EXPOSURE_START</v>
      </c>
      <c r="D42" s="20" t="str">
        <f>IF(B42="","",Exposures!$A42&amp;"")</f>
        <v>EX-C28</v>
      </c>
      <c r="E42" s="20" t="str">
        <f>IF(B42="","",Exposures!$B42&amp;"")</f>
        <v>2</v>
      </c>
      <c r="F42" s="20" t="str">
        <f t="shared" si="2"/>
        <v>EX-C28|2</v>
      </c>
      <c r="G42" s="20" t="str">
        <f>IF(B42="","",Exposures!$D42&amp;"")</f>
        <v>EX-RTX</v>
      </c>
      <c r="H42" s="20" t="str">
        <f>IF(B42="","",Exposures!$N42&amp;"")</f>
        <v>DATE</v>
      </c>
      <c r="I42" s="20" t="str">
        <f>IF(B42="","",Exposures!$Q42&amp;"")</f>
        <v/>
      </c>
      <c r="J42" s="20" t="str">
        <f>IF(B42="","",Exposures!$W42&amp;"")</f>
        <v/>
      </c>
      <c r="K42" s="20">
        <f>IF(B42="",0,Exposures!$X42)</f>
        <v>0</v>
      </c>
      <c r="L42" s="20">
        <f>IF(B42="",0,Exposures!$Y42)</f>
        <v>0</v>
      </c>
      <c r="M42" s="20" t="str">
        <f>IF(B42="","",Exposures!$AB42)</f>
        <v/>
      </c>
      <c r="N42" s="20" t="str">
        <f>IF(B42="","",Exposures!$AC42)</f>
        <v/>
      </c>
      <c r="O42" s="27">
        <f>IF(B42="","",Exposures!$Z42)</f>
        <v>45614</v>
      </c>
      <c r="P42" s="27">
        <f>IF(B42="","",Exposures!$AA42)</f>
        <v>45614</v>
      </c>
      <c r="Q42" s="20" t="str">
        <f t="shared" si="3"/>
        <v>2024-11-18</v>
      </c>
      <c r="R42" s="20" t="str">
        <f>IF(A42="","",IF(J42&lt;&gt;"",J42,IF(H42="TIMESTAMP",DAY(INT(M42/1440))&amp;" "&amp;INDEX(nLIST_Months,MONTH(INT(M42/1440)))&amp;" "&amp;YEAR(INT(M42/1440))&amp;" "&amp;RIGHT("0"&amp;INT(MOD(M42,1440)/60),2)&amp;":"&amp;RIGHT("0"&amp;MOD(M42,60),2)&amp;IF(L42=1," (UTC"&amp;I42&amp;")"," (offset unknown)"),IF(H42="DATE",DAY(O42)&amp;" "&amp;INDEX(nLIST_Months,MONTH(O42))&amp;" "&amp;YEAR(O42),IF(H42="MONTH",INDEX(nLIST_Months,MONTH(O42))&amp;" "&amp;YEAR(O42)&amp;" ("&amp;DAY(O42)&amp;" "&amp;INDEX(nLIST_Months,MONTH(O42))&amp;" "&amp;YEAR(O42)&amp;" to "&amp;DAY(P42)&amp;" "&amp;INDEX(nLIST_Months,MONTH(P42))&amp;" "&amp;YEAR(P42)&amp;")",IF(H42="YEAR",YEAR(O42)&amp;" (1 January to 31 December)",DAY(O42)&amp;" "&amp;INDEX(nLIST_Months,MONTH(O42))&amp;" "&amp;YEAR(O42)&amp;" to "&amp;DAY(P42)&amp;" "&amp;INDEX(nLIST_Months,MONTH(P42))&amp;" "&amp;YEAR(P42)))))))</f>
        <v>18 November 2024</v>
      </c>
      <c r="S42" s="20" t="str">
        <f>IF(B42="","",Exposures!$M42&amp;"")</f>
        <v>R-Regimen X x 6, 18/11/2024 to 03/03/2025</v>
      </c>
      <c r="T42" s="20" t="str">
        <f>IF(B42="","",Exposures!$V42&amp;"")</f>
        <v>Hematology summary</v>
      </c>
      <c r="U42" s="20" t="str">
        <f>IF(B42="","","Exposures row "&amp;ROW(Exposures!$A42)&amp;", Start")</f>
        <v>Exposures row 42, Start</v>
      </c>
      <c r="V42" s="20">
        <f>IF(A42="",0,COUNTIF(nTP_Key,A42))</f>
        <v>1</v>
      </c>
      <c r="W42" s="20">
        <f t="shared" si="4"/>
        <v>0</v>
      </c>
      <c r="X42" s="20">
        <f t="shared" si="5"/>
        <v>0</v>
      </c>
      <c r="Y42" s="20">
        <f t="shared" si="6"/>
        <v>45614</v>
      </c>
      <c r="Z42" s="20">
        <f t="shared" si="7"/>
        <v>45614</v>
      </c>
    </row>
    <row r="43" spans="1:26" x14ac:dyDescent="0.2">
      <c r="A43" s="20" t="str">
        <f t="shared" si="0"/>
        <v>EX-C28|2|EX-RX/START</v>
      </c>
      <c r="B43" s="20" t="str">
        <f>IF(AND(Exposures!$D43&lt;&gt;"",COUNTA(Exposures!$N43:$U43)&gt;0),Exposures!$D43&amp;"/START","")</f>
        <v>EX-RX/START</v>
      </c>
      <c r="C43" s="20" t="str">
        <f t="shared" si="8"/>
        <v>EXPOSURE_START</v>
      </c>
      <c r="D43" s="20" t="str">
        <f>IF(B43="","",Exposures!$A43&amp;"")</f>
        <v>EX-C28</v>
      </c>
      <c r="E43" s="20" t="str">
        <f>IF(B43="","",Exposures!$B43&amp;"")</f>
        <v>2</v>
      </c>
      <c r="F43" s="20" t="str">
        <f t="shared" si="2"/>
        <v>EX-C28|2</v>
      </c>
      <c r="G43" s="20" t="str">
        <f>IF(B43="","",Exposures!$D43&amp;"")</f>
        <v>EX-RX</v>
      </c>
      <c r="H43" s="20" t="str">
        <f>IF(B43="","",Exposures!$N43&amp;"")</f>
        <v>DATE</v>
      </c>
      <c r="I43" s="20" t="str">
        <f>IF(B43="","",Exposures!$Q43&amp;"")</f>
        <v/>
      </c>
      <c r="J43" s="20" t="str">
        <f>IF(B43="","",Exposures!$W43&amp;"")</f>
        <v/>
      </c>
      <c r="K43" s="20">
        <f>IF(B43="",0,Exposures!$X43)</f>
        <v>0</v>
      </c>
      <c r="L43" s="20">
        <f>IF(B43="",0,Exposures!$Y43)</f>
        <v>0</v>
      </c>
      <c r="M43" s="20" t="str">
        <f>IF(B43="","",Exposures!$AB43)</f>
        <v/>
      </c>
      <c r="N43" s="20" t="str">
        <f>IF(B43="","",Exposures!$AC43)</f>
        <v/>
      </c>
      <c r="O43" s="27">
        <f>IF(B43="","",Exposures!$Z43)</f>
        <v>45614</v>
      </c>
      <c r="P43" s="27">
        <f>IF(B43="","",Exposures!$AA43)</f>
        <v>45614</v>
      </c>
      <c r="Q43" s="20" t="str">
        <f t="shared" si="3"/>
        <v>2024-11-18</v>
      </c>
      <c r="R43" s="20" t="str">
        <f>IF(A43="","",IF(J43&lt;&gt;"",J43,IF(H43="TIMESTAMP",DAY(INT(M43/1440))&amp;" "&amp;INDEX(nLIST_Months,MONTH(INT(M43/1440)))&amp;" "&amp;YEAR(INT(M43/1440))&amp;" "&amp;RIGHT("0"&amp;INT(MOD(M43,1440)/60),2)&amp;":"&amp;RIGHT("0"&amp;MOD(M43,60),2)&amp;IF(L43=1," (UTC"&amp;I43&amp;")"," (offset unknown)"),IF(H43="DATE",DAY(O43)&amp;" "&amp;INDEX(nLIST_Months,MONTH(O43))&amp;" "&amp;YEAR(O43),IF(H43="MONTH",INDEX(nLIST_Months,MONTH(O43))&amp;" "&amp;YEAR(O43)&amp;" ("&amp;DAY(O43)&amp;" "&amp;INDEX(nLIST_Months,MONTH(O43))&amp;" "&amp;YEAR(O43)&amp;" to "&amp;DAY(P43)&amp;" "&amp;INDEX(nLIST_Months,MONTH(P43))&amp;" "&amp;YEAR(P43)&amp;")",IF(H43="YEAR",YEAR(O43)&amp;" (1 January to 31 December)",DAY(O43)&amp;" "&amp;INDEX(nLIST_Months,MONTH(O43))&amp;" "&amp;YEAR(O43)&amp;" to "&amp;DAY(P43)&amp;" "&amp;INDEX(nLIST_Months,MONTH(P43))&amp;" "&amp;YEAR(P43)))))))</f>
        <v>18 November 2024</v>
      </c>
      <c r="S43" s="20" t="str">
        <f>IF(B43="","",Exposures!$M43&amp;"")</f>
        <v>same cycles as rituximab</v>
      </c>
      <c r="T43" s="20" t="str">
        <f>IF(B43="","",Exposures!$V43&amp;"")</f>
        <v>Hematology summary</v>
      </c>
      <c r="U43" s="20" t="str">
        <f>IF(B43="","","Exposures row "&amp;ROW(Exposures!$A43)&amp;", Start")</f>
        <v>Exposures row 43, Start</v>
      </c>
      <c r="V43" s="20">
        <f>IF(A43="",0,COUNTIF(nTP_Key,A43))</f>
        <v>1</v>
      </c>
      <c r="W43" s="20">
        <f t="shared" si="4"/>
        <v>0</v>
      </c>
      <c r="X43" s="20">
        <f t="shared" si="5"/>
        <v>0</v>
      </c>
      <c r="Y43" s="20">
        <f t="shared" si="6"/>
        <v>45614</v>
      </c>
      <c r="Z43" s="20">
        <f t="shared" si="7"/>
        <v>45614</v>
      </c>
    </row>
    <row r="44" spans="1:26" x14ac:dyDescent="0.2">
      <c r="A44" s="20" t="str">
        <f t="shared" si="0"/>
        <v>EX-C28|2|EX-AVA/START</v>
      </c>
      <c r="B44" s="20" t="str">
        <f>IF(AND(Exposures!$D44&lt;&gt;"",COUNTA(Exposures!$N44:$U44)&gt;0),Exposures!$D44&amp;"/START","")</f>
        <v>EX-AVA/START</v>
      </c>
      <c r="C44" s="20" t="str">
        <f t="shared" si="8"/>
        <v>EXPOSURE_START</v>
      </c>
      <c r="D44" s="20" t="str">
        <f>IF(B44="","",Exposures!$A44&amp;"")</f>
        <v>EX-C28</v>
      </c>
      <c r="E44" s="20" t="str">
        <f>IF(B44="","",Exposures!$B44&amp;"")</f>
        <v>2</v>
      </c>
      <c r="F44" s="20" t="str">
        <f t="shared" si="2"/>
        <v>EX-C28|2</v>
      </c>
      <c r="G44" s="20" t="str">
        <f>IF(B44="","",Exposures!$D44&amp;"")</f>
        <v>EX-AVA</v>
      </c>
      <c r="H44" s="20" t="str">
        <f>IF(B44="","",Exposures!$N44&amp;"")</f>
        <v>DATE</v>
      </c>
      <c r="I44" s="20" t="str">
        <f>IF(B44="","",Exposures!$Q44&amp;"")</f>
        <v/>
      </c>
      <c r="J44" s="20" t="str">
        <f>IF(B44="","",Exposures!$W44&amp;"")</f>
        <v/>
      </c>
      <c r="K44" s="20">
        <f>IF(B44="",0,Exposures!$X44)</f>
        <v>0</v>
      </c>
      <c r="L44" s="20">
        <f>IF(B44="",0,Exposures!$Y44)</f>
        <v>0</v>
      </c>
      <c r="M44" s="20" t="str">
        <f>IF(B44="","",Exposures!$AB44)</f>
        <v/>
      </c>
      <c r="N44" s="20" t="str">
        <f>IF(B44="","",Exposures!$AC44)</f>
        <v/>
      </c>
      <c r="O44" s="27">
        <f>IF(B44="","",Exposures!$Z44)</f>
        <v>45607</v>
      </c>
      <c r="P44" s="27">
        <f>IF(B44="","",Exposures!$AA44)</f>
        <v>45607</v>
      </c>
      <c r="Q44" s="20" t="str">
        <f t="shared" si="3"/>
        <v>2024-11-11</v>
      </c>
      <c r="R44" s="20" t="str">
        <f>IF(A44="","",IF(J44&lt;&gt;"",J44,IF(H44="TIMESTAMP",DAY(INT(M44/1440))&amp;" "&amp;INDEX(nLIST_Months,MONTH(INT(M44/1440)))&amp;" "&amp;YEAR(INT(M44/1440))&amp;" "&amp;RIGHT("0"&amp;INT(MOD(M44,1440)/60),2)&amp;":"&amp;RIGHT("0"&amp;MOD(M44,60),2)&amp;IF(L44=1," (UTC"&amp;I44&amp;")"," (offset unknown)"),IF(H44="DATE",DAY(O44)&amp;" "&amp;INDEX(nLIST_Months,MONTH(O44))&amp;" "&amp;YEAR(O44),IF(H44="MONTH",INDEX(nLIST_Months,MONTH(O44))&amp;" "&amp;YEAR(O44)&amp;" ("&amp;DAY(O44)&amp;" "&amp;INDEX(nLIST_Months,MONTH(O44))&amp;" "&amp;YEAR(O44)&amp;" to "&amp;DAY(P44)&amp;" "&amp;INDEX(nLIST_Months,MONTH(P44))&amp;" "&amp;YEAR(P44)&amp;")",IF(H44="YEAR",YEAR(O44)&amp;" (1 January to 31 December)",DAY(O44)&amp;" "&amp;INDEX(nLIST_Months,MONTH(O44))&amp;" "&amp;YEAR(O44)&amp;" to "&amp;DAY(P44)&amp;" "&amp;INDEX(nLIST_Months,MONTH(P44))&amp;" "&amp;YEAR(P44)))))))</f>
        <v>11 November 2024</v>
      </c>
      <c r="S44" s="20" t="str">
        <f>IF(B44="","",Exposures!$M44&amp;"")</f>
        <v>Antiviral A prophylaxis 11/11/2024 to 03/09/2025</v>
      </c>
      <c r="T44" s="20" t="str">
        <f>IF(B44="","",Exposures!$V44&amp;"")</f>
        <v>Hematology summary</v>
      </c>
      <c r="U44" s="20" t="str">
        <f>IF(B44="","","Exposures row "&amp;ROW(Exposures!$A44)&amp;", Start")</f>
        <v>Exposures row 44, Start</v>
      </c>
      <c r="V44" s="20">
        <f>IF(A44="",0,COUNTIF(nTP_Key,A44))</f>
        <v>1</v>
      </c>
      <c r="W44" s="20">
        <f t="shared" si="4"/>
        <v>0</v>
      </c>
      <c r="X44" s="20">
        <f t="shared" si="5"/>
        <v>0</v>
      </c>
      <c r="Y44" s="20">
        <f t="shared" si="6"/>
        <v>45607</v>
      </c>
      <c r="Z44" s="20">
        <f t="shared" si="7"/>
        <v>45607</v>
      </c>
    </row>
    <row r="45" spans="1:26" x14ac:dyDescent="0.2">
      <c r="A45" s="20" t="str">
        <f t="shared" si="0"/>
        <v>EX-C28|2|EX-PRED/START</v>
      </c>
      <c r="B45" s="20" t="str">
        <f>IF(AND(Exposures!$D45&lt;&gt;"",COUNTA(Exposures!$N45:$U45)&gt;0),Exposures!$D45&amp;"/START","")</f>
        <v>EX-PRED/START</v>
      </c>
      <c r="C45" s="20" t="str">
        <f t="shared" si="8"/>
        <v>EXPOSURE_START</v>
      </c>
      <c r="D45" s="20" t="str">
        <f>IF(B45="","",Exposures!$A45&amp;"")</f>
        <v>EX-C28</v>
      </c>
      <c r="E45" s="20" t="str">
        <f>IF(B45="","",Exposures!$B45&amp;"")</f>
        <v>2</v>
      </c>
      <c r="F45" s="20" t="str">
        <f t="shared" si="2"/>
        <v>EX-C28|2</v>
      </c>
      <c r="G45" s="20" t="str">
        <f>IF(B45="","",Exposures!$D45&amp;"")</f>
        <v>EX-PRED</v>
      </c>
      <c r="H45" s="20" t="str">
        <f>IF(B45="","",Exposures!$N45&amp;"")</f>
        <v>DATE</v>
      </c>
      <c r="I45" s="20" t="str">
        <f>IF(B45="","",Exposures!$Q45&amp;"")</f>
        <v/>
      </c>
      <c r="J45" s="20" t="str">
        <f>IF(B45="","",Exposures!$W45&amp;"")</f>
        <v/>
      </c>
      <c r="K45" s="20">
        <f>IF(B45="",0,Exposures!$X45)</f>
        <v>0</v>
      </c>
      <c r="L45" s="20">
        <f>IF(B45="",0,Exposures!$Y45)</f>
        <v>0</v>
      </c>
      <c r="M45" s="20" t="str">
        <f>IF(B45="","",Exposures!$AB45)</f>
        <v/>
      </c>
      <c r="N45" s="20" t="str">
        <f>IF(B45="","",Exposures!$AC45)</f>
        <v/>
      </c>
      <c r="O45" s="27">
        <f>IF(B45="","",Exposures!$Z45)</f>
        <v>46083</v>
      </c>
      <c r="P45" s="27">
        <f>IF(B45="","",Exposures!$AA45)</f>
        <v>46083</v>
      </c>
      <c r="Q45" s="20" t="str">
        <f t="shared" si="3"/>
        <v>2026-03-02</v>
      </c>
      <c r="R45" s="20" t="str">
        <f>IF(A45="","",IF(J45&lt;&gt;"",J45,IF(H45="TIMESTAMP",DAY(INT(M45/1440))&amp;" "&amp;INDEX(nLIST_Months,MONTH(INT(M45/1440)))&amp;" "&amp;YEAR(INT(M45/1440))&amp;" "&amp;RIGHT("0"&amp;INT(MOD(M45,1440)/60),2)&amp;":"&amp;RIGHT("0"&amp;MOD(M45,60),2)&amp;IF(L45=1," (UTC"&amp;I45&amp;")"," (offset unknown)"),IF(H45="DATE",DAY(O45)&amp;" "&amp;INDEX(nLIST_Months,MONTH(O45))&amp;" "&amp;YEAR(O45),IF(H45="MONTH",INDEX(nLIST_Months,MONTH(O45))&amp;" "&amp;YEAR(O45)&amp;" ("&amp;DAY(O45)&amp;" "&amp;INDEX(nLIST_Months,MONTH(O45))&amp;" "&amp;YEAR(O45)&amp;" to "&amp;DAY(P45)&amp;" "&amp;INDEX(nLIST_Months,MONTH(P45))&amp;" "&amp;YEAR(P45)&amp;")",IF(H45="YEAR",YEAR(O45)&amp;" (1 January to 31 December)",DAY(O45)&amp;" "&amp;INDEX(nLIST_Months,MONTH(O45))&amp;" "&amp;YEAR(O45)&amp;" to "&amp;DAY(P45)&amp;" "&amp;INDEX(nLIST_Months,MONTH(P45))&amp;" "&amp;YEAR(P45)))))))</f>
        <v>2 March 2026</v>
      </c>
      <c r="S45" s="20" t="str">
        <f>IF(B45="","",Exposures!$M45&amp;"")</f>
        <v>10-day oral prednisolone course 02-11/03/2026</v>
      </c>
      <c r="T45" s="20" t="str">
        <f>IF(B45="","",Exposures!$V45&amp;"")</f>
        <v>Hepatology letter</v>
      </c>
      <c r="U45" s="20" t="str">
        <f>IF(B45="","","Exposures row "&amp;ROW(Exposures!$A45)&amp;", Start")</f>
        <v>Exposures row 45, Start</v>
      </c>
      <c r="V45" s="20">
        <f>IF(A45="",0,COUNTIF(nTP_Key,A45))</f>
        <v>1</v>
      </c>
      <c r="W45" s="20">
        <f t="shared" si="4"/>
        <v>0</v>
      </c>
      <c r="X45" s="20">
        <f t="shared" si="5"/>
        <v>0</v>
      </c>
      <c r="Y45" s="20">
        <f t="shared" si="6"/>
        <v>46083</v>
      </c>
      <c r="Z45" s="20">
        <f t="shared" si="7"/>
        <v>46083</v>
      </c>
    </row>
    <row r="46" spans="1:26" x14ac:dyDescent="0.2">
      <c r="A46" s="20" t="str">
        <f t="shared" si="0"/>
        <v>EX-C28|2|EX-AVA2/START</v>
      </c>
      <c r="B46" s="20" t="str">
        <f>IF(AND(Exposures!$D46&lt;&gt;"",COUNTA(Exposures!$N46:$U46)&gt;0),Exposures!$D46&amp;"/START","")</f>
        <v>EX-AVA2/START</v>
      </c>
      <c r="C46" s="20" t="str">
        <f t="shared" si="8"/>
        <v>EXPOSURE_START</v>
      </c>
      <c r="D46" s="20" t="str">
        <f>IF(B46="","",Exposures!$A46&amp;"")</f>
        <v>EX-C28</v>
      </c>
      <c r="E46" s="20" t="str">
        <f>IF(B46="","",Exposures!$B46&amp;"")</f>
        <v>2</v>
      </c>
      <c r="F46" s="20" t="str">
        <f t="shared" si="2"/>
        <v>EX-C28|2</v>
      </c>
      <c r="G46" s="20" t="str">
        <f>IF(B46="","",Exposures!$D46&amp;"")</f>
        <v>EX-AVA2</v>
      </c>
      <c r="H46" s="20" t="str">
        <f>IF(B46="","",Exposures!$N46&amp;"")</f>
        <v>DATE</v>
      </c>
      <c r="I46" s="20" t="str">
        <f>IF(B46="","",Exposures!$Q46&amp;"")</f>
        <v/>
      </c>
      <c r="J46" s="20" t="str">
        <f>IF(B46="","",Exposures!$W46&amp;"")</f>
        <v/>
      </c>
      <c r="K46" s="20">
        <f>IF(B46="",0,Exposures!$X46)</f>
        <v>0</v>
      </c>
      <c r="L46" s="20">
        <f>IF(B46="",0,Exposures!$Y46)</f>
        <v>0</v>
      </c>
      <c r="M46" s="20" t="str">
        <f>IF(B46="","",Exposures!$AB46)</f>
        <v/>
      </c>
      <c r="N46" s="20" t="str">
        <f>IF(B46="","",Exposures!$AC46)</f>
        <v/>
      </c>
      <c r="O46" s="27">
        <f>IF(B46="","",Exposures!$Z46)</f>
        <v>46169</v>
      </c>
      <c r="P46" s="27">
        <f>IF(B46="","",Exposures!$AA46)</f>
        <v>46169</v>
      </c>
      <c r="Q46" s="20" t="str">
        <f t="shared" si="3"/>
        <v>2026-05-27</v>
      </c>
      <c r="R46" s="20" t="str">
        <f>IF(A46="","",IF(J46&lt;&gt;"",J46,IF(H46="TIMESTAMP",DAY(INT(M46/1440))&amp;" "&amp;INDEX(nLIST_Months,MONTH(INT(M46/1440)))&amp;" "&amp;YEAR(INT(M46/1440))&amp;" "&amp;RIGHT("0"&amp;INT(MOD(M46,1440)/60),2)&amp;":"&amp;RIGHT("0"&amp;MOD(M46,60),2)&amp;IF(L46=1," (UTC"&amp;I46&amp;")"," (offset unknown)"),IF(H46="DATE",DAY(O46)&amp;" "&amp;INDEX(nLIST_Months,MONTH(O46))&amp;" "&amp;YEAR(O46),IF(H46="MONTH",INDEX(nLIST_Months,MONTH(O46))&amp;" "&amp;YEAR(O46)&amp;" ("&amp;DAY(O46)&amp;" "&amp;INDEX(nLIST_Months,MONTH(O46))&amp;" "&amp;YEAR(O46)&amp;" to "&amp;DAY(P46)&amp;" "&amp;INDEX(nLIST_Months,MONTH(P46))&amp;" "&amp;YEAR(P46)&amp;")",IF(H46="YEAR",YEAR(O46)&amp;" (1 January to 31 December)",DAY(O46)&amp;" "&amp;INDEX(nLIST_Months,MONTH(O46))&amp;" "&amp;YEAR(O46)&amp;" to "&amp;DAY(P46)&amp;" "&amp;INDEX(nLIST_Months,MONTH(P46))&amp;" "&amp;YEAR(P46)))))))</f>
        <v>27 May 2026</v>
      </c>
      <c r="S46" s="20" t="str">
        <f>IF(B46="","",Exposures!$M46&amp;"")</f>
        <v>Antiviral A restarted 27/05/2026</v>
      </c>
      <c r="T46" s="20" t="str">
        <f>IF(B46="","",Exposures!$V46&amp;"")</f>
        <v>Hepatology letter</v>
      </c>
      <c r="U46" s="20" t="str">
        <f>IF(B46="","","Exposures row "&amp;ROW(Exposures!$A46)&amp;", Start")</f>
        <v>Exposures row 46, Start</v>
      </c>
      <c r="V46" s="20">
        <f>IF(A46="",0,COUNTIF(nTP_Key,A46))</f>
        <v>1</v>
      </c>
      <c r="W46" s="20">
        <f t="shared" si="4"/>
        <v>0</v>
      </c>
      <c r="X46" s="20">
        <f t="shared" si="5"/>
        <v>0</v>
      </c>
      <c r="Y46" s="20">
        <f t="shared" si="6"/>
        <v>46169</v>
      </c>
      <c r="Z46" s="20">
        <f t="shared" si="7"/>
        <v>46169</v>
      </c>
    </row>
    <row r="47" spans="1:26" x14ac:dyDescent="0.2">
      <c r="A47" s="20" t="str">
        <f t="shared" si="0"/>
        <v/>
      </c>
      <c r="B47" s="20" t="str">
        <f>IF(AND(Exposures!$D47&lt;&gt;"",COUNTA(Exposures!$N47:$U47)&gt;0),Exposures!$D47&amp;"/START","")</f>
        <v/>
      </c>
      <c r="C47" s="20" t="str">
        <f t="shared" si="8"/>
        <v/>
      </c>
      <c r="D47" s="20" t="str">
        <f>IF(B47="","",Exposures!$A47&amp;"")</f>
        <v/>
      </c>
      <c r="E47" s="20" t="str">
        <f>IF(B47="","",Exposures!$B47&amp;"")</f>
        <v/>
      </c>
      <c r="F47" s="20" t="str">
        <f t="shared" si="2"/>
        <v/>
      </c>
      <c r="G47" s="20" t="str">
        <f>IF(B47="","",Exposures!$D47&amp;"")</f>
        <v/>
      </c>
      <c r="H47" s="20" t="str">
        <f>IF(B47="","",Exposures!$N47&amp;"")</f>
        <v/>
      </c>
      <c r="I47" s="20" t="str">
        <f>IF(B47="","",Exposures!$Q47&amp;"")</f>
        <v/>
      </c>
      <c r="J47" s="20" t="str">
        <f>IF(B47="","",Exposures!$W47&amp;"")</f>
        <v/>
      </c>
      <c r="K47" s="20">
        <f>IF(B47="",0,Exposures!$X47)</f>
        <v>0</v>
      </c>
      <c r="L47" s="20">
        <f>IF(B47="",0,Exposures!$Y47)</f>
        <v>0</v>
      </c>
      <c r="M47" s="20" t="str">
        <f>IF(B47="","",Exposures!$AB47)</f>
        <v/>
      </c>
      <c r="N47" s="20" t="str">
        <f>IF(B47="","",Exposures!$AC47)</f>
        <v/>
      </c>
      <c r="O47" s="27" t="str">
        <f>IF(B47="","",Exposures!$Z47)</f>
        <v/>
      </c>
      <c r="P47" s="27" t="str">
        <f>IF(B47="","",Exposures!$AA47)</f>
        <v/>
      </c>
      <c r="Q47" s="20" t="str">
        <f t="shared" si="3"/>
        <v/>
      </c>
      <c r="R47" s="20" t="str">
        <f>IF(A47="","",IF(J47&lt;&gt;"",J47,IF(H47="TIMESTAMP",DAY(INT(M47/1440))&amp;" "&amp;INDEX(nLIST_Months,MONTH(INT(M47/1440)))&amp;" "&amp;YEAR(INT(M47/1440))&amp;" "&amp;RIGHT("0"&amp;INT(MOD(M47,1440)/60),2)&amp;":"&amp;RIGHT("0"&amp;MOD(M47,60),2)&amp;IF(L47=1," (UTC"&amp;I47&amp;")"," (offset unknown)"),IF(H47="DATE",DAY(O47)&amp;" "&amp;INDEX(nLIST_Months,MONTH(O47))&amp;" "&amp;YEAR(O47),IF(H47="MONTH",INDEX(nLIST_Months,MONTH(O47))&amp;" "&amp;YEAR(O47)&amp;" ("&amp;DAY(O47)&amp;" "&amp;INDEX(nLIST_Months,MONTH(O47))&amp;" "&amp;YEAR(O47)&amp;" to "&amp;DAY(P47)&amp;" "&amp;INDEX(nLIST_Months,MONTH(P47))&amp;" "&amp;YEAR(P47)&amp;")",IF(H47="YEAR",YEAR(O47)&amp;" (1 January to 31 December)",DAY(O47)&amp;" "&amp;INDEX(nLIST_Months,MONTH(O47))&amp;" "&amp;YEAR(O47)&amp;" to "&amp;DAY(P47)&amp;" "&amp;INDEX(nLIST_Months,MONTH(P47))&amp;" "&amp;YEAR(P47)))))))</f>
        <v/>
      </c>
      <c r="S47" s="20" t="str">
        <f>IF(B47="","",Exposures!$M47&amp;"")</f>
        <v/>
      </c>
      <c r="T47" s="20" t="str">
        <f>IF(B47="","",Exposures!$V47&amp;"")</f>
        <v/>
      </c>
      <c r="U47" s="20" t="str">
        <f>IF(B47="","","Exposures row "&amp;ROW(Exposures!$A47)&amp;", Start")</f>
        <v/>
      </c>
      <c r="V47" s="20">
        <f>IF(A47="",0,COUNTIF(nTP_Key,A47))</f>
        <v>0</v>
      </c>
      <c r="W47" s="20">
        <f t="shared" si="4"/>
        <v>0</v>
      </c>
      <c r="X47" s="20">
        <f t="shared" si="5"/>
        <v>0</v>
      </c>
      <c r="Y47" s="20">
        <f t="shared" si="6"/>
        <v>0</v>
      </c>
      <c r="Z47" s="20">
        <f t="shared" si="7"/>
        <v>0</v>
      </c>
    </row>
    <row r="48" spans="1:26" x14ac:dyDescent="0.2">
      <c r="A48" s="20" t="str">
        <f t="shared" si="0"/>
        <v>VEC-V01|1|EX1/START</v>
      </c>
      <c r="B48" s="20" t="str">
        <f>IF(AND(Exposures!$D48&lt;&gt;"",COUNTA(Exposures!$N48:$U48)&gt;0),Exposures!$D48&amp;"/START","")</f>
        <v>EX1/START</v>
      </c>
      <c r="C48" s="20" t="str">
        <f t="shared" si="8"/>
        <v>EXPOSURE_START</v>
      </c>
      <c r="D48" s="20" t="str">
        <f>IF(B48="","",Exposures!$A48&amp;"")</f>
        <v>VEC-V01</v>
      </c>
      <c r="E48" s="20" t="str">
        <f>IF(B48="","",Exposures!$B48&amp;"")</f>
        <v>1</v>
      </c>
      <c r="F48" s="20" t="str">
        <f t="shared" si="2"/>
        <v>VEC-V01|1</v>
      </c>
      <c r="G48" s="20" t="str">
        <f>IF(B48="","",Exposures!$D48&amp;"")</f>
        <v>EX1</v>
      </c>
      <c r="H48" s="20" t="str">
        <f>IF(B48="","",Exposures!$N48&amp;"")</f>
        <v>TIMESTAMP</v>
      </c>
      <c r="I48" s="20" t="str">
        <f>IF(B48="","",Exposures!$Q48&amp;"")</f>
        <v>-05:00</v>
      </c>
      <c r="J48" s="20" t="str">
        <f>IF(B48="","",Exposures!$W48&amp;"")</f>
        <v/>
      </c>
      <c r="K48" s="20">
        <f>IF(B48="",0,Exposures!$X48)</f>
        <v>1</v>
      </c>
      <c r="L48" s="20">
        <f>IF(B48="",0,Exposures!$Y48)</f>
        <v>1</v>
      </c>
      <c r="M48" s="20">
        <f>IF(B48="","",Exposures!$AB48)</f>
        <v>66286620</v>
      </c>
      <c r="N48" s="20">
        <f>IF(B48="","",Exposures!$AC48)</f>
        <v>66286920</v>
      </c>
      <c r="O48" s="27">
        <f>IF(B48="","",Exposures!$Z48)</f>
        <v>46032</v>
      </c>
      <c r="P48" s="27">
        <f>IF(B48="","",Exposures!$AA48)</f>
        <v>46032</v>
      </c>
      <c r="Q48" s="20" t="str">
        <f t="shared" si="3"/>
        <v>2026-01-10T09:00-05:00</v>
      </c>
      <c r="R48" s="20" t="str">
        <f>IF(A48="","",IF(J48&lt;&gt;"",J48,IF(H48="TIMESTAMP",DAY(INT(M48/1440))&amp;" "&amp;INDEX(nLIST_Months,MONTH(INT(M48/1440)))&amp;" "&amp;YEAR(INT(M48/1440))&amp;" "&amp;RIGHT("0"&amp;INT(MOD(M48,1440)/60),2)&amp;":"&amp;RIGHT("0"&amp;MOD(M48,60),2)&amp;IF(L48=1," (UTC"&amp;I48&amp;")"," (offset unknown)"),IF(H48="DATE",DAY(O48)&amp;" "&amp;INDEX(nLIST_Months,MONTH(O48))&amp;" "&amp;YEAR(O48),IF(H48="MONTH",INDEX(nLIST_Months,MONTH(O48))&amp;" "&amp;YEAR(O48)&amp;" ("&amp;DAY(O48)&amp;" "&amp;INDEX(nLIST_Months,MONTH(O48))&amp;" "&amp;YEAR(O48)&amp;" to "&amp;DAY(P48)&amp;" "&amp;INDEX(nLIST_Months,MONTH(P48))&amp;" "&amp;YEAR(P48)&amp;")",IF(H48="YEAR",YEAR(O48)&amp;" (1 January to 31 December)",DAY(O48)&amp;" "&amp;INDEX(nLIST_Months,MONTH(O48))&amp;" "&amp;YEAR(O48)&amp;" to "&amp;DAY(P48)&amp;" "&amp;INDEX(nLIST_Months,MONTH(P48))&amp;" "&amp;YEAR(P48)))))))</f>
        <v>10 January 2026 09:00 (UTC-05:00)</v>
      </c>
      <c r="S48" s="20" t="str">
        <f>IF(B48="","",Exposures!$M48&amp;"")</f>
        <v>2026-01-10T09:00-05:00</v>
      </c>
      <c r="T48" s="20" t="str">
        <f>IF(B48="","",Exposures!$V48&amp;"")</f>
        <v>tto_calc_test_vectors_v1.0.json V01</v>
      </c>
      <c r="U48" s="20" t="str">
        <f>IF(B48="","","Exposures row "&amp;ROW(Exposures!$A48)&amp;", Start")</f>
        <v>Exposures row 48, Start</v>
      </c>
      <c r="V48" s="20">
        <f>IF(A48="",0,COUNTIF(nTP_Key,A48))</f>
        <v>1</v>
      </c>
      <c r="W48" s="20">
        <f t="shared" si="4"/>
        <v>66286620</v>
      </c>
      <c r="X48" s="20">
        <f t="shared" si="5"/>
        <v>66286920</v>
      </c>
      <c r="Y48" s="20">
        <f t="shared" si="6"/>
        <v>46032</v>
      </c>
      <c r="Z48" s="20">
        <f t="shared" si="7"/>
        <v>46032</v>
      </c>
    </row>
    <row r="49" spans="1:26" x14ac:dyDescent="0.2">
      <c r="A49" s="20" t="str">
        <f t="shared" si="0"/>
        <v>VEC-V02|1|EX1/START</v>
      </c>
      <c r="B49" s="20" t="str">
        <f>IF(AND(Exposures!$D49&lt;&gt;"",COUNTA(Exposures!$N49:$U49)&gt;0),Exposures!$D49&amp;"/START","")</f>
        <v>EX1/START</v>
      </c>
      <c r="C49" s="20" t="str">
        <f t="shared" si="8"/>
        <v>EXPOSURE_START</v>
      </c>
      <c r="D49" s="20" t="str">
        <f>IF(B49="","",Exposures!$A49&amp;"")</f>
        <v>VEC-V02</v>
      </c>
      <c r="E49" s="20" t="str">
        <f>IF(B49="","",Exposures!$B49&amp;"")</f>
        <v>1</v>
      </c>
      <c r="F49" s="20" t="str">
        <f t="shared" si="2"/>
        <v>VEC-V02|1</v>
      </c>
      <c r="G49" s="20" t="str">
        <f>IF(B49="","",Exposures!$D49&amp;"")</f>
        <v>EX1</v>
      </c>
      <c r="H49" s="20" t="str">
        <f>IF(B49="","",Exposures!$N49&amp;"")</f>
        <v>DATE</v>
      </c>
      <c r="I49" s="20" t="str">
        <f>IF(B49="","",Exposures!$Q49&amp;"")</f>
        <v/>
      </c>
      <c r="J49" s="20" t="str">
        <f>IF(B49="","",Exposures!$W49&amp;"")</f>
        <v/>
      </c>
      <c r="K49" s="20">
        <f>IF(B49="",0,Exposures!$X49)</f>
        <v>0</v>
      </c>
      <c r="L49" s="20">
        <f>IF(B49="",0,Exposures!$Y49)</f>
        <v>0</v>
      </c>
      <c r="M49" s="20" t="str">
        <f>IF(B49="","",Exposures!$AB49)</f>
        <v/>
      </c>
      <c r="N49" s="20" t="str">
        <f>IF(B49="","",Exposures!$AC49)</f>
        <v/>
      </c>
      <c r="O49" s="27">
        <f>IF(B49="","",Exposures!$Z49)</f>
        <v>46023</v>
      </c>
      <c r="P49" s="27">
        <f>IF(B49="","",Exposures!$AA49)</f>
        <v>46023</v>
      </c>
      <c r="Q49" s="20" t="str">
        <f t="shared" si="3"/>
        <v>2026-01-01</v>
      </c>
      <c r="R49" s="20" t="str">
        <f>IF(A49="","",IF(J49&lt;&gt;"",J49,IF(H49="TIMESTAMP",DAY(INT(M49/1440))&amp;" "&amp;INDEX(nLIST_Months,MONTH(INT(M49/1440)))&amp;" "&amp;YEAR(INT(M49/1440))&amp;" "&amp;RIGHT("0"&amp;INT(MOD(M49,1440)/60),2)&amp;":"&amp;RIGHT("0"&amp;MOD(M49,60),2)&amp;IF(L49=1," (UTC"&amp;I49&amp;")"," (offset unknown)"),IF(H49="DATE",DAY(O49)&amp;" "&amp;INDEX(nLIST_Months,MONTH(O49))&amp;" "&amp;YEAR(O49),IF(H49="MONTH",INDEX(nLIST_Months,MONTH(O49))&amp;" "&amp;YEAR(O49)&amp;" ("&amp;DAY(O49)&amp;" "&amp;INDEX(nLIST_Months,MONTH(O49))&amp;" "&amp;YEAR(O49)&amp;" to "&amp;DAY(P49)&amp;" "&amp;INDEX(nLIST_Months,MONTH(P49))&amp;" "&amp;YEAR(P49)&amp;")",IF(H49="YEAR",YEAR(O49)&amp;" (1 January to 31 December)",DAY(O49)&amp;" "&amp;INDEX(nLIST_Months,MONTH(O49))&amp;" "&amp;YEAR(O49)&amp;" to "&amp;DAY(P49)&amp;" "&amp;INDEX(nLIST_Months,MONTH(P49))&amp;" "&amp;YEAR(P49)))))))</f>
        <v>1 January 2026</v>
      </c>
      <c r="S49" s="20" t="str">
        <f>IF(B49="","",Exposures!$M49&amp;"")</f>
        <v>2026-01-01</v>
      </c>
      <c r="T49" s="20" t="str">
        <f>IF(B49="","",Exposures!$V49&amp;"")</f>
        <v>tto_calc_test_vectors_v1.0.json V02</v>
      </c>
      <c r="U49" s="20" t="str">
        <f>IF(B49="","","Exposures row "&amp;ROW(Exposures!$A49)&amp;", Start")</f>
        <v>Exposures row 49, Start</v>
      </c>
      <c r="V49" s="20">
        <f>IF(A49="",0,COUNTIF(nTP_Key,A49))</f>
        <v>1</v>
      </c>
      <c r="W49" s="20">
        <f t="shared" si="4"/>
        <v>0</v>
      </c>
      <c r="X49" s="20">
        <f t="shared" si="5"/>
        <v>0</v>
      </c>
      <c r="Y49" s="20">
        <f t="shared" si="6"/>
        <v>46023</v>
      </c>
      <c r="Z49" s="20">
        <f t="shared" si="7"/>
        <v>46023</v>
      </c>
    </row>
    <row r="50" spans="1:26" x14ac:dyDescent="0.2">
      <c r="A50" s="20" t="str">
        <f t="shared" si="0"/>
        <v>VEC-V03|1|EX1/START</v>
      </c>
      <c r="B50" s="20" t="str">
        <f>IF(AND(Exposures!$D50&lt;&gt;"",COUNTA(Exposures!$N50:$U50)&gt;0),Exposures!$D50&amp;"/START","")</f>
        <v>EX1/START</v>
      </c>
      <c r="C50" s="20" t="str">
        <f t="shared" si="8"/>
        <v>EXPOSURE_START</v>
      </c>
      <c r="D50" s="20" t="str">
        <f>IF(B50="","",Exposures!$A50&amp;"")</f>
        <v>VEC-V03</v>
      </c>
      <c r="E50" s="20" t="str">
        <f>IF(B50="","",Exposures!$B50&amp;"")</f>
        <v>1</v>
      </c>
      <c r="F50" s="20" t="str">
        <f t="shared" si="2"/>
        <v>VEC-V03|1</v>
      </c>
      <c r="G50" s="20" t="str">
        <f>IF(B50="","",Exposures!$D50&amp;"")</f>
        <v>EX1</v>
      </c>
      <c r="H50" s="20" t="str">
        <f>IF(B50="","",Exposures!$N50&amp;"")</f>
        <v>DATE</v>
      </c>
      <c r="I50" s="20" t="str">
        <f>IF(B50="","",Exposures!$Q50&amp;"")</f>
        <v/>
      </c>
      <c r="J50" s="20" t="str">
        <f>IF(B50="","",Exposures!$W50&amp;"")</f>
        <v/>
      </c>
      <c r="K50" s="20">
        <f>IF(B50="",0,Exposures!$X50)</f>
        <v>0</v>
      </c>
      <c r="L50" s="20">
        <f>IF(B50="",0,Exposures!$Y50)</f>
        <v>0</v>
      </c>
      <c r="M50" s="20" t="str">
        <f>IF(B50="","",Exposures!$AB50)</f>
        <v/>
      </c>
      <c r="N50" s="20" t="str">
        <f>IF(B50="","",Exposures!$AC50)</f>
        <v/>
      </c>
      <c r="O50" s="27">
        <f>IF(B50="","",Exposures!$Z50)</f>
        <v>46027</v>
      </c>
      <c r="P50" s="27">
        <f>IF(B50="","",Exposures!$AA50)</f>
        <v>46027</v>
      </c>
      <c r="Q50" s="20" t="str">
        <f t="shared" si="3"/>
        <v>2026-01-05</v>
      </c>
      <c r="R50" s="20" t="str">
        <f>IF(A50="","",IF(J50&lt;&gt;"",J50,IF(H50="TIMESTAMP",DAY(INT(M50/1440))&amp;" "&amp;INDEX(nLIST_Months,MONTH(INT(M50/1440)))&amp;" "&amp;YEAR(INT(M50/1440))&amp;" "&amp;RIGHT("0"&amp;INT(MOD(M50,1440)/60),2)&amp;":"&amp;RIGHT("0"&amp;MOD(M50,60),2)&amp;IF(L50=1," (UTC"&amp;I50&amp;")"," (offset unknown)"),IF(H50="DATE",DAY(O50)&amp;" "&amp;INDEX(nLIST_Months,MONTH(O50))&amp;" "&amp;YEAR(O50),IF(H50="MONTH",INDEX(nLIST_Months,MONTH(O50))&amp;" "&amp;YEAR(O50)&amp;" ("&amp;DAY(O50)&amp;" "&amp;INDEX(nLIST_Months,MONTH(O50))&amp;" "&amp;YEAR(O50)&amp;" to "&amp;DAY(P50)&amp;" "&amp;INDEX(nLIST_Months,MONTH(P50))&amp;" "&amp;YEAR(P50)&amp;")",IF(H50="YEAR",YEAR(O50)&amp;" (1 January to 31 December)",DAY(O50)&amp;" "&amp;INDEX(nLIST_Months,MONTH(O50))&amp;" "&amp;YEAR(O50)&amp;" to "&amp;DAY(P50)&amp;" "&amp;INDEX(nLIST_Months,MONTH(P50))&amp;" "&amp;YEAR(P50)))))))</f>
        <v>5 January 2026</v>
      </c>
      <c r="S50" s="20" t="str">
        <f>IF(B50="","",Exposures!$M50&amp;"")</f>
        <v>2026-01-05</v>
      </c>
      <c r="T50" s="20" t="str">
        <f>IF(B50="","",Exposures!$V50&amp;"")</f>
        <v>tto_calc_test_vectors_v1.0.json V03</v>
      </c>
      <c r="U50" s="20" t="str">
        <f>IF(B50="","","Exposures row "&amp;ROW(Exposures!$A50)&amp;", Start")</f>
        <v>Exposures row 50, Start</v>
      </c>
      <c r="V50" s="20">
        <f>IF(A50="",0,COUNTIF(nTP_Key,A50))</f>
        <v>1</v>
      </c>
      <c r="W50" s="20">
        <f t="shared" si="4"/>
        <v>0</v>
      </c>
      <c r="X50" s="20">
        <f t="shared" si="5"/>
        <v>0</v>
      </c>
      <c r="Y50" s="20">
        <f t="shared" si="6"/>
        <v>46027</v>
      </c>
      <c r="Z50" s="20">
        <f t="shared" si="7"/>
        <v>46027</v>
      </c>
    </row>
    <row r="51" spans="1:26" x14ac:dyDescent="0.2">
      <c r="A51" s="20" t="str">
        <f t="shared" si="0"/>
        <v>VEC-V04|1|EX1/START</v>
      </c>
      <c r="B51" s="20" t="str">
        <f>IF(AND(Exposures!$D51&lt;&gt;"",COUNTA(Exposures!$N51:$U51)&gt;0),Exposures!$D51&amp;"/START","")</f>
        <v>EX1/START</v>
      </c>
      <c r="C51" s="20" t="str">
        <f t="shared" si="8"/>
        <v>EXPOSURE_START</v>
      </c>
      <c r="D51" s="20" t="str">
        <f>IF(B51="","",Exposures!$A51&amp;"")</f>
        <v>VEC-V04</v>
      </c>
      <c r="E51" s="20" t="str">
        <f>IF(B51="","",Exposures!$B51&amp;"")</f>
        <v>1</v>
      </c>
      <c r="F51" s="20" t="str">
        <f t="shared" si="2"/>
        <v>VEC-V04|1</v>
      </c>
      <c r="G51" s="20" t="str">
        <f>IF(B51="","",Exposures!$D51&amp;"")</f>
        <v>EX1</v>
      </c>
      <c r="H51" s="20" t="str">
        <f>IF(B51="","",Exposures!$N51&amp;"")</f>
        <v>DATE</v>
      </c>
      <c r="I51" s="20" t="str">
        <f>IF(B51="","",Exposures!$Q51&amp;"")</f>
        <v/>
      </c>
      <c r="J51" s="20" t="str">
        <f>IF(B51="","",Exposures!$W51&amp;"")</f>
        <v/>
      </c>
      <c r="K51" s="20">
        <f>IF(B51="",0,Exposures!$X51)</f>
        <v>0</v>
      </c>
      <c r="L51" s="20">
        <f>IF(B51="",0,Exposures!$Y51)</f>
        <v>0</v>
      </c>
      <c r="M51" s="20" t="str">
        <f>IF(B51="","",Exposures!$AB51)</f>
        <v/>
      </c>
      <c r="N51" s="20" t="str">
        <f>IF(B51="","",Exposures!$AC51)</f>
        <v/>
      </c>
      <c r="O51" s="27">
        <f>IF(B51="","",Exposures!$Z51)</f>
        <v>45350</v>
      </c>
      <c r="P51" s="27">
        <f>IF(B51="","",Exposures!$AA51)</f>
        <v>45350</v>
      </c>
      <c r="Q51" s="20" t="str">
        <f t="shared" si="3"/>
        <v>2024-02-28</v>
      </c>
      <c r="R51" s="20" t="str">
        <f>IF(A51="","",IF(J51&lt;&gt;"",J51,IF(H51="TIMESTAMP",DAY(INT(M51/1440))&amp;" "&amp;INDEX(nLIST_Months,MONTH(INT(M51/1440)))&amp;" "&amp;YEAR(INT(M51/1440))&amp;" "&amp;RIGHT("0"&amp;INT(MOD(M51,1440)/60),2)&amp;":"&amp;RIGHT("0"&amp;MOD(M51,60),2)&amp;IF(L51=1," (UTC"&amp;I51&amp;")"," (offset unknown)"),IF(H51="DATE",DAY(O51)&amp;" "&amp;INDEX(nLIST_Months,MONTH(O51))&amp;" "&amp;YEAR(O51),IF(H51="MONTH",INDEX(nLIST_Months,MONTH(O51))&amp;" "&amp;YEAR(O51)&amp;" ("&amp;DAY(O51)&amp;" "&amp;INDEX(nLIST_Months,MONTH(O51))&amp;" "&amp;YEAR(O51)&amp;" to "&amp;DAY(P51)&amp;" "&amp;INDEX(nLIST_Months,MONTH(P51))&amp;" "&amp;YEAR(P51)&amp;")",IF(H51="YEAR",YEAR(O51)&amp;" (1 January to 31 December)",DAY(O51)&amp;" "&amp;INDEX(nLIST_Months,MONTH(O51))&amp;" "&amp;YEAR(O51)&amp;" to "&amp;DAY(P51)&amp;" "&amp;INDEX(nLIST_Months,MONTH(P51))&amp;" "&amp;YEAR(P51)))))))</f>
        <v>28 February 2024</v>
      </c>
      <c r="S51" s="20" t="str">
        <f>IF(B51="","",Exposures!$M51&amp;"")</f>
        <v>2024-02-28</v>
      </c>
      <c r="T51" s="20" t="str">
        <f>IF(B51="","",Exposures!$V51&amp;"")</f>
        <v>tto_calc_test_vectors_v1.0.json V04</v>
      </c>
      <c r="U51" s="20" t="str">
        <f>IF(B51="","","Exposures row "&amp;ROW(Exposures!$A51)&amp;", Start")</f>
        <v>Exposures row 51, Start</v>
      </c>
      <c r="V51" s="20">
        <f>IF(A51="",0,COUNTIF(nTP_Key,A51))</f>
        <v>1</v>
      </c>
      <c r="W51" s="20">
        <f t="shared" si="4"/>
        <v>0</v>
      </c>
      <c r="X51" s="20">
        <f t="shared" si="5"/>
        <v>0</v>
      </c>
      <c r="Y51" s="20">
        <f t="shared" si="6"/>
        <v>45350</v>
      </c>
      <c r="Z51" s="20">
        <f t="shared" si="7"/>
        <v>45350</v>
      </c>
    </row>
    <row r="52" spans="1:26" x14ac:dyDescent="0.2">
      <c r="A52" s="20" t="str">
        <f t="shared" si="0"/>
        <v>VEC-V05|1|EX1/START</v>
      </c>
      <c r="B52" s="20" t="str">
        <f>IF(AND(Exposures!$D52&lt;&gt;"",COUNTA(Exposures!$N52:$U52)&gt;0),Exposures!$D52&amp;"/START","")</f>
        <v>EX1/START</v>
      </c>
      <c r="C52" s="20" t="str">
        <f t="shared" si="8"/>
        <v>EXPOSURE_START</v>
      </c>
      <c r="D52" s="20" t="str">
        <f>IF(B52="","",Exposures!$A52&amp;"")</f>
        <v>VEC-V05</v>
      </c>
      <c r="E52" s="20" t="str">
        <f>IF(B52="","",Exposures!$B52&amp;"")</f>
        <v>1</v>
      </c>
      <c r="F52" s="20" t="str">
        <f t="shared" si="2"/>
        <v>VEC-V05|1</v>
      </c>
      <c r="G52" s="20" t="str">
        <f>IF(B52="","",Exposures!$D52&amp;"")</f>
        <v>EX1</v>
      </c>
      <c r="H52" s="20" t="str">
        <f>IF(B52="","",Exposures!$N52&amp;"")</f>
        <v>RANGE</v>
      </c>
      <c r="I52" s="20" t="str">
        <f>IF(B52="","",Exposures!$Q52&amp;"")</f>
        <v/>
      </c>
      <c r="J52" s="20" t="str">
        <f>IF(B52="","",Exposures!$W52&amp;"")</f>
        <v/>
      </c>
      <c r="K52" s="20">
        <f>IF(B52="",0,Exposures!$X52)</f>
        <v>0</v>
      </c>
      <c r="L52" s="20">
        <f>IF(B52="",0,Exposures!$Y52)</f>
        <v>0</v>
      </c>
      <c r="M52" s="20" t="str">
        <f>IF(B52="","",Exposures!$AB52)</f>
        <v/>
      </c>
      <c r="N52" s="20" t="str">
        <f>IF(B52="","",Exposures!$AC52)</f>
        <v/>
      </c>
      <c r="O52" s="27">
        <f>IF(B52="","",Exposures!$Z52)</f>
        <v>46023</v>
      </c>
      <c r="P52" s="27">
        <f>IF(B52="","",Exposures!$AA52)</f>
        <v>46032</v>
      </c>
      <c r="Q52" s="20" t="str">
        <f t="shared" si="3"/>
        <v>2026-01-01/2026-01-10</v>
      </c>
      <c r="R52" s="20" t="str">
        <f>IF(A52="","",IF(J52&lt;&gt;"",J52,IF(H52="TIMESTAMP",DAY(INT(M52/1440))&amp;" "&amp;INDEX(nLIST_Months,MONTH(INT(M52/1440)))&amp;" "&amp;YEAR(INT(M52/1440))&amp;" "&amp;RIGHT("0"&amp;INT(MOD(M52,1440)/60),2)&amp;":"&amp;RIGHT("0"&amp;MOD(M52,60),2)&amp;IF(L52=1," (UTC"&amp;I52&amp;")"," (offset unknown)"),IF(H52="DATE",DAY(O52)&amp;" "&amp;INDEX(nLIST_Months,MONTH(O52))&amp;" "&amp;YEAR(O52),IF(H52="MONTH",INDEX(nLIST_Months,MONTH(O52))&amp;" "&amp;YEAR(O52)&amp;" ("&amp;DAY(O52)&amp;" "&amp;INDEX(nLIST_Months,MONTH(O52))&amp;" "&amp;YEAR(O52)&amp;" to "&amp;DAY(P52)&amp;" "&amp;INDEX(nLIST_Months,MONTH(P52))&amp;" "&amp;YEAR(P52)&amp;")",IF(H52="YEAR",YEAR(O52)&amp;" (1 January to 31 December)",DAY(O52)&amp;" "&amp;INDEX(nLIST_Months,MONTH(O52))&amp;" "&amp;YEAR(O52)&amp;" to "&amp;DAY(P52)&amp;" "&amp;INDEX(nLIST_Months,MONTH(P52))&amp;" "&amp;YEAR(P52)))))))</f>
        <v>1 January 2026 to 10 January 2026</v>
      </c>
      <c r="S52" s="20" t="str">
        <f>IF(B52="","",Exposures!$M52&amp;"")</f>
        <v>start 1-10 January 2026</v>
      </c>
      <c r="T52" s="20" t="str">
        <f>IF(B52="","",Exposures!$V52&amp;"")</f>
        <v>tto_calc_test_vectors_v1.0.json V05</v>
      </c>
      <c r="U52" s="20" t="str">
        <f>IF(B52="","","Exposures row "&amp;ROW(Exposures!$A52)&amp;", Start")</f>
        <v>Exposures row 52, Start</v>
      </c>
      <c r="V52" s="20">
        <f>IF(A52="",0,COUNTIF(nTP_Key,A52))</f>
        <v>1</v>
      </c>
      <c r="W52" s="20">
        <f t="shared" si="4"/>
        <v>0</v>
      </c>
      <c r="X52" s="20">
        <f t="shared" si="5"/>
        <v>0</v>
      </c>
      <c r="Y52" s="20">
        <f t="shared" si="6"/>
        <v>46023</v>
      </c>
      <c r="Z52" s="20">
        <f t="shared" si="7"/>
        <v>46032</v>
      </c>
    </row>
    <row r="53" spans="1:26" x14ac:dyDescent="0.2">
      <c r="A53" s="20" t="str">
        <f t="shared" si="0"/>
        <v>VEC-V06|1|EX1/START</v>
      </c>
      <c r="B53" s="20" t="str">
        <f>IF(AND(Exposures!$D53&lt;&gt;"",COUNTA(Exposures!$N53:$U53)&gt;0),Exposures!$D53&amp;"/START","")</f>
        <v>EX1/START</v>
      </c>
      <c r="C53" s="20" t="str">
        <f t="shared" si="8"/>
        <v>EXPOSURE_START</v>
      </c>
      <c r="D53" s="20" t="str">
        <f>IF(B53="","",Exposures!$A53&amp;"")</f>
        <v>VEC-V06</v>
      </c>
      <c r="E53" s="20" t="str">
        <f>IF(B53="","",Exposures!$B53&amp;"")</f>
        <v>1</v>
      </c>
      <c r="F53" s="20" t="str">
        <f t="shared" si="2"/>
        <v>VEC-V06|1</v>
      </c>
      <c r="G53" s="20" t="str">
        <f>IF(B53="","",Exposures!$D53&amp;"")</f>
        <v>EX1</v>
      </c>
      <c r="H53" s="20" t="str">
        <f>IF(B53="","",Exposures!$N53&amp;"")</f>
        <v>RANGE</v>
      </c>
      <c r="I53" s="20" t="str">
        <f>IF(B53="","",Exposures!$Q53&amp;"")</f>
        <v/>
      </c>
      <c r="J53" s="20" t="str">
        <f>IF(B53="","",Exposures!$W53&amp;"")</f>
        <v/>
      </c>
      <c r="K53" s="20">
        <f>IF(B53="",0,Exposures!$X53)</f>
        <v>0</v>
      </c>
      <c r="L53" s="20">
        <f>IF(B53="",0,Exposures!$Y53)</f>
        <v>0</v>
      </c>
      <c r="M53" s="20" t="str">
        <f>IF(B53="","",Exposures!$AB53)</f>
        <v/>
      </c>
      <c r="N53" s="20" t="str">
        <f>IF(B53="","",Exposures!$AC53)</f>
        <v/>
      </c>
      <c r="O53" s="27">
        <f>IF(B53="","",Exposures!$Z53)</f>
        <v>46023</v>
      </c>
      <c r="P53" s="27">
        <f>IF(B53="","",Exposures!$AA53)</f>
        <v>46032</v>
      </c>
      <c r="Q53" s="20" t="str">
        <f t="shared" si="3"/>
        <v>2026-01-01/2026-01-10</v>
      </c>
      <c r="R53" s="20" t="str">
        <f>IF(A53="","",IF(J53&lt;&gt;"",J53,IF(H53="TIMESTAMP",DAY(INT(M53/1440))&amp;" "&amp;INDEX(nLIST_Months,MONTH(INT(M53/1440)))&amp;" "&amp;YEAR(INT(M53/1440))&amp;" "&amp;RIGHT("0"&amp;INT(MOD(M53,1440)/60),2)&amp;":"&amp;RIGHT("0"&amp;MOD(M53,60),2)&amp;IF(L53=1," (UTC"&amp;I53&amp;")"," (offset unknown)"),IF(H53="DATE",DAY(O53)&amp;" "&amp;INDEX(nLIST_Months,MONTH(O53))&amp;" "&amp;YEAR(O53),IF(H53="MONTH",INDEX(nLIST_Months,MONTH(O53))&amp;" "&amp;YEAR(O53)&amp;" ("&amp;DAY(O53)&amp;" "&amp;INDEX(nLIST_Months,MONTH(O53))&amp;" "&amp;YEAR(O53)&amp;" to "&amp;DAY(P53)&amp;" "&amp;INDEX(nLIST_Months,MONTH(P53))&amp;" "&amp;YEAR(P53)&amp;")",IF(H53="YEAR",YEAR(O53)&amp;" (1 January to 31 December)",DAY(O53)&amp;" "&amp;INDEX(nLIST_Months,MONTH(O53))&amp;" "&amp;YEAR(O53)&amp;" to "&amp;DAY(P53)&amp;" "&amp;INDEX(nLIST_Months,MONTH(P53))&amp;" "&amp;YEAR(P53)))))))</f>
        <v>1 January 2026 to 10 January 2026</v>
      </c>
      <c r="S53" s="20" t="str">
        <f>IF(B53="","",Exposures!$M53&amp;"")</f>
        <v>start 1-10 January 2026</v>
      </c>
      <c r="T53" s="20" t="str">
        <f>IF(B53="","",Exposures!$V53&amp;"")</f>
        <v>tto_calc_test_vectors_v1.0.json V06</v>
      </c>
      <c r="U53" s="20" t="str">
        <f>IF(B53="","","Exposures row "&amp;ROW(Exposures!$A53)&amp;", Start")</f>
        <v>Exposures row 53, Start</v>
      </c>
      <c r="V53" s="20">
        <f>IF(A53="",0,COUNTIF(nTP_Key,A53))</f>
        <v>1</v>
      </c>
      <c r="W53" s="20">
        <f t="shared" si="4"/>
        <v>0</v>
      </c>
      <c r="X53" s="20">
        <f t="shared" si="5"/>
        <v>0</v>
      </c>
      <c r="Y53" s="20">
        <f t="shared" si="6"/>
        <v>46023</v>
      </c>
      <c r="Z53" s="20">
        <f t="shared" si="7"/>
        <v>46032</v>
      </c>
    </row>
    <row r="54" spans="1:26" x14ac:dyDescent="0.2">
      <c r="A54" s="20" t="str">
        <f t="shared" si="0"/>
        <v>VEC-V07|1|EX1/START</v>
      </c>
      <c r="B54" s="20" t="str">
        <f>IF(AND(Exposures!$D54&lt;&gt;"",COUNTA(Exposures!$N54:$U54)&gt;0),Exposures!$D54&amp;"/START","")</f>
        <v>EX1/START</v>
      </c>
      <c r="C54" s="20" t="str">
        <f t="shared" si="8"/>
        <v>EXPOSURE_START</v>
      </c>
      <c r="D54" s="20" t="str">
        <f>IF(B54="","",Exposures!$A54&amp;"")</f>
        <v>VEC-V07</v>
      </c>
      <c r="E54" s="20" t="str">
        <f>IF(B54="","",Exposures!$B54&amp;"")</f>
        <v>1</v>
      </c>
      <c r="F54" s="20" t="str">
        <f t="shared" si="2"/>
        <v>VEC-V07|1</v>
      </c>
      <c r="G54" s="20" t="str">
        <f>IF(B54="","",Exposures!$D54&amp;"")</f>
        <v>EX1</v>
      </c>
      <c r="H54" s="20" t="str">
        <f>IF(B54="","",Exposures!$N54&amp;"")</f>
        <v>TIMESTAMP</v>
      </c>
      <c r="I54" s="20" t="str">
        <f>IF(B54="","",Exposures!$Q54&amp;"")</f>
        <v>-05:00</v>
      </c>
      <c r="J54" s="20" t="str">
        <f>IF(B54="","",Exposures!$W54&amp;"")</f>
        <v/>
      </c>
      <c r="K54" s="20">
        <f>IF(B54="",0,Exposures!$X54)</f>
        <v>1</v>
      </c>
      <c r="L54" s="20">
        <f>IF(B54="",0,Exposures!$Y54)</f>
        <v>1</v>
      </c>
      <c r="M54" s="20">
        <f>IF(B54="","",Exposures!$AB54)</f>
        <v>66358560</v>
      </c>
      <c r="N54" s="20">
        <f>IF(B54="","",Exposures!$AC54)</f>
        <v>66358860</v>
      </c>
      <c r="O54" s="27">
        <f>IF(B54="","",Exposures!$Z54)</f>
        <v>46082</v>
      </c>
      <c r="P54" s="27">
        <f>IF(B54="","",Exposures!$AA54)</f>
        <v>46082</v>
      </c>
      <c r="Q54" s="20" t="str">
        <f t="shared" si="3"/>
        <v>2026-03-01T08:00-05:00</v>
      </c>
      <c r="R54" s="20" t="str">
        <f>IF(A54="","",IF(J54&lt;&gt;"",J54,IF(H54="TIMESTAMP",DAY(INT(M54/1440))&amp;" "&amp;INDEX(nLIST_Months,MONTH(INT(M54/1440)))&amp;" "&amp;YEAR(INT(M54/1440))&amp;" "&amp;RIGHT("0"&amp;INT(MOD(M54,1440)/60),2)&amp;":"&amp;RIGHT("0"&amp;MOD(M54,60),2)&amp;IF(L54=1," (UTC"&amp;I54&amp;")"," (offset unknown)"),IF(H54="DATE",DAY(O54)&amp;" "&amp;INDEX(nLIST_Months,MONTH(O54))&amp;" "&amp;YEAR(O54),IF(H54="MONTH",INDEX(nLIST_Months,MONTH(O54))&amp;" "&amp;YEAR(O54)&amp;" ("&amp;DAY(O54)&amp;" "&amp;INDEX(nLIST_Months,MONTH(O54))&amp;" "&amp;YEAR(O54)&amp;" to "&amp;DAY(P54)&amp;" "&amp;INDEX(nLIST_Months,MONTH(P54))&amp;" "&amp;YEAR(P54)&amp;")",IF(H54="YEAR",YEAR(O54)&amp;" (1 January to 31 December)",DAY(O54)&amp;" "&amp;INDEX(nLIST_Months,MONTH(O54))&amp;" "&amp;YEAR(O54)&amp;" to "&amp;DAY(P54)&amp;" "&amp;INDEX(nLIST_Months,MONTH(P54))&amp;" "&amp;YEAR(P54)))))))</f>
        <v>1 March 2026 08:00 (UTC-05:00)</v>
      </c>
      <c r="S54" s="20" t="str">
        <f>IF(B54="","",Exposures!$M54&amp;"")</f>
        <v>first dose</v>
      </c>
      <c r="T54" s="20" t="str">
        <f>IF(B54="","",Exposures!$V54&amp;"")</f>
        <v>tto_calc_test_vectors_v1.0.json V07</v>
      </c>
      <c r="U54" s="20" t="str">
        <f>IF(B54="","","Exposures row "&amp;ROW(Exposures!$A54)&amp;", Start")</f>
        <v>Exposures row 54, Start</v>
      </c>
      <c r="V54" s="20">
        <f>IF(A54="",0,COUNTIF(nTP_Key,A54))</f>
        <v>1</v>
      </c>
      <c r="W54" s="20">
        <f t="shared" si="4"/>
        <v>66358560</v>
      </c>
      <c r="X54" s="20">
        <f t="shared" si="5"/>
        <v>66358860</v>
      </c>
      <c r="Y54" s="20">
        <f t="shared" si="6"/>
        <v>46082</v>
      </c>
      <c r="Z54" s="20">
        <f t="shared" si="7"/>
        <v>46082</v>
      </c>
    </row>
    <row r="55" spans="1:26" x14ac:dyDescent="0.2">
      <c r="A55" s="20" t="str">
        <f t="shared" si="0"/>
        <v>VEC-V08|1|EX1/START</v>
      </c>
      <c r="B55" s="20" t="str">
        <f>IF(AND(Exposures!$D55&lt;&gt;"",COUNTA(Exposures!$N55:$U55)&gt;0),Exposures!$D55&amp;"/START","")</f>
        <v>EX1/START</v>
      </c>
      <c r="C55" s="20" t="str">
        <f t="shared" si="8"/>
        <v>EXPOSURE_START</v>
      </c>
      <c r="D55" s="20" t="str">
        <f>IF(B55="","",Exposures!$A55&amp;"")</f>
        <v>VEC-V08</v>
      </c>
      <c r="E55" s="20" t="str">
        <f>IF(B55="","",Exposures!$B55&amp;"")</f>
        <v>1</v>
      </c>
      <c r="F55" s="20" t="str">
        <f t="shared" si="2"/>
        <v>VEC-V08|1</v>
      </c>
      <c r="G55" s="20" t="str">
        <f>IF(B55="","",Exposures!$D55&amp;"")</f>
        <v>EX1</v>
      </c>
      <c r="H55" s="20" t="str">
        <f>IF(B55="","",Exposures!$N55&amp;"")</f>
        <v>DATE</v>
      </c>
      <c r="I55" s="20" t="str">
        <f>IF(B55="","",Exposures!$Q55&amp;"")</f>
        <v/>
      </c>
      <c r="J55" s="20" t="str">
        <f>IF(B55="","",Exposures!$W55&amp;"")</f>
        <v/>
      </c>
      <c r="K55" s="20">
        <f>IF(B55="",0,Exposures!$X55)</f>
        <v>0</v>
      </c>
      <c r="L55" s="20">
        <f>IF(B55="",0,Exposures!$Y55)</f>
        <v>0</v>
      </c>
      <c r="M55" s="20" t="str">
        <f>IF(B55="","",Exposures!$AB55)</f>
        <v/>
      </c>
      <c r="N55" s="20" t="str">
        <f>IF(B55="","",Exposures!$AC55)</f>
        <v/>
      </c>
      <c r="O55" s="27">
        <f>IF(B55="","",Exposures!$Z55)</f>
        <v>46023</v>
      </c>
      <c r="P55" s="27">
        <f>IF(B55="","",Exposures!$AA55)</f>
        <v>46023</v>
      </c>
      <c r="Q55" s="20" t="str">
        <f t="shared" si="3"/>
        <v>2026-01-01</v>
      </c>
      <c r="R55" s="20" t="str">
        <f>IF(A55="","",IF(J55&lt;&gt;"",J55,IF(H55="TIMESTAMP",DAY(INT(M55/1440))&amp;" "&amp;INDEX(nLIST_Months,MONTH(INT(M55/1440)))&amp;" "&amp;YEAR(INT(M55/1440))&amp;" "&amp;RIGHT("0"&amp;INT(MOD(M55,1440)/60),2)&amp;":"&amp;RIGHT("0"&amp;MOD(M55,60),2)&amp;IF(L55=1," (UTC"&amp;I55&amp;")"," (offset unknown)"),IF(H55="DATE",DAY(O55)&amp;" "&amp;INDEX(nLIST_Months,MONTH(O55))&amp;" "&amp;YEAR(O55),IF(H55="MONTH",INDEX(nLIST_Months,MONTH(O55))&amp;" "&amp;YEAR(O55)&amp;" ("&amp;DAY(O55)&amp;" "&amp;INDEX(nLIST_Months,MONTH(O55))&amp;" "&amp;YEAR(O55)&amp;" to "&amp;DAY(P55)&amp;" "&amp;INDEX(nLIST_Months,MONTH(P55))&amp;" "&amp;YEAR(P55)&amp;")",IF(H55="YEAR",YEAR(O55)&amp;" (1 January to 31 December)",DAY(O55)&amp;" "&amp;INDEX(nLIST_Months,MONTH(O55))&amp;" "&amp;YEAR(O55)&amp;" to "&amp;DAY(P55)&amp;" "&amp;INDEX(nLIST_Months,MONTH(P55))&amp;" "&amp;YEAR(P55)))))))</f>
        <v>1 January 2026</v>
      </c>
      <c r="S55" s="20" t="str">
        <f>IF(B55="","",Exposures!$M55&amp;"")</f>
        <v>first administration</v>
      </c>
      <c r="T55" s="20" t="str">
        <f>IF(B55="","",Exposures!$V55&amp;"")</f>
        <v>tto_calc_test_vectors_v1.0.json V08</v>
      </c>
      <c r="U55" s="20" t="str">
        <f>IF(B55="","","Exposures row "&amp;ROW(Exposures!$A55)&amp;", Start")</f>
        <v>Exposures row 55, Start</v>
      </c>
      <c r="V55" s="20">
        <f>IF(A55="",0,COUNTIF(nTP_Key,A55))</f>
        <v>1</v>
      </c>
      <c r="W55" s="20">
        <f t="shared" si="4"/>
        <v>0</v>
      </c>
      <c r="X55" s="20">
        <f t="shared" si="5"/>
        <v>0</v>
      </c>
      <c r="Y55" s="20">
        <f t="shared" si="6"/>
        <v>46023</v>
      </c>
      <c r="Z55" s="20">
        <f t="shared" si="7"/>
        <v>46023</v>
      </c>
    </row>
    <row r="56" spans="1:26" x14ac:dyDescent="0.2">
      <c r="A56" s="20" t="str">
        <f t="shared" si="0"/>
        <v>VEC-V09|1|EX1/START</v>
      </c>
      <c r="B56" s="20" t="str">
        <f>IF(AND(Exposures!$D56&lt;&gt;"",COUNTA(Exposures!$N56:$U56)&gt;0),Exposures!$D56&amp;"/START","")</f>
        <v>EX1/START</v>
      </c>
      <c r="C56" s="20" t="str">
        <f t="shared" si="8"/>
        <v>EXPOSURE_START</v>
      </c>
      <c r="D56" s="20" t="str">
        <f>IF(B56="","",Exposures!$A56&amp;"")</f>
        <v>VEC-V09</v>
      </c>
      <c r="E56" s="20" t="str">
        <f>IF(B56="","",Exposures!$B56&amp;"")</f>
        <v>1</v>
      </c>
      <c r="F56" s="20" t="str">
        <f t="shared" si="2"/>
        <v>VEC-V09|1</v>
      </c>
      <c r="G56" s="20" t="str">
        <f>IF(B56="","",Exposures!$D56&amp;"")</f>
        <v>EX1</v>
      </c>
      <c r="H56" s="20" t="str">
        <f>IF(B56="","",Exposures!$N56&amp;"")</f>
        <v>TIMESTAMP</v>
      </c>
      <c r="I56" s="20" t="str">
        <f>IF(B56="","",Exposures!$Q56&amp;"")</f>
        <v>-04:00</v>
      </c>
      <c r="J56" s="20" t="str">
        <f>IF(B56="","",Exposures!$W56&amp;"")</f>
        <v/>
      </c>
      <c r="K56" s="20">
        <f>IF(B56="",0,Exposures!$X56)</f>
        <v>1</v>
      </c>
      <c r="L56" s="20">
        <f>IF(B56="",0,Exposures!$Y56)</f>
        <v>1</v>
      </c>
      <c r="M56" s="20">
        <f>IF(B56="","",Exposures!$AB56)</f>
        <v>66710970</v>
      </c>
      <c r="N56" s="20">
        <f>IF(B56="","",Exposures!$AC56)</f>
        <v>66711210</v>
      </c>
      <c r="O56" s="27">
        <f>IF(B56="","",Exposures!$Z56)</f>
        <v>46327</v>
      </c>
      <c r="P56" s="27">
        <f>IF(B56="","",Exposures!$AA56)</f>
        <v>46327</v>
      </c>
      <c r="Q56" s="20" t="str">
        <f t="shared" si="3"/>
        <v>2026-11-01T01:30-04:00</v>
      </c>
      <c r="R56" s="20" t="str">
        <f>IF(A56="","",IF(J56&lt;&gt;"",J56,IF(H56="TIMESTAMP",DAY(INT(M56/1440))&amp;" "&amp;INDEX(nLIST_Months,MONTH(INT(M56/1440)))&amp;" "&amp;YEAR(INT(M56/1440))&amp;" "&amp;RIGHT("0"&amp;INT(MOD(M56,1440)/60),2)&amp;":"&amp;RIGHT("0"&amp;MOD(M56,60),2)&amp;IF(L56=1," (UTC"&amp;I56&amp;")"," (offset unknown)"),IF(H56="DATE",DAY(O56)&amp;" "&amp;INDEX(nLIST_Months,MONTH(O56))&amp;" "&amp;YEAR(O56),IF(H56="MONTH",INDEX(nLIST_Months,MONTH(O56))&amp;" "&amp;YEAR(O56)&amp;" ("&amp;DAY(O56)&amp;" "&amp;INDEX(nLIST_Months,MONTH(O56))&amp;" "&amp;YEAR(O56)&amp;" to "&amp;DAY(P56)&amp;" "&amp;INDEX(nLIST_Months,MONTH(P56))&amp;" "&amp;YEAR(P56)&amp;")",IF(H56="YEAR",YEAR(O56)&amp;" (1 January to 31 December)",DAY(O56)&amp;" "&amp;INDEX(nLIST_Months,MONTH(O56))&amp;" "&amp;YEAR(O56)&amp;" to "&amp;DAY(P56)&amp;" "&amp;INDEX(nLIST_Months,MONTH(P56))&amp;" "&amp;YEAR(P56)))))))</f>
        <v>1 November 2026 01:30 (UTC-04:00)</v>
      </c>
      <c r="S56" s="20" t="str">
        <f>IF(B56="","",Exposures!$M56&amp;"")</f>
        <v>2026-11-01T01:30-04:00</v>
      </c>
      <c r="T56" s="20" t="str">
        <f>IF(B56="","",Exposures!$V56&amp;"")</f>
        <v>tto_calc_test_vectors_v1.0.json V09</v>
      </c>
      <c r="U56" s="20" t="str">
        <f>IF(B56="","","Exposures row "&amp;ROW(Exposures!$A56)&amp;", Start")</f>
        <v>Exposures row 56, Start</v>
      </c>
      <c r="V56" s="20">
        <f>IF(A56="",0,COUNTIF(nTP_Key,A56))</f>
        <v>1</v>
      </c>
      <c r="W56" s="20">
        <f t="shared" si="4"/>
        <v>66710970</v>
      </c>
      <c r="X56" s="20">
        <f t="shared" si="5"/>
        <v>66711210</v>
      </c>
      <c r="Y56" s="20">
        <f t="shared" si="6"/>
        <v>46327</v>
      </c>
      <c r="Z56" s="20">
        <f t="shared" si="7"/>
        <v>46327</v>
      </c>
    </row>
    <row r="57" spans="1:26" x14ac:dyDescent="0.2">
      <c r="A57" s="20" t="str">
        <f t="shared" si="0"/>
        <v>VEC-V10|1|EX1/START</v>
      </c>
      <c r="B57" s="20" t="str">
        <f>IF(AND(Exposures!$D57&lt;&gt;"",COUNTA(Exposures!$N57:$U57)&gt;0),Exposures!$D57&amp;"/START","")</f>
        <v>EX1/START</v>
      </c>
      <c r="C57" s="20" t="str">
        <f t="shared" si="8"/>
        <v>EXPOSURE_START</v>
      </c>
      <c r="D57" s="20" t="str">
        <f>IF(B57="","",Exposures!$A57&amp;"")</f>
        <v>VEC-V10</v>
      </c>
      <c r="E57" s="20" t="str">
        <f>IF(B57="","",Exposures!$B57&amp;"")</f>
        <v>1</v>
      </c>
      <c r="F57" s="20" t="str">
        <f t="shared" si="2"/>
        <v>VEC-V10|1</v>
      </c>
      <c r="G57" s="20" t="str">
        <f>IF(B57="","",Exposures!$D57&amp;"")</f>
        <v>EX1</v>
      </c>
      <c r="H57" s="20" t="str">
        <f>IF(B57="","",Exposures!$N57&amp;"")</f>
        <v>TIMESTAMP</v>
      </c>
      <c r="I57" s="20" t="str">
        <f>IF(B57="","",Exposures!$Q57&amp;"")</f>
        <v>unknown</v>
      </c>
      <c r="J57" s="20" t="str">
        <f>IF(B57="","",Exposures!$W57&amp;"")</f>
        <v/>
      </c>
      <c r="K57" s="20">
        <f>IF(B57="",0,Exposures!$X57)</f>
        <v>1</v>
      </c>
      <c r="L57" s="20">
        <f>IF(B57="",0,Exposures!$Y57)</f>
        <v>0</v>
      </c>
      <c r="M57" s="20">
        <f>IF(B57="","",Exposures!$AB57)</f>
        <v>66368250</v>
      </c>
      <c r="N57" s="20" t="str">
        <f>IF(B57="","",Exposures!$AC57)</f>
        <v/>
      </c>
      <c r="O57" s="27">
        <f>IF(B57="","",Exposures!$Z57)</f>
        <v>46089</v>
      </c>
      <c r="P57" s="27">
        <f>IF(B57="","",Exposures!$AA57)</f>
        <v>46089</v>
      </c>
      <c r="Q57" s="20" t="str">
        <f t="shared" si="3"/>
        <v>2026-03-08T01:30</v>
      </c>
      <c r="R57" s="20" t="str">
        <f>IF(A57="","",IF(J57&lt;&gt;"",J57,IF(H57="TIMESTAMP",DAY(INT(M57/1440))&amp;" "&amp;INDEX(nLIST_Months,MONTH(INT(M57/1440)))&amp;" "&amp;YEAR(INT(M57/1440))&amp;" "&amp;RIGHT("0"&amp;INT(MOD(M57,1440)/60),2)&amp;":"&amp;RIGHT("0"&amp;MOD(M57,60),2)&amp;IF(L57=1," (UTC"&amp;I57&amp;")"," (offset unknown)"),IF(H57="DATE",DAY(O57)&amp;" "&amp;INDEX(nLIST_Months,MONTH(O57))&amp;" "&amp;YEAR(O57),IF(H57="MONTH",INDEX(nLIST_Months,MONTH(O57))&amp;" "&amp;YEAR(O57)&amp;" ("&amp;DAY(O57)&amp;" "&amp;INDEX(nLIST_Months,MONTH(O57))&amp;" "&amp;YEAR(O57)&amp;" to "&amp;DAY(P57)&amp;" "&amp;INDEX(nLIST_Months,MONTH(P57))&amp;" "&amp;YEAR(P57)&amp;")",IF(H57="YEAR",YEAR(O57)&amp;" (1 January to 31 December)",DAY(O57)&amp;" "&amp;INDEX(nLIST_Months,MONTH(O57))&amp;" "&amp;YEAR(O57)&amp;" to "&amp;DAY(P57)&amp;" "&amp;INDEX(nLIST_Months,MONTH(P57))&amp;" "&amp;YEAR(P57)))))))</f>
        <v>8 March 2026 01:30 (offset unknown)</v>
      </c>
      <c r="S57" s="20" t="str">
        <f>IF(B57="","",Exposures!$M57&amp;"")</f>
        <v>2026-03-08T01:30 (offset unknown)</v>
      </c>
      <c r="T57" s="20" t="str">
        <f>IF(B57="","",Exposures!$V57&amp;"")</f>
        <v>tto_calc_test_vectors_v1.0.json V10</v>
      </c>
      <c r="U57" s="20" t="str">
        <f>IF(B57="","","Exposures row "&amp;ROW(Exposures!$A57)&amp;", Start")</f>
        <v>Exposures row 57, Start</v>
      </c>
      <c r="V57" s="20">
        <f>IF(A57="",0,COUNTIF(nTP_Key,A57))</f>
        <v>1</v>
      </c>
      <c r="W57" s="20">
        <f t="shared" si="4"/>
        <v>66368250</v>
      </c>
      <c r="X57" s="20">
        <f t="shared" si="5"/>
        <v>0</v>
      </c>
      <c r="Y57" s="20">
        <f t="shared" si="6"/>
        <v>46089</v>
      </c>
      <c r="Z57" s="20">
        <f t="shared" si="7"/>
        <v>46089</v>
      </c>
    </row>
    <row r="58" spans="1:26" x14ac:dyDescent="0.2">
      <c r="A58" s="20" t="str">
        <f t="shared" si="0"/>
        <v>VEC-V11|1|EX1/START</v>
      </c>
      <c r="B58" s="20" t="str">
        <f>IF(AND(Exposures!$D58&lt;&gt;"",COUNTA(Exposures!$N58:$U58)&gt;0),Exposures!$D58&amp;"/START","")</f>
        <v>EX1/START</v>
      </c>
      <c r="C58" s="20" t="str">
        <f t="shared" si="8"/>
        <v>EXPOSURE_START</v>
      </c>
      <c r="D58" s="20" t="str">
        <f>IF(B58="","",Exposures!$A58&amp;"")</f>
        <v>VEC-V11</v>
      </c>
      <c r="E58" s="20" t="str">
        <f>IF(B58="","",Exposures!$B58&amp;"")</f>
        <v>1</v>
      </c>
      <c r="F58" s="20" t="str">
        <f t="shared" si="2"/>
        <v>VEC-V11|1</v>
      </c>
      <c r="G58" s="20" t="str">
        <f>IF(B58="","",Exposures!$D58&amp;"")</f>
        <v>EX1</v>
      </c>
      <c r="H58" s="20" t="str">
        <f>IF(B58="","",Exposures!$N58&amp;"")</f>
        <v>TIMESTAMP</v>
      </c>
      <c r="I58" s="20" t="str">
        <f>IF(B58="","",Exposures!$Q58&amp;"")</f>
        <v>-05:00</v>
      </c>
      <c r="J58" s="20" t="str">
        <f>IF(B58="","",Exposures!$W58&amp;"")</f>
        <v/>
      </c>
      <c r="K58" s="20">
        <f>IF(B58="",0,Exposures!$X58)</f>
        <v>1</v>
      </c>
      <c r="L58" s="20">
        <f>IF(B58="",0,Exposures!$Y58)</f>
        <v>1</v>
      </c>
      <c r="M58" s="20">
        <f>IF(B58="","",Exposures!$AB58)</f>
        <v>66403200</v>
      </c>
      <c r="N58" s="20">
        <f>IF(B58="","",Exposures!$AC58)</f>
        <v>66403500</v>
      </c>
      <c r="O58" s="27">
        <f>IF(B58="","",Exposures!$Z58)</f>
        <v>46113</v>
      </c>
      <c r="P58" s="27">
        <f>IF(B58="","",Exposures!$AA58)</f>
        <v>46113</v>
      </c>
      <c r="Q58" s="20" t="str">
        <f t="shared" si="3"/>
        <v>2026-04-01T08:00-05:00</v>
      </c>
      <c r="R58" s="20" t="str">
        <f>IF(A58="","",IF(J58&lt;&gt;"",J58,IF(H58="TIMESTAMP",DAY(INT(M58/1440))&amp;" "&amp;INDEX(nLIST_Months,MONTH(INT(M58/1440)))&amp;" "&amp;YEAR(INT(M58/1440))&amp;" "&amp;RIGHT("0"&amp;INT(MOD(M58,1440)/60),2)&amp;":"&amp;RIGHT("0"&amp;MOD(M58,60),2)&amp;IF(L58=1," (UTC"&amp;I58&amp;")"," (offset unknown)"),IF(H58="DATE",DAY(O58)&amp;" "&amp;INDEX(nLIST_Months,MONTH(O58))&amp;" "&amp;YEAR(O58),IF(H58="MONTH",INDEX(nLIST_Months,MONTH(O58))&amp;" "&amp;YEAR(O58)&amp;" ("&amp;DAY(O58)&amp;" "&amp;INDEX(nLIST_Months,MONTH(O58))&amp;" "&amp;YEAR(O58)&amp;" to "&amp;DAY(P58)&amp;" "&amp;INDEX(nLIST_Months,MONTH(P58))&amp;" "&amp;YEAR(P58)&amp;")",IF(H58="YEAR",YEAR(O58)&amp;" (1 January to 31 December)",DAY(O58)&amp;" "&amp;INDEX(nLIST_Months,MONTH(O58))&amp;" "&amp;YEAR(O58)&amp;" to "&amp;DAY(P58)&amp;" "&amp;INDEX(nLIST_Months,MONTH(P58))&amp;" "&amp;YEAR(P58)))))))</f>
        <v>1 April 2026 08:00 (UTC-05:00)</v>
      </c>
      <c r="S58" s="20" t="str">
        <f>IF(B58="","",Exposures!$M58&amp;"")</f>
        <v>dose 08:00</v>
      </c>
      <c r="T58" s="20" t="str">
        <f>IF(B58="","",Exposures!$V58&amp;"")</f>
        <v>tto_calc_test_vectors_v1.0.json V11</v>
      </c>
      <c r="U58" s="20" t="str">
        <f>IF(B58="","","Exposures row "&amp;ROW(Exposures!$A58)&amp;", Start")</f>
        <v>Exposures row 58, Start</v>
      </c>
      <c r="V58" s="20">
        <f>IF(A58="",0,COUNTIF(nTP_Key,A58))</f>
        <v>1</v>
      </c>
      <c r="W58" s="20">
        <f t="shared" si="4"/>
        <v>66403200</v>
      </c>
      <c r="X58" s="20">
        <f t="shared" si="5"/>
        <v>66403500</v>
      </c>
      <c r="Y58" s="20">
        <f t="shared" si="6"/>
        <v>46113</v>
      </c>
      <c r="Z58" s="20">
        <f t="shared" si="7"/>
        <v>46113</v>
      </c>
    </row>
    <row r="59" spans="1:26" x14ac:dyDescent="0.2">
      <c r="A59" s="20" t="str">
        <f t="shared" si="0"/>
        <v>VEC-V12|1|EX1/START</v>
      </c>
      <c r="B59" s="20" t="str">
        <f>IF(AND(Exposures!$D59&lt;&gt;"",COUNTA(Exposures!$N59:$U59)&gt;0),Exposures!$D59&amp;"/START","")</f>
        <v>EX1/START</v>
      </c>
      <c r="C59" s="20" t="str">
        <f t="shared" si="8"/>
        <v>EXPOSURE_START</v>
      </c>
      <c r="D59" s="20" t="str">
        <f>IF(B59="","",Exposures!$A59&amp;"")</f>
        <v>VEC-V12</v>
      </c>
      <c r="E59" s="20" t="str">
        <f>IF(B59="","",Exposures!$B59&amp;"")</f>
        <v>1</v>
      </c>
      <c r="F59" s="20" t="str">
        <f t="shared" si="2"/>
        <v>VEC-V12|1</v>
      </c>
      <c r="G59" s="20" t="str">
        <f>IF(B59="","",Exposures!$D59&amp;"")</f>
        <v>EX1</v>
      </c>
      <c r="H59" s="20" t="str">
        <f>IF(B59="","",Exposures!$N59&amp;"")</f>
        <v>DATE</v>
      </c>
      <c r="I59" s="20" t="str">
        <f>IF(B59="","",Exposures!$Q59&amp;"")</f>
        <v/>
      </c>
      <c r="J59" s="20" t="str">
        <f>IF(B59="","",Exposures!$W59&amp;"")</f>
        <v/>
      </c>
      <c r="K59" s="20">
        <f>IF(B59="",0,Exposures!$X59)</f>
        <v>0</v>
      </c>
      <c r="L59" s="20">
        <f>IF(B59="",0,Exposures!$Y59)</f>
        <v>0</v>
      </c>
      <c r="M59" s="20" t="str">
        <f>IF(B59="","",Exposures!$AB59)</f>
        <v/>
      </c>
      <c r="N59" s="20" t="str">
        <f>IF(B59="","",Exposures!$AC59)</f>
        <v/>
      </c>
      <c r="O59" s="27">
        <f>IF(B59="","",Exposures!$Z59)</f>
        <v>46143</v>
      </c>
      <c r="P59" s="27">
        <f>IF(B59="","",Exposures!$AA59)</f>
        <v>46143</v>
      </c>
      <c r="Q59" s="20" t="str">
        <f t="shared" si="3"/>
        <v>2026-05-01</v>
      </c>
      <c r="R59" s="20" t="str">
        <f>IF(A59="","",IF(J59&lt;&gt;"",J59,IF(H59="TIMESTAMP",DAY(INT(M59/1440))&amp;" "&amp;INDEX(nLIST_Months,MONTH(INT(M59/1440)))&amp;" "&amp;YEAR(INT(M59/1440))&amp;" "&amp;RIGHT("0"&amp;INT(MOD(M59,1440)/60),2)&amp;":"&amp;RIGHT("0"&amp;MOD(M59,60),2)&amp;IF(L59=1," (UTC"&amp;I59&amp;")"," (offset unknown)"),IF(H59="DATE",DAY(O59)&amp;" "&amp;INDEX(nLIST_Months,MONTH(O59))&amp;" "&amp;YEAR(O59),IF(H59="MONTH",INDEX(nLIST_Months,MONTH(O59))&amp;" "&amp;YEAR(O59)&amp;" ("&amp;DAY(O59)&amp;" "&amp;INDEX(nLIST_Months,MONTH(O59))&amp;" "&amp;YEAR(O59)&amp;" to "&amp;DAY(P59)&amp;" "&amp;INDEX(nLIST_Months,MONTH(P59))&amp;" "&amp;YEAR(P59)&amp;")",IF(H59="YEAR",YEAR(O59)&amp;" (1 January to 31 December)",DAY(O59)&amp;" "&amp;INDEX(nLIST_Months,MONTH(O59))&amp;" "&amp;YEAR(O59)&amp;" to "&amp;DAY(P59)&amp;" "&amp;INDEX(nLIST_Months,MONTH(P59))&amp;" "&amp;YEAR(P59)))))))</f>
        <v>1 May 2026</v>
      </c>
      <c r="S59" s="20" t="str">
        <f>IF(B59="","",Exposures!$M59&amp;"")</f>
        <v>2026-05-01</v>
      </c>
      <c r="T59" s="20" t="str">
        <f>IF(B59="","",Exposures!$V59&amp;"")</f>
        <v>tto_calc_test_vectors_v1.0.json V12</v>
      </c>
      <c r="U59" s="20" t="str">
        <f>IF(B59="","","Exposures row "&amp;ROW(Exposures!$A59)&amp;", Start")</f>
        <v>Exposures row 59, Start</v>
      </c>
      <c r="V59" s="20">
        <f>IF(A59="",0,COUNTIF(nTP_Key,A59))</f>
        <v>1</v>
      </c>
      <c r="W59" s="20">
        <f t="shared" si="4"/>
        <v>0</v>
      </c>
      <c r="X59" s="20">
        <f t="shared" si="5"/>
        <v>0</v>
      </c>
      <c r="Y59" s="20">
        <f t="shared" si="6"/>
        <v>46143</v>
      </c>
      <c r="Z59" s="20">
        <f t="shared" si="7"/>
        <v>46143</v>
      </c>
    </row>
    <row r="60" spans="1:26" x14ac:dyDescent="0.2">
      <c r="A60" s="20" t="str">
        <f t="shared" si="0"/>
        <v>VEC-V12|2|EX1/START</v>
      </c>
      <c r="B60" s="20" t="str">
        <f>IF(AND(Exposures!$D60&lt;&gt;"",COUNTA(Exposures!$N60:$U60)&gt;0),Exposures!$D60&amp;"/START","")</f>
        <v>EX1/START</v>
      </c>
      <c r="C60" s="20" t="str">
        <f t="shared" si="8"/>
        <v>EXPOSURE_START</v>
      </c>
      <c r="D60" s="20" t="str">
        <f>IF(B60="","",Exposures!$A60&amp;"")</f>
        <v>VEC-V12</v>
      </c>
      <c r="E60" s="20" t="str">
        <f>IF(B60="","",Exposures!$B60&amp;"")</f>
        <v>2</v>
      </c>
      <c r="F60" s="20" t="str">
        <f t="shared" si="2"/>
        <v>VEC-V12|2</v>
      </c>
      <c r="G60" s="20" t="str">
        <f>IF(B60="","",Exposures!$D60&amp;"")</f>
        <v>EX1</v>
      </c>
      <c r="H60" s="20" t="str">
        <f>IF(B60="","",Exposures!$N60&amp;"")</f>
        <v>DATE</v>
      </c>
      <c r="I60" s="20" t="str">
        <f>IF(B60="","",Exposures!$Q60&amp;"")</f>
        <v/>
      </c>
      <c r="J60" s="20" t="str">
        <f>IF(B60="","",Exposures!$W60&amp;"")</f>
        <v/>
      </c>
      <c r="K60" s="20">
        <f>IF(B60="",0,Exposures!$X60)</f>
        <v>0</v>
      </c>
      <c r="L60" s="20">
        <f>IF(B60="",0,Exposures!$Y60)</f>
        <v>0</v>
      </c>
      <c r="M60" s="20" t="str">
        <f>IF(B60="","",Exposures!$AB60)</f>
        <v/>
      </c>
      <c r="N60" s="20" t="str">
        <f>IF(B60="","",Exposures!$AC60)</f>
        <v/>
      </c>
      <c r="O60" s="27">
        <f>IF(B60="","",Exposures!$Z60)</f>
        <v>46143</v>
      </c>
      <c r="P60" s="27">
        <f>IF(B60="","",Exposures!$AA60)</f>
        <v>46143</v>
      </c>
      <c r="Q60" s="20" t="str">
        <f t="shared" si="3"/>
        <v>2026-05-01</v>
      </c>
      <c r="R60" s="20" t="str">
        <f>IF(A60="","",IF(J60&lt;&gt;"",J60,IF(H60="TIMESTAMP",DAY(INT(M60/1440))&amp;" "&amp;INDEX(nLIST_Months,MONTH(INT(M60/1440)))&amp;" "&amp;YEAR(INT(M60/1440))&amp;" "&amp;RIGHT("0"&amp;INT(MOD(M60,1440)/60),2)&amp;":"&amp;RIGHT("0"&amp;MOD(M60,60),2)&amp;IF(L60=1," (UTC"&amp;I60&amp;")"," (offset unknown)"),IF(H60="DATE",DAY(O60)&amp;" "&amp;INDEX(nLIST_Months,MONTH(O60))&amp;" "&amp;YEAR(O60),IF(H60="MONTH",INDEX(nLIST_Months,MONTH(O60))&amp;" "&amp;YEAR(O60)&amp;" ("&amp;DAY(O60)&amp;" "&amp;INDEX(nLIST_Months,MONTH(O60))&amp;" "&amp;YEAR(O60)&amp;" to "&amp;DAY(P60)&amp;" "&amp;INDEX(nLIST_Months,MONTH(P60))&amp;" "&amp;YEAR(P60)&amp;")",IF(H60="YEAR",YEAR(O60)&amp;" (1 January to 31 December)",DAY(O60)&amp;" "&amp;INDEX(nLIST_Months,MONTH(O60))&amp;" "&amp;YEAR(O60)&amp;" to "&amp;DAY(P60)&amp;" "&amp;INDEX(nLIST_Months,MONTH(P60))&amp;" "&amp;YEAR(P60)))))))</f>
        <v>1 May 2026</v>
      </c>
      <c r="S60" s="20" t="str">
        <f>IF(B60="","",Exposures!$M60&amp;"")</f>
        <v>2026-05-01</v>
      </c>
      <c r="T60" s="20" t="str">
        <f>IF(B60="","",Exposures!$V60&amp;"")</f>
        <v>tto_calc_test_vectors_v1.0.json V12</v>
      </c>
      <c r="U60" s="20" t="str">
        <f>IF(B60="","","Exposures row "&amp;ROW(Exposures!$A60)&amp;", Start")</f>
        <v>Exposures row 60, Start</v>
      </c>
      <c r="V60" s="20">
        <f>IF(A60="",0,COUNTIF(nTP_Key,A60))</f>
        <v>1</v>
      </c>
      <c r="W60" s="20">
        <f t="shared" si="4"/>
        <v>0</v>
      </c>
      <c r="X60" s="20">
        <f t="shared" si="5"/>
        <v>0</v>
      </c>
      <c r="Y60" s="20">
        <f t="shared" si="6"/>
        <v>46143</v>
      </c>
      <c r="Z60" s="20">
        <f t="shared" si="7"/>
        <v>46143</v>
      </c>
    </row>
    <row r="61" spans="1:26" x14ac:dyDescent="0.2">
      <c r="A61" s="20" t="str">
        <f t="shared" si="0"/>
        <v>VEC-V13|1|EX1/START</v>
      </c>
      <c r="B61" s="20" t="str">
        <f>IF(AND(Exposures!$D61&lt;&gt;"",COUNTA(Exposures!$N61:$U61)&gt;0),Exposures!$D61&amp;"/START","")</f>
        <v>EX1/START</v>
      </c>
      <c r="C61" s="20" t="str">
        <f t="shared" si="8"/>
        <v>EXPOSURE_START</v>
      </c>
      <c r="D61" s="20" t="str">
        <f>IF(B61="","",Exposures!$A61&amp;"")</f>
        <v>VEC-V13</v>
      </c>
      <c r="E61" s="20" t="str">
        <f>IF(B61="","",Exposures!$B61&amp;"")</f>
        <v>1</v>
      </c>
      <c r="F61" s="20" t="str">
        <f t="shared" si="2"/>
        <v>VEC-V13|1</v>
      </c>
      <c r="G61" s="20" t="str">
        <f>IF(B61="","",Exposures!$D61&amp;"")</f>
        <v>EX1</v>
      </c>
      <c r="H61" s="20" t="str">
        <f>IF(B61="","",Exposures!$N61&amp;"")</f>
        <v>DATE</v>
      </c>
      <c r="I61" s="20" t="str">
        <f>IF(B61="","",Exposures!$Q61&amp;"")</f>
        <v/>
      </c>
      <c r="J61" s="20" t="str">
        <f>IF(B61="","",Exposures!$W61&amp;"")</f>
        <v/>
      </c>
      <c r="K61" s="20">
        <f>IF(B61="",0,Exposures!$X61)</f>
        <v>0</v>
      </c>
      <c r="L61" s="20">
        <f>IF(B61="",0,Exposures!$Y61)</f>
        <v>0</v>
      </c>
      <c r="M61" s="20" t="str">
        <f>IF(B61="","",Exposures!$AB61)</f>
        <v/>
      </c>
      <c r="N61" s="20" t="str">
        <f>IF(B61="","",Exposures!$AC61)</f>
        <v/>
      </c>
      <c r="O61" s="27">
        <f>IF(B61="","",Exposures!$Z61)</f>
        <v>46023</v>
      </c>
      <c r="P61" s="27">
        <f>IF(B61="","",Exposures!$AA61)</f>
        <v>46023</v>
      </c>
      <c r="Q61" s="20" t="str">
        <f t="shared" si="3"/>
        <v>2026-01-01</v>
      </c>
      <c r="R61" s="20" t="str">
        <f>IF(A61="","",IF(J61&lt;&gt;"",J61,IF(H61="TIMESTAMP",DAY(INT(M61/1440))&amp;" "&amp;INDEX(nLIST_Months,MONTH(INT(M61/1440)))&amp;" "&amp;YEAR(INT(M61/1440))&amp;" "&amp;RIGHT("0"&amp;INT(MOD(M61,1440)/60),2)&amp;":"&amp;RIGHT("0"&amp;MOD(M61,60),2)&amp;IF(L61=1," (UTC"&amp;I61&amp;")"," (offset unknown)"),IF(H61="DATE",DAY(O61)&amp;" "&amp;INDEX(nLIST_Months,MONTH(O61))&amp;" "&amp;YEAR(O61),IF(H61="MONTH",INDEX(nLIST_Months,MONTH(O61))&amp;" "&amp;YEAR(O61)&amp;" ("&amp;DAY(O61)&amp;" "&amp;INDEX(nLIST_Months,MONTH(O61))&amp;" "&amp;YEAR(O61)&amp;" to "&amp;DAY(P61)&amp;" "&amp;INDEX(nLIST_Months,MONTH(P61))&amp;" "&amp;YEAR(P61)&amp;")",IF(H61="YEAR",YEAR(O61)&amp;" (1 January to 31 December)",DAY(O61)&amp;" "&amp;INDEX(nLIST_Months,MONTH(O61))&amp;" "&amp;YEAR(O61)&amp;" to "&amp;DAY(P61)&amp;" "&amp;INDEX(nLIST_Months,MONTH(P61))&amp;" "&amp;YEAR(P61)))))))</f>
        <v>1 January 2026</v>
      </c>
      <c r="S61" s="20" t="str">
        <f>IF(B61="","",Exposures!$M61&amp;"")</f>
        <v>first of two episodes both called EX1</v>
      </c>
      <c r="T61" s="20" t="str">
        <f>IF(B61="","",Exposures!$V61&amp;"")</f>
        <v>tto_calc_test_vectors_v1.0.json V13</v>
      </c>
      <c r="U61" s="20" t="str">
        <f>IF(B61="","","Exposures row "&amp;ROW(Exposures!$A61)&amp;", Start")</f>
        <v>Exposures row 61, Start</v>
      </c>
      <c r="V61" s="20">
        <f>IF(A61="",0,COUNTIF(nTP_Key,A61))</f>
        <v>2</v>
      </c>
      <c r="W61" s="20">
        <f t="shared" si="4"/>
        <v>0</v>
      </c>
      <c r="X61" s="20">
        <f t="shared" si="5"/>
        <v>0</v>
      </c>
      <c r="Y61" s="20">
        <f t="shared" si="6"/>
        <v>46023</v>
      </c>
      <c r="Z61" s="20">
        <f t="shared" si="7"/>
        <v>46023</v>
      </c>
    </row>
    <row r="62" spans="1:26" x14ac:dyDescent="0.2">
      <c r="A62" s="20" t="str">
        <f t="shared" si="0"/>
        <v>VEC-V13|1|EX1/START</v>
      </c>
      <c r="B62" s="20" t="str">
        <f>IF(AND(Exposures!$D62&lt;&gt;"",COUNTA(Exposures!$N62:$U62)&gt;0),Exposures!$D62&amp;"/START","")</f>
        <v>EX1/START</v>
      </c>
      <c r="C62" s="20" t="str">
        <f t="shared" si="8"/>
        <v>EXPOSURE_START</v>
      </c>
      <c r="D62" s="20" t="str">
        <f>IF(B62="","",Exposures!$A62&amp;"")</f>
        <v>VEC-V13</v>
      </c>
      <c r="E62" s="20" t="str">
        <f>IF(B62="","",Exposures!$B62&amp;"")</f>
        <v>1</v>
      </c>
      <c r="F62" s="20" t="str">
        <f t="shared" si="2"/>
        <v>VEC-V13|1</v>
      </c>
      <c r="G62" s="20" t="str">
        <f>IF(B62="","",Exposures!$D62&amp;"")</f>
        <v>EX1</v>
      </c>
      <c r="H62" s="20" t="str">
        <f>IF(B62="","",Exposures!$N62&amp;"")</f>
        <v>DATE</v>
      </c>
      <c r="I62" s="20" t="str">
        <f>IF(B62="","",Exposures!$Q62&amp;"")</f>
        <v/>
      </c>
      <c r="J62" s="20" t="str">
        <f>IF(B62="","",Exposures!$W62&amp;"")</f>
        <v/>
      </c>
      <c r="K62" s="20">
        <f>IF(B62="",0,Exposures!$X62)</f>
        <v>0</v>
      </c>
      <c r="L62" s="20">
        <f>IF(B62="",0,Exposures!$Y62)</f>
        <v>0</v>
      </c>
      <c r="M62" s="20" t="str">
        <f>IF(B62="","",Exposures!$AB62)</f>
        <v/>
      </c>
      <c r="N62" s="20" t="str">
        <f>IF(B62="","",Exposures!$AC62)</f>
        <v/>
      </c>
      <c r="O62" s="27">
        <f>IF(B62="","",Exposures!$Z62)</f>
        <v>46024</v>
      </c>
      <c r="P62" s="27">
        <f>IF(B62="","",Exposures!$AA62)</f>
        <v>46024</v>
      </c>
      <c r="Q62" s="20" t="str">
        <f t="shared" si="3"/>
        <v>2026-01-02</v>
      </c>
      <c r="R62" s="20" t="str">
        <f>IF(A62="","",IF(J62&lt;&gt;"",J62,IF(H62="TIMESTAMP",DAY(INT(M62/1440))&amp;" "&amp;INDEX(nLIST_Months,MONTH(INT(M62/1440)))&amp;" "&amp;YEAR(INT(M62/1440))&amp;" "&amp;RIGHT("0"&amp;INT(MOD(M62,1440)/60),2)&amp;":"&amp;RIGHT("0"&amp;MOD(M62,60),2)&amp;IF(L62=1," (UTC"&amp;I62&amp;")"," (offset unknown)"),IF(H62="DATE",DAY(O62)&amp;" "&amp;INDEX(nLIST_Months,MONTH(O62))&amp;" "&amp;YEAR(O62),IF(H62="MONTH",INDEX(nLIST_Months,MONTH(O62))&amp;" "&amp;YEAR(O62)&amp;" ("&amp;DAY(O62)&amp;" "&amp;INDEX(nLIST_Months,MONTH(O62))&amp;" "&amp;YEAR(O62)&amp;" to "&amp;DAY(P62)&amp;" "&amp;INDEX(nLIST_Months,MONTH(P62))&amp;" "&amp;YEAR(P62)&amp;")",IF(H62="YEAR",YEAR(O62)&amp;" (1 January to 31 December)",DAY(O62)&amp;" "&amp;INDEX(nLIST_Months,MONTH(O62))&amp;" "&amp;YEAR(O62)&amp;" to "&amp;DAY(P62)&amp;" "&amp;INDEX(nLIST_Months,MONTH(P62))&amp;" "&amp;YEAR(P62)))))))</f>
        <v>2 January 2026</v>
      </c>
      <c r="S62" s="20" t="str">
        <f>IF(B62="","",Exposures!$M62&amp;"")</f>
        <v>second episode reusing the ID EX1</v>
      </c>
      <c r="T62" s="20" t="str">
        <f>IF(B62="","",Exposures!$V62&amp;"")</f>
        <v>tto_calc_test_vectors_v1.0.json V13</v>
      </c>
      <c r="U62" s="20" t="str">
        <f>IF(B62="","","Exposures row "&amp;ROW(Exposures!$A62)&amp;", Start")</f>
        <v>Exposures row 62, Start</v>
      </c>
      <c r="V62" s="20">
        <f>IF(A62="",0,COUNTIF(nTP_Key,A62))</f>
        <v>2</v>
      </c>
      <c r="W62" s="20">
        <f t="shared" si="4"/>
        <v>0</v>
      </c>
      <c r="X62" s="20">
        <f t="shared" si="5"/>
        <v>0</v>
      </c>
      <c r="Y62" s="20">
        <f t="shared" si="6"/>
        <v>46024</v>
      </c>
      <c r="Z62" s="20">
        <f t="shared" si="7"/>
        <v>46024</v>
      </c>
    </row>
    <row r="63" spans="1:26" x14ac:dyDescent="0.2">
      <c r="A63" s="20" t="str">
        <f t="shared" si="0"/>
        <v>VEC-V13|1|EX2/START</v>
      </c>
      <c r="B63" s="20" t="str">
        <f>IF(AND(Exposures!$D63&lt;&gt;"",COUNTA(Exposures!$N63:$U63)&gt;0),Exposures!$D63&amp;"/START","")</f>
        <v>EX2/START</v>
      </c>
      <c r="C63" s="20" t="str">
        <f t="shared" si="8"/>
        <v>EXPOSURE_START</v>
      </c>
      <c r="D63" s="20" t="str">
        <f>IF(B63="","",Exposures!$A63&amp;"")</f>
        <v>VEC-V13</v>
      </c>
      <c r="E63" s="20" t="str">
        <f>IF(B63="","",Exposures!$B63&amp;"")</f>
        <v>1</v>
      </c>
      <c r="F63" s="20" t="str">
        <f t="shared" si="2"/>
        <v>VEC-V13|1</v>
      </c>
      <c r="G63" s="20" t="str">
        <f>IF(B63="","",Exposures!$D63&amp;"")</f>
        <v>EX2</v>
      </c>
      <c r="H63" s="20" t="str">
        <f>IF(B63="","",Exposures!$N63&amp;"")</f>
        <v>RANGE</v>
      </c>
      <c r="I63" s="20" t="str">
        <f>IF(B63="","",Exposures!$Q63&amp;"")</f>
        <v/>
      </c>
      <c r="J63" s="20" t="str">
        <f>IF(B63="","",Exposures!$W63&amp;"")</f>
        <v>E_REVERSED_BOUNDS</v>
      </c>
      <c r="K63" s="20">
        <f>IF(B63="",0,Exposures!$X63)</f>
        <v>0</v>
      </c>
      <c r="L63" s="20">
        <f>IF(B63="",0,Exposures!$Y63)</f>
        <v>0</v>
      </c>
      <c r="M63" s="20" t="str">
        <f>IF(B63="","",Exposures!$AB63)</f>
        <v/>
      </c>
      <c r="N63" s="20" t="str">
        <f>IF(B63="","",Exposures!$AC63)</f>
        <v/>
      </c>
      <c r="O63" s="27" t="str">
        <f>IF(B63="","",Exposures!$Z63)</f>
        <v/>
      </c>
      <c r="P63" s="27" t="str">
        <f>IF(B63="","",Exposures!$AA63)</f>
        <v/>
      </c>
      <c r="Q63" s="20" t="str">
        <f t="shared" si="3"/>
        <v/>
      </c>
      <c r="R63" s="20" t="str">
        <f>IF(A63="","",IF(J63&lt;&gt;"",J63,IF(H63="TIMESTAMP",DAY(INT(M63/1440))&amp;" "&amp;INDEX(nLIST_Months,MONTH(INT(M63/1440)))&amp;" "&amp;YEAR(INT(M63/1440))&amp;" "&amp;RIGHT("0"&amp;INT(MOD(M63,1440)/60),2)&amp;":"&amp;RIGHT("0"&amp;MOD(M63,60),2)&amp;IF(L63=1," (UTC"&amp;I63&amp;")"," (offset unknown)"),IF(H63="DATE",DAY(O63)&amp;" "&amp;INDEX(nLIST_Months,MONTH(O63))&amp;" "&amp;YEAR(O63),IF(H63="MONTH",INDEX(nLIST_Months,MONTH(O63))&amp;" "&amp;YEAR(O63)&amp;" ("&amp;DAY(O63)&amp;" "&amp;INDEX(nLIST_Months,MONTH(O63))&amp;" "&amp;YEAR(O63)&amp;" to "&amp;DAY(P63)&amp;" "&amp;INDEX(nLIST_Months,MONTH(P63))&amp;" "&amp;YEAR(P63)&amp;")",IF(H63="YEAR",YEAR(O63)&amp;" (1 January to 31 December)",DAY(O63)&amp;" "&amp;INDEX(nLIST_Months,MONTH(O63))&amp;" "&amp;YEAR(O63)&amp;" to "&amp;DAY(P63)&amp;" "&amp;INDEX(nLIST_Months,MONTH(P63))&amp;" "&amp;YEAR(P63)))))))</f>
        <v>E_REVERSED_BOUNDS</v>
      </c>
      <c r="S63" s="20" t="str">
        <f>IF(B63="","",Exposures!$M63&amp;"")</f>
        <v>bounds entered in reverse order</v>
      </c>
      <c r="T63" s="20" t="str">
        <f>IF(B63="","",Exposures!$V63&amp;"")</f>
        <v>tto_calc_test_vectors_v1.0.json V13</v>
      </c>
      <c r="U63" s="20" t="str">
        <f>IF(B63="","","Exposures row "&amp;ROW(Exposures!$A63)&amp;", Start")</f>
        <v>Exposures row 63, Start</v>
      </c>
      <c r="V63" s="20">
        <f>IF(A63="",0,COUNTIF(nTP_Key,A63))</f>
        <v>1</v>
      </c>
      <c r="W63" s="20">
        <f t="shared" si="4"/>
        <v>0</v>
      </c>
      <c r="X63" s="20">
        <f t="shared" si="5"/>
        <v>0</v>
      </c>
      <c r="Y63" s="20">
        <f t="shared" si="6"/>
        <v>0</v>
      </c>
      <c r="Z63" s="20">
        <f t="shared" si="7"/>
        <v>0</v>
      </c>
    </row>
    <row r="64" spans="1:26" x14ac:dyDescent="0.2">
      <c r="A64" s="20" t="str">
        <f t="shared" si="0"/>
        <v>VEC-V13|1|EX3/START</v>
      </c>
      <c r="B64" s="20" t="str">
        <f>IF(AND(Exposures!$D64&lt;&gt;"",COUNTA(Exposures!$N64:$U64)&gt;0),Exposures!$D64&amp;"/START","")</f>
        <v>EX3/START</v>
      </c>
      <c r="C64" s="20" t="str">
        <f t="shared" si="8"/>
        <v>EXPOSURE_START</v>
      </c>
      <c r="D64" s="20" t="str">
        <f>IF(B64="","",Exposures!$A64&amp;"")</f>
        <v>VEC-V13</v>
      </c>
      <c r="E64" s="20" t="str">
        <f>IF(B64="","",Exposures!$B64&amp;"")</f>
        <v>1</v>
      </c>
      <c r="F64" s="20" t="str">
        <f t="shared" si="2"/>
        <v>VEC-V13|1</v>
      </c>
      <c r="G64" s="20" t="str">
        <f>IF(B64="","",Exposures!$D64&amp;"")</f>
        <v>EX3</v>
      </c>
      <c r="H64" s="20" t="str">
        <f>IF(B64="","",Exposures!$N64&amp;"")</f>
        <v>DATE</v>
      </c>
      <c r="I64" s="20" t="str">
        <f>IF(B64="","",Exposures!$Q64&amp;"")</f>
        <v/>
      </c>
      <c r="J64" s="20" t="str">
        <f>IF(B64="","",Exposures!$W64&amp;"")</f>
        <v/>
      </c>
      <c r="K64" s="20">
        <f>IF(B64="",0,Exposures!$X64)</f>
        <v>0</v>
      </c>
      <c r="L64" s="20">
        <f>IF(B64="",0,Exposures!$Y64)</f>
        <v>0</v>
      </c>
      <c r="M64" s="20" t="str">
        <f>IF(B64="","",Exposures!$AB64)</f>
        <v/>
      </c>
      <c r="N64" s="20" t="str">
        <f>IF(B64="","",Exposures!$AC64)</f>
        <v/>
      </c>
      <c r="O64" s="27">
        <f>IF(B64="","",Exposures!$Z64)</f>
        <v>46037</v>
      </c>
      <c r="P64" s="27">
        <f>IF(B64="","",Exposures!$AA64)</f>
        <v>46037</v>
      </c>
      <c r="Q64" s="20" t="str">
        <f t="shared" si="3"/>
        <v>2026-01-15</v>
      </c>
      <c r="R64" s="20" t="str">
        <f>IF(A64="","",IF(J64&lt;&gt;"",J64,IF(H64="TIMESTAMP",DAY(INT(M64/1440))&amp;" "&amp;INDEX(nLIST_Months,MONTH(INT(M64/1440)))&amp;" "&amp;YEAR(INT(M64/1440))&amp;" "&amp;RIGHT("0"&amp;INT(MOD(M64,1440)/60),2)&amp;":"&amp;RIGHT("0"&amp;MOD(M64,60),2)&amp;IF(L64=1," (UTC"&amp;I64&amp;")"," (offset unknown)"),IF(H64="DATE",DAY(O64)&amp;" "&amp;INDEX(nLIST_Months,MONTH(O64))&amp;" "&amp;YEAR(O64),IF(H64="MONTH",INDEX(nLIST_Months,MONTH(O64))&amp;" "&amp;YEAR(O64)&amp;" ("&amp;DAY(O64)&amp;" "&amp;INDEX(nLIST_Months,MONTH(O64))&amp;" "&amp;YEAR(O64)&amp;" to "&amp;DAY(P64)&amp;" "&amp;INDEX(nLIST_Months,MONTH(P64))&amp;" "&amp;YEAR(P64)&amp;")",IF(H64="YEAR",YEAR(O64)&amp;" (1 January to 31 December)",DAY(O64)&amp;" "&amp;INDEX(nLIST_Months,MONTH(O64))&amp;" "&amp;YEAR(O64)&amp;" to "&amp;DAY(P64)&amp;" "&amp;INDEX(nLIST_Months,MONTH(P64))&amp;" "&amp;YEAR(P64)))))))</f>
        <v>15 January 2026</v>
      </c>
      <c r="S64" s="20" t="str">
        <f>IF(B64="","",Exposures!$M64&amp;"")</f>
        <v>2026-01-15</v>
      </c>
      <c r="T64" s="20" t="str">
        <f>IF(B64="","",Exposures!$V64&amp;"")</f>
        <v>tto_calc_test_vectors_v1.0.json V13</v>
      </c>
      <c r="U64" s="20" t="str">
        <f>IF(B64="","","Exposures row "&amp;ROW(Exposures!$A64)&amp;", Start")</f>
        <v>Exposures row 64, Start</v>
      </c>
      <c r="V64" s="20">
        <f>IF(A64="",0,COUNTIF(nTP_Key,A64))</f>
        <v>1</v>
      </c>
      <c r="W64" s="20">
        <f t="shared" si="4"/>
        <v>0</v>
      </c>
      <c r="X64" s="20">
        <f t="shared" si="5"/>
        <v>0</v>
      </c>
      <c r="Y64" s="20">
        <f t="shared" si="6"/>
        <v>46037</v>
      </c>
      <c r="Z64" s="20">
        <f t="shared" si="7"/>
        <v>46037</v>
      </c>
    </row>
    <row r="65" spans="1:26" x14ac:dyDescent="0.2">
      <c r="A65" s="20" t="str">
        <f t="shared" si="0"/>
        <v/>
      </c>
      <c r="B65" s="20" t="str">
        <f>IF(AND(Exposures!$D65&lt;&gt;"",COUNTA(Exposures!$N65:$U65)&gt;0),Exposures!$D65&amp;"/START","")</f>
        <v/>
      </c>
      <c r="C65" s="20" t="str">
        <f t="shared" si="8"/>
        <v/>
      </c>
      <c r="D65" s="20" t="str">
        <f>IF(B65="","",Exposures!$A65&amp;"")</f>
        <v/>
      </c>
      <c r="E65" s="20" t="str">
        <f>IF(B65="","",Exposures!$B65&amp;"")</f>
        <v/>
      </c>
      <c r="F65" s="20" t="str">
        <f t="shared" si="2"/>
        <v/>
      </c>
      <c r="G65" s="20" t="str">
        <f>IF(B65="","",Exposures!$D65&amp;"")</f>
        <v/>
      </c>
      <c r="H65" s="20" t="str">
        <f>IF(B65="","",Exposures!$N65&amp;"")</f>
        <v/>
      </c>
      <c r="I65" s="20" t="str">
        <f>IF(B65="","",Exposures!$Q65&amp;"")</f>
        <v/>
      </c>
      <c r="J65" s="20" t="str">
        <f>IF(B65="","",Exposures!$W65&amp;"")</f>
        <v/>
      </c>
      <c r="K65" s="20">
        <f>IF(B65="",0,Exposures!$X65)</f>
        <v>0</v>
      </c>
      <c r="L65" s="20">
        <f>IF(B65="",0,Exposures!$Y65)</f>
        <v>0</v>
      </c>
      <c r="M65" s="20" t="str">
        <f>IF(B65="","",Exposures!$AB65)</f>
        <v/>
      </c>
      <c r="N65" s="20" t="str">
        <f>IF(B65="","",Exposures!$AC65)</f>
        <v/>
      </c>
      <c r="O65" s="27" t="str">
        <f>IF(B65="","",Exposures!$Z65)</f>
        <v/>
      </c>
      <c r="P65" s="27" t="str">
        <f>IF(B65="","",Exposures!$AA65)</f>
        <v/>
      </c>
      <c r="Q65" s="20" t="str">
        <f t="shared" si="3"/>
        <v/>
      </c>
      <c r="R65" s="20" t="str">
        <f>IF(A65="","",IF(J65&lt;&gt;"",J65,IF(H65="TIMESTAMP",DAY(INT(M65/1440))&amp;" "&amp;INDEX(nLIST_Months,MONTH(INT(M65/1440)))&amp;" "&amp;YEAR(INT(M65/1440))&amp;" "&amp;RIGHT("0"&amp;INT(MOD(M65,1440)/60),2)&amp;":"&amp;RIGHT("0"&amp;MOD(M65,60),2)&amp;IF(L65=1," (UTC"&amp;I65&amp;")"," (offset unknown)"),IF(H65="DATE",DAY(O65)&amp;" "&amp;INDEX(nLIST_Months,MONTH(O65))&amp;" "&amp;YEAR(O65),IF(H65="MONTH",INDEX(nLIST_Months,MONTH(O65))&amp;" "&amp;YEAR(O65)&amp;" ("&amp;DAY(O65)&amp;" "&amp;INDEX(nLIST_Months,MONTH(O65))&amp;" "&amp;YEAR(O65)&amp;" to "&amp;DAY(P65)&amp;" "&amp;INDEX(nLIST_Months,MONTH(P65))&amp;" "&amp;YEAR(P65)&amp;")",IF(H65="YEAR",YEAR(O65)&amp;" (1 January to 31 December)",DAY(O65)&amp;" "&amp;INDEX(nLIST_Months,MONTH(O65))&amp;" "&amp;YEAR(O65)&amp;" to "&amp;DAY(P65)&amp;" "&amp;INDEX(nLIST_Months,MONTH(P65))&amp;" "&amp;YEAR(P65)))))))</f>
        <v/>
      </c>
      <c r="S65" s="20" t="str">
        <f>IF(B65="","",Exposures!$M65&amp;"")</f>
        <v/>
      </c>
      <c r="T65" s="20" t="str">
        <f>IF(B65="","",Exposures!$V65&amp;"")</f>
        <v/>
      </c>
      <c r="U65" s="20" t="str">
        <f>IF(B65="","","Exposures row "&amp;ROW(Exposures!$A65)&amp;", Start")</f>
        <v/>
      </c>
      <c r="V65" s="20">
        <f>IF(A65="",0,COUNTIF(nTP_Key,A65))</f>
        <v>0</v>
      </c>
      <c r="W65" s="20">
        <f t="shared" si="4"/>
        <v>0</v>
      </c>
      <c r="X65" s="20">
        <f t="shared" si="5"/>
        <v>0</v>
      </c>
      <c r="Y65" s="20">
        <f t="shared" si="6"/>
        <v>0</v>
      </c>
      <c r="Z65" s="20">
        <f t="shared" si="7"/>
        <v>0</v>
      </c>
    </row>
    <row r="66" spans="1:26" x14ac:dyDescent="0.2">
      <c r="A66" s="20" t="str">
        <f t="shared" si="0"/>
        <v>VEC-V25|1|EX1/START</v>
      </c>
      <c r="B66" s="20" t="str">
        <f>IF(AND(Exposures!$D66&lt;&gt;"",COUNTA(Exposures!$N66:$U66)&gt;0),Exposures!$D66&amp;"/START","")</f>
        <v>EX1/START</v>
      </c>
      <c r="C66" s="20" t="str">
        <f t="shared" si="8"/>
        <v>EXPOSURE_START</v>
      </c>
      <c r="D66" s="20" t="str">
        <f>IF(B66="","",Exposures!$A66&amp;"")</f>
        <v>VEC-V25</v>
      </c>
      <c r="E66" s="20" t="str">
        <f>IF(B66="","",Exposures!$B66&amp;"")</f>
        <v>1</v>
      </c>
      <c r="F66" s="20" t="str">
        <f t="shared" si="2"/>
        <v>VEC-V25|1</v>
      </c>
      <c r="G66" s="20" t="str">
        <f>IF(B66="","",Exposures!$D66&amp;"")</f>
        <v>EX1</v>
      </c>
      <c r="H66" s="20" t="str">
        <f>IF(B66="","",Exposures!$N66&amp;"")</f>
        <v>TIMESTAMP</v>
      </c>
      <c r="I66" s="20" t="str">
        <f>IF(B66="","",Exposures!$Q66&amp;"")</f>
        <v>-05:00</v>
      </c>
      <c r="J66" s="20" t="str">
        <f>IF(B66="","",Exposures!$W66&amp;"")</f>
        <v/>
      </c>
      <c r="K66" s="20">
        <f>IF(B66="",0,Exposures!$X66)</f>
        <v>1</v>
      </c>
      <c r="L66" s="20">
        <f>IF(B66="",0,Exposures!$Y66)</f>
        <v>1</v>
      </c>
      <c r="M66" s="20">
        <f>IF(B66="","",Exposures!$AB66)</f>
        <v>66286620</v>
      </c>
      <c r="N66" s="20">
        <f>IF(B66="","",Exposures!$AC66)</f>
        <v>66286920</v>
      </c>
      <c r="O66" s="27">
        <f>IF(B66="","",Exposures!$Z66)</f>
        <v>46032</v>
      </c>
      <c r="P66" s="27">
        <f>IF(B66="","",Exposures!$AA66)</f>
        <v>46032</v>
      </c>
      <c r="Q66" s="20" t="str">
        <f t="shared" si="3"/>
        <v>2026-01-10T09:00-05:00</v>
      </c>
      <c r="R66" s="20" t="str">
        <f>IF(A66="","",IF(J66&lt;&gt;"",J66,IF(H66="TIMESTAMP",DAY(INT(M66/1440))&amp;" "&amp;INDEX(nLIST_Months,MONTH(INT(M66/1440)))&amp;" "&amp;YEAR(INT(M66/1440))&amp;" "&amp;RIGHT("0"&amp;INT(MOD(M66,1440)/60),2)&amp;":"&amp;RIGHT("0"&amp;MOD(M66,60),2)&amp;IF(L66=1," (UTC"&amp;I66&amp;")"," (offset unknown)"),IF(H66="DATE",DAY(O66)&amp;" "&amp;INDEX(nLIST_Months,MONTH(O66))&amp;" "&amp;YEAR(O66),IF(H66="MONTH",INDEX(nLIST_Months,MONTH(O66))&amp;" "&amp;YEAR(O66)&amp;" ("&amp;DAY(O66)&amp;" "&amp;INDEX(nLIST_Months,MONTH(O66))&amp;" "&amp;YEAR(O66)&amp;" to "&amp;DAY(P66)&amp;" "&amp;INDEX(nLIST_Months,MONTH(P66))&amp;" "&amp;YEAR(P66)&amp;")",IF(H66="YEAR",YEAR(O66)&amp;" (1 January to 31 December)",DAY(O66)&amp;" "&amp;INDEX(nLIST_Months,MONTH(O66))&amp;" "&amp;YEAR(O66)&amp;" to "&amp;DAY(P66)&amp;" "&amp;INDEX(nLIST_Months,MONTH(P66))&amp;" "&amp;YEAR(P66)))))))</f>
        <v>10 January 2026 09:00 (UTC-05:00)</v>
      </c>
      <c r="S66" s="20" t="str">
        <f>IF(B66="","",Exposures!$M66&amp;"")</f>
        <v>infusion start</v>
      </c>
      <c r="T66" s="20" t="str">
        <f>IF(B66="","",Exposures!$V66&amp;"")</f>
        <v>tto_calc_test_vectors_v1.0.json V25</v>
      </c>
      <c r="U66" s="20" t="str">
        <f>IF(B66="","","Exposures row "&amp;ROW(Exposures!$A66)&amp;", Start")</f>
        <v>Exposures row 66, Start</v>
      </c>
      <c r="V66" s="20">
        <f>IF(A66="",0,COUNTIF(nTP_Key,A66))</f>
        <v>1</v>
      </c>
      <c r="W66" s="20">
        <f t="shared" si="4"/>
        <v>66286620</v>
      </c>
      <c r="X66" s="20">
        <f t="shared" si="5"/>
        <v>66286920</v>
      </c>
      <c r="Y66" s="20">
        <f t="shared" si="6"/>
        <v>46032</v>
      </c>
      <c r="Z66" s="20">
        <f t="shared" si="7"/>
        <v>46032</v>
      </c>
    </row>
    <row r="67" spans="1:26" x14ac:dyDescent="0.2">
      <c r="A67" s="20" t="str">
        <f t="shared" si="0"/>
        <v/>
      </c>
      <c r="B67" s="20" t="str">
        <f>IF(AND(Exposures!$D67&lt;&gt;"",COUNTA(Exposures!$N67:$U67)&gt;0),Exposures!$D67&amp;"/START","")</f>
        <v/>
      </c>
      <c r="C67" s="20" t="str">
        <f t="shared" si="8"/>
        <v/>
      </c>
      <c r="D67" s="20" t="str">
        <f>IF(B67="","",Exposures!$A67&amp;"")</f>
        <v/>
      </c>
      <c r="E67" s="20" t="str">
        <f>IF(B67="","",Exposures!$B67&amp;"")</f>
        <v/>
      </c>
      <c r="F67" s="20" t="str">
        <f t="shared" si="2"/>
        <v/>
      </c>
      <c r="G67" s="20" t="str">
        <f>IF(B67="","",Exposures!$D67&amp;"")</f>
        <v/>
      </c>
      <c r="H67" s="20" t="str">
        <f>IF(B67="","",Exposures!$N67&amp;"")</f>
        <v/>
      </c>
      <c r="I67" s="20" t="str">
        <f>IF(B67="","",Exposures!$Q67&amp;"")</f>
        <v/>
      </c>
      <c r="J67" s="20" t="str">
        <f>IF(B67="","",Exposures!$W67&amp;"")</f>
        <v/>
      </c>
      <c r="K67" s="20">
        <f>IF(B67="",0,Exposures!$X67)</f>
        <v>0</v>
      </c>
      <c r="L67" s="20">
        <f>IF(B67="",0,Exposures!$Y67)</f>
        <v>0</v>
      </c>
      <c r="M67" s="20" t="str">
        <f>IF(B67="","",Exposures!$AB67)</f>
        <v/>
      </c>
      <c r="N67" s="20" t="str">
        <f>IF(B67="","",Exposures!$AC67)</f>
        <v/>
      </c>
      <c r="O67" s="27" t="str">
        <f>IF(B67="","",Exposures!$Z67)</f>
        <v/>
      </c>
      <c r="P67" s="27" t="str">
        <f>IF(B67="","",Exposures!$AA67)</f>
        <v/>
      </c>
      <c r="Q67" s="20" t="str">
        <f t="shared" si="3"/>
        <v/>
      </c>
      <c r="R67" s="20" t="str">
        <f>IF(A67="","",IF(J67&lt;&gt;"",J67,IF(H67="TIMESTAMP",DAY(INT(M67/1440))&amp;" "&amp;INDEX(nLIST_Months,MONTH(INT(M67/1440)))&amp;" "&amp;YEAR(INT(M67/1440))&amp;" "&amp;RIGHT("0"&amp;INT(MOD(M67,1440)/60),2)&amp;":"&amp;RIGHT("0"&amp;MOD(M67,60),2)&amp;IF(L67=1," (UTC"&amp;I67&amp;")"," (offset unknown)"),IF(H67="DATE",DAY(O67)&amp;" "&amp;INDEX(nLIST_Months,MONTH(O67))&amp;" "&amp;YEAR(O67),IF(H67="MONTH",INDEX(nLIST_Months,MONTH(O67))&amp;" "&amp;YEAR(O67)&amp;" ("&amp;DAY(O67)&amp;" "&amp;INDEX(nLIST_Months,MONTH(O67))&amp;" "&amp;YEAR(O67)&amp;" to "&amp;DAY(P67)&amp;" "&amp;INDEX(nLIST_Months,MONTH(P67))&amp;" "&amp;YEAR(P67)&amp;")",IF(H67="YEAR",YEAR(O67)&amp;" (1 January to 31 December)",DAY(O67)&amp;" "&amp;INDEX(nLIST_Months,MONTH(O67))&amp;" "&amp;YEAR(O67)&amp;" to "&amp;DAY(P67)&amp;" "&amp;INDEX(nLIST_Months,MONTH(P67))&amp;" "&amp;YEAR(P67)))))))</f>
        <v/>
      </c>
      <c r="S67" s="20" t="str">
        <f>IF(B67="","",Exposures!$M67&amp;"")</f>
        <v/>
      </c>
      <c r="T67" s="20" t="str">
        <f>IF(B67="","",Exposures!$V67&amp;"")</f>
        <v/>
      </c>
      <c r="U67" s="20" t="str">
        <f>IF(B67="","","Exposures row "&amp;ROW(Exposures!$A67)&amp;", Start")</f>
        <v/>
      </c>
      <c r="V67" s="20">
        <f>IF(A67="",0,COUNTIF(nTP_Key,A67))</f>
        <v>0</v>
      </c>
      <c r="W67" s="20">
        <f t="shared" si="4"/>
        <v>0</v>
      </c>
      <c r="X67" s="20">
        <f t="shared" si="5"/>
        <v>0</v>
      </c>
      <c r="Y67" s="20">
        <f t="shared" si="6"/>
        <v>0</v>
      </c>
      <c r="Z67" s="20">
        <f t="shared" si="7"/>
        <v>0</v>
      </c>
    </row>
    <row r="68" spans="1:26" x14ac:dyDescent="0.2">
      <c r="A68" s="20" t="str">
        <f t="shared" si="0"/>
        <v/>
      </c>
      <c r="B68" s="20" t="str">
        <f>IF(AND(Exposures!$D5&lt;&gt;"",COUNTA(Exposures!$AE5:$AL5)&gt;0),Exposures!$D5&amp;"/STOP","")</f>
        <v/>
      </c>
      <c r="C68" s="20" t="str">
        <f t="shared" ref="C68:C99" si="9">IF(B68="","","EXPOSURE_STOP")</f>
        <v/>
      </c>
      <c r="D68" s="20" t="str">
        <f>IF(B68="","",Exposures!$A5&amp;"")</f>
        <v/>
      </c>
      <c r="E68" s="20" t="str">
        <f>IF(B68="","",Exposures!$B5&amp;"")</f>
        <v/>
      </c>
      <c r="F68" s="20" t="str">
        <f t="shared" si="2"/>
        <v/>
      </c>
      <c r="G68" s="20" t="str">
        <f>IF(B68="","",Exposures!$D5&amp;"")</f>
        <v/>
      </c>
      <c r="H68" s="20" t="str">
        <f>IF(B68="","",Exposures!$AE5&amp;"")</f>
        <v/>
      </c>
      <c r="I68" s="20" t="str">
        <f>IF(B68="","",Exposures!$AH5&amp;"")</f>
        <v/>
      </c>
      <c r="J68" s="20" t="str">
        <f>IF(B68="","",Exposures!$AN5&amp;"")</f>
        <v/>
      </c>
      <c r="K68" s="20">
        <f>IF(B68="",0,Exposures!$AO5)</f>
        <v>0</v>
      </c>
      <c r="L68" s="20">
        <f>IF(B68="",0,Exposures!$AP5)</f>
        <v>0</v>
      </c>
      <c r="M68" s="20" t="str">
        <f>IF(B68="","",Exposures!$AS5)</f>
        <v/>
      </c>
      <c r="N68" s="20" t="str">
        <f>IF(B68="","",Exposures!$AT5)</f>
        <v/>
      </c>
      <c r="O68" s="27" t="str">
        <f>IF(B68="","",Exposures!$AQ5)</f>
        <v/>
      </c>
      <c r="P68" s="27" t="str">
        <f>IF(B68="","",Exposures!$AR5)</f>
        <v/>
      </c>
      <c r="Q68" s="20" t="str">
        <f t="shared" si="3"/>
        <v/>
      </c>
      <c r="R68" s="20" t="str">
        <f>IF(A68="","",IF(J68&lt;&gt;"",J68,IF(H68="TIMESTAMP",DAY(INT(M68/1440))&amp;" "&amp;INDEX(nLIST_Months,MONTH(INT(M68/1440)))&amp;" "&amp;YEAR(INT(M68/1440))&amp;" "&amp;RIGHT("0"&amp;INT(MOD(M68,1440)/60),2)&amp;":"&amp;RIGHT("0"&amp;MOD(M68,60),2)&amp;IF(L68=1," (UTC"&amp;I68&amp;")"," (offset unknown)"),IF(H68="DATE",DAY(O68)&amp;" "&amp;INDEX(nLIST_Months,MONTH(O68))&amp;" "&amp;YEAR(O68),IF(H68="MONTH",INDEX(nLIST_Months,MONTH(O68))&amp;" "&amp;YEAR(O68)&amp;" ("&amp;DAY(O68)&amp;" "&amp;INDEX(nLIST_Months,MONTH(O68))&amp;" "&amp;YEAR(O68)&amp;" to "&amp;DAY(P68)&amp;" "&amp;INDEX(nLIST_Months,MONTH(P68))&amp;" "&amp;YEAR(P68)&amp;")",IF(H68="YEAR",YEAR(O68)&amp;" (1 January to 31 December)",DAY(O68)&amp;" "&amp;INDEX(nLIST_Months,MONTH(O68))&amp;" "&amp;YEAR(O68)&amp;" to "&amp;DAY(P68)&amp;" "&amp;INDEX(nLIST_Months,MONTH(P68))&amp;" "&amp;YEAR(P68)))))))</f>
        <v/>
      </c>
      <c r="S68" s="20" t="str">
        <f>IF(B68="","",Exposures!$AD5&amp;"")</f>
        <v/>
      </c>
      <c r="T68" s="20" t="str">
        <f>IF(B68="","",Exposures!$AM5&amp;"")</f>
        <v/>
      </c>
      <c r="U68" s="20" t="str">
        <f>IF(B68="","","Exposures row "&amp;ROW(Exposures!$A5)&amp;", Stop")</f>
        <v/>
      </c>
      <c r="V68" s="20">
        <f>IF(A68="",0,COUNTIF(nTP_Key,A68))</f>
        <v>0</v>
      </c>
      <c r="W68" s="20">
        <f t="shared" si="4"/>
        <v>0</v>
      </c>
      <c r="X68" s="20">
        <f t="shared" si="5"/>
        <v>0</v>
      </c>
      <c r="Y68" s="20">
        <f t="shared" si="6"/>
        <v>0</v>
      </c>
      <c r="Z68" s="20">
        <f t="shared" si="7"/>
        <v>0</v>
      </c>
    </row>
    <row r="69" spans="1:26" x14ac:dyDescent="0.2">
      <c r="A69" s="20" t="str">
        <f t="shared" ref="A69:A132" si="10">IF(B69="","",F69&amp;"|"&amp;B69)</f>
        <v/>
      </c>
      <c r="B69" s="20" t="str">
        <f>IF(AND(Exposures!$D6&lt;&gt;"",COUNTA(Exposures!$AE6:$AL6)&gt;0),Exposures!$D6&amp;"/STOP","")</f>
        <v/>
      </c>
      <c r="C69" s="20" t="str">
        <f t="shared" si="9"/>
        <v/>
      </c>
      <c r="D69" s="20" t="str">
        <f>IF(B69="","",Exposures!$A6&amp;"")</f>
        <v/>
      </c>
      <c r="E69" s="20" t="str">
        <f>IF(B69="","",Exposures!$B6&amp;"")</f>
        <v/>
      </c>
      <c r="F69" s="20" t="str">
        <f t="shared" ref="F69:F132" si="11">IF(B69="","",D69&amp;"|"&amp;E69)</f>
        <v/>
      </c>
      <c r="G69" s="20" t="str">
        <f>IF(B69="","",Exposures!$D6&amp;"")</f>
        <v/>
      </c>
      <c r="H69" s="20" t="str">
        <f>IF(B69="","",Exposures!$AE6&amp;"")</f>
        <v/>
      </c>
      <c r="I69" s="20" t="str">
        <f>IF(B69="","",Exposures!$AH6&amp;"")</f>
        <v/>
      </c>
      <c r="J69" s="20" t="str">
        <f>IF(B69="","",Exposures!$AN6&amp;"")</f>
        <v/>
      </c>
      <c r="K69" s="20">
        <f>IF(B69="",0,Exposures!$AO6)</f>
        <v>0</v>
      </c>
      <c r="L69" s="20">
        <f>IF(B69="",0,Exposures!$AP6)</f>
        <v>0</v>
      </c>
      <c r="M69" s="20" t="str">
        <f>IF(B69="","",Exposures!$AS6)</f>
        <v/>
      </c>
      <c r="N69" s="20" t="str">
        <f>IF(B69="","",Exposures!$AT6)</f>
        <v/>
      </c>
      <c r="O69" s="27" t="str">
        <f>IF(B69="","",Exposures!$AQ6)</f>
        <v/>
      </c>
      <c r="P69" s="27" t="str">
        <f>IF(B69="","",Exposures!$AR6)</f>
        <v/>
      </c>
      <c r="Q69" s="20" t="str">
        <f t="shared" ref="Q69:Q132" si="12">IF(OR(A69="",J69&lt;&gt;""),"",IF(H69="TIMESTAMP",YEAR(INT(M69/1440))&amp;"-"&amp;RIGHT("0"&amp;MONTH(INT(M69/1440)),2)&amp;"-"&amp;RIGHT("0"&amp;DAY(INT(M69/1440)),2)&amp;"T"&amp;RIGHT("0"&amp;INT(MOD(M69,1440)/60),2)&amp;":"&amp;RIGHT("0"&amp;MOD(M69,60),2)&amp;IF(L69=1,I69,""),IF(H69="DATE",YEAR(O69)&amp;"-"&amp;RIGHT("0"&amp;MONTH(O69),2)&amp;"-"&amp;RIGHT("0"&amp;DAY(O69),2),IF(H69="MONTH",YEAR(O69)&amp;"-"&amp;RIGHT("0"&amp;MONTH(O69),2),IF(H69="YEAR",YEAR(O69)&amp;"",YEAR(O69)&amp;"-"&amp;RIGHT("0"&amp;MONTH(O69),2)&amp;"-"&amp;RIGHT("0"&amp;DAY(O69),2)&amp;"/"&amp;YEAR(P69)&amp;"-"&amp;RIGHT("0"&amp;MONTH(P69),2)&amp;"-"&amp;RIGHT("0"&amp;DAY(P69),2))))))</f>
        <v/>
      </c>
      <c r="R69" s="20" t="str">
        <f>IF(A69="","",IF(J69&lt;&gt;"",J69,IF(H69="TIMESTAMP",DAY(INT(M69/1440))&amp;" "&amp;INDEX(nLIST_Months,MONTH(INT(M69/1440)))&amp;" "&amp;YEAR(INT(M69/1440))&amp;" "&amp;RIGHT("0"&amp;INT(MOD(M69,1440)/60),2)&amp;":"&amp;RIGHT("0"&amp;MOD(M69,60),2)&amp;IF(L69=1," (UTC"&amp;I69&amp;")"," (offset unknown)"),IF(H69="DATE",DAY(O69)&amp;" "&amp;INDEX(nLIST_Months,MONTH(O69))&amp;" "&amp;YEAR(O69),IF(H69="MONTH",INDEX(nLIST_Months,MONTH(O69))&amp;" "&amp;YEAR(O69)&amp;" ("&amp;DAY(O69)&amp;" "&amp;INDEX(nLIST_Months,MONTH(O69))&amp;" "&amp;YEAR(O69)&amp;" to "&amp;DAY(P69)&amp;" "&amp;INDEX(nLIST_Months,MONTH(P69))&amp;" "&amp;YEAR(P69)&amp;")",IF(H69="YEAR",YEAR(O69)&amp;" (1 January to 31 December)",DAY(O69)&amp;" "&amp;INDEX(nLIST_Months,MONTH(O69))&amp;" "&amp;YEAR(O69)&amp;" to "&amp;DAY(P69)&amp;" "&amp;INDEX(nLIST_Months,MONTH(P69))&amp;" "&amp;YEAR(P69)))))))</f>
        <v/>
      </c>
      <c r="S69" s="20" t="str">
        <f>IF(B69="","",Exposures!$AD6&amp;"")</f>
        <v/>
      </c>
      <c r="T69" s="20" t="str">
        <f>IF(B69="","",Exposures!$AM6&amp;"")</f>
        <v/>
      </c>
      <c r="U69" s="20" t="str">
        <f>IF(B69="","","Exposures row "&amp;ROW(Exposures!$A6)&amp;", Stop")</f>
        <v/>
      </c>
      <c r="V69" s="20">
        <f>IF(A69="",0,COUNTIF(nTP_Key,A69))</f>
        <v>0</v>
      </c>
      <c r="W69" s="20">
        <f t="shared" ref="W69:W132" si="13">IF(M69="",0,M69)</f>
        <v>0</v>
      </c>
      <c r="X69" s="20">
        <f t="shared" ref="X69:X132" si="14">IF(N69="",0,N69)</f>
        <v>0</v>
      </c>
      <c r="Y69" s="20">
        <f t="shared" ref="Y69:Y132" si="15">IF(O69="",0,O69)</f>
        <v>0</v>
      </c>
      <c r="Z69" s="20">
        <f t="shared" ref="Z69:Z132" si="16">IF(P69="",0,P69)</f>
        <v>0</v>
      </c>
    </row>
    <row r="70" spans="1:26" x14ac:dyDescent="0.2">
      <c r="A70" s="20" t="str">
        <f t="shared" si="10"/>
        <v/>
      </c>
      <c r="B70" s="20" t="str">
        <f>IF(AND(Exposures!$D7&lt;&gt;"",COUNTA(Exposures!$AE7:$AL7)&gt;0),Exposures!$D7&amp;"/STOP","")</f>
        <v/>
      </c>
      <c r="C70" s="20" t="str">
        <f t="shared" si="9"/>
        <v/>
      </c>
      <c r="D70" s="20" t="str">
        <f>IF(B70="","",Exposures!$A7&amp;"")</f>
        <v/>
      </c>
      <c r="E70" s="20" t="str">
        <f>IF(B70="","",Exposures!$B7&amp;"")</f>
        <v/>
      </c>
      <c r="F70" s="20" t="str">
        <f t="shared" si="11"/>
        <v/>
      </c>
      <c r="G70" s="20" t="str">
        <f>IF(B70="","",Exposures!$D7&amp;"")</f>
        <v/>
      </c>
      <c r="H70" s="20" t="str">
        <f>IF(B70="","",Exposures!$AE7&amp;"")</f>
        <v/>
      </c>
      <c r="I70" s="20" t="str">
        <f>IF(B70="","",Exposures!$AH7&amp;"")</f>
        <v/>
      </c>
      <c r="J70" s="20" t="str">
        <f>IF(B70="","",Exposures!$AN7&amp;"")</f>
        <v/>
      </c>
      <c r="K70" s="20">
        <f>IF(B70="",0,Exposures!$AO7)</f>
        <v>0</v>
      </c>
      <c r="L70" s="20">
        <f>IF(B70="",0,Exposures!$AP7)</f>
        <v>0</v>
      </c>
      <c r="M70" s="20" t="str">
        <f>IF(B70="","",Exposures!$AS7)</f>
        <v/>
      </c>
      <c r="N70" s="20" t="str">
        <f>IF(B70="","",Exposures!$AT7)</f>
        <v/>
      </c>
      <c r="O70" s="27" t="str">
        <f>IF(B70="","",Exposures!$AQ7)</f>
        <v/>
      </c>
      <c r="P70" s="27" t="str">
        <f>IF(B70="","",Exposures!$AR7)</f>
        <v/>
      </c>
      <c r="Q70" s="20" t="str">
        <f t="shared" si="12"/>
        <v/>
      </c>
      <c r="R70" s="20" t="str">
        <f>IF(A70="","",IF(J70&lt;&gt;"",J70,IF(H70="TIMESTAMP",DAY(INT(M70/1440))&amp;" "&amp;INDEX(nLIST_Months,MONTH(INT(M70/1440)))&amp;" "&amp;YEAR(INT(M70/1440))&amp;" "&amp;RIGHT("0"&amp;INT(MOD(M70,1440)/60),2)&amp;":"&amp;RIGHT("0"&amp;MOD(M70,60),2)&amp;IF(L70=1," (UTC"&amp;I70&amp;")"," (offset unknown)"),IF(H70="DATE",DAY(O70)&amp;" "&amp;INDEX(nLIST_Months,MONTH(O70))&amp;" "&amp;YEAR(O70),IF(H70="MONTH",INDEX(nLIST_Months,MONTH(O70))&amp;" "&amp;YEAR(O70)&amp;" ("&amp;DAY(O70)&amp;" "&amp;INDEX(nLIST_Months,MONTH(O70))&amp;" "&amp;YEAR(O70)&amp;" to "&amp;DAY(P70)&amp;" "&amp;INDEX(nLIST_Months,MONTH(P70))&amp;" "&amp;YEAR(P70)&amp;")",IF(H70="YEAR",YEAR(O70)&amp;" (1 January to 31 December)",DAY(O70)&amp;" "&amp;INDEX(nLIST_Months,MONTH(O70))&amp;" "&amp;YEAR(O70)&amp;" to "&amp;DAY(P70)&amp;" "&amp;INDEX(nLIST_Months,MONTH(P70))&amp;" "&amp;YEAR(P70)))))))</f>
        <v/>
      </c>
      <c r="S70" s="20" t="str">
        <f>IF(B70="","",Exposures!$AD7&amp;"")</f>
        <v/>
      </c>
      <c r="T70" s="20" t="str">
        <f>IF(B70="","",Exposures!$AM7&amp;"")</f>
        <v/>
      </c>
      <c r="U70" s="20" t="str">
        <f>IF(B70="","","Exposures row "&amp;ROW(Exposures!$A7)&amp;", Stop")</f>
        <v/>
      </c>
      <c r="V70" s="20">
        <f>IF(A70="",0,COUNTIF(nTP_Key,A70))</f>
        <v>0</v>
      </c>
      <c r="W70" s="20">
        <f t="shared" si="13"/>
        <v>0</v>
      </c>
      <c r="X70" s="20">
        <f t="shared" si="14"/>
        <v>0</v>
      </c>
      <c r="Y70" s="20">
        <f t="shared" si="15"/>
        <v>0</v>
      </c>
      <c r="Z70" s="20">
        <f t="shared" si="16"/>
        <v>0</v>
      </c>
    </row>
    <row r="71" spans="1:26" x14ac:dyDescent="0.2">
      <c r="A71" s="20" t="str">
        <f t="shared" si="10"/>
        <v/>
      </c>
      <c r="B71" s="20" t="str">
        <f>IF(AND(Exposures!$D8&lt;&gt;"",COUNTA(Exposures!$AE8:$AL8)&gt;0),Exposures!$D8&amp;"/STOP","")</f>
        <v/>
      </c>
      <c r="C71" s="20" t="str">
        <f t="shared" si="9"/>
        <v/>
      </c>
      <c r="D71" s="20" t="str">
        <f>IF(B71="","",Exposures!$A8&amp;"")</f>
        <v/>
      </c>
      <c r="E71" s="20" t="str">
        <f>IF(B71="","",Exposures!$B8&amp;"")</f>
        <v/>
      </c>
      <c r="F71" s="20" t="str">
        <f t="shared" si="11"/>
        <v/>
      </c>
      <c r="G71" s="20" t="str">
        <f>IF(B71="","",Exposures!$D8&amp;"")</f>
        <v/>
      </c>
      <c r="H71" s="20" t="str">
        <f>IF(B71="","",Exposures!$AE8&amp;"")</f>
        <v/>
      </c>
      <c r="I71" s="20" t="str">
        <f>IF(B71="","",Exposures!$AH8&amp;"")</f>
        <v/>
      </c>
      <c r="J71" s="20" t="str">
        <f>IF(B71="","",Exposures!$AN8&amp;"")</f>
        <v/>
      </c>
      <c r="K71" s="20">
        <f>IF(B71="",0,Exposures!$AO8)</f>
        <v>0</v>
      </c>
      <c r="L71" s="20">
        <f>IF(B71="",0,Exposures!$AP8)</f>
        <v>0</v>
      </c>
      <c r="M71" s="20" t="str">
        <f>IF(B71="","",Exposures!$AS8)</f>
        <v/>
      </c>
      <c r="N71" s="20" t="str">
        <f>IF(B71="","",Exposures!$AT8)</f>
        <v/>
      </c>
      <c r="O71" s="27" t="str">
        <f>IF(B71="","",Exposures!$AQ8)</f>
        <v/>
      </c>
      <c r="P71" s="27" t="str">
        <f>IF(B71="","",Exposures!$AR8)</f>
        <v/>
      </c>
      <c r="Q71" s="20" t="str">
        <f t="shared" si="12"/>
        <v/>
      </c>
      <c r="R71" s="20" t="str">
        <f>IF(A71="","",IF(J71&lt;&gt;"",J71,IF(H71="TIMESTAMP",DAY(INT(M71/1440))&amp;" "&amp;INDEX(nLIST_Months,MONTH(INT(M71/1440)))&amp;" "&amp;YEAR(INT(M71/1440))&amp;" "&amp;RIGHT("0"&amp;INT(MOD(M71,1440)/60),2)&amp;":"&amp;RIGHT("0"&amp;MOD(M71,60),2)&amp;IF(L71=1," (UTC"&amp;I71&amp;")"," (offset unknown)"),IF(H71="DATE",DAY(O71)&amp;" "&amp;INDEX(nLIST_Months,MONTH(O71))&amp;" "&amp;YEAR(O71),IF(H71="MONTH",INDEX(nLIST_Months,MONTH(O71))&amp;" "&amp;YEAR(O71)&amp;" ("&amp;DAY(O71)&amp;" "&amp;INDEX(nLIST_Months,MONTH(O71))&amp;" "&amp;YEAR(O71)&amp;" to "&amp;DAY(P71)&amp;" "&amp;INDEX(nLIST_Months,MONTH(P71))&amp;" "&amp;YEAR(P71)&amp;")",IF(H71="YEAR",YEAR(O71)&amp;" (1 January to 31 December)",DAY(O71)&amp;" "&amp;INDEX(nLIST_Months,MONTH(O71))&amp;" "&amp;YEAR(O71)&amp;" to "&amp;DAY(P71)&amp;" "&amp;INDEX(nLIST_Months,MONTH(P71))&amp;" "&amp;YEAR(P71)))))))</f>
        <v/>
      </c>
      <c r="S71" s="20" t="str">
        <f>IF(B71="","",Exposures!$AD8&amp;"")</f>
        <v/>
      </c>
      <c r="T71" s="20" t="str">
        <f>IF(B71="","",Exposures!$AM8&amp;"")</f>
        <v/>
      </c>
      <c r="U71" s="20" t="str">
        <f>IF(B71="","","Exposures row "&amp;ROW(Exposures!$A8)&amp;", Stop")</f>
        <v/>
      </c>
      <c r="V71" s="20">
        <f>IF(A71="",0,COUNTIF(nTP_Key,A71))</f>
        <v>0</v>
      </c>
      <c r="W71" s="20">
        <f t="shared" si="13"/>
        <v>0</v>
      </c>
      <c r="X71" s="20">
        <f t="shared" si="14"/>
        <v>0</v>
      </c>
      <c r="Y71" s="20">
        <f t="shared" si="15"/>
        <v>0</v>
      </c>
      <c r="Z71" s="20">
        <f t="shared" si="16"/>
        <v>0</v>
      </c>
    </row>
    <row r="72" spans="1:26" x14ac:dyDescent="0.2">
      <c r="A72" s="20" t="str">
        <f t="shared" si="10"/>
        <v/>
      </c>
      <c r="B72" s="20" t="str">
        <f>IF(AND(Exposures!$D9&lt;&gt;"",COUNTA(Exposures!$AE9:$AL9)&gt;0),Exposures!$D9&amp;"/STOP","")</f>
        <v/>
      </c>
      <c r="C72" s="20" t="str">
        <f t="shared" si="9"/>
        <v/>
      </c>
      <c r="D72" s="20" t="str">
        <f>IF(B72="","",Exposures!$A9&amp;"")</f>
        <v/>
      </c>
      <c r="E72" s="20" t="str">
        <f>IF(B72="","",Exposures!$B9&amp;"")</f>
        <v/>
      </c>
      <c r="F72" s="20" t="str">
        <f t="shared" si="11"/>
        <v/>
      </c>
      <c r="G72" s="20" t="str">
        <f>IF(B72="","",Exposures!$D9&amp;"")</f>
        <v/>
      </c>
      <c r="H72" s="20" t="str">
        <f>IF(B72="","",Exposures!$AE9&amp;"")</f>
        <v/>
      </c>
      <c r="I72" s="20" t="str">
        <f>IF(B72="","",Exposures!$AH9&amp;"")</f>
        <v/>
      </c>
      <c r="J72" s="20" t="str">
        <f>IF(B72="","",Exposures!$AN9&amp;"")</f>
        <v/>
      </c>
      <c r="K72" s="20">
        <f>IF(B72="",0,Exposures!$AO9)</f>
        <v>0</v>
      </c>
      <c r="L72" s="20">
        <f>IF(B72="",0,Exposures!$AP9)</f>
        <v>0</v>
      </c>
      <c r="M72" s="20" t="str">
        <f>IF(B72="","",Exposures!$AS9)</f>
        <v/>
      </c>
      <c r="N72" s="20" t="str">
        <f>IF(B72="","",Exposures!$AT9)</f>
        <v/>
      </c>
      <c r="O72" s="27" t="str">
        <f>IF(B72="","",Exposures!$AQ9)</f>
        <v/>
      </c>
      <c r="P72" s="27" t="str">
        <f>IF(B72="","",Exposures!$AR9)</f>
        <v/>
      </c>
      <c r="Q72" s="20" t="str">
        <f t="shared" si="12"/>
        <v/>
      </c>
      <c r="R72" s="20" t="str">
        <f>IF(A72="","",IF(J72&lt;&gt;"",J72,IF(H72="TIMESTAMP",DAY(INT(M72/1440))&amp;" "&amp;INDEX(nLIST_Months,MONTH(INT(M72/1440)))&amp;" "&amp;YEAR(INT(M72/1440))&amp;" "&amp;RIGHT("0"&amp;INT(MOD(M72,1440)/60),2)&amp;":"&amp;RIGHT("0"&amp;MOD(M72,60),2)&amp;IF(L72=1," (UTC"&amp;I72&amp;")"," (offset unknown)"),IF(H72="DATE",DAY(O72)&amp;" "&amp;INDEX(nLIST_Months,MONTH(O72))&amp;" "&amp;YEAR(O72),IF(H72="MONTH",INDEX(nLIST_Months,MONTH(O72))&amp;" "&amp;YEAR(O72)&amp;" ("&amp;DAY(O72)&amp;" "&amp;INDEX(nLIST_Months,MONTH(O72))&amp;" "&amp;YEAR(O72)&amp;" to "&amp;DAY(P72)&amp;" "&amp;INDEX(nLIST_Months,MONTH(P72))&amp;" "&amp;YEAR(P72)&amp;")",IF(H72="YEAR",YEAR(O72)&amp;" (1 January to 31 December)",DAY(O72)&amp;" "&amp;INDEX(nLIST_Months,MONTH(O72))&amp;" "&amp;YEAR(O72)&amp;" to "&amp;DAY(P72)&amp;" "&amp;INDEX(nLIST_Months,MONTH(P72))&amp;" "&amp;YEAR(P72)))))))</f>
        <v/>
      </c>
      <c r="S72" s="20" t="str">
        <f>IF(B72="","",Exposures!$AD9&amp;"")</f>
        <v/>
      </c>
      <c r="T72" s="20" t="str">
        <f>IF(B72="","",Exposures!$AM9&amp;"")</f>
        <v/>
      </c>
      <c r="U72" s="20" t="str">
        <f>IF(B72="","","Exposures row "&amp;ROW(Exposures!$A9)&amp;", Stop")</f>
        <v/>
      </c>
      <c r="V72" s="20">
        <f>IF(A72="",0,COUNTIF(nTP_Key,A72))</f>
        <v>0</v>
      </c>
      <c r="W72" s="20">
        <f t="shared" si="13"/>
        <v>0</v>
      </c>
      <c r="X72" s="20">
        <f t="shared" si="14"/>
        <v>0</v>
      </c>
      <c r="Y72" s="20">
        <f t="shared" si="15"/>
        <v>0</v>
      </c>
      <c r="Z72" s="20">
        <f t="shared" si="16"/>
        <v>0</v>
      </c>
    </row>
    <row r="73" spans="1:26" x14ac:dyDescent="0.2">
      <c r="A73" s="20" t="str">
        <f t="shared" si="10"/>
        <v/>
      </c>
      <c r="B73" s="20" t="str">
        <f>IF(AND(Exposures!$D10&lt;&gt;"",COUNTA(Exposures!$AE10:$AL10)&gt;0),Exposures!$D10&amp;"/STOP","")</f>
        <v/>
      </c>
      <c r="C73" s="20" t="str">
        <f t="shared" si="9"/>
        <v/>
      </c>
      <c r="D73" s="20" t="str">
        <f>IF(B73="","",Exposures!$A10&amp;"")</f>
        <v/>
      </c>
      <c r="E73" s="20" t="str">
        <f>IF(B73="","",Exposures!$B10&amp;"")</f>
        <v/>
      </c>
      <c r="F73" s="20" t="str">
        <f t="shared" si="11"/>
        <v/>
      </c>
      <c r="G73" s="20" t="str">
        <f>IF(B73="","",Exposures!$D10&amp;"")</f>
        <v/>
      </c>
      <c r="H73" s="20" t="str">
        <f>IF(B73="","",Exposures!$AE10&amp;"")</f>
        <v/>
      </c>
      <c r="I73" s="20" t="str">
        <f>IF(B73="","",Exposures!$AH10&amp;"")</f>
        <v/>
      </c>
      <c r="J73" s="20" t="str">
        <f>IF(B73="","",Exposures!$AN10&amp;"")</f>
        <v/>
      </c>
      <c r="K73" s="20">
        <f>IF(B73="",0,Exposures!$AO10)</f>
        <v>0</v>
      </c>
      <c r="L73" s="20">
        <f>IF(B73="",0,Exposures!$AP10)</f>
        <v>0</v>
      </c>
      <c r="M73" s="20" t="str">
        <f>IF(B73="","",Exposures!$AS10)</f>
        <v/>
      </c>
      <c r="N73" s="20" t="str">
        <f>IF(B73="","",Exposures!$AT10)</f>
        <v/>
      </c>
      <c r="O73" s="27" t="str">
        <f>IF(B73="","",Exposures!$AQ10)</f>
        <v/>
      </c>
      <c r="P73" s="27" t="str">
        <f>IF(B73="","",Exposures!$AR10)</f>
        <v/>
      </c>
      <c r="Q73" s="20" t="str">
        <f t="shared" si="12"/>
        <v/>
      </c>
      <c r="R73" s="20" t="str">
        <f>IF(A73="","",IF(J73&lt;&gt;"",J73,IF(H73="TIMESTAMP",DAY(INT(M73/1440))&amp;" "&amp;INDEX(nLIST_Months,MONTH(INT(M73/1440)))&amp;" "&amp;YEAR(INT(M73/1440))&amp;" "&amp;RIGHT("0"&amp;INT(MOD(M73,1440)/60),2)&amp;":"&amp;RIGHT("0"&amp;MOD(M73,60),2)&amp;IF(L73=1," (UTC"&amp;I73&amp;")"," (offset unknown)"),IF(H73="DATE",DAY(O73)&amp;" "&amp;INDEX(nLIST_Months,MONTH(O73))&amp;" "&amp;YEAR(O73),IF(H73="MONTH",INDEX(nLIST_Months,MONTH(O73))&amp;" "&amp;YEAR(O73)&amp;" ("&amp;DAY(O73)&amp;" "&amp;INDEX(nLIST_Months,MONTH(O73))&amp;" "&amp;YEAR(O73)&amp;" to "&amp;DAY(P73)&amp;" "&amp;INDEX(nLIST_Months,MONTH(P73))&amp;" "&amp;YEAR(P73)&amp;")",IF(H73="YEAR",YEAR(O73)&amp;" (1 January to 31 December)",DAY(O73)&amp;" "&amp;INDEX(nLIST_Months,MONTH(O73))&amp;" "&amp;YEAR(O73)&amp;" to "&amp;DAY(P73)&amp;" "&amp;INDEX(nLIST_Months,MONTH(P73))&amp;" "&amp;YEAR(P73)))))))</f>
        <v/>
      </c>
      <c r="S73" s="20" t="str">
        <f>IF(B73="","",Exposures!$AD10&amp;"")</f>
        <v/>
      </c>
      <c r="T73" s="20" t="str">
        <f>IF(B73="","",Exposures!$AM10&amp;"")</f>
        <v/>
      </c>
      <c r="U73" s="20" t="str">
        <f>IF(B73="","","Exposures row "&amp;ROW(Exposures!$A10)&amp;", Stop")</f>
        <v/>
      </c>
      <c r="V73" s="20">
        <f>IF(A73="",0,COUNTIF(nTP_Key,A73))</f>
        <v>0</v>
      </c>
      <c r="W73" s="20">
        <f t="shared" si="13"/>
        <v>0</v>
      </c>
      <c r="X73" s="20">
        <f t="shared" si="14"/>
        <v>0</v>
      </c>
      <c r="Y73" s="20">
        <f t="shared" si="15"/>
        <v>0</v>
      </c>
      <c r="Z73" s="20">
        <f t="shared" si="16"/>
        <v>0</v>
      </c>
    </row>
    <row r="74" spans="1:26" x14ac:dyDescent="0.2">
      <c r="A74" s="20" t="str">
        <f t="shared" si="10"/>
        <v/>
      </c>
      <c r="B74" s="20" t="str">
        <f>IF(AND(Exposures!$D11&lt;&gt;"",COUNTA(Exposures!$AE11:$AL11)&gt;0),Exposures!$D11&amp;"/STOP","")</f>
        <v/>
      </c>
      <c r="C74" s="20" t="str">
        <f t="shared" si="9"/>
        <v/>
      </c>
      <c r="D74" s="20" t="str">
        <f>IF(B74="","",Exposures!$A11&amp;"")</f>
        <v/>
      </c>
      <c r="E74" s="20" t="str">
        <f>IF(B74="","",Exposures!$B11&amp;"")</f>
        <v/>
      </c>
      <c r="F74" s="20" t="str">
        <f t="shared" si="11"/>
        <v/>
      </c>
      <c r="G74" s="20" t="str">
        <f>IF(B74="","",Exposures!$D11&amp;"")</f>
        <v/>
      </c>
      <c r="H74" s="20" t="str">
        <f>IF(B74="","",Exposures!$AE11&amp;"")</f>
        <v/>
      </c>
      <c r="I74" s="20" t="str">
        <f>IF(B74="","",Exposures!$AH11&amp;"")</f>
        <v/>
      </c>
      <c r="J74" s="20" t="str">
        <f>IF(B74="","",Exposures!$AN11&amp;"")</f>
        <v/>
      </c>
      <c r="K74" s="20">
        <f>IF(B74="",0,Exposures!$AO11)</f>
        <v>0</v>
      </c>
      <c r="L74" s="20">
        <f>IF(B74="",0,Exposures!$AP11)</f>
        <v>0</v>
      </c>
      <c r="M74" s="20" t="str">
        <f>IF(B74="","",Exposures!$AS11)</f>
        <v/>
      </c>
      <c r="N74" s="20" t="str">
        <f>IF(B74="","",Exposures!$AT11)</f>
        <v/>
      </c>
      <c r="O74" s="27" t="str">
        <f>IF(B74="","",Exposures!$AQ11)</f>
        <v/>
      </c>
      <c r="P74" s="27" t="str">
        <f>IF(B74="","",Exposures!$AR11)</f>
        <v/>
      </c>
      <c r="Q74" s="20" t="str">
        <f t="shared" si="12"/>
        <v/>
      </c>
      <c r="R74" s="20" t="str">
        <f>IF(A74="","",IF(J74&lt;&gt;"",J74,IF(H74="TIMESTAMP",DAY(INT(M74/1440))&amp;" "&amp;INDEX(nLIST_Months,MONTH(INT(M74/1440)))&amp;" "&amp;YEAR(INT(M74/1440))&amp;" "&amp;RIGHT("0"&amp;INT(MOD(M74,1440)/60),2)&amp;":"&amp;RIGHT("0"&amp;MOD(M74,60),2)&amp;IF(L74=1," (UTC"&amp;I74&amp;")"," (offset unknown)"),IF(H74="DATE",DAY(O74)&amp;" "&amp;INDEX(nLIST_Months,MONTH(O74))&amp;" "&amp;YEAR(O74),IF(H74="MONTH",INDEX(nLIST_Months,MONTH(O74))&amp;" "&amp;YEAR(O74)&amp;" ("&amp;DAY(O74)&amp;" "&amp;INDEX(nLIST_Months,MONTH(O74))&amp;" "&amp;YEAR(O74)&amp;" to "&amp;DAY(P74)&amp;" "&amp;INDEX(nLIST_Months,MONTH(P74))&amp;" "&amp;YEAR(P74)&amp;")",IF(H74="YEAR",YEAR(O74)&amp;" (1 January to 31 December)",DAY(O74)&amp;" "&amp;INDEX(nLIST_Months,MONTH(O74))&amp;" "&amp;YEAR(O74)&amp;" to "&amp;DAY(P74)&amp;" "&amp;INDEX(nLIST_Months,MONTH(P74))&amp;" "&amp;YEAR(P74)))))))</f>
        <v/>
      </c>
      <c r="S74" s="20" t="str">
        <f>IF(B74="","",Exposures!$AD11&amp;"")</f>
        <v/>
      </c>
      <c r="T74" s="20" t="str">
        <f>IF(B74="","",Exposures!$AM11&amp;"")</f>
        <v/>
      </c>
      <c r="U74" s="20" t="str">
        <f>IF(B74="","","Exposures row "&amp;ROW(Exposures!$A11)&amp;", Stop")</f>
        <v/>
      </c>
      <c r="V74" s="20">
        <f>IF(A74="",0,COUNTIF(nTP_Key,A74))</f>
        <v>0</v>
      </c>
      <c r="W74" s="20">
        <f t="shared" si="13"/>
        <v>0</v>
      </c>
      <c r="X74" s="20">
        <f t="shared" si="14"/>
        <v>0</v>
      </c>
      <c r="Y74" s="20">
        <f t="shared" si="15"/>
        <v>0</v>
      </c>
      <c r="Z74" s="20">
        <f t="shared" si="16"/>
        <v>0</v>
      </c>
    </row>
    <row r="75" spans="1:26" x14ac:dyDescent="0.2">
      <c r="A75" s="20" t="str">
        <f t="shared" si="10"/>
        <v/>
      </c>
      <c r="B75" s="20" t="str">
        <f>IF(AND(Exposures!$D12&lt;&gt;"",COUNTA(Exposures!$AE12:$AL12)&gt;0),Exposures!$D12&amp;"/STOP","")</f>
        <v/>
      </c>
      <c r="C75" s="20" t="str">
        <f t="shared" si="9"/>
        <v/>
      </c>
      <c r="D75" s="20" t="str">
        <f>IF(B75="","",Exposures!$A12&amp;"")</f>
        <v/>
      </c>
      <c r="E75" s="20" t="str">
        <f>IF(B75="","",Exposures!$B12&amp;"")</f>
        <v/>
      </c>
      <c r="F75" s="20" t="str">
        <f t="shared" si="11"/>
        <v/>
      </c>
      <c r="G75" s="20" t="str">
        <f>IF(B75="","",Exposures!$D12&amp;"")</f>
        <v/>
      </c>
      <c r="H75" s="20" t="str">
        <f>IF(B75="","",Exposures!$AE12&amp;"")</f>
        <v/>
      </c>
      <c r="I75" s="20" t="str">
        <f>IF(B75="","",Exposures!$AH12&amp;"")</f>
        <v/>
      </c>
      <c r="J75" s="20" t="str">
        <f>IF(B75="","",Exposures!$AN12&amp;"")</f>
        <v/>
      </c>
      <c r="K75" s="20">
        <f>IF(B75="",0,Exposures!$AO12)</f>
        <v>0</v>
      </c>
      <c r="L75" s="20">
        <f>IF(B75="",0,Exposures!$AP12)</f>
        <v>0</v>
      </c>
      <c r="M75" s="20" t="str">
        <f>IF(B75="","",Exposures!$AS12)</f>
        <v/>
      </c>
      <c r="N75" s="20" t="str">
        <f>IF(B75="","",Exposures!$AT12)</f>
        <v/>
      </c>
      <c r="O75" s="27" t="str">
        <f>IF(B75="","",Exposures!$AQ12)</f>
        <v/>
      </c>
      <c r="P75" s="27" t="str">
        <f>IF(B75="","",Exposures!$AR12)</f>
        <v/>
      </c>
      <c r="Q75" s="20" t="str">
        <f t="shared" si="12"/>
        <v/>
      </c>
      <c r="R75" s="20" t="str">
        <f>IF(A75="","",IF(J75&lt;&gt;"",J75,IF(H75="TIMESTAMP",DAY(INT(M75/1440))&amp;" "&amp;INDEX(nLIST_Months,MONTH(INT(M75/1440)))&amp;" "&amp;YEAR(INT(M75/1440))&amp;" "&amp;RIGHT("0"&amp;INT(MOD(M75,1440)/60),2)&amp;":"&amp;RIGHT("0"&amp;MOD(M75,60),2)&amp;IF(L75=1," (UTC"&amp;I75&amp;")"," (offset unknown)"),IF(H75="DATE",DAY(O75)&amp;" "&amp;INDEX(nLIST_Months,MONTH(O75))&amp;" "&amp;YEAR(O75),IF(H75="MONTH",INDEX(nLIST_Months,MONTH(O75))&amp;" "&amp;YEAR(O75)&amp;" ("&amp;DAY(O75)&amp;" "&amp;INDEX(nLIST_Months,MONTH(O75))&amp;" "&amp;YEAR(O75)&amp;" to "&amp;DAY(P75)&amp;" "&amp;INDEX(nLIST_Months,MONTH(P75))&amp;" "&amp;YEAR(P75)&amp;")",IF(H75="YEAR",YEAR(O75)&amp;" (1 January to 31 December)",DAY(O75)&amp;" "&amp;INDEX(nLIST_Months,MONTH(O75))&amp;" "&amp;YEAR(O75)&amp;" to "&amp;DAY(P75)&amp;" "&amp;INDEX(nLIST_Months,MONTH(P75))&amp;" "&amp;YEAR(P75)))))))</f>
        <v/>
      </c>
      <c r="S75" s="20" t="str">
        <f>IF(B75="","",Exposures!$AD12&amp;"")</f>
        <v/>
      </c>
      <c r="T75" s="20" t="str">
        <f>IF(B75="","",Exposures!$AM12&amp;"")</f>
        <v/>
      </c>
      <c r="U75" s="20" t="str">
        <f>IF(B75="","","Exposures row "&amp;ROW(Exposures!$A12)&amp;", Stop")</f>
        <v/>
      </c>
      <c r="V75" s="20">
        <f>IF(A75="",0,COUNTIF(nTP_Key,A75))</f>
        <v>0</v>
      </c>
      <c r="W75" s="20">
        <f t="shared" si="13"/>
        <v>0</v>
      </c>
      <c r="X75" s="20">
        <f t="shared" si="14"/>
        <v>0</v>
      </c>
      <c r="Y75" s="20">
        <f t="shared" si="15"/>
        <v>0</v>
      </c>
      <c r="Z75" s="20">
        <f t="shared" si="16"/>
        <v>0</v>
      </c>
    </row>
    <row r="76" spans="1:26" x14ac:dyDescent="0.2">
      <c r="A76" s="20" t="str">
        <f t="shared" si="10"/>
        <v/>
      </c>
      <c r="B76" s="20" t="str">
        <f>IF(AND(Exposures!$D13&lt;&gt;"",COUNTA(Exposures!$AE13:$AL13)&gt;0),Exposures!$D13&amp;"/STOP","")</f>
        <v/>
      </c>
      <c r="C76" s="20" t="str">
        <f t="shared" si="9"/>
        <v/>
      </c>
      <c r="D76" s="20" t="str">
        <f>IF(B76="","",Exposures!$A13&amp;"")</f>
        <v/>
      </c>
      <c r="E76" s="20" t="str">
        <f>IF(B76="","",Exposures!$B13&amp;"")</f>
        <v/>
      </c>
      <c r="F76" s="20" t="str">
        <f t="shared" si="11"/>
        <v/>
      </c>
      <c r="G76" s="20" t="str">
        <f>IF(B76="","",Exposures!$D13&amp;"")</f>
        <v/>
      </c>
      <c r="H76" s="20" t="str">
        <f>IF(B76="","",Exposures!$AE13&amp;"")</f>
        <v/>
      </c>
      <c r="I76" s="20" t="str">
        <f>IF(B76="","",Exposures!$AH13&amp;"")</f>
        <v/>
      </c>
      <c r="J76" s="20" t="str">
        <f>IF(B76="","",Exposures!$AN13&amp;"")</f>
        <v/>
      </c>
      <c r="K76" s="20">
        <f>IF(B76="",0,Exposures!$AO13)</f>
        <v>0</v>
      </c>
      <c r="L76" s="20">
        <f>IF(B76="",0,Exposures!$AP13)</f>
        <v>0</v>
      </c>
      <c r="M76" s="20" t="str">
        <f>IF(B76="","",Exposures!$AS13)</f>
        <v/>
      </c>
      <c r="N76" s="20" t="str">
        <f>IF(B76="","",Exposures!$AT13)</f>
        <v/>
      </c>
      <c r="O76" s="27" t="str">
        <f>IF(B76="","",Exposures!$AQ13)</f>
        <v/>
      </c>
      <c r="P76" s="27" t="str">
        <f>IF(B76="","",Exposures!$AR13)</f>
        <v/>
      </c>
      <c r="Q76" s="20" t="str">
        <f t="shared" si="12"/>
        <v/>
      </c>
      <c r="R76" s="20" t="str">
        <f>IF(A76="","",IF(J76&lt;&gt;"",J76,IF(H76="TIMESTAMP",DAY(INT(M76/1440))&amp;" "&amp;INDEX(nLIST_Months,MONTH(INT(M76/1440)))&amp;" "&amp;YEAR(INT(M76/1440))&amp;" "&amp;RIGHT("0"&amp;INT(MOD(M76,1440)/60),2)&amp;":"&amp;RIGHT("0"&amp;MOD(M76,60),2)&amp;IF(L76=1," (UTC"&amp;I76&amp;")"," (offset unknown)"),IF(H76="DATE",DAY(O76)&amp;" "&amp;INDEX(nLIST_Months,MONTH(O76))&amp;" "&amp;YEAR(O76),IF(H76="MONTH",INDEX(nLIST_Months,MONTH(O76))&amp;" "&amp;YEAR(O76)&amp;" ("&amp;DAY(O76)&amp;" "&amp;INDEX(nLIST_Months,MONTH(O76))&amp;" "&amp;YEAR(O76)&amp;" to "&amp;DAY(P76)&amp;" "&amp;INDEX(nLIST_Months,MONTH(P76))&amp;" "&amp;YEAR(P76)&amp;")",IF(H76="YEAR",YEAR(O76)&amp;" (1 January to 31 December)",DAY(O76)&amp;" "&amp;INDEX(nLIST_Months,MONTH(O76))&amp;" "&amp;YEAR(O76)&amp;" to "&amp;DAY(P76)&amp;" "&amp;INDEX(nLIST_Months,MONTH(P76))&amp;" "&amp;YEAR(P76)))))))</f>
        <v/>
      </c>
      <c r="S76" s="20" t="str">
        <f>IF(B76="","",Exposures!$AD13&amp;"")</f>
        <v/>
      </c>
      <c r="T76" s="20" t="str">
        <f>IF(B76="","",Exposures!$AM13&amp;"")</f>
        <v/>
      </c>
      <c r="U76" s="20" t="str">
        <f>IF(B76="","","Exposures row "&amp;ROW(Exposures!$A13)&amp;", Stop")</f>
        <v/>
      </c>
      <c r="V76" s="20">
        <f>IF(A76="",0,COUNTIF(nTP_Key,A76))</f>
        <v>0</v>
      </c>
      <c r="W76" s="20">
        <f t="shared" si="13"/>
        <v>0</v>
      </c>
      <c r="X76" s="20">
        <f t="shared" si="14"/>
        <v>0</v>
      </c>
      <c r="Y76" s="20">
        <f t="shared" si="15"/>
        <v>0</v>
      </c>
      <c r="Z76" s="20">
        <f t="shared" si="16"/>
        <v>0</v>
      </c>
    </row>
    <row r="77" spans="1:26" x14ac:dyDescent="0.2">
      <c r="A77" s="20" t="str">
        <f t="shared" si="10"/>
        <v/>
      </c>
      <c r="B77" s="20" t="str">
        <f>IF(AND(Exposures!$D14&lt;&gt;"",COUNTA(Exposures!$AE14:$AL14)&gt;0),Exposures!$D14&amp;"/STOP","")</f>
        <v/>
      </c>
      <c r="C77" s="20" t="str">
        <f t="shared" si="9"/>
        <v/>
      </c>
      <c r="D77" s="20" t="str">
        <f>IF(B77="","",Exposures!$A14&amp;"")</f>
        <v/>
      </c>
      <c r="E77" s="20" t="str">
        <f>IF(B77="","",Exposures!$B14&amp;"")</f>
        <v/>
      </c>
      <c r="F77" s="20" t="str">
        <f t="shared" si="11"/>
        <v/>
      </c>
      <c r="G77" s="20" t="str">
        <f>IF(B77="","",Exposures!$D14&amp;"")</f>
        <v/>
      </c>
      <c r="H77" s="20" t="str">
        <f>IF(B77="","",Exposures!$AE14&amp;"")</f>
        <v/>
      </c>
      <c r="I77" s="20" t="str">
        <f>IF(B77="","",Exposures!$AH14&amp;"")</f>
        <v/>
      </c>
      <c r="J77" s="20" t="str">
        <f>IF(B77="","",Exposures!$AN14&amp;"")</f>
        <v/>
      </c>
      <c r="K77" s="20">
        <f>IF(B77="",0,Exposures!$AO14)</f>
        <v>0</v>
      </c>
      <c r="L77" s="20">
        <f>IF(B77="",0,Exposures!$AP14)</f>
        <v>0</v>
      </c>
      <c r="M77" s="20" t="str">
        <f>IF(B77="","",Exposures!$AS14)</f>
        <v/>
      </c>
      <c r="N77" s="20" t="str">
        <f>IF(B77="","",Exposures!$AT14)</f>
        <v/>
      </c>
      <c r="O77" s="27" t="str">
        <f>IF(B77="","",Exposures!$AQ14)</f>
        <v/>
      </c>
      <c r="P77" s="27" t="str">
        <f>IF(B77="","",Exposures!$AR14)</f>
        <v/>
      </c>
      <c r="Q77" s="20" t="str">
        <f t="shared" si="12"/>
        <v/>
      </c>
      <c r="R77" s="20" t="str">
        <f>IF(A77="","",IF(J77&lt;&gt;"",J77,IF(H77="TIMESTAMP",DAY(INT(M77/1440))&amp;" "&amp;INDEX(nLIST_Months,MONTH(INT(M77/1440)))&amp;" "&amp;YEAR(INT(M77/1440))&amp;" "&amp;RIGHT("0"&amp;INT(MOD(M77,1440)/60),2)&amp;":"&amp;RIGHT("0"&amp;MOD(M77,60),2)&amp;IF(L77=1," (UTC"&amp;I77&amp;")"," (offset unknown)"),IF(H77="DATE",DAY(O77)&amp;" "&amp;INDEX(nLIST_Months,MONTH(O77))&amp;" "&amp;YEAR(O77),IF(H77="MONTH",INDEX(nLIST_Months,MONTH(O77))&amp;" "&amp;YEAR(O77)&amp;" ("&amp;DAY(O77)&amp;" "&amp;INDEX(nLIST_Months,MONTH(O77))&amp;" "&amp;YEAR(O77)&amp;" to "&amp;DAY(P77)&amp;" "&amp;INDEX(nLIST_Months,MONTH(P77))&amp;" "&amp;YEAR(P77)&amp;")",IF(H77="YEAR",YEAR(O77)&amp;" (1 January to 31 December)",DAY(O77)&amp;" "&amp;INDEX(nLIST_Months,MONTH(O77))&amp;" "&amp;YEAR(O77)&amp;" to "&amp;DAY(P77)&amp;" "&amp;INDEX(nLIST_Months,MONTH(P77))&amp;" "&amp;YEAR(P77)))))))</f>
        <v/>
      </c>
      <c r="S77" s="20" t="str">
        <f>IF(B77="","",Exposures!$AD14&amp;"")</f>
        <v/>
      </c>
      <c r="T77" s="20" t="str">
        <f>IF(B77="","",Exposures!$AM14&amp;"")</f>
        <v/>
      </c>
      <c r="U77" s="20" t="str">
        <f>IF(B77="","","Exposures row "&amp;ROW(Exposures!$A14)&amp;", Stop")</f>
        <v/>
      </c>
      <c r="V77" s="20">
        <f>IF(A77="",0,COUNTIF(nTP_Key,A77))</f>
        <v>0</v>
      </c>
      <c r="W77" s="20">
        <f t="shared" si="13"/>
        <v>0</v>
      </c>
      <c r="X77" s="20">
        <f t="shared" si="14"/>
        <v>0</v>
      </c>
      <c r="Y77" s="20">
        <f t="shared" si="15"/>
        <v>0</v>
      </c>
      <c r="Z77" s="20">
        <f t="shared" si="16"/>
        <v>0</v>
      </c>
    </row>
    <row r="78" spans="1:26" x14ac:dyDescent="0.2">
      <c r="A78" s="20" t="str">
        <f t="shared" si="10"/>
        <v/>
      </c>
      <c r="B78" s="20" t="str">
        <f>IF(AND(Exposures!$D15&lt;&gt;"",COUNTA(Exposures!$AE15:$AL15)&gt;0),Exposures!$D15&amp;"/STOP","")</f>
        <v/>
      </c>
      <c r="C78" s="20" t="str">
        <f t="shared" si="9"/>
        <v/>
      </c>
      <c r="D78" s="20" t="str">
        <f>IF(B78="","",Exposures!$A15&amp;"")</f>
        <v/>
      </c>
      <c r="E78" s="20" t="str">
        <f>IF(B78="","",Exposures!$B15&amp;"")</f>
        <v/>
      </c>
      <c r="F78" s="20" t="str">
        <f t="shared" si="11"/>
        <v/>
      </c>
      <c r="G78" s="20" t="str">
        <f>IF(B78="","",Exposures!$D15&amp;"")</f>
        <v/>
      </c>
      <c r="H78" s="20" t="str">
        <f>IF(B78="","",Exposures!$AE15&amp;"")</f>
        <v/>
      </c>
      <c r="I78" s="20" t="str">
        <f>IF(B78="","",Exposures!$AH15&amp;"")</f>
        <v/>
      </c>
      <c r="J78" s="20" t="str">
        <f>IF(B78="","",Exposures!$AN15&amp;"")</f>
        <v/>
      </c>
      <c r="K78" s="20">
        <f>IF(B78="",0,Exposures!$AO15)</f>
        <v>0</v>
      </c>
      <c r="L78" s="20">
        <f>IF(B78="",0,Exposures!$AP15)</f>
        <v>0</v>
      </c>
      <c r="M78" s="20" t="str">
        <f>IF(B78="","",Exposures!$AS15)</f>
        <v/>
      </c>
      <c r="N78" s="20" t="str">
        <f>IF(B78="","",Exposures!$AT15)</f>
        <v/>
      </c>
      <c r="O78" s="27" t="str">
        <f>IF(B78="","",Exposures!$AQ15)</f>
        <v/>
      </c>
      <c r="P78" s="27" t="str">
        <f>IF(B78="","",Exposures!$AR15)</f>
        <v/>
      </c>
      <c r="Q78" s="20" t="str">
        <f t="shared" si="12"/>
        <v/>
      </c>
      <c r="R78" s="20" t="str">
        <f>IF(A78="","",IF(J78&lt;&gt;"",J78,IF(H78="TIMESTAMP",DAY(INT(M78/1440))&amp;" "&amp;INDEX(nLIST_Months,MONTH(INT(M78/1440)))&amp;" "&amp;YEAR(INT(M78/1440))&amp;" "&amp;RIGHT("0"&amp;INT(MOD(M78,1440)/60),2)&amp;":"&amp;RIGHT("0"&amp;MOD(M78,60),2)&amp;IF(L78=1," (UTC"&amp;I78&amp;")"," (offset unknown)"),IF(H78="DATE",DAY(O78)&amp;" "&amp;INDEX(nLIST_Months,MONTH(O78))&amp;" "&amp;YEAR(O78),IF(H78="MONTH",INDEX(nLIST_Months,MONTH(O78))&amp;" "&amp;YEAR(O78)&amp;" ("&amp;DAY(O78)&amp;" "&amp;INDEX(nLIST_Months,MONTH(O78))&amp;" "&amp;YEAR(O78)&amp;" to "&amp;DAY(P78)&amp;" "&amp;INDEX(nLIST_Months,MONTH(P78))&amp;" "&amp;YEAR(P78)&amp;")",IF(H78="YEAR",YEAR(O78)&amp;" (1 January to 31 December)",DAY(O78)&amp;" "&amp;INDEX(nLIST_Months,MONTH(O78))&amp;" "&amp;YEAR(O78)&amp;" to "&amp;DAY(P78)&amp;" "&amp;INDEX(nLIST_Months,MONTH(P78))&amp;" "&amp;YEAR(P78)))))))</f>
        <v/>
      </c>
      <c r="S78" s="20" t="str">
        <f>IF(B78="","",Exposures!$AD15&amp;"")</f>
        <v/>
      </c>
      <c r="T78" s="20" t="str">
        <f>IF(B78="","",Exposures!$AM15&amp;"")</f>
        <v/>
      </c>
      <c r="U78" s="20" t="str">
        <f>IF(B78="","","Exposures row "&amp;ROW(Exposures!$A15)&amp;", Stop")</f>
        <v/>
      </c>
      <c r="V78" s="20">
        <f>IF(A78="",0,COUNTIF(nTP_Key,A78))</f>
        <v>0</v>
      </c>
      <c r="W78" s="20">
        <f t="shared" si="13"/>
        <v>0</v>
      </c>
      <c r="X78" s="20">
        <f t="shared" si="14"/>
        <v>0</v>
      </c>
      <c r="Y78" s="20">
        <f t="shared" si="15"/>
        <v>0</v>
      </c>
      <c r="Z78" s="20">
        <f t="shared" si="16"/>
        <v>0</v>
      </c>
    </row>
    <row r="79" spans="1:26" x14ac:dyDescent="0.2">
      <c r="A79" s="20" t="str">
        <f t="shared" si="10"/>
        <v/>
      </c>
      <c r="B79" s="20" t="str">
        <f>IF(AND(Exposures!$D16&lt;&gt;"",COUNTA(Exposures!$AE16:$AL16)&gt;0),Exposures!$D16&amp;"/STOP","")</f>
        <v/>
      </c>
      <c r="C79" s="20" t="str">
        <f t="shared" si="9"/>
        <v/>
      </c>
      <c r="D79" s="20" t="str">
        <f>IF(B79="","",Exposures!$A16&amp;"")</f>
        <v/>
      </c>
      <c r="E79" s="20" t="str">
        <f>IF(B79="","",Exposures!$B16&amp;"")</f>
        <v/>
      </c>
      <c r="F79" s="20" t="str">
        <f t="shared" si="11"/>
        <v/>
      </c>
      <c r="G79" s="20" t="str">
        <f>IF(B79="","",Exposures!$D16&amp;"")</f>
        <v/>
      </c>
      <c r="H79" s="20" t="str">
        <f>IF(B79="","",Exposures!$AE16&amp;"")</f>
        <v/>
      </c>
      <c r="I79" s="20" t="str">
        <f>IF(B79="","",Exposures!$AH16&amp;"")</f>
        <v/>
      </c>
      <c r="J79" s="20" t="str">
        <f>IF(B79="","",Exposures!$AN16&amp;"")</f>
        <v/>
      </c>
      <c r="K79" s="20">
        <f>IF(B79="",0,Exposures!$AO16)</f>
        <v>0</v>
      </c>
      <c r="L79" s="20">
        <f>IF(B79="",0,Exposures!$AP16)</f>
        <v>0</v>
      </c>
      <c r="M79" s="20" t="str">
        <f>IF(B79="","",Exposures!$AS16)</f>
        <v/>
      </c>
      <c r="N79" s="20" t="str">
        <f>IF(B79="","",Exposures!$AT16)</f>
        <v/>
      </c>
      <c r="O79" s="27" t="str">
        <f>IF(B79="","",Exposures!$AQ16)</f>
        <v/>
      </c>
      <c r="P79" s="27" t="str">
        <f>IF(B79="","",Exposures!$AR16)</f>
        <v/>
      </c>
      <c r="Q79" s="20" t="str">
        <f t="shared" si="12"/>
        <v/>
      </c>
      <c r="R79" s="20" t="str">
        <f>IF(A79="","",IF(J79&lt;&gt;"",J79,IF(H79="TIMESTAMP",DAY(INT(M79/1440))&amp;" "&amp;INDEX(nLIST_Months,MONTH(INT(M79/1440)))&amp;" "&amp;YEAR(INT(M79/1440))&amp;" "&amp;RIGHT("0"&amp;INT(MOD(M79,1440)/60),2)&amp;":"&amp;RIGHT("0"&amp;MOD(M79,60),2)&amp;IF(L79=1," (UTC"&amp;I79&amp;")"," (offset unknown)"),IF(H79="DATE",DAY(O79)&amp;" "&amp;INDEX(nLIST_Months,MONTH(O79))&amp;" "&amp;YEAR(O79),IF(H79="MONTH",INDEX(nLIST_Months,MONTH(O79))&amp;" "&amp;YEAR(O79)&amp;" ("&amp;DAY(O79)&amp;" "&amp;INDEX(nLIST_Months,MONTH(O79))&amp;" "&amp;YEAR(O79)&amp;" to "&amp;DAY(P79)&amp;" "&amp;INDEX(nLIST_Months,MONTH(P79))&amp;" "&amp;YEAR(P79)&amp;")",IF(H79="YEAR",YEAR(O79)&amp;" (1 January to 31 December)",DAY(O79)&amp;" "&amp;INDEX(nLIST_Months,MONTH(O79))&amp;" "&amp;YEAR(O79)&amp;" to "&amp;DAY(P79)&amp;" "&amp;INDEX(nLIST_Months,MONTH(P79))&amp;" "&amp;YEAR(P79)))))))</f>
        <v/>
      </c>
      <c r="S79" s="20" t="str">
        <f>IF(B79="","",Exposures!$AD16&amp;"")</f>
        <v/>
      </c>
      <c r="T79" s="20" t="str">
        <f>IF(B79="","",Exposures!$AM16&amp;"")</f>
        <v/>
      </c>
      <c r="U79" s="20" t="str">
        <f>IF(B79="","","Exposures row "&amp;ROW(Exposures!$A16)&amp;", Stop")</f>
        <v/>
      </c>
      <c r="V79" s="20">
        <f>IF(A79="",0,COUNTIF(nTP_Key,A79))</f>
        <v>0</v>
      </c>
      <c r="W79" s="20">
        <f t="shared" si="13"/>
        <v>0</v>
      </c>
      <c r="X79" s="20">
        <f t="shared" si="14"/>
        <v>0</v>
      </c>
      <c r="Y79" s="20">
        <f t="shared" si="15"/>
        <v>0</v>
      </c>
      <c r="Z79" s="20">
        <f t="shared" si="16"/>
        <v>0</v>
      </c>
    </row>
    <row r="80" spans="1:26" x14ac:dyDescent="0.2">
      <c r="A80" s="20" t="str">
        <f t="shared" si="10"/>
        <v/>
      </c>
      <c r="B80" s="20" t="str">
        <f>IF(AND(Exposures!$D17&lt;&gt;"",COUNTA(Exposures!$AE17:$AL17)&gt;0),Exposures!$D17&amp;"/STOP","")</f>
        <v/>
      </c>
      <c r="C80" s="20" t="str">
        <f t="shared" si="9"/>
        <v/>
      </c>
      <c r="D80" s="20" t="str">
        <f>IF(B80="","",Exposures!$A17&amp;"")</f>
        <v/>
      </c>
      <c r="E80" s="20" t="str">
        <f>IF(B80="","",Exposures!$B17&amp;"")</f>
        <v/>
      </c>
      <c r="F80" s="20" t="str">
        <f t="shared" si="11"/>
        <v/>
      </c>
      <c r="G80" s="20" t="str">
        <f>IF(B80="","",Exposures!$D17&amp;"")</f>
        <v/>
      </c>
      <c r="H80" s="20" t="str">
        <f>IF(B80="","",Exposures!$AE17&amp;"")</f>
        <v/>
      </c>
      <c r="I80" s="20" t="str">
        <f>IF(B80="","",Exposures!$AH17&amp;"")</f>
        <v/>
      </c>
      <c r="J80" s="20" t="str">
        <f>IF(B80="","",Exposures!$AN17&amp;"")</f>
        <v/>
      </c>
      <c r="K80" s="20">
        <f>IF(B80="",0,Exposures!$AO17)</f>
        <v>0</v>
      </c>
      <c r="L80" s="20">
        <f>IF(B80="",0,Exposures!$AP17)</f>
        <v>0</v>
      </c>
      <c r="M80" s="20" t="str">
        <f>IF(B80="","",Exposures!$AS17)</f>
        <v/>
      </c>
      <c r="N80" s="20" t="str">
        <f>IF(B80="","",Exposures!$AT17)</f>
        <v/>
      </c>
      <c r="O80" s="27" t="str">
        <f>IF(B80="","",Exposures!$AQ17)</f>
        <v/>
      </c>
      <c r="P80" s="27" t="str">
        <f>IF(B80="","",Exposures!$AR17)</f>
        <v/>
      </c>
      <c r="Q80" s="20" t="str">
        <f t="shared" si="12"/>
        <v/>
      </c>
      <c r="R80" s="20" t="str">
        <f>IF(A80="","",IF(J80&lt;&gt;"",J80,IF(H80="TIMESTAMP",DAY(INT(M80/1440))&amp;" "&amp;INDEX(nLIST_Months,MONTH(INT(M80/1440)))&amp;" "&amp;YEAR(INT(M80/1440))&amp;" "&amp;RIGHT("0"&amp;INT(MOD(M80,1440)/60),2)&amp;":"&amp;RIGHT("0"&amp;MOD(M80,60),2)&amp;IF(L80=1," (UTC"&amp;I80&amp;")"," (offset unknown)"),IF(H80="DATE",DAY(O80)&amp;" "&amp;INDEX(nLIST_Months,MONTH(O80))&amp;" "&amp;YEAR(O80),IF(H80="MONTH",INDEX(nLIST_Months,MONTH(O80))&amp;" "&amp;YEAR(O80)&amp;" ("&amp;DAY(O80)&amp;" "&amp;INDEX(nLIST_Months,MONTH(O80))&amp;" "&amp;YEAR(O80)&amp;" to "&amp;DAY(P80)&amp;" "&amp;INDEX(nLIST_Months,MONTH(P80))&amp;" "&amp;YEAR(P80)&amp;")",IF(H80="YEAR",YEAR(O80)&amp;" (1 January to 31 December)",DAY(O80)&amp;" "&amp;INDEX(nLIST_Months,MONTH(O80))&amp;" "&amp;YEAR(O80)&amp;" to "&amp;DAY(P80)&amp;" "&amp;INDEX(nLIST_Months,MONTH(P80))&amp;" "&amp;YEAR(P80)))))))</f>
        <v/>
      </c>
      <c r="S80" s="20" t="str">
        <f>IF(B80="","",Exposures!$AD17&amp;"")</f>
        <v/>
      </c>
      <c r="T80" s="20" t="str">
        <f>IF(B80="","",Exposures!$AM17&amp;"")</f>
        <v/>
      </c>
      <c r="U80" s="20" t="str">
        <f>IF(B80="","","Exposures row "&amp;ROW(Exposures!$A17)&amp;", Stop")</f>
        <v/>
      </c>
      <c r="V80" s="20">
        <f>IF(A80="",0,COUNTIF(nTP_Key,A80))</f>
        <v>0</v>
      </c>
      <c r="W80" s="20">
        <f t="shared" si="13"/>
        <v>0</v>
      </c>
      <c r="X80" s="20">
        <f t="shared" si="14"/>
        <v>0</v>
      </c>
      <c r="Y80" s="20">
        <f t="shared" si="15"/>
        <v>0</v>
      </c>
      <c r="Z80" s="20">
        <f t="shared" si="16"/>
        <v>0</v>
      </c>
    </row>
    <row r="81" spans="1:26" x14ac:dyDescent="0.2">
      <c r="A81" s="20" t="str">
        <f t="shared" si="10"/>
        <v/>
      </c>
      <c r="B81" s="20" t="str">
        <f>IF(AND(Exposures!$D18&lt;&gt;"",COUNTA(Exposures!$AE18:$AL18)&gt;0),Exposures!$D18&amp;"/STOP","")</f>
        <v/>
      </c>
      <c r="C81" s="20" t="str">
        <f t="shared" si="9"/>
        <v/>
      </c>
      <c r="D81" s="20" t="str">
        <f>IF(B81="","",Exposures!$A18&amp;"")</f>
        <v/>
      </c>
      <c r="E81" s="20" t="str">
        <f>IF(B81="","",Exposures!$B18&amp;"")</f>
        <v/>
      </c>
      <c r="F81" s="20" t="str">
        <f t="shared" si="11"/>
        <v/>
      </c>
      <c r="G81" s="20" t="str">
        <f>IF(B81="","",Exposures!$D18&amp;"")</f>
        <v/>
      </c>
      <c r="H81" s="20" t="str">
        <f>IF(B81="","",Exposures!$AE18&amp;"")</f>
        <v/>
      </c>
      <c r="I81" s="20" t="str">
        <f>IF(B81="","",Exposures!$AH18&amp;"")</f>
        <v/>
      </c>
      <c r="J81" s="20" t="str">
        <f>IF(B81="","",Exposures!$AN18&amp;"")</f>
        <v/>
      </c>
      <c r="K81" s="20">
        <f>IF(B81="",0,Exposures!$AO18)</f>
        <v>0</v>
      </c>
      <c r="L81" s="20">
        <f>IF(B81="",0,Exposures!$AP18)</f>
        <v>0</v>
      </c>
      <c r="M81" s="20" t="str">
        <f>IF(B81="","",Exposures!$AS18)</f>
        <v/>
      </c>
      <c r="N81" s="20" t="str">
        <f>IF(B81="","",Exposures!$AT18)</f>
        <v/>
      </c>
      <c r="O81" s="27" t="str">
        <f>IF(B81="","",Exposures!$AQ18)</f>
        <v/>
      </c>
      <c r="P81" s="27" t="str">
        <f>IF(B81="","",Exposures!$AR18)</f>
        <v/>
      </c>
      <c r="Q81" s="20" t="str">
        <f t="shared" si="12"/>
        <v/>
      </c>
      <c r="R81" s="20" t="str">
        <f>IF(A81="","",IF(J81&lt;&gt;"",J81,IF(H81="TIMESTAMP",DAY(INT(M81/1440))&amp;" "&amp;INDEX(nLIST_Months,MONTH(INT(M81/1440)))&amp;" "&amp;YEAR(INT(M81/1440))&amp;" "&amp;RIGHT("0"&amp;INT(MOD(M81,1440)/60),2)&amp;":"&amp;RIGHT("0"&amp;MOD(M81,60),2)&amp;IF(L81=1," (UTC"&amp;I81&amp;")"," (offset unknown)"),IF(H81="DATE",DAY(O81)&amp;" "&amp;INDEX(nLIST_Months,MONTH(O81))&amp;" "&amp;YEAR(O81),IF(H81="MONTH",INDEX(nLIST_Months,MONTH(O81))&amp;" "&amp;YEAR(O81)&amp;" ("&amp;DAY(O81)&amp;" "&amp;INDEX(nLIST_Months,MONTH(O81))&amp;" "&amp;YEAR(O81)&amp;" to "&amp;DAY(P81)&amp;" "&amp;INDEX(nLIST_Months,MONTH(P81))&amp;" "&amp;YEAR(P81)&amp;")",IF(H81="YEAR",YEAR(O81)&amp;" (1 January to 31 December)",DAY(O81)&amp;" "&amp;INDEX(nLIST_Months,MONTH(O81))&amp;" "&amp;YEAR(O81)&amp;" to "&amp;DAY(P81)&amp;" "&amp;INDEX(nLIST_Months,MONTH(P81))&amp;" "&amp;YEAR(P81)))))))</f>
        <v/>
      </c>
      <c r="S81" s="20" t="str">
        <f>IF(B81="","",Exposures!$AD18&amp;"")</f>
        <v/>
      </c>
      <c r="T81" s="20" t="str">
        <f>IF(B81="","",Exposures!$AM18&amp;"")</f>
        <v/>
      </c>
      <c r="U81" s="20" t="str">
        <f>IF(B81="","","Exposures row "&amp;ROW(Exposures!$A18)&amp;", Stop")</f>
        <v/>
      </c>
      <c r="V81" s="20">
        <f>IF(A81="",0,COUNTIF(nTP_Key,A81))</f>
        <v>0</v>
      </c>
      <c r="W81" s="20">
        <f t="shared" si="13"/>
        <v>0</v>
      </c>
      <c r="X81" s="20">
        <f t="shared" si="14"/>
        <v>0</v>
      </c>
      <c r="Y81" s="20">
        <f t="shared" si="15"/>
        <v>0</v>
      </c>
      <c r="Z81" s="20">
        <f t="shared" si="16"/>
        <v>0</v>
      </c>
    </row>
    <row r="82" spans="1:26" x14ac:dyDescent="0.2">
      <c r="A82" s="20" t="str">
        <f t="shared" si="10"/>
        <v/>
      </c>
      <c r="B82" s="20" t="str">
        <f>IF(AND(Exposures!$D19&lt;&gt;"",COUNTA(Exposures!$AE19:$AL19)&gt;0),Exposures!$D19&amp;"/STOP","")</f>
        <v/>
      </c>
      <c r="C82" s="20" t="str">
        <f t="shared" si="9"/>
        <v/>
      </c>
      <c r="D82" s="20" t="str">
        <f>IF(B82="","",Exposures!$A19&amp;"")</f>
        <v/>
      </c>
      <c r="E82" s="20" t="str">
        <f>IF(B82="","",Exposures!$B19&amp;"")</f>
        <v/>
      </c>
      <c r="F82" s="20" t="str">
        <f t="shared" si="11"/>
        <v/>
      </c>
      <c r="G82" s="20" t="str">
        <f>IF(B82="","",Exposures!$D19&amp;"")</f>
        <v/>
      </c>
      <c r="H82" s="20" t="str">
        <f>IF(B82="","",Exposures!$AE19&amp;"")</f>
        <v/>
      </c>
      <c r="I82" s="20" t="str">
        <f>IF(B82="","",Exposures!$AH19&amp;"")</f>
        <v/>
      </c>
      <c r="J82" s="20" t="str">
        <f>IF(B82="","",Exposures!$AN19&amp;"")</f>
        <v/>
      </c>
      <c r="K82" s="20">
        <f>IF(B82="",0,Exposures!$AO19)</f>
        <v>0</v>
      </c>
      <c r="L82" s="20">
        <f>IF(B82="",0,Exposures!$AP19)</f>
        <v>0</v>
      </c>
      <c r="M82" s="20" t="str">
        <f>IF(B82="","",Exposures!$AS19)</f>
        <v/>
      </c>
      <c r="N82" s="20" t="str">
        <f>IF(B82="","",Exposures!$AT19)</f>
        <v/>
      </c>
      <c r="O82" s="27" t="str">
        <f>IF(B82="","",Exposures!$AQ19)</f>
        <v/>
      </c>
      <c r="P82" s="27" t="str">
        <f>IF(B82="","",Exposures!$AR19)</f>
        <v/>
      </c>
      <c r="Q82" s="20" t="str">
        <f t="shared" si="12"/>
        <v/>
      </c>
      <c r="R82" s="20" t="str">
        <f>IF(A82="","",IF(J82&lt;&gt;"",J82,IF(H82="TIMESTAMP",DAY(INT(M82/1440))&amp;" "&amp;INDEX(nLIST_Months,MONTH(INT(M82/1440)))&amp;" "&amp;YEAR(INT(M82/1440))&amp;" "&amp;RIGHT("0"&amp;INT(MOD(M82,1440)/60),2)&amp;":"&amp;RIGHT("0"&amp;MOD(M82,60),2)&amp;IF(L82=1," (UTC"&amp;I82&amp;")"," (offset unknown)"),IF(H82="DATE",DAY(O82)&amp;" "&amp;INDEX(nLIST_Months,MONTH(O82))&amp;" "&amp;YEAR(O82),IF(H82="MONTH",INDEX(nLIST_Months,MONTH(O82))&amp;" "&amp;YEAR(O82)&amp;" ("&amp;DAY(O82)&amp;" "&amp;INDEX(nLIST_Months,MONTH(O82))&amp;" "&amp;YEAR(O82)&amp;" to "&amp;DAY(P82)&amp;" "&amp;INDEX(nLIST_Months,MONTH(P82))&amp;" "&amp;YEAR(P82)&amp;")",IF(H82="YEAR",YEAR(O82)&amp;" (1 January to 31 December)",DAY(O82)&amp;" "&amp;INDEX(nLIST_Months,MONTH(O82))&amp;" "&amp;YEAR(O82)&amp;" to "&amp;DAY(P82)&amp;" "&amp;INDEX(nLIST_Months,MONTH(P82))&amp;" "&amp;YEAR(P82)))))))</f>
        <v/>
      </c>
      <c r="S82" s="20" t="str">
        <f>IF(B82="","",Exposures!$AD19&amp;"")</f>
        <v/>
      </c>
      <c r="T82" s="20" t="str">
        <f>IF(B82="","",Exposures!$AM19&amp;"")</f>
        <v/>
      </c>
      <c r="U82" s="20" t="str">
        <f>IF(B82="","","Exposures row "&amp;ROW(Exposures!$A19)&amp;", Stop")</f>
        <v/>
      </c>
      <c r="V82" s="20">
        <f>IF(A82="",0,COUNTIF(nTP_Key,A82))</f>
        <v>0</v>
      </c>
      <c r="W82" s="20">
        <f t="shared" si="13"/>
        <v>0</v>
      </c>
      <c r="X82" s="20">
        <f t="shared" si="14"/>
        <v>0</v>
      </c>
      <c r="Y82" s="20">
        <f t="shared" si="15"/>
        <v>0</v>
      </c>
      <c r="Z82" s="20">
        <f t="shared" si="16"/>
        <v>0</v>
      </c>
    </row>
    <row r="83" spans="1:26" x14ac:dyDescent="0.2">
      <c r="A83" s="20" t="str">
        <f t="shared" si="10"/>
        <v/>
      </c>
      <c r="B83" s="20" t="str">
        <f>IF(AND(Exposures!$D20&lt;&gt;"",COUNTA(Exposures!$AE20:$AL20)&gt;0),Exposures!$D20&amp;"/STOP","")</f>
        <v/>
      </c>
      <c r="C83" s="20" t="str">
        <f t="shared" si="9"/>
        <v/>
      </c>
      <c r="D83" s="20" t="str">
        <f>IF(B83="","",Exposures!$A20&amp;"")</f>
        <v/>
      </c>
      <c r="E83" s="20" t="str">
        <f>IF(B83="","",Exposures!$B20&amp;"")</f>
        <v/>
      </c>
      <c r="F83" s="20" t="str">
        <f t="shared" si="11"/>
        <v/>
      </c>
      <c r="G83" s="20" t="str">
        <f>IF(B83="","",Exposures!$D20&amp;"")</f>
        <v/>
      </c>
      <c r="H83" s="20" t="str">
        <f>IF(B83="","",Exposures!$AE20&amp;"")</f>
        <v/>
      </c>
      <c r="I83" s="20" t="str">
        <f>IF(B83="","",Exposures!$AH20&amp;"")</f>
        <v/>
      </c>
      <c r="J83" s="20" t="str">
        <f>IF(B83="","",Exposures!$AN20&amp;"")</f>
        <v/>
      </c>
      <c r="K83" s="20">
        <f>IF(B83="",0,Exposures!$AO20)</f>
        <v>0</v>
      </c>
      <c r="L83" s="20">
        <f>IF(B83="",0,Exposures!$AP20)</f>
        <v>0</v>
      </c>
      <c r="M83" s="20" t="str">
        <f>IF(B83="","",Exposures!$AS20)</f>
        <v/>
      </c>
      <c r="N83" s="20" t="str">
        <f>IF(B83="","",Exposures!$AT20)</f>
        <v/>
      </c>
      <c r="O83" s="27" t="str">
        <f>IF(B83="","",Exposures!$AQ20)</f>
        <v/>
      </c>
      <c r="P83" s="27" t="str">
        <f>IF(B83="","",Exposures!$AR20)</f>
        <v/>
      </c>
      <c r="Q83" s="20" t="str">
        <f t="shared" si="12"/>
        <v/>
      </c>
      <c r="R83" s="20" t="str">
        <f>IF(A83="","",IF(J83&lt;&gt;"",J83,IF(H83="TIMESTAMP",DAY(INT(M83/1440))&amp;" "&amp;INDEX(nLIST_Months,MONTH(INT(M83/1440)))&amp;" "&amp;YEAR(INT(M83/1440))&amp;" "&amp;RIGHT("0"&amp;INT(MOD(M83,1440)/60),2)&amp;":"&amp;RIGHT("0"&amp;MOD(M83,60),2)&amp;IF(L83=1," (UTC"&amp;I83&amp;")"," (offset unknown)"),IF(H83="DATE",DAY(O83)&amp;" "&amp;INDEX(nLIST_Months,MONTH(O83))&amp;" "&amp;YEAR(O83),IF(H83="MONTH",INDEX(nLIST_Months,MONTH(O83))&amp;" "&amp;YEAR(O83)&amp;" ("&amp;DAY(O83)&amp;" "&amp;INDEX(nLIST_Months,MONTH(O83))&amp;" "&amp;YEAR(O83)&amp;" to "&amp;DAY(P83)&amp;" "&amp;INDEX(nLIST_Months,MONTH(P83))&amp;" "&amp;YEAR(P83)&amp;")",IF(H83="YEAR",YEAR(O83)&amp;" (1 January to 31 December)",DAY(O83)&amp;" "&amp;INDEX(nLIST_Months,MONTH(O83))&amp;" "&amp;YEAR(O83)&amp;" to "&amp;DAY(P83)&amp;" "&amp;INDEX(nLIST_Months,MONTH(P83))&amp;" "&amp;YEAR(P83)))))))</f>
        <v/>
      </c>
      <c r="S83" s="20" t="str">
        <f>IF(B83="","",Exposures!$AD20&amp;"")</f>
        <v/>
      </c>
      <c r="T83" s="20" t="str">
        <f>IF(B83="","",Exposures!$AM20&amp;"")</f>
        <v/>
      </c>
      <c r="U83" s="20" t="str">
        <f>IF(B83="","","Exposures row "&amp;ROW(Exposures!$A20)&amp;", Stop")</f>
        <v/>
      </c>
      <c r="V83" s="20">
        <f>IF(A83="",0,COUNTIF(nTP_Key,A83))</f>
        <v>0</v>
      </c>
      <c r="W83" s="20">
        <f t="shared" si="13"/>
        <v>0</v>
      </c>
      <c r="X83" s="20">
        <f t="shared" si="14"/>
        <v>0</v>
      </c>
      <c r="Y83" s="20">
        <f t="shared" si="15"/>
        <v>0</v>
      </c>
      <c r="Z83" s="20">
        <f t="shared" si="16"/>
        <v>0</v>
      </c>
    </row>
    <row r="84" spans="1:26" x14ac:dyDescent="0.2">
      <c r="A84" s="20" t="str">
        <f t="shared" si="10"/>
        <v/>
      </c>
      <c r="B84" s="20" t="str">
        <f>IF(AND(Exposures!$D21&lt;&gt;"",COUNTA(Exposures!$AE21:$AL21)&gt;0),Exposures!$D21&amp;"/STOP","")</f>
        <v/>
      </c>
      <c r="C84" s="20" t="str">
        <f t="shared" si="9"/>
        <v/>
      </c>
      <c r="D84" s="20" t="str">
        <f>IF(B84="","",Exposures!$A21&amp;"")</f>
        <v/>
      </c>
      <c r="E84" s="20" t="str">
        <f>IF(B84="","",Exposures!$B21&amp;"")</f>
        <v/>
      </c>
      <c r="F84" s="20" t="str">
        <f t="shared" si="11"/>
        <v/>
      </c>
      <c r="G84" s="20" t="str">
        <f>IF(B84="","",Exposures!$D21&amp;"")</f>
        <v/>
      </c>
      <c r="H84" s="20" t="str">
        <f>IF(B84="","",Exposures!$AE21&amp;"")</f>
        <v/>
      </c>
      <c r="I84" s="20" t="str">
        <f>IF(B84="","",Exposures!$AH21&amp;"")</f>
        <v/>
      </c>
      <c r="J84" s="20" t="str">
        <f>IF(B84="","",Exposures!$AN21&amp;"")</f>
        <v/>
      </c>
      <c r="K84" s="20">
        <f>IF(B84="",0,Exposures!$AO21)</f>
        <v>0</v>
      </c>
      <c r="L84" s="20">
        <f>IF(B84="",0,Exposures!$AP21)</f>
        <v>0</v>
      </c>
      <c r="M84" s="20" t="str">
        <f>IF(B84="","",Exposures!$AS21)</f>
        <v/>
      </c>
      <c r="N84" s="20" t="str">
        <f>IF(B84="","",Exposures!$AT21)</f>
        <v/>
      </c>
      <c r="O84" s="27" t="str">
        <f>IF(B84="","",Exposures!$AQ21)</f>
        <v/>
      </c>
      <c r="P84" s="27" t="str">
        <f>IF(B84="","",Exposures!$AR21)</f>
        <v/>
      </c>
      <c r="Q84" s="20" t="str">
        <f t="shared" si="12"/>
        <v/>
      </c>
      <c r="R84" s="20" t="str">
        <f>IF(A84="","",IF(J84&lt;&gt;"",J84,IF(H84="TIMESTAMP",DAY(INT(M84/1440))&amp;" "&amp;INDEX(nLIST_Months,MONTH(INT(M84/1440)))&amp;" "&amp;YEAR(INT(M84/1440))&amp;" "&amp;RIGHT("0"&amp;INT(MOD(M84,1440)/60),2)&amp;":"&amp;RIGHT("0"&amp;MOD(M84,60),2)&amp;IF(L84=1," (UTC"&amp;I84&amp;")"," (offset unknown)"),IF(H84="DATE",DAY(O84)&amp;" "&amp;INDEX(nLIST_Months,MONTH(O84))&amp;" "&amp;YEAR(O84),IF(H84="MONTH",INDEX(nLIST_Months,MONTH(O84))&amp;" "&amp;YEAR(O84)&amp;" ("&amp;DAY(O84)&amp;" "&amp;INDEX(nLIST_Months,MONTH(O84))&amp;" "&amp;YEAR(O84)&amp;" to "&amp;DAY(P84)&amp;" "&amp;INDEX(nLIST_Months,MONTH(P84))&amp;" "&amp;YEAR(P84)&amp;")",IF(H84="YEAR",YEAR(O84)&amp;" (1 January to 31 December)",DAY(O84)&amp;" "&amp;INDEX(nLIST_Months,MONTH(O84))&amp;" "&amp;YEAR(O84)&amp;" to "&amp;DAY(P84)&amp;" "&amp;INDEX(nLIST_Months,MONTH(P84))&amp;" "&amp;YEAR(P84)))))))</f>
        <v/>
      </c>
      <c r="S84" s="20" t="str">
        <f>IF(B84="","",Exposures!$AD21&amp;"")</f>
        <v/>
      </c>
      <c r="T84" s="20" t="str">
        <f>IF(B84="","",Exposures!$AM21&amp;"")</f>
        <v/>
      </c>
      <c r="U84" s="20" t="str">
        <f>IF(B84="","","Exposures row "&amp;ROW(Exposures!$A21)&amp;", Stop")</f>
        <v/>
      </c>
      <c r="V84" s="20">
        <f>IF(A84="",0,COUNTIF(nTP_Key,A84))</f>
        <v>0</v>
      </c>
      <c r="W84" s="20">
        <f t="shared" si="13"/>
        <v>0</v>
      </c>
      <c r="X84" s="20">
        <f t="shared" si="14"/>
        <v>0</v>
      </c>
      <c r="Y84" s="20">
        <f t="shared" si="15"/>
        <v>0</v>
      </c>
      <c r="Z84" s="20">
        <f t="shared" si="16"/>
        <v>0</v>
      </c>
    </row>
    <row r="85" spans="1:26" x14ac:dyDescent="0.2">
      <c r="A85" s="20" t="str">
        <f t="shared" si="10"/>
        <v/>
      </c>
      <c r="B85" s="20" t="str">
        <f>IF(AND(Exposures!$D22&lt;&gt;"",COUNTA(Exposures!$AE22:$AL22)&gt;0),Exposures!$D22&amp;"/STOP","")</f>
        <v/>
      </c>
      <c r="C85" s="20" t="str">
        <f t="shared" si="9"/>
        <v/>
      </c>
      <c r="D85" s="20" t="str">
        <f>IF(B85="","",Exposures!$A22&amp;"")</f>
        <v/>
      </c>
      <c r="E85" s="20" t="str">
        <f>IF(B85="","",Exposures!$B22&amp;"")</f>
        <v/>
      </c>
      <c r="F85" s="20" t="str">
        <f t="shared" si="11"/>
        <v/>
      </c>
      <c r="G85" s="20" t="str">
        <f>IF(B85="","",Exposures!$D22&amp;"")</f>
        <v/>
      </c>
      <c r="H85" s="20" t="str">
        <f>IF(B85="","",Exposures!$AE22&amp;"")</f>
        <v/>
      </c>
      <c r="I85" s="20" t="str">
        <f>IF(B85="","",Exposures!$AH22&amp;"")</f>
        <v/>
      </c>
      <c r="J85" s="20" t="str">
        <f>IF(B85="","",Exposures!$AN22&amp;"")</f>
        <v/>
      </c>
      <c r="K85" s="20">
        <f>IF(B85="",0,Exposures!$AO22)</f>
        <v>0</v>
      </c>
      <c r="L85" s="20">
        <f>IF(B85="",0,Exposures!$AP22)</f>
        <v>0</v>
      </c>
      <c r="M85" s="20" t="str">
        <f>IF(B85="","",Exposures!$AS22)</f>
        <v/>
      </c>
      <c r="N85" s="20" t="str">
        <f>IF(B85="","",Exposures!$AT22)</f>
        <v/>
      </c>
      <c r="O85" s="27" t="str">
        <f>IF(B85="","",Exposures!$AQ22)</f>
        <v/>
      </c>
      <c r="P85" s="27" t="str">
        <f>IF(B85="","",Exposures!$AR22)</f>
        <v/>
      </c>
      <c r="Q85" s="20" t="str">
        <f t="shared" si="12"/>
        <v/>
      </c>
      <c r="R85" s="20" t="str">
        <f>IF(A85="","",IF(J85&lt;&gt;"",J85,IF(H85="TIMESTAMP",DAY(INT(M85/1440))&amp;" "&amp;INDEX(nLIST_Months,MONTH(INT(M85/1440)))&amp;" "&amp;YEAR(INT(M85/1440))&amp;" "&amp;RIGHT("0"&amp;INT(MOD(M85,1440)/60),2)&amp;":"&amp;RIGHT("0"&amp;MOD(M85,60),2)&amp;IF(L85=1," (UTC"&amp;I85&amp;")"," (offset unknown)"),IF(H85="DATE",DAY(O85)&amp;" "&amp;INDEX(nLIST_Months,MONTH(O85))&amp;" "&amp;YEAR(O85),IF(H85="MONTH",INDEX(nLIST_Months,MONTH(O85))&amp;" "&amp;YEAR(O85)&amp;" ("&amp;DAY(O85)&amp;" "&amp;INDEX(nLIST_Months,MONTH(O85))&amp;" "&amp;YEAR(O85)&amp;" to "&amp;DAY(P85)&amp;" "&amp;INDEX(nLIST_Months,MONTH(P85))&amp;" "&amp;YEAR(P85)&amp;")",IF(H85="YEAR",YEAR(O85)&amp;" (1 January to 31 December)",DAY(O85)&amp;" "&amp;INDEX(nLIST_Months,MONTH(O85))&amp;" "&amp;YEAR(O85)&amp;" to "&amp;DAY(P85)&amp;" "&amp;INDEX(nLIST_Months,MONTH(P85))&amp;" "&amp;YEAR(P85)))))))</f>
        <v/>
      </c>
      <c r="S85" s="20" t="str">
        <f>IF(B85="","",Exposures!$AD22&amp;"")</f>
        <v/>
      </c>
      <c r="T85" s="20" t="str">
        <f>IF(B85="","",Exposures!$AM22&amp;"")</f>
        <v/>
      </c>
      <c r="U85" s="20" t="str">
        <f>IF(B85="","","Exposures row "&amp;ROW(Exposures!$A22)&amp;", Stop")</f>
        <v/>
      </c>
      <c r="V85" s="20">
        <f>IF(A85="",0,COUNTIF(nTP_Key,A85))</f>
        <v>0</v>
      </c>
      <c r="W85" s="20">
        <f t="shared" si="13"/>
        <v>0</v>
      </c>
      <c r="X85" s="20">
        <f t="shared" si="14"/>
        <v>0</v>
      </c>
      <c r="Y85" s="20">
        <f t="shared" si="15"/>
        <v>0</v>
      </c>
      <c r="Z85" s="20">
        <f t="shared" si="16"/>
        <v>0</v>
      </c>
    </row>
    <row r="86" spans="1:26" x14ac:dyDescent="0.2">
      <c r="A86" s="20" t="str">
        <f t="shared" si="10"/>
        <v/>
      </c>
      <c r="B86" s="20" t="str">
        <f>IF(AND(Exposures!$D23&lt;&gt;"",COUNTA(Exposures!$AE23:$AL23)&gt;0),Exposures!$D23&amp;"/STOP","")</f>
        <v/>
      </c>
      <c r="C86" s="20" t="str">
        <f t="shared" si="9"/>
        <v/>
      </c>
      <c r="D86" s="20" t="str">
        <f>IF(B86="","",Exposures!$A23&amp;"")</f>
        <v/>
      </c>
      <c r="E86" s="20" t="str">
        <f>IF(B86="","",Exposures!$B23&amp;"")</f>
        <v/>
      </c>
      <c r="F86" s="20" t="str">
        <f t="shared" si="11"/>
        <v/>
      </c>
      <c r="G86" s="20" t="str">
        <f>IF(B86="","",Exposures!$D23&amp;"")</f>
        <v/>
      </c>
      <c r="H86" s="20" t="str">
        <f>IF(B86="","",Exposures!$AE23&amp;"")</f>
        <v/>
      </c>
      <c r="I86" s="20" t="str">
        <f>IF(B86="","",Exposures!$AH23&amp;"")</f>
        <v/>
      </c>
      <c r="J86" s="20" t="str">
        <f>IF(B86="","",Exposures!$AN23&amp;"")</f>
        <v/>
      </c>
      <c r="K86" s="20">
        <f>IF(B86="",0,Exposures!$AO23)</f>
        <v>0</v>
      </c>
      <c r="L86" s="20">
        <f>IF(B86="",0,Exposures!$AP23)</f>
        <v>0</v>
      </c>
      <c r="M86" s="20" t="str">
        <f>IF(B86="","",Exposures!$AS23)</f>
        <v/>
      </c>
      <c r="N86" s="20" t="str">
        <f>IF(B86="","",Exposures!$AT23)</f>
        <v/>
      </c>
      <c r="O86" s="27" t="str">
        <f>IF(B86="","",Exposures!$AQ23)</f>
        <v/>
      </c>
      <c r="P86" s="27" t="str">
        <f>IF(B86="","",Exposures!$AR23)</f>
        <v/>
      </c>
      <c r="Q86" s="20" t="str">
        <f t="shared" si="12"/>
        <v/>
      </c>
      <c r="R86" s="20" t="str">
        <f>IF(A86="","",IF(J86&lt;&gt;"",J86,IF(H86="TIMESTAMP",DAY(INT(M86/1440))&amp;" "&amp;INDEX(nLIST_Months,MONTH(INT(M86/1440)))&amp;" "&amp;YEAR(INT(M86/1440))&amp;" "&amp;RIGHT("0"&amp;INT(MOD(M86,1440)/60),2)&amp;":"&amp;RIGHT("0"&amp;MOD(M86,60),2)&amp;IF(L86=1," (UTC"&amp;I86&amp;")"," (offset unknown)"),IF(H86="DATE",DAY(O86)&amp;" "&amp;INDEX(nLIST_Months,MONTH(O86))&amp;" "&amp;YEAR(O86),IF(H86="MONTH",INDEX(nLIST_Months,MONTH(O86))&amp;" "&amp;YEAR(O86)&amp;" ("&amp;DAY(O86)&amp;" "&amp;INDEX(nLIST_Months,MONTH(O86))&amp;" "&amp;YEAR(O86)&amp;" to "&amp;DAY(P86)&amp;" "&amp;INDEX(nLIST_Months,MONTH(P86))&amp;" "&amp;YEAR(P86)&amp;")",IF(H86="YEAR",YEAR(O86)&amp;" (1 January to 31 December)",DAY(O86)&amp;" "&amp;INDEX(nLIST_Months,MONTH(O86))&amp;" "&amp;YEAR(O86)&amp;" to "&amp;DAY(P86)&amp;" "&amp;INDEX(nLIST_Months,MONTH(P86))&amp;" "&amp;YEAR(P86)))))))</f>
        <v/>
      </c>
      <c r="S86" s="20" t="str">
        <f>IF(B86="","",Exposures!$AD23&amp;"")</f>
        <v/>
      </c>
      <c r="T86" s="20" t="str">
        <f>IF(B86="","",Exposures!$AM23&amp;"")</f>
        <v/>
      </c>
      <c r="U86" s="20" t="str">
        <f>IF(B86="","","Exposures row "&amp;ROW(Exposures!$A23)&amp;", Stop")</f>
        <v/>
      </c>
      <c r="V86" s="20">
        <f>IF(A86="",0,COUNTIF(nTP_Key,A86))</f>
        <v>0</v>
      </c>
      <c r="W86" s="20">
        <f t="shared" si="13"/>
        <v>0</v>
      </c>
      <c r="X86" s="20">
        <f t="shared" si="14"/>
        <v>0</v>
      </c>
      <c r="Y86" s="20">
        <f t="shared" si="15"/>
        <v>0</v>
      </c>
      <c r="Z86" s="20">
        <f t="shared" si="16"/>
        <v>0</v>
      </c>
    </row>
    <row r="87" spans="1:26" x14ac:dyDescent="0.2">
      <c r="A87" s="20" t="str">
        <f t="shared" si="10"/>
        <v/>
      </c>
      <c r="B87" s="20" t="str">
        <f>IF(AND(Exposures!$D24&lt;&gt;"",COUNTA(Exposures!$AE24:$AL24)&gt;0),Exposures!$D24&amp;"/STOP","")</f>
        <v/>
      </c>
      <c r="C87" s="20" t="str">
        <f t="shared" si="9"/>
        <v/>
      </c>
      <c r="D87" s="20" t="str">
        <f>IF(B87="","",Exposures!$A24&amp;"")</f>
        <v/>
      </c>
      <c r="E87" s="20" t="str">
        <f>IF(B87="","",Exposures!$B24&amp;"")</f>
        <v/>
      </c>
      <c r="F87" s="20" t="str">
        <f t="shared" si="11"/>
        <v/>
      </c>
      <c r="G87" s="20" t="str">
        <f>IF(B87="","",Exposures!$D24&amp;"")</f>
        <v/>
      </c>
      <c r="H87" s="20" t="str">
        <f>IF(B87="","",Exposures!$AE24&amp;"")</f>
        <v/>
      </c>
      <c r="I87" s="20" t="str">
        <f>IF(B87="","",Exposures!$AH24&amp;"")</f>
        <v/>
      </c>
      <c r="J87" s="20" t="str">
        <f>IF(B87="","",Exposures!$AN24&amp;"")</f>
        <v/>
      </c>
      <c r="K87" s="20">
        <f>IF(B87="",0,Exposures!$AO24)</f>
        <v>0</v>
      </c>
      <c r="L87" s="20">
        <f>IF(B87="",0,Exposures!$AP24)</f>
        <v>0</v>
      </c>
      <c r="M87" s="20" t="str">
        <f>IF(B87="","",Exposures!$AS24)</f>
        <v/>
      </c>
      <c r="N87" s="20" t="str">
        <f>IF(B87="","",Exposures!$AT24)</f>
        <v/>
      </c>
      <c r="O87" s="27" t="str">
        <f>IF(B87="","",Exposures!$AQ24)</f>
        <v/>
      </c>
      <c r="P87" s="27" t="str">
        <f>IF(B87="","",Exposures!$AR24)</f>
        <v/>
      </c>
      <c r="Q87" s="20" t="str">
        <f t="shared" si="12"/>
        <v/>
      </c>
      <c r="R87" s="20" t="str">
        <f>IF(A87="","",IF(J87&lt;&gt;"",J87,IF(H87="TIMESTAMP",DAY(INT(M87/1440))&amp;" "&amp;INDEX(nLIST_Months,MONTH(INT(M87/1440)))&amp;" "&amp;YEAR(INT(M87/1440))&amp;" "&amp;RIGHT("0"&amp;INT(MOD(M87,1440)/60),2)&amp;":"&amp;RIGHT("0"&amp;MOD(M87,60),2)&amp;IF(L87=1," (UTC"&amp;I87&amp;")"," (offset unknown)"),IF(H87="DATE",DAY(O87)&amp;" "&amp;INDEX(nLIST_Months,MONTH(O87))&amp;" "&amp;YEAR(O87),IF(H87="MONTH",INDEX(nLIST_Months,MONTH(O87))&amp;" "&amp;YEAR(O87)&amp;" ("&amp;DAY(O87)&amp;" "&amp;INDEX(nLIST_Months,MONTH(O87))&amp;" "&amp;YEAR(O87)&amp;" to "&amp;DAY(P87)&amp;" "&amp;INDEX(nLIST_Months,MONTH(P87))&amp;" "&amp;YEAR(P87)&amp;")",IF(H87="YEAR",YEAR(O87)&amp;" (1 January to 31 December)",DAY(O87)&amp;" "&amp;INDEX(nLIST_Months,MONTH(O87))&amp;" "&amp;YEAR(O87)&amp;" to "&amp;DAY(P87)&amp;" "&amp;INDEX(nLIST_Months,MONTH(P87))&amp;" "&amp;YEAR(P87)))))))</f>
        <v/>
      </c>
      <c r="S87" s="20" t="str">
        <f>IF(B87="","",Exposures!$AD24&amp;"")</f>
        <v/>
      </c>
      <c r="T87" s="20" t="str">
        <f>IF(B87="","",Exposures!$AM24&amp;"")</f>
        <v/>
      </c>
      <c r="U87" s="20" t="str">
        <f>IF(B87="","","Exposures row "&amp;ROW(Exposures!$A24)&amp;", Stop")</f>
        <v/>
      </c>
      <c r="V87" s="20">
        <f>IF(A87="",0,COUNTIF(nTP_Key,A87))</f>
        <v>0</v>
      </c>
      <c r="W87" s="20">
        <f t="shared" si="13"/>
        <v>0</v>
      </c>
      <c r="X87" s="20">
        <f t="shared" si="14"/>
        <v>0</v>
      </c>
      <c r="Y87" s="20">
        <f t="shared" si="15"/>
        <v>0</v>
      </c>
      <c r="Z87" s="20">
        <f t="shared" si="16"/>
        <v>0</v>
      </c>
    </row>
    <row r="88" spans="1:26" x14ac:dyDescent="0.2">
      <c r="A88" s="20" t="str">
        <f t="shared" si="10"/>
        <v/>
      </c>
      <c r="B88" s="20" t="str">
        <f>IF(AND(Exposures!$D25&lt;&gt;"",COUNTA(Exposures!$AE25:$AL25)&gt;0),Exposures!$D25&amp;"/STOP","")</f>
        <v/>
      </c>
      <c r="C88" s="20" t="str">
        <f t="shared" si="9"/>
        <v/>
      </c>
      <c r="D88" s="20" t="str">
        <f>IF(B88="","",Exposures!$A25&amp;"")</f>
        <v/>
      </c>
      <c r="E88" s="20" t="str">
        <f>IF(B88="","",Exposures!$B25&amp;"")</f>
        <v/>
      </c>
      <c r="F88" s="20" t="str">
        <f t="shared" si="11"/>
        <v/>
      </c>
      <c r="G88" s="20" t="str">
        <f>IF(B88="","",Exposures!$D25&amp;"")</f>
        <v/>
      </c>
      <c r="H88" s="20" t="str">
        <f>IF(B88="","",Exposures!$AE25&amp;"")</f>
        <v/>
      </c>
      <c r="I88" s="20" t="str">
        <f>IF(B88="","",Exposures!$AH25&amp;"")</f>
        <v/>
      </c>
      <c r="J88" s="20" t="str">
        <f>IF(B88="","",Exposures!$AN25&amp;"")</f>
        <v/>
      </c>
      <c r="K88" s="20">
        <f>IF(B88="",0,Exposures!$AO25)</f>
        <v>0</v>
      </c>
      <c r="L88" s="20">
        <f>IF(B88="",0,Exposures!$AP25)</f>
        <v>0</v>
      </c>
      <c r="M88" s="20" t="str">
        <f>IF(B88="","",Exposures!$AS25)</f>
        <v/>
      </c>
      <c r="N88" s="20" t="str">
        <f>IF(B88="","",Exposures!$AT25)</f>
        <v/>
      </c>
      <c r="O88" s="27" t="str">
        <f>IF(B88="","",Exposures!$AQ25)</f>
        <v/>
      </c>
      <c r="P88" s="27" t="str">
        <f>IF(B88="","",Exposures!$AR25)</f>
        <v/>
      </c>
      <c r="Q88" s="20" t="str">
        <f t="shared" si="12"/>
        <v/>
      </c>
      <c r="R88" s="20" t="str">
        <f>IF(A88="","",IF(J88&lt;&gt;"",J88,IF(H88="TIMESTAMP",DAY(INT(M88/1440))&amp;" "&amp;INDEX(nLIST_Months,MONTH(INT(M88/1440)))&amp;" "&amp;YEAR(INT(M88/1440))&amp;" "&amp;RIGHT("0"&amp;INT(MOD(M88,1440)/60),2)&amp;":"&amp;RIGHT("0"&amp;MOD(M88,60),2)&amp;IF(L88=1," (UTC"&amp;I88&amp;")"," (offset unknown)"),IF(H88="DATE",DAY(O88)&amp;" "&amp;INDEX(nLIST_Months,MONTH(O88))&amp;" "&amp;YEAR(O88),IF(H88="MONTH",INDEX(nLIST_Months,MONTH(O88))&amp;" "&amp;YEAR(O88)&amp;" ("&amp;DAY(O88)&amp;" "&amp;INDEX(nLIST_Months,MONTH(O88))&amp;" "&amp;YEAR(O88)&amp;" to "&amp;DAY(P88)&amp;" "&amp;INDEX(nLIST_Months,MONTH(P88))&amp;" "&amp;YEAR(P88)&amp;")",IF(H88="YEAR",YEAR(O88)&amp;" (1 January to 31 December)",DAY(O88)&amp;" "&amp;INDEX(nLIST_Months,MONTH(O88))&amp;" "&amp;YEAR(O88)&amp;" to "&amp;DAY(P88)&amp;" "&amp;INDEX(nLIST_Months,MONTH(P88))&amp;" "&amp;YEAR(P88)))))))</f>
        <v/>
      </c>
      <c r="S88" s="20" t="str">
        <f>IF(B88="","",Exposures!$AD25&amp;"")</f>
        <v/>
      </c>
      <c r="T88" s="20" t="str">
        <f>IF(B88="","",Exposures!$AM25&amp;"")</f>
        <v/>
      </c>
      <c r="U88" s="20" t="str">
        <f>IF(B88="","","Exposures row "&amp;ROW(Exposures!$A25)&amp;", Stop")</f>
        <v/>
      </c>
      <c r="V88" s="20">
        <f>IF(A88="",0,COUNTIF(nTP_Key,A88))</f>
        <v>0</v>
      </c>
      <c r="W88" s="20">
        <f t="shared" si="13"/>
        <v>0</v>
      </c>
      <c r="X88" s="20">
        <f t="shared" si="14"/>
        <v>0</v>
      </c>
      <c r="Y88" s="20">
        <f t="shared" si="15"/>
        <v>0</v>
      </c>
      <c r="Z88" s="20">
        <f t="shared" si="16"/>
        <v>0</v>
      </c>
    </row>
    <row r="89" spans="1:26" x14ac:dyDescent="0.2">
      <c r="A89" s="20" t="str">
        <f t="shared" si="10"/>
        <v/>
      </c>
      <c r="B89" s="20" t="str">
        <f>IF(AND(Exposures!$D26&lt;&gt;"",COUNTA(Exposures!$AE26:$AL26)&gt;0),Exposures!$D26&amp;"/STOP","")</f>
        <v/>
      </c>
      <c r="C89" s="20" t="str">
        <f t="shared" si="9"/>
        <v/>
      </c>
      <c r="D89" s="20" t="str">
        <f>IF(B89="","",Exposures!$A26&amp;"")</f>
        <v/>
      </c>
      <c r="E89" s="20" t="str">
        <f>IF(B89="","",Exposures!$B26&amp;"")</f>
        <v/>
      </c>
      <c r="F89" s="20" t="str">
        <f t="shared" si="11"/>
        <v/>
      </c>
      <c r="G89" s="20" t="str">
        <f>IF(B89="","",Exposures!$D26&amp;"")</f>
        <v/>
      </c>
      <c r="H89" s="20" t="str">
        <f>IF(B89="","",Exposures!$AE26&amp;"")</f>
        <v/>
      </c>
      <c r="I89" s="20" t="str">
        <f>IF(B89="","",Exposures!$AH26&amp;"")</f>
        <v/>
      </c>
      <c r="J89" s="20" t="str">
        <f>IF(B89="","",Exposures!$AN26&amp;"")</f>
        <v/>
      </c>
      <c r="K89" s="20">
        <f>IF(B89="",0,Exposures!$AO26)</f>
        <v>0</v>
      </c>
      <c r="L89" s="20">
        <f>IF(B89="",0,Exposures!$AP26)</f>
        <v>0</v>
      </c>
      <c r="M89" s="20" t="str">
        <f>IF(B89="","",Exposures!$AS26)</f>
        <v/>
      </c>
      <c r="N89" s="20" t="str">
        <f>IF(B89="","",Exposures!$AT26)</f>
        <v/>
      </c>
      <c r="O89" s="27" t="str">
        <f>IF(B89="","",Exposures!$AQ26)</f>
        <v/>
      </c>
      <c r="P89" s="27" t="str">
        <f>IF(B89="","",Exposures!$AR26)</f>
        <v/>
      </c>
      <c r="Q89" s="20" t="str">
        <f t="shared" si="12"/>
        <v/>
      </c>
      <c r="R89" s="20" t="str">
        <f>IF(A89="","",IF(J89&lt;&gt;"",J89,IF(H89="TIMESTAMP",DAY(INT(M89/1440))&amp;" "&amp;INDEX(nLIST_Months,MONTH(INT(M89/1440)))&amp;" "&amp;YEAR(INT(M89/1440))&amp;" "&amp;RIGHT("0"&amp;INT(MOD(M89,1440)/60),2)&amp;":"&amp;RIGHT("0"&amp;MOD(M89,60),2)&amp;IF(L89=1," (UTC"&amp;I89&amp;")"," (offset unknown)"),IF(H89="DATE",DAY(O89)&amp;" "&amp;INDEX(nLIST_Months,MONTH(O89))&amp;" "&amp;YEAR(O89),IF(H89="MONTH",INDEX(nLIST_Months,MONTH(O89))&amp;" "&amp;YEAR(O89)&amp;" ("&amp;DAY(O89)&amp;" "&amp;INDEX(nLIST_Months,MONTH(O89))&amp;" "&amp;YEAR(O89)&amp;" to "&amp;DAY(P89)&amp;" "&amp;INDEX(nLIST_Months,MONTH(P89))&amp;" "&amp;YEAR(P89)&amp;")",IF(H89="YEAR",YEAR(O89)&amp;" (1 January to 31 December)",DAY(O89)&amp;" "&amp;INDEX(nLIST_Months,MONTH(O89))&amp;" "&amp;YEAR(O89)&amp;" to "&amp;DAY(P89)&amp;" "&amp;INDEX(nLIST_Months,MONTH(P89))&amp;" "&amp;YEAR(P89)))))))</f>
        <v/>
      </c>
      <c r="S89" s="20" t="str">
        <f>IF(B89="","",Exposures!$AD26&amp;"")</f>
        <v/>
      </c>
      <c r="T89" s="20" t="str">
        <f>IF(B89="","",Exposures!$AM26&amp;"")</f>
        <v/>
      </c>
      <c r="U89" s="20" t="str">
        <f>IF(B89="","","Exposures row "&amp;ROW(Exposures!$A26)&amp;", Stop")</f>
        <v/>
      </c>
      <c r="V89" s="20">
        <f>IF(A89="",0,COUNTIF(nTP_Key,A89))</f>
        <v>0</v>
      </c>
      <c r="W89" s="20">
        <f t="shared" si="13"/>
        <v>0</v>
      </c>
      <c r="X89" s="20">
        <f t="shared" si="14"/>
        <v>0</v>
      </c>
      <c r="Y89" s="20">
        <f t="shared" si="15"/>
        <v>0</v>
      </c>
      <c r="Z89" s="20">
        <f t="shared" si="16"/>
        <v>0</v>
      </c>
    </row>
    <row r="90" spans="1:26" x14ac:dyDescent="0.2">
      <c r="A90" s="20" t="str">
        <f t="shared" si="10"/>
        <v/>
      </c>
      <c r="B90" s="20" t="str">
        <f>IF(AND(Exposures!$D27&lt;&gt;"",COUNTA(Exposures!$AE27:$AL27)&gt;0),Exposures!$D27&amp;"/STOP","")</f>
        <v/>
      </c>
      <c r="C90" s="20" t="str">
        <f t="shared" si="9"/>
        <v/>
      </c>
      <c r="D90" s="20" t="str">
        <f>IF(B90="","",Exposures!$A27&amp;"")</f>
        <v/>
      </c>
      <c r="E90" s="20" t="str">
        <f>IF(B90="","",Exposures!$B27&amp;"")</f>
        <v/>
      </c>
      <c r="F90" s="20" t="str">
        <f t="shared" si="11"/>
        <v/>
      </c>
      <c r="G90" s="20" t="str">
        <f>IF(B90="","",Exposures!$D27&amp;"")</f>
        <v/>
      </c>
      <c r="H90" s="20" t="str">
        <f>IF(B90="","",Exposures!$AE27&amp;"")</f>
        <v/>
      </c>
      <c r="I90" s="20" t="str">
        <f>IF(B90="","",Exposures!$AH27&amp;"")</f>
        <v/>
      </c>
      <c r="J90" s="20" t="str">
        <f>IF(B90="","",Exposures!$AN27&amp;"")</f>
        <v/>
      </c>
      <c r="K90" s="20">
        <f>IF(B90="",0,Exposures!$AO27)</f>
        <v>0</v>
      </c>
      <c r="L90" s="20">
        <f>IF(B90="",0,Exposures!$AP27)</f>
        <v>0</v>
      </c>
      <c r="M90" s="20" t="str">
        <f>IF(B90="","",Exposures!$AS27)</f>
        <v/>
      </c>
      <c r="N90" s="20" t="str">
        <f>IF(B90="","",Exposures!$AT27)</f>
        <v/>
      </c>
      <c r="O90" s="27" t="str">
        <f>IF(B90="","",Exposures!$AQ27)</f>
        <v/>
      </c>
      <c r="P90" s="27" t="str">
        <f>IF(B90="","",Exposures!$AR27)</f>
        <v/>
      </c>
      <c r="Q90" s="20" t="str">
        <f t="shared" si="12"/>
        <v/>
      </c>
      <c r="R90" s="20" t="str">
        <f>IF(A90="","",IF(J90&lt;&gt;"",J90,IF(H90="TIMESTAMP",DAY(INT(M90/1440))&amp;" "&amp;INDEX(nLIST_Months,MONTH(INT(M90/1440)))&amp;" "&amp;YEAR(INT(M90/1440))&amp;" "&amp;RIGHT("0"&amp;INT(MOD(M90,1440)/60),2)&amp;":"&amp;RIGHT("0"&amp;MOD(M90,60),2)&amp;IF(L90=1," (UTC"&amp;I90&amp;")"," (offset unknown)"),IF(H90="DATE",DAY(O90)&amp;" "&amp;INDEX(nLIST_Months,MONTH(O90))&amp;" "&amp;YEAR(O90),IF(H90="MONTH",INDEX(nLIST_Months,MONTH(O90))&amp;" "&amp;YEAR(O90)&amp;" ("&amp;DAY(O90)&amp;" "&amp;INDEX(nLIST_Months,MONTH(O90))&amp;" "&amp;YEAR(O90)&amp;" to "&amp;DAY(P90)&amp;" "&amp;INDEX(nLIST_Months,MONTH(P90))&amp;" "&amp;YEAR(P90)&amp;")",IF(H90="YEAR",YEAR(O90)&amp;" (1 January to 31 December)",DAY(O90)&amp;" "&amp;INDEX(nLIST_Months,MONTH(O90))&amp;" "&amp;YEAR(O90)&amp;" to "&amp;DAY(P90)&amp;" "&amp;INDEX(nLIST_Months,MONTH(P90))&amp;" "&amp;YEAR(P90)))))))</f>
        <v/>
      </c>
      <c r="S90" s="20" t="str">
        <f>IF(B90="","",Exposures!$AD27&amp;"")</f>
        <v/>
      </c>
      <c r="T90" s="20" t="str">
        <f>IF(B90="","",Exposures!$AM27&amp;"")</f>
        <v/>
      </c>
      <c r="U90" s="20" t="str">
        <f>IF(B90="","","Exposures row "&amp;ROW(Exposures!$A27)&amp;", Stop")</f>
        <v/>
      </c>
      <c r="V90" s="20">
        <f>IF(A90="",0,COUNTIF(nTP_Key,A90))</f>
        <v>0</v>
      </c>
      <c r="W90" s="20">
        <f t="shared" si="13"/>
        <v>0</v>
      </c>
      <c r="X90" s="20">
        <f t="shared" si="14"/>
        <v>0</v>
      </c>
      <c r="Y90" s="20">
        <f t="shared" si="15"/>
        <v>0</v>
      </c>
      <c r="Z90" s="20">
        <f t="shared" si="16"/>
        <v>0</v>
      </c>
    </row>
    <row r="91" spans="1:26" x14ac:dyDescent="0.2">
      <c r="A91" s="20" t="str">
        <f t="shared" si="10"/>
        <v/>
      </c>
      <c r="B91" s="20" t="str">
        <f>IF(AND(Exposures!$D28&lt;&gt;"",COUNTA(Exposures!$AE28:$AL28)&gt;0),Exposures!$D28&amp;"/STOP","")</f>
        <v/>
      </c>
      <c r="C91" s="20" t="str">
        <f t="shared" si="9"/>
        <v/>
      </c>
      <c r="D91" s="20" t="str">
        <f>IF(B91="","",Exposures!$A28&amp;"")</f>
        <v/>
      </c>
      <c r="E91" s="20" t="str">
        <f>IF(B91="","",Exposures!$B28&amp;"")</f>
        <v/>
      </c>
      <c r="F91" s="20" t="str">
        <f t="shared" si="11"/>
        <v/>
      </c>
      <c r="G91" s="20" t="str">
        <f>IF(B91="","",Exposures!$D28&amp;"")</f>
        <v/>
      </c>
      <c r="H91" s="20" t="str">
        <f>IF(B91="","",Exposures!$AE28&amp;"")</f>
        <v/>
      </c>
      <c r="I91" s="20" t="str">
        <f>IF(B91="","",Exposures!$AH28&amp;"")</f>
        <v/>
      </c>
      <c r="J91" s="20" t="str">
        <f>IF(B91="","",Exposures!$AN28&amp;"")</f>
        <v/>
      </c>
      <c r="K91" s="20">
        <f>IF(B91="",0,Exposures!$AO28)</f>
        <v>0</v>
      </c>
      <c r="L91" s="20">
        <f>IF(B91="",0,Exposures!$AP28)</f>
        <v>0</v>
      </c>
      <c r="M91" s="20" t="str">
        <f>IF(B91="","",Exposures!$AS28)</f>
        <v/>
      </c>
      <c r="N91" s="20" t="str">
        <f>IF(B91="","",Exposures!$AT28)</f>
        <v/>
      </c>
      <c r="O91" s="27" t="str">
        <f>IF(B91="","",Exposures!$AQ28)</f>
        <v/>
      </c>
      <c r="P91" s="27" t="str">
        <f>IF(B91="","",Exposures!$AR28)</f>
        <v/>
      </c>
      <c r="Q91" s="20" t="str">
        <f t="shared" si="12"/>
        <v/>
      </c>
      <c r="R91" s="20" t="str">
        <f>IF(A91="","",IF(J91&lt;&gt;"",J91,IF(H91="TIMESTAMP",DAY(INT(M91/1440))&amp;" "&amp;INDEX(nLIST_Months,MONTH(INT(M91/1440)))&amp;" "&amp;YEAR(INT(M91/1440))&amp;" "&amp;RIGHT("0"&amp;INT(MOD(M91,1440)/60),2)&amp;":"&amp;RIGHT("0"&amp;MOD(M91,60),2)&amp;IF(L91=1," (UTC"&amp;I91&amp;")"," (offset unknown)"),IF(H91="DATE",DAY(O91)&amp;" "&amp;INDEX(nLIST_Months,MONTH(O91))&amp;" "&amp;YEAR(O91),IF(H91="MONTH",INDEX(nLIST_Months,MONTH(O91))&amp;" "&amp;YEAR(O91)&amp;" ("&amp;DAY(O91)&amp;" "&amp;INDEX(nLIST_Months,MONTH(O91))&amp;" "&amp;YEAR(O91)&amp;" to "&amp;DAY(P91)&amp;" "&amp;INDEX(nLIST_Months,MONTH(P91))&amp;" "&amp;YEAR(P91)&amp;")",IF(H91="YEAR",YEAR(O91)&amp;" (1 January to 31 December)",DAY(O91)&amp;" "&amp;INDEX(nLIST_Months,MONTH(O91))&amp;" "&amp;YEAR(O91)&amp;" to "&amp;DAY(P91)&amp;" "&amp;INDEX(nLIST_Months,MONTH(P91))&amp;" "&amp;YEAR(P91)))))))</f>
        <v/>
      </c>
      <c r="S91" s="20" t="str">
        <f>IF(B91="","",Exposures!$AD28&amp;"")</f>
        <v/>
      </c>
      <c r="T91" s="20" t="str">
        <f>IF(B91="","",Exposures!$AM28&amp;"")</f>
        <v/>
      </c>
      <c r="U91" s="20" t="str">
        <f>IF(B91="","","Exposures row "&amp;ROW(Exposures!$A28)&amp;", Stop")</f>
        <v/>
      </c>
      <c r="V91" s="20">
        <f>IF(A91="",0,COUNTIF(nTP_Key,A91))</f>
        <v>0</v>
      </c>
      <c r="W91" s="20">
        <f t="shared" si="13"/>
        <v>0</v>
      </c>
      <c r="X91" s="20">
        <f t="shared" si="14"/>
        <v>0</v>
      </c>
      <c r="Y91" s="20">
        <f t="shared" si="15"/>
        <v>0</v>
      </c>
      <c r="Z91" s="20">
        <f t="shared" si="16"/>
        <v>0</v>
      </c>
    </row>
    <row r="92" spans="1:26" x14ac:dyDescent="0.2">
      <c r="A92" s="20" t="str">
        <f t="shared" si="10"/>
        <v/>
      </c>
      <c r="B92" s="20" t="str">
        <f>IF(AND(Exposures!$D29&lt;&gt;"",COUNTA(Exposures!$AE29:$AL29)&gt;0),Exposures!$D29&amp;"/STOP","")</f>
        <v/>
      </c>
      <c r="C92" s="20" t="str">
        <f t="shared" si="9"/>
        <v/>
      </c>
      <c r="D92" s="20" t="str">
        <f>IF(B92="","",Exposures!$A29&amp;"")</f>
        <v/>
      </c>
      <c r="E92" s="20" t="str">
        <f>IF(B92="","",Exposures!$B29&amp;"")</f>
        <v/>
      </c>
      <c r="F92" s="20" t="str">
        <f t="shared" si="11"/>
        <v/>
      </c>
      <c r="G92" s="20" t="str">
        <f>IF(B92="","",Exposures!$D29&amp;"")</f>
        <v/>
      </c>
      <c r="H92" s="20" t="str">
        <f>IF(B92="","",Exposures!$AE29&amp;"")</f>
        <v/>
      </c>
      <c r="I92" s="20" t="str">
        <f>IF(B92="","",Exposures!$AH29&amp;"")</f>
        <v/>
      </c>
      <c r="J92" s="20" t="str">
        <f>IF(B92="","",Exposures!$AN29&amp;"")</f>
        <v/>
      </c>
      <c r="K92" s="20">
        <f>IF(B92="",0,Exposures!$AO29)</f>
        <v>0</v>
      </c>
      <c r="L92" s="20">
        <f>IF(B92="",0,Exposures!$AP29)</f>
        <v>0</v>
      </c>
      <c r="M92" s="20" t="str">
        <f>IF(B92="","",Exposures!$AS29)</f>
        <v/>
      </c>
      <c r="N92" s="20" t="str">
        <f>IF(B92="","",Exposures!$AT29)</f>
        <v/>
      </c>
      <c r="O92" s="27" t="str">
        <f>IF(B92="","",Exposures!$AQ29)</f>
        <v/>
      </c>
      <c r="P92" s="27" t="str">
        <f>IF(B92="","",Exposures!$AR29)</f>
        <v/>
      </c>
      <c r="Q92" s="20" t="str">
        <f t="shared" si="12"/>
        <v/>
      </c>
      <c r="R92" s="20" t="str">
        <f>IF(A92="","",IF(J92&lt;&gt;"",J92,IF(H92="TIMESTAMP",DAY(INT(M92/1440))&amp;" "&amp;INDEX(nLIST_Months,MONTH(INT(M92/1440)))&amp;" "&amp;YEAR(INT(M92/1440))&amp;" "&amp;RIGHT("0"&amp;INT(MOD(M92,1440)/60),2)&amp;":"&amp;RIGHT("0"&amp;MOD(M92,60),2)&amp;IF(L92=1," (UTC"&amp;I92&amp;")"," (offset unknown)"),IF(H92="DATE",DAY(O92)&amp;" "&amp;INDEX(nLIST_Months,MONTH(O92))&amp;" "&amp;YEAR(O92),IF(H92="MONTH",INDEX(nLIST_Months,MONTH(O92))&amp;" "&amp;YEAR(O92)&amp;" ("&amp;DAY(O92)&amp;" "&amp;INDEX(nLIST_Months,MONTH(O92))&amp;" "&amp;YEAR(O92)&amp;" to "&amp;DAY(P92)&amp;" "&amp;INDEX(nLIST_Months,MONTH(P92))&amp;" "&amp;YEAR(P92)&amp;")",IF(H92="YEAR",YEAR(O92)&amp;" (1 January to 31 December)",DAY(O92)&amp;" "&amp;INDEX(nLIST_Months,MONTH(O92))&amp;" "&amp;YEAR(O92)&amp;" to "&amp;DAY(P92)&amp;" "&amp;INDEX(nLIST_Months,MONTH(P92))&amp;" "&amp;YEAR(P92)))))))</f>
        <v/>
      </c>
      <c r="S92" s="20" t="str">
        <f>IF(B92="","",Exposures!$AD29&amp;"")</f>
        <v/>
      </c>
      <c r="T92" s="20" t="str">
        <f>IF(B92="","",Exposures!$AM29&amp;"")</f>
        <v/>
      </c>
      <c r="U92" s="20" t="str">
        <f>IF(B92="","","Exposures row "&amp;ROW(Exposures!$A29)&amp;", Stop")</f>
        <v/>
      </c>
      <c r="V92" s="20">
        <f>IF(A92="",0,COUNTIF(nTP_Key,A92))</f>
        <v>0</v>
      </c>
      <c r="W92" s="20">
        <f t="shared" si="13"/>
        <v>0</v>
      </c>
      <c r="X92" s="20">
        <f t="shared" si="14"/>
        <v>0</v>
      </c>
      <c r="Y92" s="20">
        <f t="shared" si="15"/>
        <v>0</v>
      </c>
      <c r="Z92" s="20">
        <f t="shared" si="16"/>
        <v>0</v>
      </c>
    </row>
    <row r="93" spans="1:26" x14ac:dyDescent="0.2">
      <c r="A93" s="20" t="str">
        <f t="shared" si="10"/>
        <v/>
      </c>
      <c r="B93" s="20" t="str">
        <f>IF(AND(Exposures!$D30&lt;&gt;"",COUNTA(Exposures!$AE30:$AL30)&gt;0),Exposures!$D30&amp;"/STOP","")</f>
        <v/>
      </c>
      <c r="C93" s="20" t="str">
        <f t="shared" si="9"/>
        <v/>
      </c>
      <c r="D93" s="20" t="str">
        <f>IF(B93="","",Exposures!$A30&amp;"")</f>
        <v/>
      </c>
      <c r="E93" s="20" t="str">
        <f>IF(B93="","",Exposures!$B30&amp;"")</f>
        <v/>
      </c>
      <c r="F93" s="20" t="str">
        <f t="shared" si="11"/>
        <v/>
      </c>
      <c r="G93" s="20" t="str">
        <f>IF(B93="","",Exposures!$D30&amp;"")</f>
        <v/>
      </c>
      <c r="H93" s="20" t="str">
        <f>IF(B93="","",Exposures!$AE30&amp;"")</f>
        <v/>
      </c>
      <c r="I93" s="20" t="str">
        <f>IF(B93="","",Exposures!$AH30&amp;"")</f>
        <v/>
      </c>
      <c r="J93" s="20" t="str">
        <f>IF(B93="","",Exposures!$AN30&amp;"")</f>
        <v/>
      </c>
      <c r="K93" s="20">
        <f>IF(B93="",0,Exposures!$AO30)</f>
        <v>0</v>
      </c>
      <c r="L93" s="20">
        <f>IF(B93="",0,Exposures!$AP30)</f>
        <v>0</v>
      </c>
      <c r="M93" s="20" t="str">
        <f>IF(B93="","",Exposures!$AS30)</f>
        <v/>
      </c>
      <c r="N93" s="20" t="str">
        <f>IF(B93="","",Exposures!$AT30)</f>
        <v/>
      </c>
      <c r="O93" s="27" t="str">
        <f>IF(B93="","",Exposures!$AQ30)</f>
        <v/>
      </c>
      <c r="P93" s="27" t="str">
        <f>IF(B93="","",Exposures!$AR30)</f>
        <v/>
      </c>
      <c r="Q93" s="20" t="str">
        <f t="shared" si="12"/>
        <v/>
      </c>
      <c r="R93" s="20" t="str">
        <f>IF(A93="","",IF(J93&lt;&gt;"",J93,IF(H93="TIMESTAMP",DAY(INT(M93/1440))&amp;" "&amp;INDEX(nLIST_Months,MONTH(INT(M93/1440)))&amp;" "&amp;YEAR(INT(M93/1440))&amp;" "&amp;RIGHT("0"&amp;INT(MOD(M93,1440)/60),2)&amp;":"&amp;RIGHT("0"&amp;MOD(M93,60),2)&amp;IF(L93=1," (UTC"&amp;I93&amp;")"," (offset unknown)"),IF(H93="DATE",DAY(O93)&amp;" "&amp;INDEX(nLIST_Months,MONTH(O93))&amp;" "&amp;YEAR(O93),IF(H93="MONTH",INDEX(nLIST_Months,MONTH(O93))&amp;" "&amp;YEAR(O93)&amp;" ("&amp;DAY(O93)&amp;" "&amp;INDEX(nLIST_Months,MONTH(O93))&amp;" "&amp;YEAR(O93)&amp;" to "&amp;DAY(P93)&amp;" "&amp;INDEX(nLIST_Months,MONTH(P93))&amp;" "&amp;YEAR(P93)&amp;")",IF(H93="YEAR",YEAR(O93)&amp;" (1 January to 31 December)",DAY(O93)&amp;" "&amp;INDEX(nLIST_Months,MONTH(O93))&amp;" "&amp;YEAR(O93)&amp;" to "&amp;DAY(P93)&amp;" "&amp;INDEX(nLIST_Months,MONTH(P93))&amp;" "&amp;YEAR(P93)))))))</f>
        <v/>
      </c>
      <c r="S93" s="20" t="str">
        <f>IF(B93="","",Exposures!$AD30&amp;"")</f>
        <v/>
      </c>
      <c r="T93" s="20" t="str">
        <f>IF(B93="","",Exposures!$AM30&amp;"")</f>
        <v/>
      </c>
      <c r="U93" s="20" t="str">
        <f>IF(B93="","","Exposures row "&amp;ROW(Exposures!$A30)&amp;", Stop")</f>
        <v/>
      </c>
      <c r="V93" s="20">
        <f>IF(A93="",0,COUNTIF(nTP_Key,A93))</f>
        <v>0</v>
      </c>
      <c r="W93" s="20">
        <f t="shared" si="13"/>
        <v>0</v>
      </c>
      <c r="X93" s="20">
        <f t="shared" si="14"/>
        <v>0</v>
      </c>
      <c r="Y93" s="20">
        <f t="shared" si="15"/>
        <v>0</v>
      </c>
      <c r="Z93" s="20">
        <f t="shared" si="16"/>
        <v>0</v>
      </c>
    </row>
    <row r="94" spans="1:26" x14ac:dyDescent="0.2">
      <c r="A94" s="20" t="str">
        <f t="shared" si="10"/>
        <v/>
      </c>
      <c r="B94" s="20" t="str">
        <f>IF(AND(Exposures!$D31&lt;&gt;"",COUNTA(Exposures!$AE31:$AL31)&gt;0),Exposures!$D31&amp;"/STOP","")</f>
        <v/>
      </c>
      <c r="C94" s="20" t="str">
        <f t="shared" si="9"/>
        <v/>
      </c>
      <c r="D94" s="20" t="str">
        <f>IF(B94="","",Exposures!$A31&amp;"")</f>
        <v/>
      </c>
      <c r="E94" s="20" t="str">
        <f>IF(B94="","",Exposures!$B31&amp;"")</f>
        <v/>
      </c>
      <c r="F94" s="20" t="str">
        <f t="shared" si="11"/>
        <v/>
      </c>
      <c r="G94" s="20" t="str">
        <f>IF(B94="","",Exposures!$D31&amp;"")</f>
        <v/>
      </c>
      <c r="H94" s="20" t="str">
        <f>IF(B94="","",Exposures!$AE31&amp;"")</f>
        <v/>
      </c>
      <c r="I94" s="20" t="str">
        <f>IF(B94="","",Exposures!$AH31&amp;"")</f>
        <v/>
      </c>
      <c r="J94" s="20" t="str">
        <f>IF(B94="","",Exposures!$AN31&amp;"")</f>
        <v/>
      </c>
      <c r="K94" s="20">
        <f>IF(B94="",0,Exposures!$AO31)</f>
        <v>0</v>
      </c>
      <c r="L94" s="20">
        <f>IF(B94="",0,Exposures!$AP31)</f>
        <v>0</v>
      </c>
      <c r="M94" s="20" t="str">
        <f>IF(B94="","",Exposures!$AS31)</f>
        <v/>
      </c>
      <c r="N94" s="20" t="str">
        <f>IF(B94="","",Exposures!$AT31)</f>
        <v/>
      </c>
      <c r="O94" s="27" t="str">
        <f>IF(B94="","",Exposures!$AQ31)</f>
        <v/>
      </c>
      <c r="P94" s="27" t="str">
        <f>IF(B94="","",Exposures!$AR31)</f>
        <v/>
      </c>
      <c r="Q94" s="20" t="str">
        <f t="shared" si="12"/>
        <v/>
      </c>
      <c r="R94" s="20" t="str">
        <f>IF(A94="","",IF(J94&lt;&gt;"",J94,IF(H94="TIMESTAMP",DAY(INT(M94/1440))&amp;" "&amp;INDEX(nLIST_Months,MONTH(INT(M94/1440)))&amp;" "&amp;YEAR(INT(M94/1440))&amp;" "&amp;RIGHT("0"&amp;INT(MOD(M94,1440)/60),2)&amp;":"&amp;RIGHT("0"&amp;MOD(M94,60),2)&amp;IF(L94=1," (UTC"&amp;I94&amp;")"," (offset unknown)"),IF(H94="DATE",DAY(O94)&amp;" "&amp;INDEX(nLIST_Months,MONTH(O94))&amp;" "&amp;YEAR(O94),IF(H94="MONTH",INDEX(nLIST_Months,MONTH(O94))&amp;" "&amp;YEAR(O94)&amp;" ("&amp;DAY(O94)&amp;" "&amp;INDEX(nLIST_Months,MONTH(O94))&amp;" "&amp;YEAR(O94)&amp;" to "&amp;DAY(P94)&amp;" "&amp;INDEX(nLIST_Months,MONTH(P94))&amp;" "&amp;YEAR(P94)&amp;")",IF(H94="YEAR",YEAR(O94)&amp;" (1 January to 31 December)",DAY(O94)&amp;" "&amp;INDEX(nLIST_Months,MONTH(O94))&amp;" "&amp;YEAR(O94)&amp;" to "&amp;DAY(P94)&amp;" "&amp;INDEX(nLIST_Months,MONTH(P94))&amp;" "&amp;YEAR(P94)))))))</f>
        <v/>
      </c>
      <c r="S94" s="20" t="str">
        <f>IF(B94="","",Exposures!$AD31&amp;"")</f>
        <v/>
      </c>
      <c r="T94" s="20" t="str">
        <f>IF(B94="","",Exposures!$AM31&amp;"")</f>
        <v/>
      </c>
      <c r="U94" s="20" t="str">
        <f>IF(B94="","","Exposures row "&amp;ROW(Exposures!$A31)&amp;", Stop")</f>
        <v/>
      </c>
      <c r="V94" s="20">
        <f>IF(A94="",0,COUNTIF(nTP_Key,A94))</f>
        <v>0</v>
      </c>
      <c r="W94" s="20">
        <f t="shared" si="13"/>
        <v>0</v>
      </c>
      <c r="X94" s="20">
        <f t="shared" si="14"/>
        <v>0</v>
      </c>
      <c r="Y94" s="20">
        <f t="shared" si="15"/>
        <v>0</v>
      </c>
      <c r="Z94" s="20">
        <f t="shared" si="16"/>
        <v>0</v>
      </c>
    </row>
    <row r="95" spans="1:26" x14ac:dyDescent="0.2">
      <c r="A95" s="20" t="str">
        <f t="shared" si="10"/>
        <v/>
      </c>
      <c r="B95" s="20" t="str">
        <f>IF(AND(Exposures!$D32&lt;&gt;"",COUNTA(Exposures!$AE32:$AL32)&gt;0),Exposures!$D32&amp;"/STOP","")</f>
        <v/>
      </c>
      <c r="C95" s="20" t="str">
        <f t="shared" si="9"/>
        <v/>
      </c>
      <c r="D95" s="20" t="str">
        <f>IF(B95="","",Exposures!$A32&amp;"")</f>
        <v/>
      </c>
      <c r="E95" s="20" t="str">
        <f>IF(B95="","",Exposures!$B32&amp;"")</f>
        <v/>
      </c>
      <c r="F95" s="20" t="str">
        <f t="shared" si="11"/>
        <v/>
      </c>
      <c r="G95" s="20" t="str">
        <f>IF(B95="","",Exposures!$D32&amp;"")</f>
        <v/>
      </c>
      <c r="H95" s="20" t="str">
        <f>IF(B95="","",Exposures!$AE32&amp;"")</f>
        <v/>
      </c>
      <c r="I95" s="20" t="str">
        <f>IF(B95="","",Exposures!$AH32&amp;"")</f>
        <v/>
      </c>
      <c r="J95" s="20" t="str">
        <f>IF(B95="","",Exposures!$AN32&amp;"")</f>
        <v/>
      </c>
      <c r="K95" s="20">
        <f>IF(B95="",0,Exposures!$AO32)</f>
        <v>0</v>
      </c>
      <c r="L95" s="20">
        <f>IF(B95="",0,Exposures!$AP32)</f>
        <v>0</v>
      </c>
      <c r="M95" s="20" t="str">
        <f>IF(B95="","",Exposures!$AS32)</f>
        <v/>
      </c>
      <c r="N95" s="20" t="str">
        <f>IF(B95="","",Exposures!$AT32)</f>
        <v/>
      </c>
      <c r="O95" s="27" t="str">
        <f>IF(B95="","",Exposures!$AQ32)</f>
        <v/>
      </c>
      <c r="P95" s="27" t="str">
        <f>IF(B95="","",Exposures!$AR32)</f>
        <v/>
      </c>
      <c r="Q95" s="20" t="str">
        <f t="shared" si="12"/>
        <v/>
      </c>
      <c r="R95" s="20" t="str">
        <f>IF(A95="","",IF(J95&lt;&gt;"",J95,IF(H95="TIMESTAMP",DAY(INT(M95/1440))&amp;" "&amp;INDEX(nLIST_Months,MONTH(INT(M95/1440)))&amp;" "&amp;YEAR(INT(M95/1440))&amp;" "&amp;RIGHT("0"&amp;INT(MOD(M95,1440)/60),2)&amp;":"&amp;RIGHT("0"&amp;MOD(M95,60),2)&amp;IF(L95=1," (UTC"&amp;I95&amp;")"," (offset unknown)"),IF(H95="DATE",DAY(O95)&amp;" "&amp;INDEX(nLIST_Months,MONTH(O95))&amp;" "&amp;YEAR(O95),IF(H95="MONTH",INDEX(nLIST_Months,MONTH(O95))&amp;" "&amp;YEAR(O95)&amp;" ("&amp;DAY(O95)&amp;" "&amp;INDEX(nLIST_Months,MONTH(O95))&amp;" "&amp;YEAR(O95)&amp;" to "&amp;DAY(P95)&amp;" "&amp;INDEX(nLIST_Months,MONTH(P95))&amp;" "&amp;YEAR(P95)&amp;")",IF(H95="YEAR",YEAR(O95)&amp;" (1 January to 31 December)",DAY(O95)&amp;" "&amp;INDEX(nLIST_Months,MONTH(O95))&amp;" "&amp;YEAR(O95)&amp;" to "&amp;DAY(P95)&amp;" "&amp;INDEX(nLIST_Months,MONTH(P95))&amp;" "&amp;YEAR(P95)))))))</f>
        <v/>
      </c>
      <c r="S95" s="20" t="str">
        <f>IF(B95="","",Exposures!$AD32&amp;"")</f>
        <v/>
      </c>
      <c r="T95" s="20" t="str">
        <f>IF(B95="","",Exposures!$AM32&amp;"")</f>
        <v/>
      </c>
      <c r="U95" s="20" t="str">
        <f>IF(B95="","","Exposures row "&amp;ROW(Exposures!$A32)&amp;", Stop")</f>
        <v/>
      </c>
      <c r="V95" s="20">
        <f>IF(A95="",0,COUNTIF(nTP_Key,A95))</f>
        <v>0</v>
      </c>
      <c r="W95" s="20">
        <f t="shared" si="13"/>
        <v>0</v>
      </c>
      <c r="X95" s="20">
        <f t="shared" si="14"/>
        <v>0</v>
      </c>
      <c r="Y95" s="20">
        <f t="shared" si="15"/>
        <v>0</v>
      </c>
      <c r="Z95" s="20">
        <f t="shared" si="16"/>
        <v>0</v>
      </c>
    </row>
    <row r="96" spans="1:26" x14ac:dyDescent="0.2">
      <c r="A96" s="20" t="str">
        <f t="shared" si="10"/>
        <v/>
      </c>
      <c r="B96" s="20" t="str">
        <f>IF(AND(Exposures!$D33&lt;&gt;"",COUNTA(Exposures!$AE33:$AL33)&gt;0),Exposures!$D33&amp;"/STOP","")</f>
        <v/>
      </c>
      <c r="C96" s="20" t="str">
        <f t="shared" si="9"/>
        <v/>
      </c>
      <c r="D96" s="20" t="str">
        <f>IF(B96="","",Exposures!$A33&amp;"")</f>
        <v/>
      </c>
      <c r="E96" s="20" t="str">
        <f>IF(B96="","",Exposures!$B33&amp;"")</f>
        <v/>
      </c>
      <c r="F96" s="20" t="str">
        <f t="shared" si="11"/>
        <v/>
      </c>
      <c r="G96" s="20" t="str">
        <f>IF(B96="","",Exposures!$D33&amp;"")</f>
        <v/>
      </c>
      <c r="H96" s="20" t="str">
        <f>IF(B96="","",Exposures!$AE33&amp;"")</f>
        <v/>
      </c>
      <c r="I96" s="20" t="str">
        <f>IF(B96="","",Exposures!$AH33&amp;"")</f>
        <v/>
      </c>
      <c r="J96" s="20" t="str">
        <f>IF(B96="","",Exposures!$AN33&amp;"")</f>
        <v/>
      </c>
      <c r="K96" s="20">
        <f>IF(B96="",0,Exposures!$AO33)</f>
        <v>0</v>
      </c>
      <c r="L96" s="20">
        <f>IF(B96="",0,Exposures!$AP33)</f>
        <v>0</v>
      </c>
      <c r="M96" s="20" t="str">
        <f>IF(B96="","",Exposures!$AS33)</f>
        <v/>
      </c>
      <c r="N96" s="20" t="str">
        <f>IF(B96="","",Exposures!$AT33)</f>
        <v/>
      </c>
      <c r="O96" s="27" t="str">
        <f>IF(B96="","",Exposures!$AQ33)</f>
        <v/>
      </c>
      <c r="P96" s="27" t="str">
        <f>IF(B96="","",Exposures!$AR33)</f>
        <v/>
      </c>
      <c r="Q96" s="20" t="str">
        <f t="shared" si="12"/>
        <v/>
      </c>
      <c r="R96" s="20" t="str">
        <f>IF(A96="","",IF(J96&lt;&gt;"",J96,IF(H96="TIMESTAMP",DAY(INT(M96/1440))&amp;" "&amp;INDEX(nLIST_Months,MONTH(INT(M96/1440)))&amp;" "&amp;YEAR(INT(M96/1440))&amp;" "&amp;RIGHT("0"&amp;INT(MOD(M96,1440)/60),2)&amp;":"&amp;RIGHT("0"&amp;MOD(M96,60),2)&amp;IF(L96=1," (UTC"&amp;I96&amp;")"," (offset unknown)"),IF(H96="DATE",DAY(O96)&amp;" "&amp;INDEX(nLIST_Months,MONTH(O96))&amp;" "&amp;YEAR(O96),IF(H96="MONTH",INDEX(nLIST_Months,MONTH(O96))&amp;" "&amp;YEAR(O96)&amp;" ("&amp;DAY(O96)&amp;" "&amp;INDEX(nLIST_Months,MONTH(O96))&amp;" "&amp;YEAR(O96)&amp;" to "&amp;DAY(P96)&amp;" "&amp;INDEX(nLIST_Months,MONTH(P96))&amp;" "&amp;YEAR(P96)&amp;")",IF(H96="YEAR",YEAR(O96)&amp;" (1 January to 31 December)",DAY(O96)&amp;" "&amp;INDEX(nLIST_Months,MONTH(O96))&amp;" "&amp;YEAR(O96)&amp;" to "&amp;DAY(P96)&amp;" "&amp;INDEX(nLIST_Months,MONTH(P96))&amp;" "&amp;YEAR(P96)))))))</f>
        <v/>
      </c>
      <c r="S96" s="20" t="str">
        <f>IF(B96="","",Exposures!$AD33&amp;"")</f>
        <v/>
      </c>
      <c r="T96" s="20" t="str">
        <f>IF(B96="","",Exposures!$AM33&amp;"")</f>
        <v/>
      </c>
      <c r="U96" s="20" t="str">
        <f>IF(B96="","","Exposures row "&amp;ROW(Exposures!$A33)&amp;", Stop")</f>
        <v/>
      </c>
      <c r="V96" s="20">
        <f>IF(A96="",0,COUNTIF(nTP_Key,A96))</f>
        <v>0</v>
      </c>
      <c r="W96" s="20">
        <f t="shared" si="13"/>
        <v>0</v>
      </c>
      <c r="X96" s="20">
        <f t="shared" si="14"/>
        <v>0</v>
      </c>
      <c r="Y96" s="20">
        <f t="shared" si="15"/>
        <v>0</v>
      </c>
      <c r="Z96" s="20">
        <f t="shared" si="16"/>
        <v>0</v>
      </c>
    </row>
    <row r="97" spans="1:26" x14ac:dyDescent="0.2">
      <c r="A97" s="20" t="str">
        <f t="shared" si="10"/>
        <v/>
      </c>
      <c r="B97" s="20" t="str">
        <f>IF(AND(Exposures!$D34&lt;&gt;"",COUNTA(Exposures!$AE34:$AL34)&gt;0),Exposures!$D34&amp;"/STOP","")</f>
        <v/>
      </c>
      <c r="C97" s="20" t="str">
        <f t="shared" si="9"/>
        <v/>
      </c>
      <c r="D97" s="20" t="str">
        <f>IF(B97="","",Exposures!$A34&amp;"")</f>
        <v/>
      </c>
      <c r="E97" s="20" t="str">
        <f>IF(B97="","",Exposures!$B34&amp;"")</f>
        <v/>
      </c>
      <c r="F97" s="20" t="str">
        <f t="shared" si="11"/>
        <v/>
      </c>
      <c r="G97" s="20" t="str">
        <f>IF(B97="","",Exposures!$D34&amp;"")</f>
        <v/>
      </c>
      <c r="H97" s="20" t="str">
        <f>IF(B97="","",Exposures!$AE34&amp;"")</f>
        <v/>
      </c>
      <c r="I97" s="20" t="str">
        <f>IF(B97="","",Exposures!$AH34&amp;"")</f>
        <v/>
      </c>
      <c r="J97" s="20" t="str">
        <f>IF(B97="","",Exposures!$AN34&amp;"")</f>
        <v/>
      </c>
      <c r="K97" s="20">
        <f>IF(B97="",0,Exposures!$AO34)</f>
        <v>0</v>
      </c>
      <c r="L97" s="20">
        <f>IF(B97="",0,Exposures!$AP34)</f>
        <v>0</v>
      </c>
      <c r="M97" s="20" t="str">
        <f>IF(B97="","",Exposures!$AS34)</f>
        <v/>
      </c>
      <c r="N97" s="20" t="str">
        <f>IF(B97="","",Exposures!$AT34)</f>
        <v/>
      </c>
      <c r="O97" s="27" t="str">
        <f>IF(B97="","",Exposures!$AQ34)</f>
        <v/>
      </c>
      <c r="P97" s="27" t="str">
        <f>IF(B97="","",Exposures!$AR34)</f>
        <v/>
      </c>
      <c r="Q97" s="20" t="str">
        <f t="shared" si="12"/>
        <v/>
      </c>
      <c r="R97" s="20" t="str">
        <f>IF(A97="","",IF(J97&lt;&gt;"",J97,IF(H97="TIMESTAMP",DAY(INT(M97/1440))&amp;" "&amp;INDEX(nLIST_Months,MONTH(INT(M97/1440)))&amp;" "&amp;YEAR(INT(M97/1440))&amp;" "&amp;RIGHT("0"&amp;INT(MOD(M97,1440)/60),2)&amp;":"&amp;RIGHT("0"&amp;MOD(M97,60),2)&amp;IF(L97=1," (UTC"&amp;I97&amp;")"," (offset unknown)"),IF(H97="DATE",DAY(O97)&amp;" "&amp;INDEX(nLIST_Months,MONTH(O97))&amp;" "&amp;YEAR(O97),IF(H97="MONTH",INDEX(nLIST_Months,MONTH(O97))&amp;" "&amp;YEAR(O97)&amp;" ("&amp;DAY(O97)&amp;" "&amp;INDEX(nLIST_Months,MONTH(O97))&amp;" "&amp;YEAR(O97)&amp;" to "&amp;DAY(P97)&amp;" "&amp;INDEX(nLIST_Months,MONTH(P97))&amp;" "&amp;YEAR(P97)&amp;")",IF(H97="YEAR",YEAR(O97)&amp;" (1 January to 31 December)",DAY(O97)&amp;" "&amp;INDEX(nLIST_Months,MONTH(O97))&amp;" "&amp;YEAR(O97)&amp;" to "&amp;DAY(P97)&amp;" "&amp;INDEX(nLIST_Months,MONTH(P97))&amp;" "&amp;YEAR(P97)))))))</f>
        <v/>
      </c>
      <c r="S97" s="20" t="str">
        <f>IF(B97="","",Exposures!$AD34&amp;"")</f>
        <v/>
      </c>
      <c r="T97" s="20" t="str">
        <f>IF(B97="","",Exposures!$AM34&amp;"")</f>
        <v/>
      </c>
      <c r="U97" s="20" t="str">
        <f>IF(B97="","","Exposures row "&amp;ROW(Exposures!$A34)&amp;", Stop")</f>
        <v/>
      </c>
      <c r="V97" s="20">
        <f>IF(A97="",0,COUNTIF(nTP_Key,A97))</f>
        <v>0</v>
      </c>
      <c r="W97" s="20">
        <f t="shared" si="13"/>
        <v>0</v>
      </c>
      <c r="X97" s="20">
        <f t="shared" si="14"/>
        <v>0</v>
      </c>
      <c r="Y97" s="20">
        <f t="shared" si="15"/>
        <v>0</v>
      </c>
      <c r="Z97" s="20">
        <f t="shared" si="16"/>
        <v>0</v>
      </c>
    </row>
    <row r="98" spans="1:26" x14ac:dyDescent="0.2">
      <c r="A98" s="20" t="str">
        <f t="shared" si="10"/>
        <v/>
      </c>
      <c r="B98" s="20" t="str">
        <f>IF(AND(Exposures!$D35&lt;&gt;"",COUNTA(Exposures!$AE35:$AL35)&gt;0),Exposures!$D35&amp;"/STOP","")</f>
        <v/>
      </c>
      <c r="C98" s="20" t="str">
        <f t="shared" si="9"/>
        <v/>
      </c>
      <c r="D98" s="20" t="str">
        <f>IF(B98="","",Exposures!$A35&amp;"")</f>
        <v/>
      </c>
      <c r="E98" s="20" t="str">
        <f>IF(B98="","",Exposures!$B35&amp;"")</f>
        <v/>
      </c>
      <c r="F98" s="20" t="str">
        <f t="shared" si="11"/>
        <v/>
      </c>
      <c r="G98" s="20" t="str">
        <f>IF(B98="","",Exposures!$D35&amp;"")</f>
        <v/>
      </c>
      <c r="H98" s="20" t="str">
        <f>IF(B98="","",Exposures!$AE35&amp;"")</f>
        <v/>
      </c>
      <c r="I98" s="20" t="str">
        <f>IF(B98="","",Exposures!$AH35&amp;"")</f>
        <v/>
      </c>
      <c r="J98" s="20" t="str">
        <f>IF(B98="","",Exposures!$AN35&amp;"")</f>
        <v/>
      </c>
      <c r="K98" s="20">
        <f>IF(B98="",0,Exposures!$AO35)</f>
        <v>0</v>
      </c>
      <c r="L98" s="20">
        <f>IF(B98="",0,Exposures!$AP35)</f>
        <v>0</v>
      </c>
      <c r="M98" s="20" t="str">
        <f>IF(B98="","",Exposures!$AS35)</f>
        <v/>
      </c>
      <c r="N98" s="20" t="str">
        <f>IF(B98="","",Exposures!$AT35)</f>
        <v/>
      </c>
      <c r="O98" s="27" t="str">
        <f>IF(B98="","",Exposures!$AQ35)</f>
        <v/>
      </c>
      <c r="P98" s="27" t="str">
        <f>IF(B98="","",Exposures!$AR35)</f>
        <v/>
      </c>
      <c r="Q98" s="20" t="str">
        <f t="shared" si="12"/>
        <v/>
      </c>
      <c r="R98" s="20" t="str">
        <f>IF(A98="","",IF(J98&lt;&gt;"",J98,IF(H98="TIMESTAMP",DAY(INT(M98/1440))&amp;" "&amp;INDEX(nLIST_Months,MONTH(INT(M98/1440)))&amp;" "&amp;YEAR(INT(M98/1440))&amp;" "&amp;RIGHT("0"&amp;INT(MOD(M98,1440)/60),2)&amp;":"&amp;RIGHT("0"&amp;MOD(M98,60),2)&amp;IF(L98=1," (UTC"&amp;I98&amp;")"," (offset unknown)"),IF(H98="DATE",DAY(O98)&amp;" "&amp;INDEX(nLIST_Months,MONTH(O98))&amp;" "&amp;YEAR(O98),IF(H98="MONTH",INDEX(nLIST_Months,MONTH(O98))&amp;" "&amp;YEAR(O98)&amp;" ("&amp;DAY(O98)&amp;" "&amp;INDEX(nLIST_Months,MONTH(O98))&amp;" "&amp;YEAR(O98)&amp;" to "&amp;DAY(P98)&amp;" "&amp;INDEX(nLIST_Months,MONTH(P98))&amp;" "&amp;YEAR(P98)&amp;")",IF(H98="YEAR",YEAR(O98)&amp;" (1 January to 31 December)",DAY(O98)&amp;" "&amp;INDEX(nLIST_Months,MONTH(O98))&amp;" "&amp;YEAR(O98)&amp;" to "&amp;DAY(P98)&amp;" "&amp;INDEX(nLIST_Months,MONTH(P98))&amp;" "&amp;YEAR(P98)))))))</f>
        <v/>
      </c>
      <c r="S98" s="20" t="str">
        <f>IF(B98="","",Exposures!$AD35&amp;"")</f>
        <v/>
      </c>
      <c r="T98" s="20" t="str">
        <f>IF(B98="","",Exposures!$AM35&amp;"")</f>
        <v/>
      </c>
      <c r="U98" s="20" t="str">
        <f>IF(B98="","","Exposures row "&amp;ROW(Exposures!$A35)&amp;", Stop")</f>
        <v/>
      </c>
      <c r="V98" s="20">
        <f>IF(A98="",0,COUNTIF(nTP_Key,A98))</f>
        <v>0</v>
      </c>
      <c r="W98" s="20">
        <f t="shared" si="13"/>
        <v>0</v>
      </c>
      <c r="X98" s="20">
        <f t="shared" si="14"/>
        <v>0</v>
      </c>
      <c r="Y98" s="20">
        <f t="shared" si="15"/>
        <v>0</v>
      </c>
      <c r="Z98" s="20">
        <f t="shared" si="16"/>
        <v>0</v>
      </c>
    </row>
    <row r="99" spans="1:26" x14ac:dyDescent="0.2">
      <c r="A99" s="20" t="str">
        <f t="shared" si="10"/>
        <v>EX-C01|2|EX-A/STOP</v>
      </c>
      <c r="B99" s="20" t="str">
        <f>IF(AND(Exposures!$D36&lt;&gt;"",COUNTA(Exposures!$AE36:$AL36)&gt;0),Exposures!$D36&amp;"/STOP","")</f>
        <v>EX-A/STOP</v>
      </c>
      <c r="C99" s="20" t="str">
        <f t="shared" si="9"/>
        <v>EXPOSURE_STOP</v>
      </c>
      <c r="D99" s="20" t="str">
        <f>IF(B99="","",Exposures!$A36&amp;"")</f>
        <v>EX-C01</v>
      </c>
      <c r="E99" s="20" t="str">
        <f>IF(B99="","",Exposures!$B36&amp;"")</f>
        <v>2</v>
      </c>
      <c r="F99" s="20" t="str">
        <f t="shared" si="11"/>
        <v>EX-C01|2</v>
      </c>
      <c r="G99" s="20" t="str">
        <f>IF(B99="","",Exposures!$D36&amp;"")</f>
        <v>EX-A</v>
      </c>
      <c r="H99" s="20" t="str">
        <f>IF(B99="","",Exposures!$AE36&amp;"")</f>
        <v>TIMESTAMP</v>
      </c>
      <c r="I99" s="20" t="str">
        <f>IF(B99="","",Exposures!$AH36&amp;"")</f>
        <v>-05:00</v>
      </c>
      <c r="J99" s="20" t="str">
        <f>IF(B99="","",Exposures!$AN36&amp;"")</f>
        <v/>
      </c>
      <c r="K99" s="20">
        <f>IF(B99="",0,Exposures!$AO36)</f>
        <v>1</v>
      </c>
      <c r="L99" s="20">
        <f>IF(B99="",0,Exposures!$AP36)</f>
        <v>1</v>
      </c>
      <c r="M99" s="20">
        <f>IF(B99="","",Exposures!$AS36)</f>
        <v>66286636</v>
      </c>
      <c r="N99" s="20">
        <f>IF(B99="","",Exposures!$AT36)</f>
        <v>66286936</v>
      </c>
      <c r="O99" s="27">
        <f>IF(B99="","",Exposures!$AQ36)</f>
        <v>46032</v>
      </c>
      <c r="P99" s="27">
        <f>IF(B99="","",Exposures!$AR36)</f>
        <v>46032</v>
      </c>
      <c r="Q99" s="20" t="str">
        <f t="shared" si="12"/>
        <v>2026-01-10T09:16-05:00</v>
      </c>
      <c r="R99" s="20" t="str">
        <f>IF(A99="","",IF(J99&lt;&gt;"",J99,IF(H99="TIMESTAMP",DAY(INT(M99/1440))&amp;" "&amp;INDEX(nLIST_Months,MONTH(INT(M99/1440)))&amp;" "&amp;YEAR(INT(M99/1440))&amp;" "&amp;RIGHT("0"&amp;INT(MOD(M99,1440)/60),2)&amp;":"&amp;RIGHT("0"&amp;MOD(M99,60),2)&amp;IF(L99=1," (UTC"&amp;I99&amp;")"," (offset unknown)"),IF(H99="DATE",DAY(O99)&amp;" "&amp;INDEX(nLIST_Months,MONTH(O99))&amp;" "&amp;YEAR(O99),IF(H99="MONTH",INDEX(nLIST_Months,MONTH(O99))&amp;" "&amp;YEAR(O99)&amp;" ("&amp;DAY(O99)&amp;" "&amp;INDEX(nLIST_Months,MONTH(O99))&amp;" "&amp;YEAR(O99)&amp;" to "&amp;DAY(P99)&amp;" "&amp;INDEX(nLIST_Months,MONTH(P99))&amp;" "&amp;YEAR(P99)&amp;")",IF(H99="YEAR",YEAR(O99)&amp;" (1 January to 31 December)",DAY(O99)&amp;" "&amp;INDEX(nLIST_Months,MONTH(O99))&amp;" "&amp;YEAR(O99)&amp;" to "&amp;DAY(P99)&amp;" "&amp;INDEX(nLIST_Months,MONTH(P99))&amp;" "&amp;YEAR(P99)))))))</f>
        <v>10 January 2026 09:16 (UTC-05:00)</v>
      </c>
      <c r="S99" s="20" t="str">
        <f>IF(B99="","",Exposures!$AD36&amp;"")</f>
        <v>09:16 infusion stopped, doctor called</v>
      </c>
      <c r="T99" s="20" t="str">
        <f>IF(B99="","",Exposures!$AM36&amp;"")</f>
        <v>Nursing chart</v>
      </c>
      <c r="U99" s="20" t="str">
        <f>IF(B99="","","Exposures row "&amp;ROW(Exposures!$A36)&amp;", Stop")</f>
        <v>Exposures row 36, Stop</v>
      </c>
      <c r="V99" s="20">
        <f>IF(A99="",0,COUNTIF(nTP_Key,A99))</f>
        <v>1</v>
      </c>
      <c r="W99" s="20">
        <f t="shared" si="13"/>
        <v>66286636</v>
      </c>
      <c r="X99" s="20">
        <f t="shared" si="14"/>
        <v>66286936</v>
      </c>
      <c r="Y99" s="20">
        <f t="shared" si="15"/>
        <v>46032</v>
      </c>
      <c r="Z99" s="20">
        <f t="shared" si="16"/>
        <v>46032</v>
      </c>
    </row>
    <row r="100" spans="1:26" x14ac:dyDescent="0.2">
      <c r="A100" s="20" t="str">
        <f t="shared" si="10"/>
        <v>EX-C01|2|EX-B/STOP</v>
      </c>
      <c r="B100" s="20" t="str">
        <f>IF(AND(Exposures!$D37&lt;&gt;"",COUNTA(Exposures!$AE37:$AL37)&gt;0),Exposures!$D37&amp;"/STOP","")</f>
        <v>EX-B/STOP</v>
      </c>
      <c r="C100" s="20" t="str">
        <f t="shared" ref="C100:C131" si="17">IF(B100="","","EXPOSURE_STOP")</f>
        <v>EXPOSURE_STOP</v>
      </c>
      <c r="D100" s="20" t="str">
        <f>IF(B100="","",Exposures!$A37&amp;"")</f>
        <v>EX-C01</v>
      </c>
      <c r="E100" s="20" t="str">
        <f>IF(B100="","",Exposures!$B37&amp;"")</f>
        <v>2</v>
      </c>
      <c r="F100" s="20" t="str">
        <f t="shared" si="11"/>
        <v>EX-C01|2</v>
      </c>
      <c r="G100" s="20" t="str">
        <f>IF(B100="","",Exposures!$D37&amp;"")</f>
        <v>EX-B</v>
      </c>
      <c r="H100" s="20" t="str">
        <f>IF(B100="","",Exposures!$AE37&amp;"")</f>
        <v>TIMESTAMP</v>
      </c>
      <c r="I100" s="20" t="str">
        <f>IF(B100="","",Exposures!$AH37&amp;"")</f>
        <v>-05:00</v>
      </c>
      <c r="J100" s="20" t="str">
        <f>IF(B100="","",Exposures!$AN37&amp;"")</f>
        <v/>
      </c>
      <c r="K100" s="20">
        <f>IF(B100="",0,Exposures!$AO37)</f>
        <v>1</v>
      </c>
      <c r="L100" s="20">
        <f>IF(B100="",0,Exposures!$AP37)</f>
        <v>1</v>
      </c>
      <c r="M100" s="20">
        <f>IF(B100="","",Exposures!$AS37)</f>
        <v>66286610</v>
      </c>
      <c r="N100" s="20">
        <f>IF(B100="","",Exposures!$AT37)</f>
        <v>66286910</v>
      </c>
      <c r="O100" s="27">
        <f>IF(B100="","",Exposures!$AQ37)</f>
        <v>46032</v>
      </c>
      <c r="P100" s="27">
        <f>IF(B100="","",Exposures!$AR37)</f>
        <v>46032</v>
      </c>
      <c r="Q100" s="20" t="str">
        <f t="shared" si="12"/>
        <v>2026-01-10T08:50-05:00</v>
      </c>
      <c r="R100" s="20" t="str">
        <f>IF(A100="","",IF(J100&lt;&gt;"",J100,IF(H100="TIMESTAMP",DAY(INT(M100/1440))&amp;" "&amp;INDEX(nLIST_Months,MONTH(INT(M100/1440)))&amp;" "&amp;YEAR(INT(M100/1440))&amp;" "&amp;RIGHT("0"&amp;INT(MOD(M100,1440)/60),2)&amp;":"&amp;RIGHT("0"&amp;MOD(M100,60),2)&amp;IF(L100=1," (UTC"&amp;I100&amp;")"," (offset unknown)"),IF(H100="DATE",DAY(O100)&amp;" "&amp;INDEX(nLIST_Months,MONTH(O100))&amp;" "&amp;YEAR(O100),IF(H100="MONTH",INDEX(nLIST_Months,MONTH(O100))&amp;" "&amp;YEAR(O100)&amp;" ("&amp;DAY(O100)&amp;" "&amp;INDEX(nLIST_Months,MONTH(O100))&amp;" "&amp;YEAR(O100)&amp;" to "&amp;DAY(P100)&amp;" "&amp;INDEX(nLIST_Months,MONTH(P100))&amp;" "&amp;YEAR(P100)&amp;")",IF(H100="YEAR",YEAR(O100)&amp;" (1 January to 31 December)",DAY(O100)&amp;" "&amp;INDEX(nLIST_Months,MONTH(O100))&amp;" "&amp;YEAR(O100)&amp;" to "&amp;DAY(P100)&amp;" "&amp;INDEX(nLIST_Months,MONTH(P100))&amp;" "&amp;YEAR(P100)))))))</f>
        <v>10 January 2026 08:50 (UTC-05:00)</v>
      </c>
      <c r="S100" s="20" t="str">
        <f>IF(B100="","",Exposures!$AD37&amp;"")</f>
        <v>Drug B infusion ended 08:50</v>
      </c>
      <c r="T100" s="20" t="str">
        <f>IF(B100="","",Exposures!$AM37&amp;"")</f>
        <v>Follow-up, version 2</v>
      </c>
      <c r="U100" s="20" t="str">
        <f>IF(B100="","","Exposures row "&amp;ROW(Exposures!$A37)&amp;", Stop")</f>
        <v>Exposures row 37, Stop</v>
      </c>
      <c r="V100" s="20">
        <f>IF(A100="",0,COUNTIF(nTP_Key,A100))</f>
        <v>1</v>
      </c>
      <c r="W100" s="20">
        <f t="shared" si="13"/>
        <v>66286610</v>
      </c>
      <c r="X100" s="20">
        <f t="shared" si="14"/>
        <v>66286910</v>
      </c>
      <c r="Y100" s="20">
        <f t="shared" si="15"/>
        <v>46032</v>
      </c>
      <c r="Z100" s="20">
        <f t="shared" si="16"/>
        <v>46032</v>
      </c>
    </row>
    <row r="101" spans="1:26" x14ac:dyDescent="0.2">
      <c r="A101" s="20" t="str">
        <f t="shared" si="10"/>
        <v/>
      </c>
      <c r="B101" s="20" t="str">
        <f>IF(AND(Exposures!$D38&lt;&gt;"",COUNTA(Exposures!$AE38:$AL38)&gt;0),Exposures!$D38&amp;"/STOP","")</f>
        <v/>
      </c>
      <c r="C101" s="20" t="str">
        <f t="shared" si="17"/>
        <v/>
      </c>
      <c r="D101" s="20" t="str">
        <f>IF(B101="","",Exposures!$A38&amp;"")</f>
        <v/>
      </c>
      <c r="E101" s="20" t="str">
        <f>IF(B101="","",Exposures!$B38&amp;"")</f>
        <v/>
      </c>
      <c r="F101" s="20" t="str">
        <f t="shared" si="11"/>
        <v/>
      </c>
      <c r="G101" s="20" t="str">
        <f>IF(B101="","",Exposures!$D38&amp;"")</f>
        <v/>
      </c>
      <c r="H101" s="20" t="str">
        <f>IF(B101="","",Exposures!$AE38&amp;"")</f>
        <v/>
      </c>
      <c r="I101" s="20" t="str">
        <f>IF(B101="","",Exposures!$AH38&amp;"")</f>
        <v/>
      </c>
      <c r="J101" s="20" t="str">
        <f>IF(B101="","",Exposures!$AN38&amp;"")</f>
        <v/>
      </c>
      <c r="K101" s="20">
        <f>IF(B101="",0,Exposures!$AO38)</f>
        <v>0</v>
      </c>
      <c r="L101" s="20">
        <f>IF(B101="",0,Exposures!$AP38)</f>
        <v>0</v>
      </c>
      <c r="M101" s="20" t="str">
        <f>IF(B101="","",Exposures!$AS38)</f>
        <v/>
      </c>
      <c r="N101" s="20" t="str">
        <f>IF(B101="","",Exposures!$AT38)</f>
        <v/>
      </c>
      <c r="O101" s="27" t="str">
        <f>IF(B101="","",Exposures!$AQ38)</f>
        <v/>
      </c>
      <c r="P101" s="27" t="str">
        <f>IF(B101="","",Exposures!$AR38)</f>
        <v/>
      </c>
      <c r="Q101" s="20" t="str">
        <f t="shared" si="12"/>
        <v/>
      </c>
      <c r="R101" s="20" t="str">
        <f>IF(A101="","",IF(J101&lt;&gt;"",J101,IF(H101="TIMESTAMP",DAY(INT(M101/1440))&amp;" "&amp;INDEX(nLIST_Months,MONTH(INT(M101/1440)))&amp;" "&amp;YEAR(INT(M101/1440))&amp;" "&amp;RIGHT("0"&amp;INT(MOD(M101,1440)/60),2)&amp;":"&amp;RIGHT("0"&amp;MOD(M101,60),2)&amp;IF(L101=1," (UTC"&amp;I101&amp;")"," (offset unknown)"),IF(H101="DATE",DAY(O101)&amp;" "&amp;INDEX(nLIST_Months,MONTH(O101))&amp;" "&amp;YEAR(O101),IF(H101="MONTH",INDEX(nLIST_Months,MONTH(O101))&amp;" "&amp;YEAR(O101)&amp;" ("&amp;DAY(O101)&amp;" "&amp;INDEX(nLIST_Months,MONTH(O101))&amp;" "&amp;YEAR(O101)&amp;" to "&amp;DAY(P101)&amp;" "&amp;INDEX(nLIST_Months,MONTH(P101))&amp;" "&amp;YEAR(P101)&amp;")",IF(H101="YEAR",YEAR(O101)&amp;" (1 January to 31 December)",DAY(O101)&amp;" "&amp;INDEX(nLIST_Months,MONTH(O101))&amp;" "&amp;YEAR(O101)&amp;" to "&amp;DAY(P101)&amp;" "&amp;INDEX(nLIST_Months,MONTH(P101))&amp;" "&amp;YEAR(P101)))))))</f>
        <v/>
      </c>
      <c r="S101" s="20" t="str">
        <f>IF(B101="","",Exposures!$AD38&amp;"")</f>
        <v/>
      </c>
      <c r="T101" s="20" t="str">
        <f>IF(B101="","",Exposures!$AM38&amp;"")</f>
        <v/>
      </c>
      <c r="U101" s="20" t="str">
        <f>IF(B101="","","Exposures row "&amp;ROW(Exposures!$A38)&amp;", Stop")</f>
        <v/>
      </c>
      <c r="V101" s="20">
        <f>IF(A101="",0,COUNTIF(nTP_Key,A101))</f>
        <v>0</v>
      </c>
      <c r="W101" s="20">
        <f t="shared" si="13"/>
        <v>0</v>
      </c>
      <c r="X101" s="20">
        <f t="shared" si="14"/>
        <v>0</v>
      </c>
      <c r="Y101" s="20">
        <f t="shared" si="15"/>
        <v>0</v>
      </c>
      <c r="Z101" s="20">
        <f t="shared" si="16"/>
        <v>0</v>
      </c>
    </row>
    <row r="102" spans="1:26" x14ac:dyDescent="0.2">
      <c r="A102" s="20" t="str">
        <f t="shared" si="10"/>
        <v>EX-C04|2|EX-DIG/STOP</v>
      </c>
      <c r="B102" s="20" t="str">
        <f>IF(AND(Exposures!$D39&lt;&gt;"",COUNTA(Exposures!$AE39:$AL39)&gt;0),Exposures!$D39&amp;"/STOP","")</f>
        <v>EX-DIG/STOP</v>
      </c>
      <c r="C102" s="20" t="str">
        <f t="shared" si="17"/>
        <v>EXPOSURE_STOP</v>
      </c>
      <c r="D102" s="20" t="str">
        <f>IF(B102="","",Exposures!$A39&amp;"")</f>
        <v>EX-C04</v>
      </c>
      <c r="E102" s="20" t="str">
        <f>IF(B102="","",Exposures!$B39&amp;"")</f>
        <v>2</v>
      </c>
      <c r="F102" s="20" t="str">
        <f t="shared" si="11"/>
        <v>EX-C04|2</v>
      </c>
      <c r="G102" s="20" t="str">
        <f>IF(B102="","",Exposures!$D39&amp;"")</f>
        <v>EX-DIG</v>
      </c>
      <c r="H102" s="20" t="str">
        <f>IF(B102="","",Exposures!$AE39&amp;"")</f>
        <v>DATE</v>
      </c>
      <c r="I102" s="20" t="str">
        <f>IF(B102="","",Exposures!$AH39&amp;"")</f>
        <v/>
      </c>
      <c r="J102" s="20" t="str">
        <f>IF(B102="","",Exposures!$AN39&amp;"")</f>
        <v/>
      </c>
      <c r="K102" s="20">
        <f>IF(B102="",0,Exposures!$AO39)</f>
        <v>0</v>
      </c>
      <c r="L102" s="20">
        <f>IF(B102="",0,Exposures!$AP39)</f>
        <v>0</v>
      </c>
      <c r="M102" s="20" t="str">
        <f>IF(B102="","",Exposures!$AS39)</f>
        <v/>
      </c>
      <c r="N102" s="20" t="str">
        <f>IF(B102="","",Exposures!$AT39)</f>
        <v/>
      </c>
      <c r="O102" s="27">
        <f>IF(B102="","",Exposures!$AQ39)</f>
        <v>46208</v>
      </c>
      <c r="P102" s="27">
        <f>IF(B102="","",Exposures!$AR39)</f>
        <v>46208</v>
      </c>
      <c r="Q102" s="20" t="str">
        <f t="shared" si="12"/>
        <v>2026-07-05</v>
      </c>
      <c r="R102" s="20" t="str">
        <f>IF(A102="","",IF(J102&lt;&gt;"",J102,IF(H102="TIMESTAMP",DAY(INT(M102/1440))&amp;" "&amp;INDEX(nLIST_Months,MONTH(INT(M102/1440)))&amp;" "&amp;YEAR(INT(M102/1440))&amp;" "&amp;RIGHT("0"&amp;INT(MOD(M102,1440)/60),2)&amp;":"&amp;RIGHT("0"&amp;MOD(M102,60),2)&amp;IF(L102=1," (UTC"&amp;I102&amp;")"," (offset unknown)"),IF(H102="DATE",DAY(O102)&amp;" "&amp;INDEX(nLIST_Months,MONTH(O102))&amp;" "&amp;YEAR(O102),IF(H102="MONTH",INDEX(nLIST_Months,MONTH(O102))&amp;" "&amp;YEAR(O102)&amp;" ("&amp;DAY(O102)&amp;" "&amp;INDEX(nLIST_Months,MONTH(O102))&amp;" "&amp;YEAR(O102)&amp;" to "&amp;DAY(P102)&amp;" "&amp;INDEX(nLIST_Months,MONTH(P102))&amp;" "&amp;YEAR(P102)&amp;")",IF(H102="YEAR",YEAR(O102)&amp;" (1 January to 31 December)",DAY(O102)&amp;" "&amp;INDEX(nLIST_Months,MONTH(O102))&amp;" "&amp;YEAR(O102)&amp;" to "&amp;DAY(P102)&amp;" "&amp;INDEX(nLIST_Months,MONTH(P102))&amp;" "&amp;YEAR(P102)))))))</f>
        <v>5 July 2026</v>
      </c>
      <c r="S102" s="20" t="str">
        <f>IF(B102="","",Exposures!$AD39&amp;"")</f>
        <v>Digoxin and ibuprofen withheld (5 July)</v>
      </c>
      <c r="T102" s="20" t="str">
        <f>IF(B102="","",Exposures!$AM39&amp;"")</f>
        <v>Emergency department note</v>
      </c>
      <c r="U102" s="20" t="str">
        <f>IF(B102="","","Exposures row "&amp;ROW(Exposures!$A39)&amp;", Stop")</f>
        <v>Exposures row 39, Stop</v>
      </c>
      <c r="V102" s="20">
        <f>IF(A102="",0,COUNTIF(nTP_Key,A102))</f>
        <v>1</v>
      </c>
      <c r="W102" s="20">
        <f t="shared" si="13"/>
        <v>0</v>
      </c>
      <c r="X102" s="20">
        <f t="shared" si="14"/>
        <v>0</v>
      </c>
      <c r="Y102" s="20">
        <f t="shared" si="15"/>
        <v>46208</v>
      </c>
      <c r="Z102" s="20">
        <f t="shared" si="16"/>
        <v>46208</v>
      </c>
    </row>
    <row r="103" spans="1:26" x14ac:dyDescent="0.2">
      <c r="A103" s="20" t="str">
        <f t="shared" si="10"/>
        <v>EX-C04|2|EX-IBU/STOP</v>
      </c>
      <c r="B103" s="20" t="str">
        <f>IF(AND(Exposures!$D40&lt;&gt;"",COUNTA(Exposures!$AE40:$AL40)&gt;0),Exposures!$D40&amp;"/STOP","")</f>
        <v>EX-IBU/STOP</v>
      </c>
      <c r="C103" s="20" t="str">
        <f t="shared" si="17"/>
        <v>EXPOSURE_STOP</v>
      </c>
      <c r="D103" s="20" t="str">
        <f>IF(B103="","",Exposures!$A40&amp;"")</f>
        <v>EX-C04</v>
      </c>
      <c r="E103" s="20" t="str">
        <f>IF(B103="","",Exposures!$B40&amp;"")</f>
        <v>2</v>
      </c>
      <c r="F103" s="20" t="str">
        <f t="shared" si="11"/>
        <v>EX-C04|2</v>
      </c>
      <c r="G103" s="20" t="str">
        <f>IF(B103="","",Exposures!$D40&amp;"")</f>
        <v>EX-IBU</v>
      </c>
      <c r="H103" s="20" t="str">
        <f>IF(B103="","",Exposures!$AE40&amp;"")</f>
        <v>DATE</v>
      </c>
      <c r="I103" s="20" t="str">
        <f>IF(B103="","",Exposures!$AH40&amp;"")</f>
        <v/>
      </c>
      <c r="J103" s="20" t="str">
        <f>IF(B103="","",Exposures!$AN40&amp;"")</f>
        <v/>
      </c>
      <c r="K103" s="20">
        <f>IF(B103="",0,Exposures!$AO40)</f>
        <v>0</v>
      </c>
      <c r="L103" s="20">
        <f>IF(B103="",0,Exposures!$AP40)</f>
        <v>0</v>
      </c>
      <c r="M103" s="20" t="str">
        <f>IF(B103="","",Exposures!$AS40)</f>
        <v/>
      </c>
      <c r="N103" s="20" t="str">
        <f>IF(B103="","",Exposures!$AT40)</f>
        <v/>
      </c>
      <c r="O103" s="27">
        <f>IF(B103="","",Exposures!$AQ40)</f>
        <v>46207</v>
      </c>
      <c r="P103" s="27">
        <f>IF(B103="","",Exposures!$AR40)</f>
        <v>46207</v>
      </c>
      <c r="Q103" s="20" t="str">
        <f t="shared" si="12"/>
        <v>2026-07-04</v>
      </c>
      <c r="R103" s="20" t="str">
        <f>IF(A103="","",IF(J103&lt;&gt;"",J103,IF(H103="TIMESTAMP",DAY(INT(M103/1440))&amp;" "&amp;INDEX(nLIST_Months,MONTH(INT(M103/1440)))&amp;" "&amp;YEAR(INT(M103/1440))&amp;" "&amp;RIGHT("0"&amp;INT(MOD(M103,1440)/60),2)&amp;":"&amp;RIGHT("0"&amp;MOD(M103,60),2)&amp;IF(L103=1," (UTC"&amp;I103&amp;")"," (offset unknown)"),IF(H103="DATE",DAY(O103)&amp;" "&amp;INDEX(nLIST_Months,MONTH(O103))&amp;" "&amp;YEAR(O103),IF(H103="MONTH",INDEX(nLIST_Months,MONTH(O103))&amp;" "&amp;YEAR(O103)&amp;" ("&amp;DAY(O103)&amp;" "&amp;INDEX(nLIST_Months,MONTH(O103))&amp;" "&amp;YEAR(O103)&amp;" to "&amp;DAY(P103)&amp;" "&amp;INDEX(nLIST_Months,MONTH(P103))&amp;" "&amp;YEAR(P103)&amp;")",IF(H103="YEAR",YEAR(O103)&amp;" (1 January to 31 December)",DAY(O103)&amp;" "&amp;INDEX(nLIST_Months,MONTH(O103))&amp;" "&amp;YEAR(O103)&amp;" to "&amp;DAY(P103)&amp;" "&amp;INDEX(nLIST_Months,MONTH(P103))&amp;" "&amp;YEAR(P103)))))))</f>
        <v>4 July 2026</v>
      </c>
      <c r="S103" s="20" t="str">
        <f>IF(B103="","",Exposures!$AD40&amp;"")</f>
        <v>last taken 4 July</v>
      </c>
      <c r="T103" s="20" t="str">
        <f>IF(B103="","",Exposures!$AM40&amp;"")</f>
        <v>GP letter (version 2)</v>
      </c>
      <c r="U103" s="20" t="str">
        <f>IF(B103="","","Exposures row "&amp;ROW(Exposures!$A40)&amp;", Stop")</f>
        <v>Exposures row 40, Stop</v>
      </c>
      <c r="V103" s="20">
        <f>IF(A103="",0,COUNTIF(nTP_Key,A103))</f>
        <v>1</v>
      </c>
      <c r="W103" s="20">
        <f t="shared" si="13"/>
        <v>0</v>
      </c>
      <c r="X103" s="20">
        <f t="shared" si="14"/>
        <v>0</v>
      </c>
      <c r="Y103" s="20">
        <f t="shared" si="15"/>
        <v>46207</v>
      </c>
      <c r="Z103" s="20">
        <f t="shared" si="16"/>
        <v>46207</v>
      </c>
    </row>
    <row r="104" spans="1:26" x14ac:dyDescent="0.2">
      <c r="A104" s="20" t="str">
        <f t="shared" si="10"/>
        <v/>
      </c>
      <c r="B104" s="20" t="str">
        <f>IF(AND(Exposures!$D41&lt;&gt;"",COUNTA(Exposures!$AE41:$AL41)&gt;0),Exposures!$D41&amp;"/STOP","")</f>
        <v/>
      </c>
      <c r="C104" s="20" t="str">
        <f t="shared" si="17"/>
        <v/>
      </c>
      <c r="D104" s="20" t="str">
        <f>IF(B104="","",Exposures!$A41&amp;"")</f>
        <v/>
      </c>
      <c r="E104" s="20" t="str">
        <f>IF(B104="","",Exposures!$B41&amp;"")</f>
        <v/>
      </c>
      <c r="F104" s="20" t="str">
        <f t="shared" si="11"/>
        <v/>
      </c>
      <c r="G104" s="20" t="str">
        <f>IF(B104="","",Exposures!$D41&amp;"")</f>
        <v/>
      </c>
      <c r="H104" s="20" t="str">
        <f>IF(B104="","",Exposures!$AE41&amp;"")</f>
        <v/>
      </c>
      <c r="I104" s="20" t="str">
        <f>IF(B104="","",Exposures!$AH41&amp;"")</f>
        <v/>
      </c>
      <c r="J104" s="20" t="str">
        <f>IF(B104="","",Exposures!$AN41&amp;"")</f>
        <v/>
      </c>
      <c r="K104" s="20">
        <f>IF(B104="",0,Exposures!$AO41)</f>
        <v>0</v>
      </c>
      <c r="L104" s="20">
        <f>IF(B104="",0,Exposures!$AP41)</f>
        <v>0</v>
      </c>
      <c r="M104" s="20" t="str">
        <f>IF(B104="","",Exposures!$AS41)</f>
        <v/>
      </c>
      <c r="N104" s="20" t="str">
        <f>IF(B104="","",Exposures!$AT41)</f>
        <v/>
      </c>
      <c r="O104" s="27" t="str">
        <f>IF(B104="","",Exposures!$AQ41)</f>
        <v/>
      </c>
      <c r="P104" s="27" t="str">
        <f>IF(B104="","",Exposures!$AR41)</f>
        <v/>
      </c>
      <c r="Q104" s="20" t="str">
        <f t="shared" si="12"/>
        <v/>
      </c>
      <c r="R104" s="20" t="str">
        <f>IF(A104="","",IF(J104&lt;&gt;"",J104,IF(H104="TIMESTAMP",DAY(INT(M104/1440))&amp;" "&amp;INDEX(nLIST_Months,MONTH(INT(M104/1440)))&amp;" "&amp;YEAR(INT(M104/1440))&amp;" "&amp;RIGHT("0"&amp;INT(MOD(M104,1440)/60),2)&amp;":"&amp;RIGHT("0"&amp;MOD(M104,60),2)&amp;IF(L104=1," (UTC"&amp;I104&amp;")"," (offset unknown)"),IF(H104="DATE",DAY(O104)&amp;" "&amp;INDEX(nLIST_Months,MONTH(O104))&amp;" "&amp;YEAR(O104),IF(H104="MONTH",INDEX(nLIST_Months,MONTH(O104))&amp;" "&amp;YEAR(O104)&amp;" ("&amp;DAY(O104)&amp;" "&amp;INDEX(nLIST_Months,MONTH(O104))&amp;" "&amp;YEAR(O104)&amp;" to "&amp;DAY(P104)&amp;" "&amp;INDEX(nLIST_Months,MONTH(P104))&amp;" "&amp;YEAR(P104)&amp;")",IF(H104="YEAR",YEAR(O104)&amp;" (1 January to 31 December)",DAY(O104)&amp;" "&amp;INDEX(nLIST_Months,MONTH(O104))&amp;" "&amp;YEAR(O104)&amp;" to "&amp;DAY(P104)&amp;" "&amp;INDEX(nLIST_Months,MONTH(P104))&amp;" "&amp;YEAR(P104)))))))</f>
        <v/>
      </c>
      <c r="S104" s="20" t="str">
        <f>IF(B104="","",Exposures!$AD41&amp;"")</f>
        <v/>
      </c>
      <c r="T104" s="20" t="str">
        <f>IF(B104="","",Exposures!$AM41&amp;"")</f>
        <v/>
      </c>
      <c r="U104" s="20" t="str">
        <f>IF(B104="","","Exposures row "&amp;ROW(Exposures!$A41)&amp;", Stop")</f>
        <v/>
      </c>
      <c r="V104" s="20">
        <f>IF(A104="",0,COUNTIF(nTP_Key,A104))</f>
        <v>0</v>
      </c>
      <c r="W104" s="20">
        <f t="shared" si="13"/>
        <v>0</v>
      </c>
      <c r="X104" s="20">
        <f t="shared" si="14"/>
        <v>0</v>
      </c>
      <c r="Y104" s="20">
        <f t="shared" si="15"/>
        <v>0</v>
      </c>
      <c r="Z104" s="20">
        <f t="shared" si="16"/>
        <v>0</v>
      </c>
    </row>
    <row r="105" spans="1:26" x14ac:dyDescent="0.2">
      <c r="A105" s="20" t="str">
        <f t="shared" si="10"/>
        <v>EX-C28|2|EX-RTX/STOP</v>
      </c>
      <c r="B105" s="20" t="str">
        <f>IF(AND(Exposures!$D42&lt;&gt;"",COUNTA(Exposures!$AE42:$AL42)&gt;0),Exposures!$D42&amp;"/STOP","")</f>
        <v>EX-RTX/STOP</v>
      </c>
      <c r="C105" s="20" t="str">
        <f t="shared" si="17"/>
        <v>EXPOSURE_STOP</v>
      </c>
      <c r="D105" s="20" t="str">
        <f>IF(B105="","",Exposures!$A42&amp;"")</f>
        <v>EX-C28</v>
      </c>
      <c r="E105" s="20" t="str">
        <f>IF(B105="","",Exposures!$B42&amp;"")</f>
        <v>2</v>
      </c>
      <c r="F105" s="20" t="str">
        <f t="shared" si="11"/>
        <v>EX-C28|2</v>
      </c>
      <c r="G105" s="20" t="str">
        <f>IF(B105="","",Exposures!$D42&amp;"")</f>
        <v>EX-RTX</v>
      </c>
      <c r="H105" s="20" t="str">
        <f>IF(B105="","",Exposures!$AE42&amp;"")</f>
        <v>DATE</v>
      </c>
      <c r="I105" s="20" t="str">
        <f>IF(B105="","",Exposures!$AH42&amp;"")</f>
        <v/>
      </c>
      <c r="J105" s="20" t="str">
        <f>IF(B105="","",Exposures!$AN42&amp;"")</f>
        <v/>
      </c>
      <c r="K105" s="20">
        <f>IF(B105="",0,Exposures!$AO42)</f>
        <v>0</v>
      </c>
      <c r="L105" s="20">
        <f>IF(B105="",0,Exposures!$AP42)</f>
        <v>0</v>
      </c>
      <c r="M105" s="20" t="str">
        <f>IF(B105="","",Exposures!$AS42)</f>
        <v/>
      </c>
      <c r="N105" s="20" t="str">
        <f>IF(B105="","",Exposures!$AT42)</f>
        <v/>
      </c>
      <c r="O105" s="27">
        <f>IF(B105="","",Exposures!$AQ42)</f>
        <v>45719</v>
      </c>
      <c r="P105" s="27">
        <f>IF(B105="","",Exposures!$AR42)</f>
        <v>45719</v>
      </c>
      <c r="Q105" s="20" t="str">
        <f t="shared" si="12"/>
        <v>2025-03-03</v>
      </c>
      <c r="R105" s="20" t="str">
        <f>IF(A105="","",IF(J105&lt;&gt;"",J105,IF(H105="TIMESTAMP",DAY(INT(M105/1440))&amp;" "&amp;INDEX(nLIST_Months,MONTH(INT(M105/1440)))&amp;" "&amp;YEAR(INT(M105/1440))&amp;" "&amp;RIGHT("0"&amp;INT(MOD(M105,1440)/60),2)&amp;":"&amp;RIGHT("0"&amp;MOD(M105,60),2)&amp;IF(L105=1," (UTC"&amp;I105&amp;")"," (offset unknown)"),IF(H105="DATE",DAY(O105)&amp;" "&amp;INDEX(nLIST_Months,MONTH(O105))&amp;" "&amp;YEAR(O105),IF(H105="MONTH",INDEX(nLIST_Months,MONTH(O105))&amp;" "&amp;YEAR(O105)&amp;" ("&amp;DAY(O105)&amp;" "&amp;INDEX(nLIST_Months,MONTH(O105))&amp;" "&amp;YEAR(O105)&amp;" to "&amp;DAY(P105)&amp;" "&amp;INDEX(nLIST_Months,MONTH(P105))&amp;" "&amp;YEAR(P105)&amp;")",IF(H105="YEAR",YEAR(O105)&amp;" (1 January to 31 December)",DAY(O105)&amp;" "&amp;INDEX(nLIST_Months,MONTH(O105))&amp;" "&amp;YEAR(O105)&amp;" to "&amp;DAY(P105)&amp;" "&amp;INDEX(nLIST_Months,MONTH(P105))&amp;" "&amp;YEAR(P105)))))))</f>
        <v>3 March 2025</v>
      </c>
      <c r="S105" s="20" t="str">
        <f>IF(B105="","",Exposures!$AD42&amp;"")</f>
        <v>last infusion 03/03/2025</v>
      </c>
      <c r="T105" s="20" t="str">
        <f>IF(B105="","",Exposures!$AM42&amp;"")</f>
        <v>Hematology summary</v>
      </c>
      <c r="U105" s="20" t="str">
        <f>IF(B105="","","Exposures row "&amp;ROW(Exposures!$A42)&amp;", Stop")</f>
        <v>Exposures row 42, Stop</v>
      </c>
      <c r="V105" s="20">
        <f>IF(A105="",0,COUNTIF(nTP_Key,A105))</f>
        <v>1</v>
      </c>
      <c r="W105" s="20">
        <f t="shared" si="13"/>
        <v>0</v>
      </c>
      <c r="X105" s="20">
        <f t="shared" si="14"/>
        <v>0</v>
      </c>
      <c r="Y105" s="20">
        <f t="shared" si="15"/>
        <v>45719</v>
      </c>
      <c r="Z105" s="20">
        <f t="shared" si="16"/>
        <v>45719</v>
      </c>
    </row>
    <row r="106" spans="1:26" x14ac:dyDescent="0.2">
      <c r="A106" s="20" t="str">
        <f t="shared" si="10"/>
        <v>EX-C28|2|EX-RX/STOP</v>
      </c>
      <c r="B106" s="20" t="str">
        <f>IF(AND(Exposures!$D43&lt;&gt;"",COUNTA(Exposures!$AE43:$AL43)&gt;0),Exposures!$D43&amp;"/STOP","")</f>
        <v>EX-RX/STOP</v>
      </c>
      <c r="C106" s="20" t="str">
        <f t="shared" si="17"/>
        <v>EXPOSURE_STOP</v>
      </c>
      <c r="D106" s="20" t="str">
        <f>IF(B106="","",Exposures!$A43&amp;"")</f>
        <v>EX-C28</v>
      </c>
      <c r="E106" s="20" t="str">
        <f>IF(B106="","",Exposures!$B43&amp;"")</f>
        <v>2</v>
      </c>
      <c r="F106" s="20" t="str">
        <f t="shared" si="11"/>
        <v>EX-C28|2</v>
      </c>
      <c r="G106" s="20" t="str">
        <f>IF(B106="","",Exposures!$D43&amp;"")</f>
        <v>EX-RX</v>
      </c>
      <c r="H106" s="20" t="str">
        <f>IF(B106="","",Exposures!$AE43&amp;"")</f>
        <v>DATE</v>
      </c>
      <c r="I106" s="20" t="str">
        <f>IF(B106="","",Exposures!$AH43&amp;"")</f>
        <v/>
      </c>
      <c r="J106" s="20" t="str">
        <f>IF(B106="","",Exposures!$AN43&amp;"")</f>
        <v/>
      </c>
      <c r="K106" s="20">
        <f>IF(B106="",0,Exposures!$AO43)</f>
        <v>0</v>
      </c>
      <c r="L106" s="20">
        <f>IF(B106="",0,Exposures!$AP43)</f>
        <v>0</v>
      </c>
      <c r="M106" s="20" t="str">
        <f>IF(B106="","",Exposures!$AS43)</f>
        <v/>
      </c>
      <c r="N106" s="20" t="str">
        <f>IF(B106="","",Exposures!$AT43)</f>
        <v/>
      </c>
      <c r="O106" s="27">
        <f>IF(B106="","",Exposures!$AQ43)</f>
        <v>45719</v>
      </c>
      <c r="P106" s="27">
        <f>IF(B106="","",Exposures!$AR43)</f>
        <v>45719</v>
      </c>
      <c r="Q106" s="20" t="str">
        <f t="shared" si="12"/>
        <v>2025-03-03</v>
      </c>
      <c r="R106" s="20" t="str">
        <f>IF(A106="","",IF(J106&lt;&gt;"",J106,IF(H106="TIMESTAMP",DAY(INT(M106/1440))&amp;" "&amp;INDEX(nLIST_Months,MONTH(INT(M106/1440)))&amp;" "&amp;YEAR(INT(M106/1440))&amp;" "&amp;RIGHT("0"&amp;INT(MOD(M106,1440)/60),2)&amp;":"&amp;RIGHT("0"&amp;MOD(M106,60),2)&amp;IF(L106=1," (UTC"&amp;I106&amp;")"," (offset unknown)"),IF(H106="DATE",DAY(O106)&amp;" "&amp;INDEX(nLIST_Months,MONTH(O106))&amp;" "&amp;YEAR(O106),IF(H106="MONTH",INDEX(nLIST_Months,MONTH(O106))&amp;" "&amp;YEAR(O106)&amp;" ("&amp;DAY(O106)&amp;" "&amp;INDEX(nLIST_Months,MONTH(O106))&amp;" "&amp;YEAR(O106)&amp;" to "&amp;DAY(P106)&amp;" "&amp;INDEX(nLIST_Months,MONTH(P106))&amp;" "&amp;YEAR(P106)&amp;")",IF(H106="YEAR",YEAR(O106)&amp;" (1 January to 31 December)",DAY(O106)&amp;" "&amp;INDEX(nLIST_Months,MONTH(O106))&amp;" "&amp;YEAR(O106)&amp;" to "&amp;DAY(P106)&amp;" "&amp;INDEX(nLIST_Months,MONTH(P106))&amp;" "&amp;YEAR(P106)))))))</f>
        <v>3 March 2025</v>
      </c>
      <c r="S106" s="20" t="str">
        <f>IF(B106="","",Exposures!$AD43&amp;"")</f>
        <v>same cycles as rituximab</v>
      </c>
      <c r="T106" s="20" t="str">
        <f>IF(B106="","",Exposures!$AM43&amp;"")</f>
        <v>Hematology summary</v>
      </c>
      <c r="U106" s="20" t="str">
        <f>IF(B106="","","Exposures row "&amp;ROW(Exposures!$A43)&amp;", Stop")</f>
        <v>Exposures row 43, Stop</v>
      </c>
      <c r="V106" s="20">
        <f>IF(A106="",0,COUNTIF(nTP_Key,A106))</f>
        <v>1</v>
      </c>
      <c r="W106" s="20">
        <f t="shared" si="13"/>
        <v>0</v>
      </c>
      <c r="X106" s="20">
        <f t="shared" si="14"/>
        <v>0</v>
      </c>
      <c r="Y106" s="20">
        <f t="shared" si="15"/>
        <v>45719</v>
      </c>
      <c r="Z106" s="20">
        <f t="shared" si="16"/>
        <v>45719</v>
      </c>
    </row>
    <row r="107" spans="1:26" x14ac:dyDescent="0.2">
      <c r="A107" s="20" t="str">
        <f t="shared" si="10"/>
        <v>EX-C28|2|EX-AVA/STOP</v>
      </c>
      <c r="B107" s="20" t="str">
        <f>IF(AND(Exposures!$D44&lt;&gt;"",COUNTA(Exposures!$AE44:$AL44)&gt;0),Exposures!$D44&amp;"/STOP","")</f>
        <v>EX-AVA/STOP</v>
      </c>
      <c r="C107" s="20" t="str">
        <f t="shared" si="17"/>
        <v>EXPOSURE_STOP</v>
      </c>
      <c r="D107" s="20" t="str">
        <f>IF(B107="","",Exposures!$A44&amp;"")</f>
        <v>EX-C28</v>
      </c>
      <c r="E107" s="20" t="str">
        <f>IF(B107="","",Exposures!$B44&amp;"")</f>
        <v>2</v>
      </c>
      <c r="F107" s="20" t="str">
        <f t="shared" si="11"/>
        <v>EX-C28|2</v>
      </c>
      <c r="G107" s="20" t="str">
        <f>IF(B107="","",Exposures!$D44&amp;"")</f>
        <v>EX-AVA</v>
      </c>
      <c r="H107" s="20" t="str">
        <f>IF(B107="","",Exposures!$AE44&amp;"")</f>
        <v>DATE</v>
      </c>
      <c r="I107" s="20" t="str">
        <f>IF(B107="","",Exposures!$AH44&amp;"")</f>
        <v/>
      </c>
      <c r="J107" s="20" t="str">
        <f>IF(B107="","",Exposures!$AN44&amp;"")</f>
        <v/>
      </c>
      <c r="K107" s="20">
        <f>IF(B107="",0,Exposures!$AO44)</f>
        <v>0</v>
      </c>
      <c r="L107" s="20">
        <f>IF(B107="",0,Exposures!$AP44)</f>
        <v>0</v>
      </c>
      <c r="M107" s="20" t="str">
        <f>IF(B107="","",Exposures!$AS44)</f>
        <v/>
      </c>
      <c r="N107" s="20" t="str">
        <f>IF(B107="","",Exposures!$AT44)</f>
        <v/>
      </c>
      <c r="O107" s="27">
        <f>IF(B107="","",Exposures!$AQ44)</f>
        <v>45903</v>
      </c>
      <c r="P107" s="27">
        <f>IF(B107="","",Exposures!$AR44)</f>
        <v>45903</v>
      </c>
      <c r="Q107" s="20" t="str">
        <f t="shared" si="12"/>
        <v>2025-09-03</v>
      </c>
      <c r="R107" s="20" t="str">
        <f>IF(A107="","",IF(J107&lt;&gt;"",J107,IF(H107="TIMESTAMP",DAY(INT(M107/1440))&amp;" "&amp;INDEX(nLIST_Months,MONTH(INT(M107/1440)))&amp;" "&amp;YEAR(INT(M107/1440))&amp;" "&amp;RIGHT("0"&amp;INT(MOD(M107,1440)/60),2)&amp;":"&amp;RIGHT("0"&amp;MOD(M107,60),2)&amp;IF(L107=1," (UTC"&amp;I107&amp;")"," (offset unknown)"),IF(H107="DATE",DAY(O107)&amp;" "&amp;INDEX(nLIST_Months,MONTH(O107))&amp;" "&amp;YEAR(O107),IF(H107="MONTH",INDEX(nLIST_Months,MONTH(O107))&amp;" "&amp;YEAR(O107)&amp;" ("&amp;DAY(O107)&amp;" "&amp;INDEX(nLIST_Months,MONTH(O107))&amp;" "&amp;YEAR(O107)&amp;" to "&amp;DAY(P107)&amp;" "&amp;INDEX(nLIST_Months,MONTH(P107))&amp;" "&amp;YEAR(P107)&amp;")",IF(H107="YEAR",YEAR(O107)&amp;" (1 January to 31 December)",DAY(O107)&amp;" "&amp;INDEX(nLIST_Months,MONTH(O107))&amp;" "&amp;YEAR(O107)&amp;" to "&amp;DAY(P107)&amp;" "&amp;INDEX(nLIST_Months,MONTH(P107))&amp;" "&amp;YEAR(P107)))))))</f>
        <v>3 September 2025</v>
      </c>
      <c r="S107" s="20" t="str">
        <f>IF(B107="","",Exposures!$AD44&amp;"")</f>
        <v>prophylaxis to 03/09/2025</v>
      </c>
      <c r="T107" s="20" t="str">
        <f>IF(B107="","",Exposures!$AM44&amp;"")</f>
        <v>Hematology summary</v>
      </c>
      <c r="U107" s="20" t="str">
        <f>IF(B107="","","Exposures row "&amp;ROW(Exposures!$A44)&amp;", Stop")</f>
        <v>Exposures row 44, Stop</v>
      </c>
      <c r="V107" s="20">
        <f>IF(A107="",0,COUNTIF(nTP_Key,A107))</f>
        <v>1</v>
      </c>
      <c r="W107" s="20">
        <f t="shared" si="13"/>
        <v>0</v>
      </c>
      <c r="X107" s="20">
        <f t="shared" si="14"/>
        <v>0</v>
      </c>
      <c r="Y107" s="20">
        <f t="shared" si="15"/>
        <v>45903</v>
      </c>
      <c r="Z107" s="20">
        <f t="shared" si="16"/>
        <v>45903</v>
      </c>
    </row>
    <row r="108" spans="1:26" x14ac:dyDescent="0.2">
      <c r="A108" s="20" t="str">
        <f t="shared" si="10"/>
        <v>EX-C28|2|EX-PRED/STOP</v>
      </c>
      <c r="B108" s="20" t="str">
        <f>IF(AND(Exposures!$D45&lt;&gt;"",COUNTA(Exposures!$AE45:$AL45)&gt;0),Exposures!$D45&amp;"/STOP","")</f>
        <v>EX-PRED/STOP</v>
      </c>
      <c r="C108" s="20" t="str">
        <f t="shared" si="17"/>
        <v>EXPOSURE_STOP</v>
      </c>
      <c r="D108" s="20" t="str">
        <f>IF(B108="","",Exposures!$A45&amp;"")</f>
        <v>EX-C28</v>
      </c>
      <c r="E108" s="20" t="str">
        <f>IF(B108="","",Exposures!$B45&amp;"")</f>
        <v>2</v>
      </c>
      <c r="F108" s="20" t="str">
        <f t="shared" si="11"/>
        <v>EX-C28|2</v>
      </c>
      <c r="G108" s="20" t="str">
        <f>IF(B108="","",Exposures!$D45&amp;"")</f>
        <v>EX-PRED</v>
      </c>
      <c r="H108" s="20" t="str">
        <f>IF(B108="","",Exposures!$AE45&amp;"")</f>
        <v>DATE</v>
      </c>
      <c r="I108" s="20" t="str">
        <f>IF(B108="","",Exposures!$AH45&amp;"")</f>
        <v/>
      </c>
      <c r="J108" s="20" t="str">
        <f>IF(B108="","",Exposures!$AN45&amp;"")</f>
        <v/>
      </c>
      <c r="K108" s="20">
        <f>IF(B108="",0,Exposures!$AO45)</f>
        <v>0</v>
      </c>
      <c r="L108" s="20">
        <f>IF(B108="",0,Exposures!$AP45)</f>
        <v>0</v>
      </c>
      <c r="M108" s="20" t="str">
        <f>IF(B108="","",Exposures!$AS45)</f>
        <v/>
      </c>
      <c r="N108" s="20" t="str">
        <f>IF(B108="","",Exposures!$AT45)</f>
        <v/>
      </c>
      <c r="O108" s="27">
        <f>IF(B108="","",Exposures!$AQ45)</f>
        <v>46092</v>
      </c>
      <c r="P108" s="27">
        <f>IF(B108="","",Exposures!$AR45)</f>
        <v>46092</v>
      </c>
      <c r="Q108" s="20" t="str">
        <f t="shared" si="12"/>
        <v>2026-03-11</v>
      </c>
      <c r="R108" s="20" t="str">
        <f>IF(A108="","",IF(J108&lt;&gt;"",J108,IF(H108="TIMESTAMP",DAY(INT(M108/1440))&amp;" "&amp;INDEX(nLIST_Months,MONTH(INT(M108/1440)))&amp;" "&amp;YEAR(INT(M108/1440))&amp;" "&amp;RIGHT("0"&amp;INT(MOD(M108,1440)/60),2)&amp;":"&amp;RIGHT("0"&amp;MOD(M108,60),2)&amp;IF(L108=1," (UTC"&amp;I108&amp;")"," (offset unknown)"),IF(H108="DATE",DAY(O108)&amp;" "&amp;INDEX(nLIST_Months,MONTH(O108))&amp;" "&amp;YEAR(O108),IF(H108="MONTH",INDEX(nLIST_Months,MONTH(O108))&amp;" "&amp;YEAR(O108)&amp;" ("&amp;DAY(O108)&amp;" "&amp;INDEX(nLIST_Months,MONTH(O108))&amp;" "&amp;YEAR(O108)&amp;" to "&amp;DAY(P108)&amp;" "&amp;INDEX(nLIST_Months,MONTH(P108))&amp;" "&amp;YEAR(P108)&amp;")",IF(H108="YEAR",YEAR(O108)&amp;" (1 January to 31 December)",DAY(O108)&amp;" "&amp;INDEX(nLIST_Months,MONTH(O108))&amp;" "&amp;YEAR(O108)&amp;" to "&amp;DAY(P108)&amp;" "&amp;INDEX(nLIST_Months,MONTH(P108))&amp;" "&amp;YEAR(P108)))))))</f>
        <v>11 March 2026</v>
      </c>
      <c r="S108" s="20" t="str">
        <f>IF(B108="","",Exposures!$AD45&amp;"")</f>
        <v>10-day oral prednisolone course 02-11/03/2026</v>
      </c>
      <c r="T108" s="20" t="str">
        <f>IF(B108="","",Exposures!$AM45&amp;"")</f>
        <v>Hepatology letter</v>
      </c>
      <c r="U108" s="20" t="str">
        <f>IF(B108="","","Exposures row "&amp;ROW(Exposures!$A45)&amp;", Stop")</f>
        <v>Exposures row 45, Stop</v>
      </c>
      <c r="V108" s="20">
        <f>IF(A108="",0,COUNTIF(nTP_Key,A108))</f>
        <v>1</v>
      </c>
      <c r="W108" s="20">
        <f t="shared" si="13"/>
        <v>0</v>
      </c>
      <c r="X108" s="20">
        <f t="shared" si="14"/>
        <v>0</v>
      </c>
      <c r="Y108" s="20">
        <f t="shared" si="15"/>
        <v>46092</v>
      </c>
      <c r="Z108" s="20">
        <f t="shared" si="16"/>
        <v>46092</v>
      </c>
    </row>
    <row r="109" spans="1:26" x14ac:dyDescent="0.2">
      <c r="A109" s="20" t="str">
        <f t="shared" si="10"/>
        <v/>
      </c>
      <c r="B109" s="20" t="str">
        <f>IF(AND(Exposures!$D46&lt;&gt;"",COUNTA(Exposures!$AE46:$AL46)&gt;0),Exposures!$D46&amp;"/STOP","")</f>
        <v/>
      </c>
      <c r="C109" s="20" t="str">
        <f t="shared" si="17"/>
        <v/>
      </c>
      <c r="D109" s="20" t="str">
        <f>IF(B109="","",Exposures!$A46&amp;"")</f>
        <v/>
      </c>
      <c r="E109" s="20" t="str">
        <f>IF(B109="","",Exposures!$B46&amp;"")</f>
        <v/>
      </c>
      <c r="F109" s="20" t="str">
        <f t="shared" si="11"/>
        <v/>
      </c>
      <c r="G109" s="20" t="str">
        <f>IF(B109="","",Exposures!$D46&amp;"")</f>
        <v/>
      </c>
      <c r="H109" s="20" t="str">
        <f>IF(B109="","",Exposures!$AE46&amp;"")</f>
        <v/>
      </c>
      <c r="I109" s="20" t="str">
        <f>IF(B109="","",Exposures!$AH46&amp;"")</f>
        <v/>
      </c>
      <c r="J109" s="20" t="str">
        <f>IF(B109="","",Exposures!$AN46&amp;"")</f>
        <v/>
      </c>
      <c r="K109" s="20">
        <f>IF(B109="",0,Exposures!$AO46)</f>
        <v>0</v>
      </c>
      <c r="L109" s="20">
        <f>IF(B109="",0,Exposures!$AP46)</f>
        <v>0</v>
      </c>
      <c r="M109" s="20" t="str">
        <f>IF(B109="","",Exposures!$AS46)</f>
        <v/>
      </c>
      <c r="N109" s="20" t="str">
        <f>IF(B109="","",Exposures!$AT46)</f>
        <v/>
      </c>
      <c r="O109" s="27" t="str">
        <f>IF(B109="","",Exposures!$AQ46)</f>
        <v/>
      </c>
      <c r="P109" s="27" t="str">
        <f>IF(B109="","",Exposures!$AR46)</f>
        <v/>
      </c>
      <c r="Q109" s="20" t="str">
        <f t="shared" si="12"/>
        <v/>
      </c>
      <c r="R109" s="20" t="str">
        <f>IF(A109="","",IF(J109&lt;&gt;"",J109,IF(H109="TIMESTAMP",DAY(INT(M109/1440))&amp;" "&amp;INDEX(nLIST_Months,MONTH(INT(M109/1440)))&amp;" "&amp;YEAR(INT(M109/1440))&amp;" "&amp;RIGHT("0"&amp;INT(MOD(M109,1440)/60),2)&amp;":"&amp;RIGHT("0"&amp;MOD(M109,60),2)&amp;IF(L109=1," (UTC"&amp;I109&amp;")"," (offset unknown)"),IF(H109="DATE",DAY(O109)&amp;" "&amp;INDEX(nLIST_Months,MONTH(O109))&amp;" "&amp;YEAR(O109),IF(H109="MONTH",INDEX(nLIST_Months,MONTH(O109))&amp;" "&amp;YEAR(O109)&amp;" ("&amp;DAY(O109)&amp;" "&amp;INDEX(nLIST_Months,MONTH(O109))&amp;" "&amp;YEAR(O109)&amp;" to "&amp;DAY(P109)&amp;" "&amp;INDEX(nLIST_Months,MONTH(P109))&amp;" "&amp;YEAR(P109)&amp;")",IF(H109="YEAR",YEAR(O109)&amp;" (1 January to 31 December)",DAY(O109)&amp;" "&amp;INDEX(nLIST_Months,MONTH(O109))&amp;" "&amp;YEAR(O109)&amp;" to "&amp;DAY(P109)&amp;" "&amp;INDEX(nLIST_Months,MONTH(P109))&amp;" "&amp;YEAR(P109)))))))</f>
        <v/>
      </c>
      <c r="S109" s="20" t="str">
        <f>IF(B109="","",Exposures!$AD46&amp;"")</f>
        <v/>
      </c>
      <c r="T109" s="20" t="str">
        <f>IF(B109="","",Exposures!$AM46&amp;"")</f>
        <v/>
      </c>
      <c r="U109" s="20" t="str">
        <f>IF(B109="","","Exposures row "&amp;ROW(Exposures!$A46)&amp;", Stop")</f>
        <v/>
      </c>
      <c r="V109" s="20">
        <f>IF(A109="",0,COUNTIF(nTP_Key,A109))</f>
        <v>0</v>
      </c>
      <c r="W109" s="20">
        <f t="shared" si="13"/>
        <v>0</v>
      </c>
      <c r="X109" s="20">
        <f t="shared" si="14"/>
        <v>0</v>
      </c>
      <c r="Y109" s="20">
        <f t="shared" si="15"/>
        <v>0</v>
      </c>
      <c r="Z109" s="20">
        <f t="shared" si="16"/>
        <v>0</v>
      </c>
    </row>
    <row r="110" spans="1:26" x14ac:dyDescent="0.2">
      <c r="A110" s="20" t="str">
        <f t="shared" si="10"/>
        <v/>
      </c>
      <c r="B110" s="20" t="str">
        <f>IF(AND(Exposures!$D47&lt;&gt;"",COUNTA(Exposures!$AE47:$AL47)&gt;0),Exposures!$D47&amp;"/STOP","")</f>
        <v/>
      </c>
      <c r="C110" s="20" t="str">
        <f t="shared" si="17"/>
        <v/>
      </c>
      <c r="D110" s="20" t="str">
        <f>IF(B110="","",Exposures!$A47&amp;"")</f>
        <v/>
      </c>
      <c r="E110" s="20" t="str">
        <f>IF(B110="","",Exposures!$B47&amp;"")</f>
        <v/>
      </c>
      <c r="F110" s="20" t="str">
        <f t="shared" si="11"/>
        <v/>
      </c>
      <c r="G110" s="20" t="str">
        <f>IF(B110="","",Exposures!$D47&amp;"")</f>
        <v/>
      </c>
      <c r="H110" s="20" t="str">
        <f>IF(B110="","",Exposures!$AE47&amp;"")</f>
        <v/>
      </c>
      <c r="I110" s="20" t="str">
        <f>IF(B110="","",Exposures!$AH47&amp;"")</f>
        <v/>
      </c>
      <c r="J110" s="20" t="str">
        <f>IF(B110="","",Exposures!$AN47&amp;"")</f>
        <v/>
      </c>
      <c r="K110" s="20">
        <f>IF(B110="",0,Exposures!$AO47)</f>
        <v>0</v>
      </c>
      <c r="L110" s="20">
        <f>IF(B110="",0,Exposures!$AP47)</f>
        <v>0</v>
      </c>
      <c r="M110" s="20" t="str">
        <f>IF(B110="","",Exposures!$AS47)</f>
        <v/>
      </c>
      <c r="N110" s="20" t="str">
        <f>IF(B110="","",Exposures!$AT47)</f>
        <v/>
      </c>
      <c r="O110" s="27" t="str">
        <f>IF(B110="","",Exposures!$AQ47)</f>
        <v/>
      </c>
      <c r="P110" s="27" t="str">
        <f>IF(B110="","",Exposures!$AR47)</f>
        <v/>
      </c>
      <c r="Q110" s="20" t="str">
        <f t="shared" si="12"/>
        <v/>
      </c>
      <c r="R110" s="20" t="str">
        <f>IF(A110="","",IF(J110&lt;&gt;"",J110,IF(H110="TIMESTAMP",DAY(INT(M110/1440))&amp;" "&amp;INDEX(nLIST_Months,MONTH(INT(M110/1440)))&amp;" "&amp;YEAR(INT(M110/1440))&amp;" "&amp;RIGHT("0"&amp;INT(MOD(M110,1440)/60),2)&amp;":"&amp;RIGHT("0"&amp;MOD(M110,60),2)&amp;IF(L110=1," (UTC"&amp;I110&amp;")"," (offset unknown)"),IF(H110="DATE",DAY(O110)&amp;" "&amp;INDEX(nLIST_Months,MONTH(O110))&amp;" "&amp;YEAR(O110),IF(H110="MONTH",INDEX(nLIST_Months,MONTH(O110))&amp;" "&amp;YEAR(O110)&amp;" ("&amp;DAY(O110)&amp;" "&amp;INDEX(nLIST_Months,MONTH(O110))&amp;" "&amp;YEAR(O110)&amp;" to "&amp;DAY(P110)&amp;" "&amp;INDEX(nLIST_Months,MONTH(P110))&amp;" "&amp;YEAR(P110)&amp;")",IF(H110="YEAR",YEAR(O110)&amp;" (1 January to 31 December)",DAY(O110)&amp;" "&amp;INDEX(nLIST_Months,MONTH(O110))&amp;" "&amp;YEAR(O110)&amp;" to "&amp;DAY(P110)&amp;" "&amp;INDEX(nLIST_Months,MONTH(P110))&amp;" "&amp;YEAR(P110)))))))</f>
        <v/>
      </c>
      <c r="S110" s="20" t="str">
        <f>IF(B110="","",Exposures!$AD47&amp;"")</f>
        <v/>
      </c>
      <c r="T110" s="20" t="str">
        <f>IF(B110="","",Exposures!$AM47&amp;"")</f>
        <v/>
      </c>
      <c r="U110" s="20" t="str">
        <f>IF(B110="","","Exposures row "&amp;ROW(Exposures!$A47)&amp;", Stop")</f>
        <v/>
      </c>
      <c r="V110" s="20">
        <f>IF(A110="",0,COUNTIF(nTP_Key,A110))</f>
        <v>0</v>
      </c>
      <c r="W110" s="20">
        <f t="shared" si="13"/>
        <v>0</v>
      </c>
      <c r="X110" s="20">
        <f t="shared" si="14"/>
        <v>0</v>
      </c>
      <c r="Y110" s="20">
        <f t="shared" si="15"/>
        <v>0</v>
      </c>
      <c r="Z110" s="20">
        <f t="shared" si="16"/>
        <v>0</v>
      </c>
    </row>
    <row r="111" spans="1:26" x14ac:dyDescent="0.2">
      <c r="A111" s="20" t="str">
        <f t="shared" si="10"/>
        <v/>
      </c>
      <c r="B111" s="20" t="str">
        <f>IF(AND(Exposures!$D48&lt;&gt;"",COUNTA(Exposures!$AE48:$AL48)&gt;0),Exposures!$D48&amp;"/STOP","")</f>
        <v/>
      </c>
      <c r="C111" s="20" t="str">
        <f t="shared" si="17"/>
        <v/>
      </c>
      <c r="D111" s="20" t="str">
        <f>IF(B111="","",Exposures!$A48&amp;"")</f>
        <v/>
      </c>
      <c r="E111" s="20" t="str">
        <f>IF(B111="","",Exposures!$B48&amp;"")</f>
        <v/>
      </c>
      <c r="F111" s="20" t="str">
        <f t="shared" si="11"/>
        <v/>
      </c>
      <c r="G111" s="20" t="str">
        <f>IF(B111="","",Exposures!$D48&amp;"")</f>
        <v/>
      </c>
      <c r="H111" s="20" t="str">
        <f>IF(B111="","",Exposures!$AE48&amp;"")</f>
        <v/>
      </c>
      <c r="I111" s="20" t="str">
        <f>IF(B111="","",Exposures!$AH48&amp;"")</f>
        <v/>
      </c>
      <c r="J111" s="20" t="str">
        <f>IF(B111="","",Exposures!$AN48&amp;"")</f>
        <v/>
      </c>
      <c r="K111" s="20">
        <f>IF(B111="",0,Exposures!$AO48)</f>
        <v>0</v>
      </c>
      <c r="L111" s="20">
        <f>IF(B111="",0,Exposures!$AP48)</f>
        <v>0</v>
      </c>
      <c r="M111" s="20" t="str">
        <f>IF(B111="","",Exposures!$AS48)</f>
        <v/>
      </c>
      <c r="N111" s="20" t="str">
        <f>IF(B111="","",Exposures!$AT48)</f>
        <v/>
      </c>
      <c r="O111" s="27" t="str">
        <f>IF(B111="","",Exposures!$AQ48)</f>
        <v/>
      </c>
      <c r="P111" s="27" t="str">
        <f>IF(B111="","",Exposures!$AR48)</f>
        <v/>
      </c>
      <c r="Q111" s="20" t="str">
        <f t="shared" si="12"/>
        <v/>
      </c>
      <c r="R111" s="20" t="str">
        <f>IF(A111="","",IF(J111&lt;&gt;"",J111,IF(H111="TIMESTAMP",DAY(INT(M111/1440))&amp;" "&amp;INDEX(nLIST_Months,MONTH(INT(M111/1440)))&amp;" "&amp;YEAR(INT(M111/1440))&amp;" "&amp;RIGHT("0"&amp;INT(MOD(M111,1440)/60),2)&amp;":"&amp;RIGHT("0"&amp;MOD(M111,60),2)&amp;IF(L111=1," (UTC"&amp;I111&amp;")"," (offset unknown)"),IF(H111="DATE",DAY(O111)&amp;" "&amp;INDEX(nLIST_Months,MONTH(O111))&amp;" "&amp;YEAR(O111),IF(H111="MONTH",INDEX(nLIST_Months,MONTH(O111))&amp;" "&amp;YEAR(O111)&amp;" ("&amp;DAY(O111)&amp;" "&amp;INDEX(nLIST_Months,MONTH(O111))&amp;" "&amp;YEAR(O111)&amp;" to "&amp;DAY(P111)&amp;" "&amp;INDEX(nLIST_Months,MONTH(P111))&amp;" "&amp;YEAR(P111)&amp;")",IF(H111="YEAR",YEAR(O111)&amp;" (1 January to 31 December)",DAY(O111)&amp;" "&amp;INDEX(nLIST_Months,MONTH(O111))&amp;" "&amp;YEAR(O111)&amp;" to "&amp;DAY(P111)&amp;" "&amp;INDEX(nLIST_Months,MONTH(P111))&amp;" "&amp;YEAR(P111)))))))</f>
        <v/>
      </c>
      <c r="S111" s="20" t="str">
        <f>IF(B111="","",Exposures!$AD48&amp;"")</f>
        <v/>
      </c>
      <c r="T111" s="20" t="str">
        <f>IF(B111="","",Exposures!$AM48&amp;"")</f>
        <v/>
      </c>
      <c r="U111" s="20" t="str">
        <f>IF(B111="","","Exposures row "&amp;ROW(Exposures!$A48)&amp;", Stop")</f>
        <v/>
      </c>
      <c r="V111" s="20">
        <f>IF(A111="",0,COUNTIF(nTP_Key,A111))</f>
        <v>0</v>
      </c>
      <c r="W111" s="20">
        <f t="shared" si="13"/>
        <v>0</v>
      </c>
      <c r="X111" s="20">
        <f t="shared" si="14"/>
        <v>0</v>
      </c>
      <c r="Y111" s="20">
        <f t="shared" si="15"/>
        <v>0</v>
      </c>
      <c r="Z111" s="20">
        <f t="shared" si="16"/>
        <v>0</v>
      </c>
    </row>
    <row r="112" spans="1:26" x14ac:dyDescent="0.2">
      <c r="A112" s="20" t="str">
        <f t="shared" si="10"/>
        <v/>
      </c>
      <c r="B112" s="20" t="str">
        <f>IF(AND(Exposures!$D49&lt;&gt;"",COUNTA(Exposures!$AE49:$AL49)&gt;0),Exposures!$D49&amp;"/STOP","")</f>
        <v/>
      </c>
      <c r="C112" s="20" t="str">
        <f t="shared" si="17"/>
        <v/>
      </c>
      <c r="D112" s="20" t="str">
        <f>IF(B112="","",Exposures!$A49&amp;"")</f>
        <v/>
      </c>
      <c r="E112" s="20" t="str">
        <f>IF(B112="","",Exposures!$B49&amp;"")</f>
        <v/>
      </c>
      <c r="F112" s="20" t="str">
        <f t="shared" si="11"/>
        <v/>
      </c>
      <c r="G112" s="20" t="str">
        <f>IF(B112="","",Exposures!$D49&amp;"")</f>
        <v/>
      </c>
      <c r="H112" s="20" t="str">
        <f>IF(B112="","",Exposures!$AE49&amp;"")</f>
        <v/>
      </c>
      <c r="I112" s="20" t="str">
        <f>IF(B112="","",Exposures!$AH49&amp;"")</f>
        <v/>
      </c>
      <c r="J112" s="20" t="str">
        <f>IF(B112="","",Exposures!$AN49&amp;"")</f>
        <v/>
      </c>
      <c r="K112" s="20">
        <f>IF(B112="",0,Exposures!$AO49)</f>
        <v>0</v>
      </c>
      <c r="L112" s="20">
        <f>IF(B112="",0,Exposures!$AP49)</f>
        <v>0</v>
      </c>
      <c r="M112" s="20" t="str">
        <f>IF(B112="","",Exposures!$AS49)</f>
        <v/>
      </c>
      <c r="N112" s="20" t="str">
        <f>IF(B112="","",Exposures!$AT49)</f>
        <v/>
      </c>
      <c r="O112" s="27" t="str">
        <f>IF(B112="","",Exposures!$AQ49)</f>
        <v/>
      </c>
      <c r="P112" s="27" t="str">
        <f>IF(B112="","",Exposures!$AR49)</f>
        <v/>
      </c>
      <c r="Q112" s="20" t="str">
        <f t="shared" si="12"/>
        <v/>
      </c>
      <c r="R112" s="20" t="str">
        <f>IF(A112="","",IF(J112&lt;&gt;"",J112,IF(H112="TIMESTAMP",DAY(INT(M112/1440))&amp;" "&amp;INDEX(nLIST_Months,MONTH(INT(M112/1440)))&amp;" "&amp;YEAR(INT(M112/1440))&amp;" "&amp;RIGHT("0"&amp;INT(MOD(M112,1440)/60),2)&amp;":"&amp;RIGHT("0"&amp;MOD(M112,60),2)&amp;IF(L112=1," (UTC"&amp;I112&amp;")"," (offset unknown)"),IF(H112="DATE",DAY(O112)&amp;" "&amp;INDEX(nLIST_Months,MONTH(O112))&amp;" "&amp;YEAR(O112),IF(H112="MONTH",INDEX(nLIST_Months,MONTH(O112))&amp;" "&amp;YEAR(O112)&amp;" ("&amp;DAY(O112)&amp;" "&amp;INDEX(nLIST_Months,MONTH(O112))&amp;" "&amp;YEAR(O112)&amp;" to "&amp;DAY(P112)&amp;" "&amp;INDEX(nLIST_Months,MONTH(P112))&amp;" "&amp;YEAR(P112)&amp;")",IF(H112="YEAR",YEAR(O112)&amp;" (1 January to 31 December)",DAY(O112)&amp;" "&amp;INDEX(nLIST_Months,MONTH(O112))&amp;" "&amp;YEAR(O112)&amp;" to "&amp;DAY(P112)&amp;" "&amp;INDEX(nLIST_Months,MONTH(P112))&amp;" "&amp;YEAR(P112)))))))</f>
        <v/>
      </c>
      <c r="S112" s="20" t="str">
        <f>IF(B112="","",Exposures!$AD49&amp;"")</f>
        <v/>
      </c>
      <c r="T112" s="20" t="str">
        <f>IF(B112="","",Exposures!$AM49&amp;"")</f>
        <v/>
      </c>
      <c r="U112" s="20" t="str">
        <f>IF(B112="","","Exposures row "&amp;ROW(Exposures!$A49)&amp;", Stop")</f>
        <v/>
      </c>
      <c r="V112" s="20">
        <f>IF(A112="",0,COUNTIF(nTP_Key,A112))</f>
        <v>0</v>
      </c>
      <c r="W112" s="20">
        <f t="shared" si="13"/>
        <v>0</v>
      </c>
      <c r="X112" s="20">
        <f t="shared" si="14"/>
        <v>0</v>
      </c>
      <c r="Y112" s="20">
        <f t="shared" si="15"/>
        <v>0</v>
      </c>
      <c r="Z112" s="20">
        <f t="shared" si="16"/>
        <v>0</v>
      </c>
    </row>
    <row r="113" spans="1:26" x14ac:dyDescent="0.2">
      <c r="A113" s="20" t="str">
        <f t="shared" si="10"/>
        <v/>
      </c>
      <c r="B113" s="20" t="str">
        <f>IF(AND(Exposures!$D50&lt;&gt;"",COUNTA(Exposures!$AE50:$AL50)&gt;0),Exposures!$D50&amp;"/STOP","")</f>
        <v/>
      </c>
      <c r="C113" s="20" t="str">
        <f t="shared" si="17"/>
        <v/>
      </c>
      <c r="D113" s="20" t="str">
        <f>IF(B113="","",Exposures!$A50&amp;"")</f>
        <v/>
      </c>
      <c r="E113" s="20" t="str">
        <f>IF(B113="","",Exposures!$B50&amp;"")</f>
        <v/>
      </c>
      <c r="F113" s="20" t="str">
        <f t="shared" si="11"/>
        <v/>
      </c>
      <c r="G113" s="20" t="str">
        <f>IF(B113="","",Exposures!$D50&amp;"")</f>
        <v/>
      </c>
      <c r="H113" s="20" t="str">
        <f>IF(B113="","",Exposures!$AE50&amp;"")</f>
        <v/>
      </c>
      <c r="I113" s="20" t="str">
        <f>IF(B113="","",Exposures!$AH50&amp;"")</f>
        <v/>
      </c>
      <c r="J113" s="20" t="str">
        <f>IF(B113="","",Exposures!$AN50&amp;"")</f>
        <v/>
      </c>
      <c r="K113" s="20">
        <f>IF(B113="",0,Exposures!$AO50)</f>
        <v>0</v>
      </c>
      <c r="L113" s="20">
        <f>IF(B113="",0,Exposures!$AP50)</f>
        <v>0</v>
      </c>
      <c r="M113" s="20" t="str">
        <f>IF(B113="","",Exposures!$AS50)</f>
        <v/>
      </c>
      <c r="N113" s="20" t="str">
        <f>IF(B113="","",Exposures!$AT50)</f>
        <v/>
      </c>
      <c r="O113" s="27" t="str">
        <f>IF(B113="","",Exposures!$AQ50)</f>
        <v/>
      </c>
      <c r="P113" s="27" t="str">
        <f>IF(B113="","",Exposures!$AR50)</f>
        <v/>
      </c>
      <c r="Q113" s="20" t="str">
        <f t="shared" si="12"/>
        <v/>
      </c>
      <c r="R113" s="20" t="str">
        <f>IF(A113="","",IF(J113&lt;&gt;"",J113,IF(H113="TIMESTAMP",DAY(INT(M113/1440))&amp;" "&amp;INDEX(nLIST_Months,MONTH(INT(M113/1440)))&amp;" "&amp;YEAR(INT(M113/1440))&amp;" "&amp;RIGHT("0"&amp;INT(MOD(M113,1440)/60),2)&amp;":"&amp;RIGHT("0"&amp;MOD(M113,60),2)&amp;IF(L113=1," (UTC"&amp;I113&amp;")"," (offset unknown)"),IF(H113="DATE",DAY(O113)&amp;" "&amp;INDEX(nLIST_Months,MONTH(O113))&amp;" "&amp;YEAR(O113),IF(H113="MONTH",INDEX(nLIST_Months,MONTH(O113))&amp;" "&amp;YEAR(O113)&amp;" ("&amp;DAY(O113)&amp;" "&amp;INDEX(nLIST_Months,MONTH(O113))&amp;" "&amp;YEAR(O113)&amp;" to "&amp;DAY(P113)&amp;" "&amp;INDEX(nLIST_Months,MONTH(P113))&amp;" "&amp;YEAR(P113)&amp;")",IF(H113="YEAR",YEAR(O113)&amp;" (1 January to 31 December)",DAY(O113)&amp;" "&amp;INDEX(nLIST_Months,MONTH(O113))&amp;" "&amp;YEAR(O113)&amp;" to "&amp;DAY(P113)&amp;" "&amp;INDEX(nLIST_Months,MONTH(P113))&amp;" "&amp;YEAR(P113)))))))</f>
        <v/>
      </c>
      <c r="S113" s="20" t="str">
        <f>IF(B113="","",Exposures!$AD50&amp;"")</f>
        <v/>
      </c>
      <c r="T113" s="20" t="str">
        <f>IF(B113="","",Exposures!$AM50&amp;"")</f>
        <v/>
      </c>
      <c r="U113" s="20" t="str">
        <f>IF(B113="","","Exposures row "&amp;ROW(Exposures!$A50)&amp;", Stop")</f>
        <v/>
      </c>
      <c r="V113" s="20">
        <f>IF(A113="",0,COUNTIF(nTP_Key,A113))</f>
        <v>0</v>
      </c>
      <c r="W113" s="20">
        <f t="shared" si="13"/>
        <v>0</v>
      </c>
      <c r="X113" s="20">
        <f t="shared" si="14"/>
        <v>0</v>
      </c>
      <c r="Y113" s="20">
        <f t="shared" si="15"/>
        <v>0</v>
      </c>
      <c r="Z113" s="20">
        <f t="shared" si="16"/>
        <v>0</v>
      </c>
    </row>
    <row r="114" spans="1:26" x14ac:dyDescent="0.2">
      <c r="A114" s="20" t="str">
        <f t="shared" si="10"/>
        <v/>
      </c>
      <c r="B114" s="20" t="str">
        <f>IF(AND(Exposures!$D51&lt;&gt;"",COUNTA(Exposures!$AE51:$AL51)&gt;0),Exposures!$D51&amp;"/STOP","")</f>
        <v/>
      </c>
      <c r="C114" s="20" t="str">
        <f t="shared" si="17"/>
        <v/>
      </c>
      <c r="D114" s="20" t="str">
        <f>IF(B114="","",Exposures!$A51&amp;"")</f>
        <v/>
      </c>
      <c r="E114" s="20" t="str">
        <f>IF(B114="","",Exposures!$B51&amp;"")</f>
        <v/>
      </c>
      <c r="F114" s="20" t="str">
        <f t="shared" si="11"/>
        <v/>
      </c>
      <c r="G114" s="20" t="str">
        <f>IF(B114="","",Exposures!$D51&amp;"")</f>
        <v/>
      </c>
      <c r="H114" s="20" t="str">
        <f>IF(B114="","",Exposures!$AE51&amp;"")</f>
        <v/>
      </c>
      <c r="I114" s="20" t="str">
        <f>IF(B114="","",Exposures!$AH51&amp;"")</f>
        <v/>
      </c>
      <c r="J114" s="20" t="str">
        <f>IF(B114="","",Exposures!$AN51&amp;"")</f>
        <v/>
      </c>
      <c r="K114" s="20">
        <f>IF(B114="",0,Exposures!$AO51)</f>
        <v>0</v>
      </c>
      <c r="L114" s="20">
        <f>IF(B114="",0,Exposures!$AP51)</f>
        <v>0</v>
      </c>
      <c r="M114" s="20" t="str">
        <f>IF(B114="","",Exposures!$AS51)</f>
        <v/>
      </c>
      <c r="N114" s="20" t="str">
        <f>IF(B114="","",Exposures!$AT51)</f>
        <v/>
      </c>
      <c r="O114" s="27" t="str">
        <f>IF(B114="","",Exposures!$AQ51)</f>
        <v/>
      </c>
      <c r="P114" s="27" t="str">
        <f>IF(B114="","",Exposures!$AR51)</f>
        <v/>
      </c>
      <c r="Q114" s="20" t="str">
        <f t="shared" si="12"/>
        <v/>
      </c>
      <c r="R114" s="20" t="str">
        <f>IF(A114="","",IF(J114&lt;&gt;"",J114,IF(H114="TIMESTAMP",DAY(INT(M114/1440))&amp;" "&amp;INDEX(nLIST_Months,MONTH(INT(M114/1440)))&amp;" "&amp;YEAR(INT(M114/1440))&amp;" "&amp;RIGHT("0"&amp;INT(MOD(M114,1440)/60),2)&amp;":"&amp;RIGHT("0"&amp;MOD(M114,60),2)&amp;IF(L114=1," (UTC"&amp;I114&amp;")"," (offset unknown)"),IF(H114="DATE",DAY(O114)&amp;" "&amp;INDEX(nLIST_Months,MONTH(O114))&amp;" "&amp;YEAR(O114),IF(H114="MONTH",INDEX(nLIST_Months,MONTH(O114))&amp;" "&amp;YEAR(O114)&amp;" ("&amp;DAY(O114)&amp;" "&amp;INDEX(nLIST_Months,MONTH(O114))&amp;" "&amp;YEAR(O114)&amp;" to "&amp;DAY(P114)&amp;" "&amp;INDEX(nLIST_Months,MONTH(P114))&amp;" "&amp;YEAR(P114)&amp;")",IF(H114="YEAR",YEAR(O114)&amp;" (1 January to 31 December)",DAY(O114)&amp;" "&amp;INDEX(nLIST_Months,MONTH(O114))&amp;" "&amp;YEAR(O114)&amp;" to "&amp;DAY(P114)&amp;" "&amp;INDEX(nLIST_Months,MONTH(P114))&amp;" "&amp;YEAR(P114)))))))</f>
        <v/>
      </c>
      <c r="S114" s="20" t="str">
        <f>IF(B114="","",Exposures!$AD51&amp;"")</f>
        <v/>
      </c>
      <c r="T114" s="20" t="str">
        <f>IF(B114="","",Exposures!$AM51&amp;"")</f>
        <v/>
      </c>
      <c r="U114" s="20" t="str">
        <f>IF(B114="","","Exposures row "&amp;ROW(Exposures!$A51)&amp;", Stop")</f>
        <v/>
      </c>
      <c r="V114" s="20">
        <f>IF(A114="",0,COUNTIF(nTP_Key,A114))</f>
        <v>0</v>
      </c>
      <c r="W114" s="20">
        <f t="shared" si="13"/>
        <v>0</v>
      </c>
      <c r="X114" s="20">
        <f t="shared" si="14"/>
        <v>0</v>
      </c>
      <c r="Y114" s="20">
        <f t="shared" si="15"/>
        <v>0</v>
      </c>
      <c r="Z114" s="20">
        <f t="shared" si="16"/>
        <v>0</v>
      </c>
    </row>
    <row r="115" spans="1:26" x14ac:dyDescent="0.2">
      <c r="A115" s="20" t="str">
        <f t="shared" si="10"/>
        <v/>
      </c>
      <c r="B115" s="20" t="str">
        <f>IF(AND(Exposures!$D52&lt;&gt;"",COUNTA(Exposures!$AE52:$AL52)&gt;0),Exposures!$D52&amp;"/STOP","")</f>
        <v/>
      </c>
      <c r="C115" s="20" t="str">
        <f t="shared" si="17"/>
        <v/>
      </c>
      <c r="D115" s="20" t="str">
        <f>IF(B115="","",Exposures!$A52&amp;"")</f>
        <v/>
      </c>
      <c r="E115" s="20" t="str">
        <f>IF(B115="","",Exposures!$B52&amp;"")</f>
        <v/>
      </c>
      <c r="F115" s="20" t="str">
        <f t="shared" si="11"/>
        <v/>
      </c>
      <c r="G115" s="20" t="str">
        <f>IF(B115="","",Exposures!$D52&amp;"")</f>
        <v/>
      </c>
      <c r="H115" s="20" t="str">
        <f>IF(B115="","",Exposures!$AE52&amp;"")</f>
        <v/>
      </c>
      <c r="I115" s="20" t="str">
        <f>IF(B115="","",Exposures!$AH52&amp;"")</f>
        <v/>
      </c>
      <c r="J115" s="20" t="str">
        <f>IF(B115="","",Exposures!$AN52&amp;"")</f>
        <v/>
      </c>
      <c r="K115" s="20">
        <f>IF(B115="",0,Exposures!$AO52)</f>
        <v>0</v>
      </c>
      <c r="L115" s="20">
        <f>IF(B115="",0,Exposures!$AP52)</f>
        <v>0</v>
      </c>
      <c r="M115" s="20" t="str">
        <f>IF(B115="","",Exposures!$AS52)</f>
        <v/>
      </c>
      <c r="N115" s="20" t="str">
        <f>IF(B115="","",Exposures!$AT52)</f>
        <v/>
      </c>
      <c r="O115" s="27" t="str">
        <f>IF(B115="","",Exposures!$AQ52)</f>
        <v/>
      </c>
      <c r="P115" s="27" t="str">
        <f>IF(B115="","",Exposures!$AR52)</f>
        <v/>
      </c>
      <c r="Q115" s="20" t="str">
        <f t="shared" si="12"/>
        <v/>
      </c>
      <c r="R115" s="20" t="str">
        <f>IF(A115="","",IF(J115&lt;&gt;"",J115,IF(H115="TIMESTAMP",DAY(INT(M115/1440))&amp;" "&amp;INDEX(nLIST_Months,MONTH(INT(M115/1440)))&amp;" "&amp;YEAR(INT(M115/1440))&amp;" "&amp;RIGHT("0"&amp;INT(MOD(M115,1440)/60),2)&amp;":"&amp;RIGHT("0"&amp;MOD(M115,60),2)&amp;IF(L115=1," (UTC"&amp;I115&amp;")"," (offset unknown)"),IF(H115="DATE",DAY(O115)&amp;" "&amp;INDEX(nLIST_Months,MONTH(O115))&amp;" "&amp;YEAR(O115),IF(H115="MONTH",INDEX(nLIST_Months,MONTH(O115))&amp;" "&amp;YEAR(O115)&amp;" ("&amp;DAY(O115)&amp;" "&amp;INDEX(nLIST_Months,MONTH(O115))&amp;" "&amp;YEAR(O115)&amp;" to "&amp;DAY(P115)&amp;" "&amp;INDEX(nLIST_Months,MONTH(P115))&amp;" "&amp;YEAR(P115)&amp;")",IF(H115="YEAR",YEAR(O115)&amp;" (1 January to 31 December)",DAY(O115)&amp;" "&amp;INDEX(nLIST_Months,MONTH(O115))&amp;" "&amp;YEAR(O115)&amp;" to "&amp;DAY(P115)&amp;" "&amp;INDEX(nLIST_Months,MONTH(P115))&amp;" "&amp;YEAR(P115)))))))</f>
        <v/>
      </c>
      <c r="S115" s="20" t="str">
        <f>IF(B115="","",Exposures!$AD52&amp;"")</f>
        <v/>
      </c>
      <c r="T115" s="20" t="str">
        <f>IF(B115="","",Exposures!$AM52&amp;"")</f>
        <v/>
      </c>
      <c r="U115" s="20" t="str">
        <f>IF(B115="","","Exposures row "&amp;ROW(Exposures!$A52)&amp;", Stop")</f>
        <v/>
      </c>
      <c r="V115" s="20">
        <f>IF(A115="",0,COUNTIF(nTP_Key,A115))</f>
        <v>0</v>
      </c>
      <c r="W115" s="20">
        <f t="shared" si="13"/>
        <v>0</v>
      </c>
      <c r="X115" s="20">
        <f t="shared" si="14"/>
        <v>0</v>
      </c>
      <c r="Y115" s="20">
        <f t="shared" si="15"/>
        <v>0</v>
      </c>
      <c r="Z115" s="20">
        <f t="shared" si="16"/>
        <v>0</v>
      </c>
    </row>
    <row r="116" spans="1:26" x14ac:dyDescent="0.2">
      <c r="A116" s="20" t="str">
        <f t="shared" si="10"/>
        <v/>
      </c>
      <c r="B116" s="20" t="str">
        <f>IF(AND(Exposures!$D53&lt;&gt;"",COUNTA(Exposures!$AE53:$AL53)&gt;0),Exposures!$D53&amp;"/STOP","")</f>
        <v/>
      </c>
      <c r="C116" s="20" t="str">
        <f t="shared" si="17"/>
        <v/>
      </c>
      <c r="D116" s="20" t="str">
        <f>IF(B116="","",Exposures!$A53&amp;"")</f>
        <v/>
      </c>
      <c r="E116" s="20" t="str">
        <f>IF(B116="","",Exposures!$B53&amp;"")</f>
        <v/>
      </c>
      <c r="F116" s="20" t="str">
        <f t="shared" si="11"/>
        <v/>
      </c>
      <c r="G116" s="20" t="str">
        <f>IF(B116="","",Exposures!$D53&amp;"")</f>
        <v/>
      </c>
      <c r="H116" s="20" t="str">
        <f>IF(B116="","",Exposures!$AE53&amp;"")</f>
        <v/>
      </c>
      <c r="I116" s="20" t="str">
        <f>IF(B116="","",Exposures!$AH53&amp;"")</f>
        <v/>
      </c>
      <c r="J116" s="20" t="str">
        <f>IF(B116="","",Exposures!$AN53&amp;"")</f>
        <v/>
      </c>
      <c r="K116" s="20">
        <f>IF(B116="",0,Exposures!$AO53)</f>
        <v>0</v>
      </c>
      <c r="L116" s="20">
        <f>IF(B116="",0,Exposures!$AP53)</f>
        <v>0</v>
      </c>
      <c r="M116" s="20" t="str">
        <f>IF(B116="","",Exposures!$AS53)</f>
        <v/>
      </c>
      <c r="N116" s="20" t="str">
        <f>IF(B116="","",Exposures!$AT53)</f>
        <v/>
      </c>
      <c r="O116" s="27" t="str">
        <f>IF(B116="","",Exposures!$AQ53)</f>
        <v/>
      </c>
      <c r="P116" s="27" t="str">
        <f>IF(B116="","",Exposures!$AR53)</f>
        <v/>
      </c>
      <c r="Q116" s="20" t="str">
        <f t="shared" si="12"/>
        <v/>
      </c>
      <c r="R116" s="20" t="str">
        <f>IF(A116="","",IF(J116&lt;&gt;"",J116,IF(H116="TIMESTAMP",DAY(INT(M116/1440))&amp;" "&amp;INDEX(nLIST_Months,MONTH(INT(M116/1440)))&amp;" "&amp;YEAR(INT(M116/1440))&amp;" "&amp;RIGHT("0"&amp;INT(MOD(M116,1440)/60),2)&amp;":"&amp;RIGHT("0"&amp;MOD(M116,60),2)&amp;IF(L116=1," (UTC"&amp;I116&amp;")"," (offset unknown)"),IF(H116="DATE",DAY(O116)&amp;" "&amp;INDEX(nLIST_Months,MONTH(O116))&amp;" "&amp;YEAR(O116),IF(H116="MONTH",INDEX(nLIST_Months,MONTH(O116))&amp;" "&amp;YEAR(O116)&amp;" ("&amp;DAY(O116)&amp;" "&amp;INDEX(nLIST_Months,MONTH(O116))&amp;" "&amp;YEAR(O116)&amp;" to "&amp;DAY(P116)&amp;" "&amp;INDEX(nLIST_Months,MONTH(P116))&amp;" "&amp;YEAR(P116)&amp;")",IF(H116="YEAR",YEAR(O116)&amp;" (1 January to 31 December)",DAY(O116)&amp;" "&amp;INDEX(nLIST_Months,MONTH(O116))&amp;" "&amp;YEAR(O116)&amp;" to "&amp;DAY(P116)&amp;" "&amp;INDEX(nLIST_Months,MONTH(P116))&amp;" "&amp;YEAR(P116)))))))</f>
        <v/>
      </c>
      <c r="S116" s="20" t="str">
        <f>IF(B116="","",Exposures!$AD53&amp;"")</f>
        <v/>
      </c>
      <c r="T116" s="20" t="str">
        <f>IF(B116="","",Exposures!$AM53&amp;"")</f>
        <v/>
      </c>
      <c r="U116" s="20" t="str">
        <f>IF(B116="","","Exposures row "&amp;ROW(Exposures!$A53)&amp;", Stop")</f>
        <v/>
      </c>
      <c r="V116" s="20">
        <f>IF(A116="",0,COUNTIF(nTP_Key,A116))</f>
        <v>0</v>
      </c>
      <c r="W116" s="20">
        <f t="shared" si="13"/>
        <v>0</v>
      </c>
      <c r="X116" s="20">
        <f t="shared" si="14"/>
        <v>0</v>
      </c>
      <c r="Y116" s="20">
        <f t="shared" si="15"/>
        <v>0</v>
      </c>
      <c r="Z116" s="20">
        <f t="shared" si="16"/>
        <v>0</v>
      </c>
    </row>
    <row r="117" spans="1:26" x14ac:dyDescent="0.2">
      <c r="A117" s="20" t="str">
        <f t="shared" si="10"/>
        <v/>
      </c>
      <c r="B117" s="20" t="str">
        <f>IF(AND(Exposures!$D54&lt;&gt;"",COUNTA(Exposures!$AE54:$AL54)&gt;0),Exposures!$D54&amp;"/STOP","")</f>
        <v/>
      </c>
      <c r="C117" s="20" t="str">
        <f t="shared" si="17"/>
        <v/>
      </c>
      <c r="D117" s="20" t="str">
        <f>IF(B117="","",Exposures!$A54&amp;"")</f>
        <v/>
      </c>
      <c r="E117" s="20" t="str">
        <f>IF(B117="","",Exposures!$B54&amp;"")</f>
        <v/>
      </c>
      <c r="F117" s="20" t="str">
        <f t="shared" si="11"/>
        <v/>
      </c>
      <c r="G117" s="20" t="str">
        <f>IF(B117="","",Exposures!$D54&amp;"")</f>
        <v/>
      </c>
      <c r="H117" s="20" t="str">
        <f>IF(B117="","",Exposures!$AE54&amp;"")</f>
        <v/>
      </c>
      <c r="I117" s="20" t="str">
        <f>IF(B117="","",Exposures!$AH54&amp;"")</f>
        <v/>
      </c>
      <c r="J117" s="20" t="str">
        <f>IF(B117="","",Exposures!$AN54&amp;"")</f>
        <v/>
      </c>
      <c r="K117" s="20">
        <f>IF(B117="",0,Exposures!$AO54)</f>
        <v>0</v>
      </c>
      <c r="L117" s="20">
        <f>IF(B117="",0,Exposures!$AP54)</f>
        <v>0</v>
      </c>
      <c r="M117" s="20" t="str">
        <f>IF(B117="","",Exposures!$AS54)</f>
        <v/>
      </c>
      <c r="N117" s="20" t="str">
        <f>IF(B117="","",Exposures!$AT54)</f>
        <v/>
      </c>
      <c r="O117" s="27" t="str">
        <f>IF(B117="","",Exposures!$AQ54)</f>
        <v/>
      </c>
      <c r="P117" s="27" t="str">
        <f>IF(B117="","",Exposures!$AR54)</f>
        <v/>
      </c>
      <c r="Q117" s="20" t="str">
        <f t="shared" si="12"/>
        <v/>
      </c>
      <c r="R117" s="20" t="str">
        <f>IF(A117="","",IF(J117&lt;&gt;"",J117,IF(H117="TIMESTAMP",DAY(INT(M117/1440))&amp;" "&amp;INDEX(nLIST_Months,MONTH(INT(M117/1440)))&amp;" "&amp;YEAR(INT(M117/1440))&amp;" "&amp;RIGHT("0"&amp;INT(MOD(M117,1440)/60),2)&amp;":"&amp;RIGHT("0"&amp;MOD(M117,60),2)&amp;IF(L117=1," (UTC"&amp;I117&amp;")"," (offset unknown)"),IF(H117="DATE",DAY(O117)&amp;" "&amp;INDEX(nLIST_Months,MONTH(O117))&amp;" "&amp;YEAR(O117),IF(H117="MONTH",INDEX(nLIST_Months,MONTH(O117))&amp;" "&amp;YEAR(O117)&amp;" ("&amp;DAY(O117)&amp;" "&amp;INDEX(nLIST_Months,MONTH(O117))&amp;" "&amp;YEAR(O117)&amp;" to "&amp;DAY(P117)&amp;" "&amp;INDEX(nLIST_Months,MONTH(P117))&amp;" "&amp;YEAR(P117)&amp;")",IF(H117="YEAR",YEAR(O117)&amp;" (1 January to 31 December)",DAY(O117)&amp;" "&amp;INDEX(nLIST_Months,MONTH(O117))&amp;" "&amp;YEAR(O117)&amp;" to "&amp;DAY(P117)&amp;" "&amp;INDEX(nLIST_Months,MONTH(P117))&amp;" "&amp;YEAR(P117)))))))</f>
        <v/>
      </c>
      <c r="S117" s="20" t="str">
        <f>IF(B117="","",Exposures!$AD54&amp;"")</f>
        <v/>
      </c>
      <c r="T117" s="20" t="str">
        <f>IF(B117="","",Exposures!$AM54&amp;"")</f>
        <v/>
      </c>
      <c r="U117" s="20" t="str">
        <f>IF(B117="","","Exposures row "&amp;ROW(Exposures!$A54)&amp;", Stop")</f>
        <v/>
      </c>
      <c r="V117" s="20">
        <f>IF(A117="",0,COUNTIF(nTP_Key,A117))</f>
        <v>0</v>
      </c>
      <c r="W117" s="20">
        <f t="shared" si="13"/>
        <v>0</v>
      </c>
      <c r="X117" s="20">
        <f t="shared" si="14"/>
        <v>0</v>
      </c>
      <c r="Y117" s="20">
        <f t="shared" si="15"/>
        <v>0</v>
      </c>
      <c r="Z117" s="20">
        <f t="shared" si="16"/>
        <v>0</v>
      </c>
    </row>
    <row r="118" spans="1:26" x14ac:dyDescent="0.2">
      <c r="A118" s="20" t="str">
        <f t="shared" si="10"/>
        <v>VEC-V08|1|EX1/STOP</v>
      </c>
      <c r="B118" s="20" t="str">
        <f>IF(AND(Exposures!$D55&lt;&gt;"",COUNTA(Exposures!$AE55:$AL55)&gt;0),Exposures!$D55&amp;"/STOP","")</f>
        <v>EX1/STOP</v>
      </c>
      <c r="C118" s="20" t="str">
        <f t="shared" si="17"/>
        <v>EXPOSURE_STOP</v>
      </c>
      <c r="D118" s="20" t="str">
        <f>IF(B118="","",Exposures!$A55&amp;"")</f>
        <v>VEC-V08</v>
      </c>
      <c r="E118" s="20" t="str">
        <f>IF(B118="","",Exposures!$B55&amp;"")</f>
        <v>1</v>
      </c>
      <c r="F118" s="20" t="str">
        <f t="shared" si="11"/>
        <v>VEC-V08|1</v>
      </c>
      <c r="G118" s="20" t="str">
        <f>IF(B118="","",Exposures!$D55&amp;"")</f>
        <v>EX1</v>
      </c>
      <c r="H118" s="20" t="str">
        <f>IF(B118="","",Exposures!$AE55&amp;"")</f>
        <v>DATE</v>
      </c>
      <c r="I118" s="20" t="str">
        <f>IF(B118="","",Exposures!$AH55&amp;"")</f>
        <v/>
      </c>
      <c r="J118" s="20" t="str">
        <f>IF(B118="","",Exposures!$AN55&amp;"")</f>
        <v/>
      </c>
      <c r="K118" s="20">
        <f>IF(B118="",0,Exposures!$AO55)</f>
        <v>0</v>
      </c>
      <c r="L118" s="20">
        <f>IF(B118="",0,Exposures!$AP55)</f>
        <v>0</v>
      </c>
      <c r="M118" s="20" t="str">
        <f>IF(B118="","",Exposures!$AS55)</f>
        <v/>
      </c>
      <c r="N118" s="20" t="str">
        <f>IF(B118="","",Exposures!$AT55)</f>
        <v/>
      </c>
      <c r="O118" s="27">
        <f>IF(B118="","",Exposures!$AQ55)</f>
        <v>46042</v>
      </c>
      <c r="P118" s="27">
        <f>IF(B118="","",Exposures!$AR55)</f>
        <v>46042</v>
      </c>
      <c r="Q118" s="20" t="str">
        <f t="shared" si="12"/>
        <v>2026-01-20</v>
      </c>
      <c r="R118" s="20" t="str">
        <f>IF(A118="","",IF(J118&lt;&gt;"",J118,IF(H118="TIMESTAMP",DAY(INT(M118/1440))&amp;" "&amp;INDEX(nLIST_Months,MONTH(INT(M118/1440)))&amp;" "&amp;YEAR(INT(M118/1440))&amp;" "&amp;RIGHT("0"&amp;INT(MOD(M118,1440)/60),2)&amp;":"&amp;RIGHT("0"&amp;MOD(M118,60),2)&amp;IF(L118=1," (UTC"&amp;I118&amp;")"," (offset unknown)"),IF(H118="DATE",DAY(O118)&amp;" "&amp;INDEX(nLIST_Months,MONTH(O118))&amp;" "&amp;YEAR(O118),IF(H118="MONTH",INDEX(nLIST_Months,MONTH(O118))&amp;" "&amp;YEAR(O118)&amp;" ("&amp;DAY(O118)&amp;" "&amp;INDEX(nLIST_Months,MONTH(O118))&amp;" "&amp;YEAR(O118)&amp;" to "&amp;DAY(P118)&amp;" "&amp;INDEX(nLIST_Months,MONTH(P118))&amp;" "&amp;YEAR(P118)&amp;")",IF(H118="YEAR",YEAR(O118)&amp;" (1 January to 31 December)",DAY(O118)&amp;" "&amp;INDEX(nLIST_Months,MONTH(O118))&amp;" "&amp;YEAR(O118)&amp;" to "&amp;DAY(P118)&amp;" "&amp;INDEX(nLIST_Months,MONTH(P118))&amp;" "&amp;YEAR(P118)))))))</f>
        <v>20 January 2026</v>
      </c>
      <c r="S118" s="20" t="str">
        <f>IF(B118="","",Exposures!$AD55&amp;"")</f>
        <v>stop</v>
      </c>
      <c r="T118" s="20" t="str">
        <f>IF(B118="","",Exposures!$AM55&amp;"")</f>
        <v>tto_calc_test_vectors_v1.0.json V08</v>
      </c>
      <c r="U118" s="20" t="str">
        <f>IF(B118="","","Exposures row "&amp;ROW(Exposures!$A55)&amp;", Stop")</f>
        <v>Exposures row 55, Stop</v>
      </c>
      <c r="V118" s="20">
        <f>IF(A118="",0,COUNTIF(nTP_Key,A118))</f>
        <v>1</v>
      </c>
      <c r="W118" s="20">
        <f t="shared" si="13"/>
        <v>0</v>
      </c>
      <c r="X118" s="20">
        <f t="shared" si="14"/>
        <v>0</v>
      </c>
      <c r="Y118" s="20">
        <f t="shared" si="15"/>
        <v>46042</v>
      </c>
      <c r="Z118" s="20">
        <f t="shared" si="16"/>
        <v>46042</v>
      </c>
    </row>
    <row r="119" spans="1:26" x14ac:dyDescent="0.2">
      <c r="A119" s="20" t="str">
        <f t="shared" si="10"/>
        <v/>
      </c>
      <c r="B119" s="20" t="str">
        <f>IF(AND(Exposures!$D56&lt;&gt;"",COUNTA(Exposures!$AE56:$AL56)&gt;0),Exposures!$D56&amp;"/STOP","")</f>
        <v/>
      </c>
      <c r="C119" s="20" t="str">
        <f t="shared" si="17"/>
        <v/>
      </c>
      <c r="D119" s="20" t="str">
        <f>IF(B119="","",Exposures!$A56&amp;"")</f>
        <v/>
      </c>
      <c r="E119" s="20" t="str">
        <f>IF(B119="","",Exposures!$B56&amp;"")</f>
        <v/>
      </c>
      <c r="F119" s="20" t="str">
        <f t="shared" si="11"/>
        <v/>
      </c>
      <c r="G119" s="20" t="str">
        <f>IF(B119="","",Exposures!$D56&amp;"")</f>
        <v/>
      </c>
      <c r="H119" s="20" t="str">
        <f>IF(B119="","",Exposures!$AE56&amp;"")</f>
        <v/>
      </c>
      <c r="I119" s="20" t="str">
        <f>IF(B119="","",Exposures!$AH56&amp;"")</f>
        <v/>
      </c>
      <c r="J119" s="20" t="str">
        <f>IF(B119="","",Exposures!$AN56&amp;"")</f>
        <v/>
      </c>
      <c r="K119" s="20">
        <f>IF(B119="",0,Exposures!$AO56)</f>
        <v>0</v>
      </c>
      <c r="L119" s="20">
        <f>IF(B119="",0,Exposures!$AP56)</f>
        <v>0</v>
      </c>
      <c r="M119" s="20" t="str">
        <f>IF(B119="","",Exposures!$AS56)</f>
        <v/>
      </c>
      <c r="N119" s="20" t="str">
        <f>IF(B119="","",Exposures!$AT56)</f>
        <v/>
      </c>
      <c r="O119" s="27" t="str">
        <f>IF(B119="","",Exposures!$AQ56)</f>
        <v/>
      </c>
      <c r="P119" s="27" t="str">
        <f>IF(B119="","",Exposures!$AR56)</f>
        <v/>
      </c>
      <c r="Q119" s="20" t="str">
        <f t="shared" si="12"/>
        <v/>
      </c>
      <c r="R119" s="20" t="str">
        <f>IF(A119="","",IF(J119&lt;&gt;"",J119,IF(H119="TIMESTAMP",DAY(INT(M119/1440))&amp;" "&amp;INDEX(nLIST_Months,MONTH(INT(M119/1440)))&amp;" "&amp;YEAR(INT(M119/1440))&amp;" "&amp;RIGHT("0"&amp;INT(MOD(M119,1440)/60),2)&amp;":"&amp;RIGHT("0"&amp;MOD(M119,60),2)&amp;IF(L119=1," (UTC"&amp;I119&amp;")"," (offset unknown)"),IF(H119="DATE",DAY(O119)&amp;" "&amp;INDEX(nLIST_Months,MONTH(O119))&amp;" "&amp;YEAR(O119),IF(H119="MONTH",INDEX(nLIST_Months,MONTH(O119))&amp;" "&amp;YEAR(O119)&amp;" ("&amp;DAY(O119)&amp;" "&amp;INDEX(nLIST_Months,MONTH(O119))&amp;" "&amp;YEAR(O119)&amp;" to "&amp;DAY(P119)&amp;" "&amp;INDEX(nLIST_Months,MONTH(P119))&amp;" "&amp;YEAR(P119)&amp;")",IF(H119="YEAR",YEAR(O119)&amp;" (1 January to 31 December)",DAY(O119)&amp;" "&amp;INDEX(nLIST_Months,MONTH(O119))&amp;" "&amp;YEAR(O119)&amp;" to "&amp;DAY(P119)&amp;" "&amp;INDEX(nLIST_Months,MONTH(P119))&amp;" "&amp;YEAR(P119)))))))</f>
        <v/>
      </c>
      <c r="S119" s="20" t="str">
        <f>IF(B119="","",Exposures!$AD56&amp;"")</f>
        <v/>
      </c>
      <c r="T119" s="20" t="str">
        <f>IF(B119="","",Exposures!$AM56&amp;"")</f>
        <v/>
      </c>
      <c r="U119" s="20" t="str">
        <f>IF(B119="","","Exposures row "&amp;ROW(Exposures!$A56)&amp;", Stop")</f>
        <v/>
      </c>
      <c r="V119" s="20">
        <f>IF(A119="",0,COUNTIF(nTP_Key,A119))</f>
        <v>0</v>
      </c>
      <c r="W119" s="20">
        <f t="shared" si="13"/>
        <v>0</v>
      </c>
      <c r="X119" s="20">
        <f t="shared" si="14"/>
        <v>0</v>
      </c>
      <c r="Y119" s="20">
        <f t="shared" si="15"/>
        <v>0</v>
      </c>
      <c r="Z119" s="20">
        <f t="shared" si="16"/>
        <v>0</v>
      </c>
    </row>
    <row r="120" spans="1:26" x14ac:dyDescent="0.2">
      <c r="A120" s="20" t="str">
        <f t="shared" si="10"/>
        <v/>
      </c>
      <c r="B120" s="20" t="str">
        <f>IF(AND(Exposures!$D57&lt;&gt;"",COUNTA(Exposures!$AE57:$AL57)&gt;0),Exposures!$D57&amp;"/STOP","")</f>
        <v/>
      </c>
      <c r="C120" s="20" t="str">
        <f t="shared" si="17"/>
        <v/>
      </c>
      <c r="D120" s="20" t="str">
        <f>IF(B120="","",Exposures!$A57&amp;"")</f>
        <v/>
      </c>
      <c r="E120" s="20" t="str">
        <f>IF(B120="","",Exposures!$B57&amp;"")</f>
        <v/>
      </c>
      <c r="F120" s="20" t="str">
        <f t="shared" si="11"/>
        <v/>
      </c>
      <c r="G120" s="20" t="str">
        <f>IF(B120="","",Exposures!$D57&amp;"")</f>
        <v/>
      </c>
      <c r="H120" s="20" t="str">
        <f>IF(B120="","",Exposures!$AE57&amp;"")</f>
        <v/>
      </c>
      <c r="I120" s="20" t="str">
        <f>IF(B120="","",Exposures!$AH57&amp;"")</f>
        <v/>
      </c>
      <c r="J120" s="20" t="str">
        <f>IF(B120="","",Exposures!$AN57&amp;"")</f>
        <v/>
      </c>
      <c r="K120" s="20">
        <f>IF(B120="",0,Exposures!$AO57)</f>
        <v>0</v>
      </c>
      <c r="L120" s="20">
        <f>IF(B120="",0,Exposures!$AP57)</f>
        <v>0</v>
      </c>
      <c r="M120" s="20" t="str">
        <f>IF(B120="","",Exposures!$AS57)</f>
        <v/>
      </c>
      <c r="N120" s="20" t="str">
        <f>IF(B120="","",Exposures!$AT57)</f>
        <v/>
      </c>
      <c r="O120" s="27" t="str">
        <f>IF(B120="","",Exposures!$AQ57)</f>
        <v/>
      </c>
      <c r="P120" s="27" t="str">
        <f>IF(B120="","",Exposures!$AR57)</f>
        <v/>
      </c>
      <c r="Q120" s="20" t="str">
        <f t="shared" si="12"/>
        <v/>
      </c>
      <c r="R120" s="20" t="str">
        <f>IF(A120="","",IF(J120&lt;&gt;"",J120,IF(H120="TIMESTAMP",DAY(INT(M120/1440))&amp;" "&amp;INDEX(nLIST_Months,MONTH(INT(M120/1440)))&amp;" "&amp;YEAR(INT(M120/1440))&amp;" "&amp;RIGHT("0"&amp;INT(MOD(M120,1440)/60),2)&amp;":"&amp;RIGHT("0"&amp;MOD(M120,60),2)&amp;IF(L120=1," (UTC"&amp;I120&amp;")"," (offset unknown)"),IF(H120="DATE",DAY(O120)&amp;" "&amp;INDEX(nLIST_Months,MONTH(O120))&amp;" "&amp;YEAR(O120),IF(H120="MONTH",INDEX(nLIST_Months,MONTH(O120))&amp;" "&amp;YEAR(O120)&amp;" ("&amp;DAY(O120)&amp;" "&amp;INDEX(nLIST_Months,MONTH(O120))&amp;" "&amp;YEAR(O120)&amp;" to "&amp;DAY(P120)&amp;" "&amp;INDEX(nLIST_Months,MONTH(P120))&amp;" "&amp;YEAR(P120)&amp;")",IF(H120="YEAR",YEAR(O120)&amp;" (1 January to 31 December)",DAY(O120)&amp;" "&amp;INDEX(nLIST_Months,MONTH(O120))&amp;" "&amp;YEAR(O120)&amp;" to "&amp;DAY(P120)&amp;" "&amp;INDEX(nLIST_Months,MONTH(P120))&amp;" "&amp;YEAR(P120)))))))</f>
        <v/>
      </c>
      <c r="S120" s="20" t="str">
        <f>IF(B120="","",Exposures!$AD57&amp;"")</f>
        <v/>
      </c>
      <c r="T120" s="20" t="str">
        <f>IF(B120="","",Exposures!$AM57&amp;"")</f>
        <v/>
      </c>
      <c r="U120" s="20" t="str">
        <f>IF(B120="","","Exposures row "&amp;ROW(Exposures!$A57)&amp;", Stop")</f>
        <v/>
      </c>
      <c r="V120" s="20">
        <f>IF(A120="",0,COUNTIF(nTP_Key,A120))</f>
        <v>0</v>
      </c>
      <c r="W120" s="20">
        <f t="shared" si="13"/>
        <v>0</v>
      </c>
      <c r="X120" s="20">
        <f t="shared" si="14"/>
        <v>0</v>
      </c>
      <c r="Y120" s="20">
        <f t="shared" si="15"/>
        <v>0</v>
      </c>
      <c r="Z120" s="20">
        <f t="shared" si="16"/>
        <v>0</v>
      </c>
    </row>
    <row r="121" spans="1:26" x14ac:dyDescent="0.2">
      <c r="A121" s="20" t="str">
        <f t="shared" si="10"/>
        <v/>
      </c>
      <c r="B121" s="20" t="str">
        <f>IF(AND(Exposures!$D58&lt;&gt;"",COUNTA(Exposures!$AE58:$AL58)&gt;0),Exposures!$D58&amp;"/STOP","")</f>
        <v/>
      </c>
      <c r="C121" s="20" t="str">
        <f t="shared" si="17"/>
        <v/>
      </c>
      <c r="D121" s="20" t="str">
        <f>IF(B121="","",Exposures!$A58&amp;"")</f>
        <v/>
      </c>
      <c r="E121" s="20" t="str">
        <f>IF(B121="","",Exposures!$B58&amp;"")</f>
        <v/>
      </c>
      <c r="F121" s="20" t="str">
        <f t="shared" si="11"/>
        <v/>
      </c>
      <c r="G121" s="20" t="str">
        <f>IF(B121="","",Exposures!$D58&amp;"")</f>
        <v/>
      </c>
      <c r="H121" s="20" t="str">
        <f>IF(B121="","",Exposures!$AE58&amp;"")</f>
        <v/>
      </c>
      <c r="I121" s="20" t="str">
        <f>IF(B121="","",Exposures!$AH58&amp;"")</f>
        <v/>
      </c>
      <c r="J121" s="20" t="str">
        <f>IF(B121="","",Exposures!$AN58&amp;"")</f>
        <v/>
      </c>
      <c r="K121" s="20">
        <f>IF(B121="",0,Exposures!$AO58)</f>
        <v>0</v>
      </c>
      <c r="L121" s="20">
        <f>IF(B121="",0,Exposures!$AP58)</f>
        <v>0</v>
      </c>
      <c r="M121" s="20" t="str">
        <f>IF(B121="","",Exposures!$AS58)</f>
        <v/>
      </c>
      <c r="N121" s="20" t="str">
        <f>IF(B121="","",Exposures!$AT58)</f>
        <v/>
      </c>
      <c r="O121" s="27" t="str">
        <f>IF(B121="","",Exposures!$AQ58)</f>
        <v/>
      </c>
      <c r="P121" s="27" t="str">
        <f>IF(B121="","",Exposures!$AR58)</f>
        <v/>
      </c>
      <c r="Q121" s="20" t="str">
        <f t="shared" si="12"/>
        <v/>
      </c>
      <c r="R121" s="20" t="str">
        <f>IF(A121="","",IF(J121&lt;&gt;"",J121,IF(H121="TIMESTAMP",DAY(INT(M121/1440))&amp;" "&amp;INDEX(nLIST_Months,MONTH(INT(M121/1440)))&amp;" "&amp;YEAR(INT(M121/1440))&amp;" "&amp;RIGHT("0"&amp;INT(MOD(M121,1440)/60),2)&amp;":"&amp;RIGHT("0"&amp;MOD(M121,60),2)&amp;IF(L121=1," (UTC"&amp;I121&amp;")"," (offset unknown)"),IF(H121="DATE",DAY(O121)&amp;" "&amp;INDEX(nLIST_Months,MONTH(O121))&amp;" "&amp;YEAR(O121),IF(H121="MONTH",INDEX(nLIST_Months,MONTH(O121))&amp;" "&amp;YEAR(O121)&amp;" ("&amp;DAY(O121)&amp;" "&amp;INDEX(nLIST_Months,MONTH(O121))&amp;" "&amp;YEAR(O121)&amp;" to "&amp;DAY(P121)&amp;" "&amp;INDEX(nLIST_Months,MONTH(P121))&amp;" "&amp;YEAR(P121)&amp;")",IF(H121="YEAR",YEAR(O121)&amp;" (1 January to 31 December)",DAY(O121)&amp;" "&amp;INDEX(nLIST_Months,MONTH(O121))&amp;" "&amp;YEAR(O121)&amp;" to "&amp;DAY(P121)&amp;" "&amp;INDEX(nLIST_Months,MONTH(P121))&amp;" "&amp;YEAR(P121)))))))</f>
        <v/>
      </c>
      <c r="S121" s="20" t="str">
        <f>IF(B121="","",Exposures!$AD58&amp;"")</f>
        <v/>
      </c>
      <c r="T121" s="20" t="str">
        <f>IF(B121="","",Exposures!$AM58&amp;"")</f>
        <v/>
      </c>
      <c r="U121" s="20" t="str">
        <f>IF(B121="","","Exposures row "&amp;ROW(Exposures!$A58)&amp;", Stop")</f>
        <v/>
      </c>
      <c r="V121" s="20">
        <f>IF(A121="",0,COUNTIF(nTP_Key,A121))</f>
        <v>0</v>
      </c>
      <c r="W121" s="20">
        <f t="shared" si="13"/>
        <v>0</v>
      </c>
      <c r="X121" s="20">
        <f t="shared" si="14"/>
        <v>0</v>
      </c>
      <c r="Y121" s="20">
        <f t="shared" si="15"/>
        <v>0</v>
      </c>
      <c r="Z121" s="20">
        <f t="shared" si="16"/>
        <v>0</v>
      </c>
    </row>
    <row r="122" spans="1:26" x14ac:dyDescent="0.2">
      <c r="A122" s="20" t="str">
        <f t="shared" si="10"/>
        <v/>
      </c>
      <c r="B122" s="20" t="str">
        <f>IF(AND(Exposures!$D59&lt;&gt;"",COUNTA(Exposures!$AE59:$AL59)&gt;0),Exposures!$D59&amp;"/STOP","")</f>
        <v/>
      </c>
      <c r="C122" s="20" t="str">
        <f t="shared" si="17"/>
        <v/>
      </c>
      <c r="D122" s="20" t="str">
        <f>IF(B122="","",Exposures!$A59&amp;"")</f>
        <v/>
      </c>
      <c r="E122" s="20" t="str">
        <f>IF(B122="","",Exposures!$B59&amp;"")</f>
        <v/>
      </c>
      <c r="F122" s="20" t="str">
        <f t="shared" si="11"/>
        <v/>
      </c>
      <c r="G122" s="20" t="str">
        <f>IF(B122="","",Exposures!$D59&amp;"")</f>
        <v/>
      </c>
      <c r="H122" s="20" t="str">
        <f>IF(B122="","",Exposures!$AE59&amp;"")</f>
        <v/>
      </c>
      <c r="I122" s="20" t="str">
        <f>IF(B122="","",Exposures!$AH59&amp;"")</f>
        <v/>
      </c>
      <c r="J122" s="20" t="str">
        <f>IF(B122="","",Exposures!$AN59&amp;"")</f>
        <v/>
      </c>
      <c r="K122" s="20">
        <f>IF(B122="",0,Exposures!$AO59)</f>
        <v>0</v>
      </c>
      <c r="L122" s="20">
        <f>IF(B122="",0,Exposures!$AP59)</f>
        <v>0</v>
      </c>
      <c r="M122" s="20" t="str">
        <f>IF(B122="","",Exposures!$AS59)</f>
        <v/>
      </c>
      <c r="N122" s="20" t="str">
        <f>IF(B122="","",Exposures!$AT59)</f>
        <v/>
      </c>
      <c r="O122" s="27" t="str">
        <f>IF(B122="","",Exposures!$AQ59)</f>
        <v/>
      </c>
      <c r="P122" s="27" t="str">
        <f>IF(B122="","",Exposures!$AR59)</f>
        <v/>
      </c>
      <c r="Q122" s="20" t="str">
        <f t="shared" si="12"/>
        <v/>
      </c>
      <c r="R122" s="20" t="str">
        <f>IF(A122="","",IF(J122&lt;&gt;"",J122,IF(H122="TIMESTAMP",DAY(INT(M122/1440))&amp;" "&amp;INDEX(nLIST_Months,MONTH(INT(M122/1440)))&amp;" "&amp;YEAR(INT(M122/1440))&amp;" "&amp;RIGHT("0"&amp;INT(MOD(M122,1440)/60),2)&amp;":"&amp;RIGHT("0"&amp;MOD(M122,60),2)&amp;IF(L122=1," (UTC"&amp;I122&amp;")"," (offset unknown)"),IF(H122="DATE",DAY(O122)&amp;" "&amp;INDEX(nLIST_Months,MONTH(O122))&amp;" "&amp;YEAR(O122),IF(H122="MONTH",INDEX(nLIST_Months,MONTH(O122))&amp;" "&amp;YEAR(O122)&amp;" ("&amp;DAY(O122)&amp;" "&amp;INDEX(nLIST_Months,MONTH(O122))&amp;" "&amp;YEAR(O122)&amp;" to "&amp;DAY(P122)&amp;" "&amp;INDEX(nLIST_Months,MONTH(P122))&amp;" "&amp;YEAR(P122)&amp;")",IF(H122="YEAR",YEAR(O122)&amp;" (1 January to 31 December)",DAY(O122)&amp;" "&amp;INDEX(nLIST_Months,MONTH(O122))&amp;" "&amp;YEAR(O122)&amp;" to "&amp;DAY(P122)&amp;" "&amp;INDEX(nLIST_Months,MONTH(P122))&amp;" "&amp;YEAR(P122)))))))</f>
        <v/>
      </c>
      <c r="S122" s="20" t="str">
        <f>IF(B122="","",Exposures!$AD59&amp;"")</f>
        <v/>
      </c>
      <c r="T122" s="20" t="str">
        <f>IF(B122="","",Exposures!$AM59&amp;"")</f>
        <v/>
      </c>
      <c r="U122" s="20" t="str">
        <f>IF(B122="","","Exposures row "&amp;ROW(Exposures!$A59)&amp;", Stop")</f>
        <v/>
      </c>
      <c r="V122" s="20">
        <f>IF(A122="",0,COUNTIF(nTP_Key,A122))</f>
        <v>0</v>
      </c>
      <c r="W122" s="20">
        <f t="shared" si="13"/>
        <v>0</v>
      </c>
      <c r="X122" s="20">
        <f t="shared" si="14"/>
        <v>0</v>
      </c>
      <c r="Y122" s="20">
        <f t="shared" si="15"/>
        <v>0</v>
      </c>
      <c r="Z122" s="20">
        <f t="shared" si="16"/>
        <v>0</v>
      </c>
    </row>
    <row r="123" spans="1:26" x14ac:dyDescent="0.2">
      <c r="A123" s="20" t="str">
        <f t="shared" si="10"/>
        <v/>
      </c>
      <c r="B123" s="20" t="str">
        <f>IF(AND(Exposures!$D60&lt;&gt;"",COUNTA(Exposures!$AE60:$AL60)&gt;0),Exposures!$D60&amp;"/STOP","")</f>
        <v/>
      </c>
      <c r="C123" s="20" t="str">
        <f t="shared" si="17"/>
        <v/>
      </c>
      <c r="D123" s="20" t="str">
        <f>IF(B123="","",Exposures!$A60&amp;"")</f>
        <v/>
      </c>
      <c r="E123" s="20" t="str">
        <f>IF(B123="","",Exposures!$B60&amp;"")</f>
        <v/>
      </c>
      <c r="F123" s="20" t="str">
        <f t="shared" si="11"/>
        <v/>
      </c>
      <c r="G123" s="20" t="str">
        <f>IF(B123="","",Exposures!$D60&amp;"")</f>
        <v/>
      </c>
      <c r="H123" s="20" t="str">
        <f>IF(B123="","",Exposures!$AE60&amp;"")</f>
        <v/>
      </c>
      <c r="I123" s="20" t="str">
        <f>IF(B123="","",Exposures!$AH60&amp;"")</f>
        <v/>
      </c>
      <c r="J123" s="20" t="str">
        <f>IF(B123="","",Exposures!$AN60&amp;"")</f>
        <v/>
      </c>
      <c r="K123" s="20">
        <f>IF(B123="",0,Exposures!$AO60)</f>
        <v>0</v>
      </c>
      <c r="L123" s="20">
        <f>IF(B123="",0,Exposures!$AP60)</f>
        <v>0</v>
      </c>
      <c r="M123" s="20" t="str">
        <f>IF(B123="","",Exposures!$AS60)</f>
        <v/>
      </c>
      <c r="N123" s="20" t="str">
        <f>IF(B123="","",Exposures!$AT60)</f>
        <v/>
      </c>
      <c r="O123" s="27" t="str">
        <f>IF(B123="","",Exposures!$AQ60)</f>
        <v/>
      </c>
      <c r="P123" s="27" t="str">
        <f>IF(B123="","",Exposures!$AR60)</f>
        <v/>
      </c>
      <c r="Q123" s="20" t="str">
        <f t="shared" si="12"/>
        <v/>
      </c>
      <c r="R123" s="20" t="str">
        <f>IF(A123="","",IF(J123&lt;&gt;"",J123,IF(H123="TIMESTAMP",DAY(INT(M123/1440))&amp;" "&amp;INDEX(nLIST_Months,MONTH(INT(M123/1440)))&amp;" "&amp;YEAR(INT(M123/1440))&amp;" "&amp;RIGHT("0"&amp;INT(MOD(M123,1440)/60),2)&amp;":"&amp;RIGHT("0"&amp;MOD(M123,60),2)&amp;IF(L123=1," (UTC"&amp;I123&amp;")"," (offset unknown)"),IF(H123="DATE",DAY(O123)&amp;" "&amp;INDEX(nLIST_Months,MONTH(O123))&amp;" "&amp;YEAR(O123),IF(H123="MONTH",INDEX(nLIST_Months,MONTH(O123))&amp;" "&amp;YEAR(O123)&amp;" ("&amp;DAY(O123)&amp;" "&amp;INDEX(nLIST_Months,MONTH(O123))&amp;" "&amp;YEAR(O123)&amp;" to "&amp;DAY(P123)&amp;" "&amp;INDEX(nLIST_Months,MONTH(P123))&amp;" "&amp;YEAR(P123)&amp;")",IF(H123="YEAR",YEAR(O123)&amp;" (1 January to 31 December)",DAY(O123)&amp;" "&amp;INDEX(nLIST_Months,MONTH(O123))&amp;" "&amp;YEAR(O123)&amp;" to "&amp;DAY(P123)&amp;" "&amp;INDEX(nLIST_Months,MONTH(P123))&amp;" "&amp;YEAR(P123)))))))</f>
        <v/>
      </c>
      <c r="S123" s="20" t="str">
        <f>IF(B123="","",Exposures!$AD60&amp;"")</f>
        <v/>
      </c>
      <c r="T123" s="20" t="str">
        <f>IF(B123="","",Exposures!$AM60&amp;"")</f>
        <v/>
      </c>
      <c r="U123" s="20" t="str">
        <f>IF(B123="","","Exposures row "&amp;ROW(Exposures!$A60)&amp;", Stop")</f>
        <v/>
      </c>
      <c r="V123" s="20">
        <f>IF(A123="",0,COUNTIF(nTP_Key,A123))</f>
        <v>0</v>
      </c>
      <c r="W123" s="20">
        <f t="shared" si="13"/>
        <v>0</v>
      </c>
      <c r="X123" s="20">
        <f t="shared" si="14"/>
        <v>0</v>
      </c>
      <c r="Y123" s="20">
        <f t="shared" si="15"/>
        <v>0</v>
      </c>
      <c r="Z123" s="20">
        <f t="shared" si="16"/>
        <v>0</v>
      </c>
    </row>
    <row r="124" spans="1:26" x14ac:dyDescent="0.2">
      <c r="A124" s="20" t="str">
        <f t="shared" si="10"/>
        <v/>
      </c>
      <c r="B124" s="20" t="str">
        <f>IF(AND(Exposures!$D61&lt;&gt;"",COUNTA(Exposures!$AE61:$AL61)&gt;0),Exposures!$D61&amp;"/STOP","")</f>
        <v/>
      </c>
      <c r="C124" s="20" t="str">
        <f t="shared" si="17"/>
        <v/>
      </c>
      <c r="D124" s="20" t="str">
        <f>IF(B124="","",Exposures!$A61&amp;"")</f>
        <v/>
      </c>
      <c r="E124" s="20" t="str">
        <f>IF(B124="","",Exposures!$B61&amp;"")</f>
        <v/>
      </c>
      <c r="F124" s="20" t="str">
        <f t="shared" si="11"/>
        <v/>
      </c>
      <c r="G124" s="20" t="str">
        <f>IF(B124="","",Exposures!$D61&amp;"")</f>
        <v/>
      </c>
      <c r="H124" s="20" t="str">
        <f>IF(B124="","",Exposures!$AE61&amp;"")</f>
        <v/>
      </c>
      <c r="I124" s="20" t="str">
        <f>IF(B124="","",Exposures!$AH61&amp;"")</f>
        <v/>
      </c>
      <c r="J124" s="20" t="str">
        <f>IF(B124="","",Exposures!$AN61&amp;"")</f>
        <v/>
      </c>
      <c r="K124" s="20">
        <f>IF(B124="",0,Exposures!$AO61)</f>
        <v>0</v>
      </c>
      <c r="L124" s="20">
        <f>IF(B124="",0,Exposures!$AP61)</f>
        <v>0</v>
      </c>
      <c r="M124" s="20" t="str">
        <f>IF(B124="","",Exposures!$AS61)</f>
        <v/>
      </c>
      <c r="N124" s="20" t="str">
        <f>IF(B124="","",Exposures!$AT61)</f>
        <v/>
      </c>
      <c r="O124" s="27" t="str">
        <f>IF(B124="","",Exposures!$AQ61)</f>
        <v/>
      </c>
      <c r="P124" s="27" t="str">
        <f>IF(B124="","",Exposures!$AR61)</f>
        <v/>
      </c>
      <c r="Q124" s="20" t="str">
        <f t="shared" si="12"/>
        <v/>
      </c>
      <c r="R124" s="20" t="str">
        <f>IF(A124="","",IF(J124&lt;&gt;"",J124,IF(H124="TIMESTAMP",DAY(INT(M124/1440))&amp;" "&amp;INDEX(nLIST_Months,MONTH(INT(M124/1440)))&amp;" "&amp;YEAR(INT(M124/1440))&amp;" "&amp;RIGHT("0"&amp;INT(MOD(M124,1440)/60),2)&amp;":"&amp;RIGHT("0"&amp;MOD(M124,60),2)&amp;IF(L124=1," (UTC"&amp;I124&amp;")"," (offset unknown)"),IF(H124="DATE",DAY(O124)&amp;" "&amp;INDEX(nLIST_Months,MONTH(O124))&amp;" "&amp;YEAR(O124),IF(H124="MONTH",INDEX(nLIST_Months,MONTH(O124))&amp;" "&amp;YEAR(O124)&amp;" ("&amp;DAY(O124)&amp;" "&amp;INDEX(nLIST_Months,MONTH(O124))&amp;" "&amp;YEAR(O124)&amp;" to "&amp;DAY(P124)&amp;" "&amp;INDEX(nLIST_Months,MONTH(P124))&amp;" "&amp;YEAR(P124)&amp;")",IF(H124="YEAR",YEAR(O124)&amp;" (1 January to 31 December)",DAY(O124)&amp;" "&amp;INDEX(nLIST_Months,MONTH(O124))&amp;" "&amp;YEAR(O124)&amp;" to "&amp;DAY(P124)&amp;" "&amp;INDEX(nLIST_Months,MONTH(P124))&amp;" "&amp;YEAR(P124)))))))</f>
        <v/>
      </c>
      <c r="S124" s="20" t="str">
        <f>IF(B124="","",Exposures!$AD61&amp;"")</f>
        <v/>
      </c>
      <c r="T124" s="20" t="str">
        <f>IF(B124="","",Exposures!$AM61&amp;"")</f>
        <v/>
      </c>
      <c r="U124" s="20" t="str">
        <f>IF(B124="","","Exposures row "&amp;ROW(Exposures!$A61)&amp;", Stop")</f>
        <v/>
      </c>
      <c r="V124" s="20">
        <f>IF(A124="",0,COUNTIF(nTP_Key,A124))</f>
        <v>0</v>
      </c>
      <c r="W124" s="20">
        <f t="shared" si="13"/>
        <v>0</v>
      </c>
      <c r="X124" s="20">
        <f t="shared" si="14"/>
        <v>0</v>
      </c>
      <c r="Y124" s="20">
        <f t="shared" si="15"/>
        <v>0</v>
      </c>
      <c r="Z124" s="20">
        <f t="shared" si="16"/>
        <v>0</v>
      </c>
    </row>
    <row r="125" spans="1:26" x14ac:dyDescent="0.2">
      <c r="A125" s="20" t="str">
        <f t="shared" si="10"/>
        <v/>
      </c>
      <c r="B125" s="20" t="str">
        <f>IF(AND(Exposures!$D62&lt;&gt;"",COUNTA(Exposures!$AE62:$AL62)&gt;0),Exposures!$D62&amp;"/STOP","")</f>
        <v/>
      </c>
      <c r="C125" s="20" t="str">
        <f t="shared" si="17"/>
        <v/>
      </c>
      <c r="D125" s="20" t="str">
        <f>IF(B125="","",Exposures!$A62&amp;"")</f>
        <v/>
      </c>
      <c r="E125" s="20" t="str">
        <f>IF(B125="","",Exposures!$B62&amp;"")</f>
        <v/>
      </c>
      <c r="F125" s="20" t="str">
        <f t="shared" si="11"/>
        <v/>
      </c>
      <c r="G125" s="20" t="str">
        <f>IF(B125="","",Exposures!$D62&amp;"")</f>
        <v/>
      </c>
      <c r="H125" s="20" t="str">
        <f>IF(B125="","",Exposures!$AE62&amp;"")</f>
        <v/>
      </c>
      <c r="I125" s="20" t="str">
        <f>IF(B125="","",Exposures!$AH62&amp;"")</f>
        <v/>
      </c>
      <c r="J125" s="20" t="str">
        <f>IF(B125="","",Exposures!$AN62&amp;"")</f>
        <v/>
      </c>
      <c r="K125" s="20">
        <f>IF(B125="",0,Exposures!$AO62)</f>
        <v>0</v>
      </c>
      <c r="L125" s="20">
        <f>IF(B125="",0,Exposures!$AP62)</f>
        <v>0</v>
      </c>
      <c r="M125" s="20" t="str">
        <f>IF(B125="","",Exposures!$AS62)</f>
        <v/>
      </c>
      <c r="N125" s="20" t="str">
        <f>IF(B125="","",Exposures!$AT62)</f>
        <v/>
      </c>
      <c r="O125" s="27" t="str">
        <f>IF(B125="","",Exposures!$AQ62)</f>
        <v/>
      </c>
      <c r="P125" s="27" t="str">
        <f>IF(B125="","",Exposures!$AR62)</f>
        <v/>
      </c>
      <c r="Q125" s="20" t="str">
        <f t="shared" si="12"/>
        <v/>
      </c>
      <c r="R125" s="20" t="str">
        <f>IF(A125="","",IF(J125&lt;&gt;"",J125,IF(H125="TIMESTAMP",DAY(INT(M125/1440))&amp;" "&amp;INDEX(nLIST_Months,MONTH(INT(M125/1440)))&amp;" "&amp;YEAR(INT(M125/1440))&amp;" "&amp;RIGHT("0"&amp;INT(MOD(M125,1440)/60),2)&amp;":"&amp;RIGHT("0"&amp;MOD(M125,60),2)&amp;IF(L125=1," (UTC"&amp;I125&amp;")"," (offset unknown)"),IF(H125="DATE",DAY(O125)&amp;" "&amp;INDEX(nLIST_Months,MONTH(O125))&amp;" "&amp;YEAR(O125),IF(H125="MONTH",INDEX(nLIST_Months,MONTH(O125))&amp;" "&amp;YEAR(O125)&amp;" ("&amp;DAY(O125)&amp;" "&amp;INDEX(nLIST_Months,MONTH(O125))&amp;" "&amp;YEAR(O125)&amp;" to "&amp;DAY(P125)&amp;" "&amp;INDEX(nLIST_Months,MONTH(P125))&amp;" "&amp;YEAR(P125)&amp;")",IF(H125="YEAR",YEAR(O125)&amp;" (1 January to 31 December)",DAY(O125)&amp;" "&amp;INDEX(nLIST_Months,MONTH(O125))&amp;" "&amp;YEAR(O125)&amp;" to "&amp;DAY(P125)&amp;" "&amp;INDEX(nLIST_Months,MONTH(P125))&amp;" "&amp;YEAR(P125)))))))</f>
        <v/>
      </c>
      <c r="S125" s="20" t="str">
        <f>IF(B125="","",Exposures!$AD62&amp;"")</f>
        <v/>
      </c>
      <c r="T125" s="20" t="str">
        <f>IF(B125="","",Exposures!$AM62&amp;"")</f>
        <v/>
      </c>
      <c r="U125" s="20" t="str">
        <f>IF(B125="","","Exposures row "&amp;ROW(Exposures!$A62)&amp;", Stop")</f>
        <v/>
      </c>
      <c r="V125" s="20">
        <f>IF(A125="",0,COUNTIF(nTP_Key,A125))</f>
        <v>0</v>
      </c>
      <c r="W125" s="20">
        <f t="shared" si="13"/>
        <v>0</v>
      </c>
      <c r="X125" s="20">
        <f t="shared" si="14"/>
        <v>0</v>
      </c>
      <c r="Y125" s="20">
        <f t="shared" si="15"/>
        <v>0</v>
      </c>
      <c r="Z125" s="20">
        <f t="shared" si="16"/>
        <v>0</v>
      </c>
    </row>
    <row r="126" spans="1:26" x14ac:dyDescent="0.2">
      <c r="A126" s="20" t="str">
        <f t="shared" si="10"/>
        <v/>
      </c>
      <c r="B126" s="20" t="str">
        <f>IF(AND(Exposures!$D63&lt;&gt;"",COUNTA(Exposures!$AE63:$AL63)&gt;0),Exposures!$D63&amp;"/STOP","")</f>
        <v/>
      </c>
      <c r="C126" s="20" t="str">
        <f t="shared" si="17"/>
        <v/>
      </c>
      <c r="D126" s="20" t="str">
        <f>IF(B126="","",Exposures!$A63&amp;"")</f>
        <v/>
      </c>
      <c r="E126" s="20" t="str">
        <f>IF(B126="","",Exposures!$B63&amp;"")</f>
        <v/>
      </c>
      <c r="F126" s="20" t="str">
        <f t="shared" si="11"/>
        <v/>
      </c>
      <c r="G126" s="20" t="str">
        <f>IF(B126="","",Exposures!$D63&amp;"")</f>
        <v/>
      </c>
      <c r="H126" s="20" t="str">
        <f>IF(B126="","",Exposures!$AE63&amp;"")</f>
        <v/>
      </c>
      <c r="I126" s="20" t="str">
        <f>IF(B126="","",Exposures!$AH63&amp;"")</f>
        <v/>
      </c>
      <c r="J126" s="20" t="str">
        <f>IF(B126="","",Exposures!$AN63&amp;"")</f>
        <v/>
      </c>
      <c r="K126" s="20">
        <f>IF(B126="",0,Exposures!$AO63)</f>
        <v>0</v>
      </c>
      <c r="L126" s="20">
        <f>IF(B126="",0,Exposures!$AP63)</f>
        <v>0</v>
      </c>
      <c r="M126" s="20" t="str">
        <f>IF(B126="","",Exposures!$AS63)</f>
        <v/>
      </c>
      <c r="N126" s="20" t="str">
        <f>IF(B126="","",Exposures!$AT63)</f>
        <v/>
      </c>
      <c r="O126" s="27" t="str">
        <f>IF(B126="","",Exposures!$AQ63)</f>
        <v/>
      </c>
      <c r="P126" s="27" t="str">
        <f>IF(B126="","",Exposures!$AR63)</f>
        <v/>
      </c>
      <c r="Q126" s="20" t="str">
        <f t="shared" si="12"/>
        <v/>
      </c>
      <c r="R126" s="20" t="str">
        <f>IF(A126="","",IF(J126&lt;&gt;"",J126,IF(H126="TIMESTAMP",DAY(INT(M126/1440))&amp;" "&amp;INDEX(nLIST_Months,MONTH(INT(M126/1440)))&amp;" "&amp;YEAR(INT(M126/1440))&amp;" "&amp;RIGHT("0"&amp;INT(MOD(M126,1440)/60),2)&amp;":"&amp;RIGHT("0"&amp;MOD(M126,60),2)&amp;IF(L126=1," (UTC"&amp;I126&amp;")"," (offset unknown)"),IF(H126="DATE",DAY(O126)&amp;" "&amp;INDEX(nLIST_Months,MONTH(O126))&amp;" "&amp;YEAR(O126),IF(H126="MONTH",INDEX(nLIST_Months,MONTH(O126))&amp;" "&amp;YEAR(O126)&amp;" ("&amp;DAY(O126)&amp;" "&amp;INDEX(nLIST_Months,MONTH(O126))&amp;" "&amp;YEAR(O126)&amp;" to "&amp;DAY(P126)&amp;" "&amp;INDEX(nLIST_Months,MONTH(P126))&amp;" "&amp;YEAR(P126)&amp;")",IF(H126="YEAR",YEAR(O126)&amp;" (1 January to 31 December)",DAY(O126)&amp;" "&amp;INDEX(nLIST_Months,MONTH(O126))&amp;" "&amp;YEAR(O126)&amp;" to "&amp;DAY(P126)&amp;" "&amp;INDEX(nLIST_Months,MONTH(P126))&amp;" "&amp;YEAR(P126)))))))</f>
        <v/>
      </c>
      <c r="S126" s="20" t="str">
        <f>IF(B126="","",Exposures!$AD63&amp;"")</f>
        <v/>
      </c>
      <c r="T126" s="20" t="str">
        <f>IF(B126="","",Exposures!$AM63&amp;"")</f>
        <v/>
      </c>
      <c r="U126" s="20" t="str">
        <f>IF(B126="","","Exposures row "&amp;ROW(Exposures!$A63)&amp;", Stop")</f>
        <v/>
      </c>
      <c r="V126" s="20">
        <f>IF(A126="",0,COUNTIF(nTP_Key,A126))</f>
        <v>0</v>
      </c>
      <c r="W126" s="20">
        <f t="shared" si="13"/>
        <v>0</v>
      </c>
      <c r="X126" s="20">
        <f t="shared" si="14"/>
        <v>0</v>
      </c>
      <c r="Y126" s="20">
        <f t="shared" si="15"/>
        <v>0</v>
      </c>
      <c r="Z126" s="20">
        <f t="shared" si="16"/>
        <v>0</v>
      </c>
    </row>
    <row r="127" spans="1:26" x14ac:dyDescent="0.2">
      <c r="A127" s="20" t="str">
        <f t="shared" si="10"/>
        <v/>
      </c>
      <c r="B127" s="20" t="str">
        <f>IF(AND(Exposures!$D64&lt;&gt;"",COUNTA(Exposures!$AE64:$AL64)&gt;0),Exposures!$D64&amp;"/STOP","")</f>
        <v/>
      </c>
      <c r="C127" s="20" t="str">
        <f t="shared" si="17"/>
        <v/>
      </c>
      <c r="D127" s="20" t="str">
        <f>IF(B127="","",Exposures!$A64&amp;"")</f>
        <v/>
      </c>
      <c r="E127" s="20" t="str">
        <f>IF(B127="","",Exposures!$B64&amp;"")</f>
        <v/>
      </c>
      <c r="F127" s="20" t="str">
        <f t="shared" si="11"/>
        <v/>
      </c>
      <c r="G127" s="20" t="str">
        <f>IF(B127="","",Exposures!$D64&amp;"")</f>
        <v/>
      </c>
      <c r="H127" s="20" t="str">
        <f>IF(B127="","",Exposures!$AE64&amp;"")</f>
        <v/>
      </c>
      <c r="I127" s="20" t="str">
        <f>IF(B127="","",Exposures!$AH64&amp;"")</f>
        <v/>
      </c>
      <c r="J127" s="20" t="str">
        <f>IF(B127="","",Exposures!$AN64&amp;"")</f>
        <v/>
      </c>
      <c r="K127" s="20">
        <f>IF(B127="",0,Exposures!$AO64)</f>
        <v>0</v>
      </c>
      <c r="L127" s="20">
        <f>IF(B127="",0,Exposures!$AP64)</f>
        <v>0</v>
      </c>
      <c r="M127" s="20" t="str">
        <f>IF(B127="","",Exposures!$AS64)</f>
        <v/>
      </c>
      <c r="N127" s="20" t="str">
        <f>IF(B127="","",Exposures!$AT64)</f>
        <v/>
      </c>
      <c r="O127" s="27" t="str">
        <f>IF(B127="","",Exposures!$AQ64)</f>
        <v/>
      </c>
      <c r="P127" s="27" t="str">
        <f>IF(B127="","",Exposures!$AR64)</f>
        <v/>
      </c>
      <c r="Q127" s="20" t="str">
        <f t="shared" si="12"/>
        <v/>
      </c>
      <c r="R127" s="20" t="str">
        <f>IF(A127="","",IF(J127&lt;&gt;"",J127,IF(H127="TIMESTAMP",DAY(INT(M127/1440))&amp;" "&amp;INDEX(nLIST_Months,MONTH(INT(M127/1440)))&amp;" "&amp;YEAR(INT(M127/1440))&amp;" "&amp;RIGHT("0"&amp;INT(MOD(M127,1440)/60),2)&amp;":"&amp;RIGHT("0"&amp;MOD(M127,60),2)&amp;IF(L127=1," (UTC"&amp;I127&amp;")"," (offset unknown)"),IF(H127="DATE",DAY(O127)&amp;" "&amp;INDEX(nLIST_Months,MONTH(O127))&amp;" "&amp;YEAR(O127),IF(H127="MONTH",INDEX(nLIST_Months,MONTH(O127))&amp;" "&amp;YEAR(O127)&amp;" ("&amp;DAY(O127)&amp;" "&amp;INDEX(nLIST_Months,MONTH(O127))&amp;" "&amp;YEAR(O127)&amp;" to "&amp;DAY(P127)&amp;" "&amp;INDEX(nLIST_Months,MONTH(P127))&amp;" "&amp;YEAR(P127)&amp;")",IF(H127="YEAR",YEAR(O127)&amp;" (1 January to 31 December)",DAY(O127)&amp;" "&amp;INDEX(nLIST_Months,MONTH(O127))&amp;" "&amp;YEAR(O127)&amp;" to "&amp;DAY(P127)&amp;" "&amp;INDEX(nLIST_Months,MONTH(P127))&amp;" "&amp;YEAR(P127)))))))</f>
        <v/>
      </c>
      <c r="S127" s="20" t="str">
        <f>IF(B127="","",Exposures!$AD64&amp;"")</f>
        <v/>
      </c>
      <c r="T127" s="20" t="str">
        <f>IF(B127="","",Exposures!$AM64&amp;"")</f>
        <v/>
      </c>
      <c r="U127" s="20" t="str">
        <f>IF(B127="","","Exposures row "&amp;ROW(Exposures!$A64)&amp;", Stop")</f>
        <v/>
      </c>
      <c r="V127" s="20">
        <f>IF(A127="",0,COUNTIF(nTP_Key,A127))</f>
        <v>0</v>
      </c>
      <c r="W127" s="20">
        <f t="shared" si="13"/>
        <v>0</v>
      </c>
      <c r="X127" s="20">
        <f t="shared" si="14"/>
        <v>0</v>
      </c>
      <c r="Y127" s="20">
        <f t="shared" si="15"/>
        <v>0</v>
      </c>
      <c r="Z127" s="20">
        <f t="shared" si="16"/>
        <v>0</v>
      </c>
    </row>
    <row r="128" spans="1:26" x14ac:dyDescent="0.2">
      <c r="A128" s="20" t="str">
        <f t="shared" si="10"/>
        <v/>
      </c>
      <c r="B128" s="20" t="str">
        <f>IF(AND(Exposures!$D65&lt;&gt;"",COUNTA(Exposures!$AE65:$AL65)&gt;0),Exposures!$D65&amp;"/STOP","")</f>
        <v/>
      </c>
      <c r="C128" s="20" t="str">
        <f t="shared" si="17"/>
        <v/>
      </c>
      <c r="D128" s="20" t="str">
        <f>IF(B128="","",Exposures!$A65&amp;"")</f>
        <v/>
      </c>
      <c r="E128" s="20" t="str">
        <f>IF(B128="","",Exposures!$B65&amp;"")</f>
        <v/>
      </c>
      <c r="F128" s="20" t="str">
        <f t="shared" si="11"/>
        <v/>
      </c>
      <c r="G128" s="20" t="str">
        <f>IF(B128="","",Exposures!$D65&amp;"")</f>
        <v/>
      </c>
      <c r="H128" s="20" t="str">
        <f>IF(B128="","",Exposures!$AE65&amp;"")</f>
        <v/>
      </c>
      <c r="I128" s="20" t="str">
        <f>IF(B128="","",Exposures!$AH65&amp;"")</f>
        <v/>
      </c>
      <c r="J128" s="20" t="str">
        <f>IF(B128="","",Exposures!$AN65&amp;"")</f>
        <v/>
      </c>
      <c r="K128" s="20">
        <f>IF(B128="",0,Exposures!$AO65)</f>
        <v>0</v>
      </c>
      <c r="L128" s="20">
        <f>IF(B128="",0,Exposures!$AP65)</f>
        <v>0</v>
      </c>
      <c r="M128" s="20" t="str">
        <f>IF(B128="","",Exposures!$AS65)</f>
        <v/>
      </c>
      <c r="N128" s="20" t="str">
        <f>IF(B128="","",Exposures!$AT65)</f>
        <v/>
      </c>
      <c r="O128" s="27" t="str">
        <f>IF(B128="","",Exposures!$AQ65)</f>
        <v/>
      </c>
      <c r="P128" s="27" t="str">
        <f>IF(B128="","",Exposures!$AR65)</f>
        <v/>
      </c>
      <c r="Q128" s="20" t="str">
        <f t="shared" si="12"/>
        <v/>
      </c>
      <c r="R128" s="20" t="str">
        <f>IF(A128="","",IF(J128&lt;&gt;"",J128,IF(H128="TIMESTAMP",DAY(INT(M128/1440))&amp;" "&amp;INDEX(nLIST_Months,MONTH(INT(M128/1440)))&amp;" "&amp;YEAR(INT(M128/1440))&amp;" "&amp;RIGHT("0"&amp;INT(MOD(M128,1440)/60),2)&amp;":"&amp;RIGHT("0"&amp;MOD(M128,60),2)&amp;IF(L128=1," (UTC"&amp;I128&amp;")"," (offset unknown)"),IF(H128="DATE",DAY(O128)&amp;" "&amp;INDEX(nLIST_Months,MONTH(O128))&amp;" "&amp;YEAR(O128),IF(H128="MONTH",INDEX(nLIST_Months,MONTH(O128))&amp;" "&amp;YEAR(O128)&amp;" ("&amp;DAY(O128)&amp;" "&amp;INDEX(nLIST_Months,MONTH(O128))&amp;" "&amp;YEAR(O128)&amp;" to "&amp;DAY(P128)&amp;" "&amp;INDEX(nLIST_Months,MONTH(P128))&amp;" "&amp;YEAR(P128)&amp;")",IF(H128="YEAR",YEAR(O128)&amp;" (1 January to 31 December)",DAY(O128)&amp;" "&amp;INDEX(nLIST_Months,MONTH(O128))&amp;" "&amp;YEAR(O128)&amp;" to "&amp;DAY(P128)&amp;" "&amp;INDEX(nLIST_Months,MONTH(P128))&amp;" "&amp;YEAR(P128)))))))</f>
        <v/>
      </c>
      <c r="S128" s="20" t="str">
        <f>IF(B128="","",Exposures!$AD65&amp;"")</f>
        <v/>
      </c>
      <c r="T128" s="20" t="str">
        <f>IF(B128="","",Exposures!$AM65&amp;"")</f>
        <v/>
      </c>
      <c r="U128" s="20" t="str">
        <f>IF(B128="","","Exposures row "&amp;ROW(Exposures!$A65)&amp;", Stop")</f>
        <v/>
      </c>
      <c r="V128" s="20">
        <f>IF(A128="",0,COUNTIF(nTP_Key,A128))</f>
        <v>0</v>
      </c>
      <c r="W128" s="20">
        <f t="shared" si="13"/>
        <v>0</v>
      </c>
      <c r="X128" s="20">
        <f t="shared" si="14"/>
        <v>0</v>
      </c>
      <c r="Y128" s="20">
        <f t="shared" si="15"/>
        <v>0</v>
      </c>
      <c r="Z128" s="20">
        <f t="shared" si="16"/>
        <v>0</v>
      </c>
    </row>
    <row r="129" spans="1:26" x14ac:dyDescent="0.2">
      <c r="A129" s="20" t="str">
        <f t="shared" si="10"/>
        <v/>
      </c>
      <c r="B129" s="20" t="str">
        <f>IF(AND(Exposures!$D66&lt;&gt;"",COUNTA(Exposures!$AE66:$AL66)&gt;0),Exposures!$D66&amp;"/STOP","")</f>
        <v/>
      </c>
      <c r="C129" s="20" t="str">
        <f t="shared" si="17"/>
        <v/>
      </c>
      <c r="D129" s="20" t="str">
        <f>IF(B129="","",Exposures!$A66&amp;"")</f>
        <v/>
      </c>
      <c r="E129" s="20" t="str">
        <f>IF(B129="","",Exposures!$B66&amp;"")</f>
        <v/>
      </c>
      <c r="F129" s="20" t="str">
        <f t="shared" si="11"/>
        <v/>
      </c>
      <c r="G129" s="20" t="str">
        <f>IF(B129="","",Exposures!$D66&amp;"")</f>
        <v/>
      </c>
      <c r="H129" s="20" t="str">
        <f>IF(B129="","",Exposures!$AE66&amp;"")</f>
        <v/>
      </c>
      <c r="I129" s="20" t="str">
        <f>IF(B129="","",Exposures!$AH66&amp;"")</f>
        <v/>
      </c>
      <c r="J129" s="20" t="str">
        <f>IF(B129="","",Exposures!$AN66&amp;"")</f>
        <v/>
      </c>
      <c r="K129" s="20">
        <f>IF(B129="",0,Exposures!$AO66)</f>
        <v>0</v>
      </c>
      <c r="L129" s="20">
        <f>IF(B129="",0,Exposures!$AP66)</f>
        <v>0</v>
      </c>
      <c r="M129" s="20" t="str">
        <f>IF(B129="","",Exposures!$AS66)</f>
        <v/>
      </c>
      <c r="N129" s="20" t="str">
        <f>IF(B129="","",Exposures!$AT66)</f>
        <v/>
      </c>
      <c r="O129" s="27" t="str">
        <f>IF(B129="","",Exposures!$AQ66)</f>
        <v/>
      </c>
      <c r="P129" s="27" t="str">
        <f>IF(B129="","",Exposures!$AR66)</f>
        <v/>
      </c>
      <c r="Q129" s="20" t="str">
        <f t="shared" si="12"/>
        <v/>
      </c>
      <c r="R129" s="20" t="str">
        <f>IF(A129="","",IF(J129&lt;&gt;"",J129,IF(H129="TIMESTAMP",DAY(INT(M129/1440))&amp;" "&amp;INDEX(nLIST_Months,MONTH(INT(M129/1440)))&amp;" "&amp;YEAR(INT(M129/1440))&amp;" "&amp;RIGHT("0"&amp;INT(MOD(M129,1440)/60),2)&amp;":"&amp;RIGHT("0"&amp;MOD(M129,60),2)&amp;IF(L129=1," (UTC"&amp;I129&amp;")"," (offset unknown)"),IF(H129="DATE",DAY(O129)&amp;" "&amp;INDEX(nLIST_Months,MONTH(O129))&amp;" "&amp;YEAR(O129),IF(H129="MONTH",INDEX(nLIST_Months,MONTH(O129))&amp;" "&amp;YEAR(O129)&amp;" ("&amp;DAY(O129)&amp;" "&amp;INDEX(nLIST_Months,MONTH(O129))&amp;" "&amp;YEAR(O129)&amp;" to "&amp;DAY(P129)&amp;" "&amp;INDEX(nLIST_Months,MONTH(P129))&amp;" "&amp;YEAR(P129)&amp;")",IF(H129="YEAR",YEAR(O129)&amp;" (1 January to 31 December)",DAY(O129)&amp;" "&amp;INDEX(nLIST_Months,MONTH(O129))&amp;" "&amp;YEAR(O129)&amp;" to "&amp;DAY(P129)&amp;" "&amp;INDEX(nLIST_Months,MONTH(P129))&amp;" "&amp;YEAR(P129)))))))</f>
        <v/>
      </c>
      <c r="S129" s="20" t="str">
        <f>IF(B129="","",Exposures!$AD66&amp;"")</f>
        <v/>
      </c>
      <c r="T129" s="20" t="str">
        <f>IF(B129="","",Exposures!$AM66&amp;"")</f>
        <v/>
      </c>
      <c r="U129" s="20" t="str">
        <f>IF(B129="","","Exposures row "&amp;ROW(Exposures!$A66)&amp;", Stop")</f>
        <v/>
      </c>
      <c r="V129" s="20">
        <f>IF(A129="",0,COUNTIF(nTP_Key,A129))</f>
        <v>0</v>
      </c>
      <c r="W129" s="20">
        <f t="shared" si="13"/>
        <v>0</v>
      </c>
      <c r="X129" s="20">
        <f t="shared" si="14"/>
        <v>0</v>
      </c>
      <c r="Y129" s="20">
        <f t="shared" si="15"/>
        <v>0</v>
      </c>
      <c r="Z129" s="20">
        <f t="shared" si="16"/>
        <v>0</v>
      </c>
    </row>
    <row r="130" spans="1:26" x14ac:dyDescent="0.2">
      <c r="A130" s="20" t="str">
        <f t="shared" si="10"/>
        <v/>
      </c>
      <c r="B130" s="20" t="str">
        <f>IF(AND(Exposures!$D67&lt;&gt;"",COUNTA(Exposures!$AE67:$AL67)&gt;0),Exposures!$D67&amp;"/STOP","")</f>
        <v/>
      </c>
      <c r="C130" s="20" t="str">
        <f t="shared" si="17"/>
        <v/>
      </c>
      <c r="D130" s="20" t="str">
        <f>IF(B130="","",Exposures!$A67&amp;"")</f>
        <v/>
      </c>
      <c r="E130" s="20" t="str">
        <f>IF(B130="","",Exposures!$B67&amp;"")</f>
        <v/>
      </c>
      <c r="F130" s="20" t="str">
        <f t="shared" si="11"/>
        <v/>
      </c>
      <c r="G130" s="20" t="str">
        <f>IF(B130="","",Exposures!$D67&amp;"")</f>
        <v/>
      </c>
      <c r="H130" s="20" t="str">
        <f>IF(B130="","",Exposures!$AE67&amp;"")</f>
        <v/>
      </c>
      <c r="I130" s="20" t="str">
        <f>IF(B130="","",Exposures!$AH67&amp;"")</f>
        <v/>
      </c>
      <c r="J130" s="20" t="str">
        <f>IF(B130="","",Exposures!$AN67&amp;"")</f>
        <v/>
      </c>
      <c r="K130" s="20">
        <f>IF(B130="",0,Exposures!$AO67)</f>
        <v>0</v>
      </c>
      <c r="L130" s="20">
        <f>IF(B130="",0,Exposures!$AP67)</f>
        <v>0</v>
      </c>
      <c r="M130" s="20" t="str">
        <f>IF(B130="","",Exposures!$AS67)</f>
        <v/>
      </c>
      <c r="N130" s="20" t="str">
        <f>IF(B130="","",Exposures!$AT67)</f>
        <v/>
      </c>
      <c r="O130" s="27" t="str">
        <f>IF(B130="","",Exposures!$AQ67)</f>
        <v/>
      </c>
      <c r="P130" s="27" t="str">
        <f>IF(B130="","",Exposures!$AR67)</f>
        <v/>
      </c>
      <c r="Q130" s="20" t="str">
        <f t="shared" si="12"/>
        <v/>
      </c>
      <c r="R130" s="20" t="str">
        <f>IF(A130="","",IF(J130&lt;&gt;"",J130,IF(H130="TIMESTAMP",DAY(INT(M130/1440))&amp;" "&amp;INDEX(nLIST_Months,MONTH(INT(M130/1440)))&amp;" "&amp;YEAR(INT(M130/1440))&amp;" "&amp;RIGHT("0"&amp;INT(MOD(M130,1440)/60),2)&amp;":"&amp;RIGHT("0"&amp;MOD(M130,60),2)&amp;IF(L130=1," (UTC"&amp;I130&amp;")"," (offset unknown)"),IF(H130="DATE",DAY(O130)&amp;" "&amp;INDEX(nLIST_Months,MONTH(O130))&amp;" "&amp;YEAR(O130),IF(H130="MONTH",INDEX(nLIST_Months,MONTH(O130))&amp;" "&amp;YEAR(O130)&amp;" ("&amp;DAY(O130)&amp;" "&amp;INDEX(nLIST_Months,MONTH(O130))&amp;" "&amp;YEAR(O130)&amp;" to "&amp;DAY(P130)&amp;" "&amp;INDEX(nLIST_Months,MONTH(P130))&amp;" "&amp;YEAR(P130)&amp;")",IF(H130="YEAR",YEAR(O130)&amp;" (1 January to 31 December)",DAY(O130)&amp;" "&amp;INDEX(nLIST_Months,MONTH(O130))&amp;" "&amp;YEAR(O130)&amp;" to "&amp;DAY(P130)&amp;" "&amp;INDEX(nLIST_Months,MONTH(P130))&amp;" "&amp;YEAR(P130)))))))</f>
        <v/>
      </c>
      <c r="S130" s="20" t="str">
        <f>IF(B130="","",Exposures!$AD67&amp;"")</f>
        <v/>
      </c>
      <c r="T130" s="20" t="str">
        <f>IF(B130="","",Exposures!$AM67&amp;"")</f>
        <v/>
      </c>
      <c r="U130" s="20" t="str">
        <f>IF(B130="","","Exposures row "&amp;ROW(Exposures!$A67)&amp;", Stop")</f>
        <v/>
      </c>
      <c r="V130" s="20">
        <f>IF(A130="",0,COUNTIF(nTP_Key,A130))</f>
        <v>0</v>
      </c>
      <c r="W130" s="20">
        <f t="shared" si="13"/>
        <v>0</v>
      </c>
      <c r="X130" s="20">
        <f t="shared" si="14"/>
        <v>0</v>
      </c>
      <c r="Y130" s="20">
        <f t="shared" si="15"/>
        <v>0</v>
      </c>
      <c r="Z130" s="20">
        <f t="shared" si="16"/>
        <v>0</v>
      </c>
    </row>
    <row r="131" spans="1:26" x14ac:dyDescent="0.2">
      <c r="A131" s="20" t="str">
        <f t="shared" si="10"/>
        <v/>
      </c>
      <c r="B131" s="20" t="str">
        <f>IF(AND(Exposures!$D5&lt;&gt;"",COUNTA(Exposures!$AV5:$BC5)&gt;0),Exposures!$D5&amp;"/RESTART","")</f>
        <v/>
      </c>
      <c r="C131" s="20" t="str">
        <f t="shared" ref="C131:C162" si="18">IF(B131="","","EXPOSURE_RESTART")</f>
        <v/>
      </c>
      <c r="D131" s="20" t="str">
        <f>IF(B131="","",Exposures!$A5&amp;"")</f>
        <v/>
      </c>
      <c r="E131" s="20" t="str">
        <f>IF(B131="","",Exposures!$B5&amp;"")</f>
        <v/>
      </c>
      <c r="F131" s="20" t="str">
        <f t="shared" si="11"/>
        <v/>
      </c>
      <c r="G131" s="20" t="str">
        <f>IF(B131="","",Exposures!$D5&amp;"")</f>
        <v/>
      </c>
      <c r="H131" s="20" t="str">
        <f>IF(B131="","",Exposures!$AV5&amp;"")</f>
        <v/>
      </c>
      <c r="I131" s="20" t="str">
        <f>IF(B131="","",Exposures!$AY5&amp;"")</f>
        <v/>
      </c>
      <c r="J131" s="20" t="str">
        <f>IF(B131="","",Exposures!$BE5&amp;"")</f>
        <v/>
      </c>
      <c r="K131" s="20">
        <f>IF(B131="",0,Exposures!$BF5)</f>
        <v>0</v>
      </c>
      <c r="L131" s="20">
        <f>IF(B131="",0,Exposures!$BG5)</f>
        <v>0</v>
      </c>
      <c r="M131" s="20" t="str">
        <f>IF(B131="","",Exposures!$BJ5)</f>
        <v/>
      </c>
      <c r="N131" s="20" t="str">
        <f>IF(B131="","",Exposures!$BK5)</f>
        <v/>
      </c>
      <c r="O131" s="27" t="str">
        <f>IF(B131="","",Exposures!$BH5)</f>
        <v/>
      </c>
      <c r="P131" s="27" t="str">
        <f>IF(B131="","",Exposures!$BI5)</f>
        <v/>
      </c>
      <c r="Q131" s="20" t="str">
        <f t="shared" si="12"/>
        <v/>
      </c>
      <c r="R131" s="20" t="str">
        <f>IF(A131="","",IF(J131&lt;&gt;"",J131,IF(H131="TIMESTAMP",DAY(INT(M131/1440))&amp;" "&amp;INDEX(nLIST_Months,MONTH(INT(M131/1440)))&amp;" "&amp;YEAR(INT(M131/1440))&amp;" "&amp;RIGHT("0"&amp;INT(MOD(M131,1440)/60),2)&amp;":"&amp;RIGHT("0"&amp;MOD(M131,60),2)&amp;IF(L131=1," (UTC"&amp;I131&amp;")"," (offset unknown)"),IF(H131="DATE",DAY(O131)&amp;" "&amp;INDEX(nLIST_Months,MONTH(O131))&amp;" "&amp;YEAR(O131),IF(H131="MONTH",INDEX(nLIST_Months,MONTH(O131))&amp;" "&amp;YEAR(O131)&amp;" ("&amp;DAY(O131)&amp;" "&amp;INDEX(nLIST_Months,MONTH(O131))&amp;" "&amp;YEAR(O131)&amp;" to "&amp;DAY(P131)&amp;" "&amp;INDEX(nLIST_Months,MONTH(P131))&amp;" "&amp;YEAR(P131)&amp;")",IF(H131="YEAR",YEAR(O131)&amp;" (1 January to 31 December)",DAY(O131)&amp;" "&amp;INDEX(nLIST_Months,MONTH(O131))&amp;" "&amp;YEAR(O131)&amp;" to "&amp;DAY(P131)&amp;" "&amp;INDEX(nLIST_Months,MONTH(P131))&amp;" "&amp;YEAR(P131)))))))</f>
        <v/>
      </c>
      <c r="S131" s="20" t="str">
        <f>IF(B131="","",Exposures!$AU5&amp;"")</f>
        <v/>
      </c>
      <c r="T131" s="20" t="str">
        <f>IF(B131="","",Exposures!$BD5&amp;"")</f>
        <v/>
      </c>
      <c r="U131" s="20" t="str">
        <f>IF(B131="","","Exposures row "&amp;ROW(Exposures!$A5)&amp;", Restart")</f>
        <v/>
      </c>
      <c r="V131" s="20">
        <f>IF(A131="",0,COUNTIF(nTP_Key,A131))</f>
        <v>0</v>
      </c>
      <c r="W131" s="20">
        <f t="shared" si="13"/>
        <v>0</v>
      </c>
      <c r="X131" s="20">
        <f t="shared" si="14"/>
        <v>0</v>
      </c>
      <c r="Y131" s="20">
        <f t="shared" si="15"/>
        <v>0</v>
      </c>
      <c r="Z131" s="20">
        <f t="shared" si="16"/>
        <v>0</v>
      </c>
    </row>
    <row r="132" spans="1:26" x14ac:dyDescent="0.2">
      <c r="A132" s="20" t="str">
        <f t="shared" si="10"/>
        <v/>
      </c>
      <c r="B132" s="20" t="str">
        <f>IF(AND(Exposures!$D6&lt;&gt;"",COUNTA(Exposures!$AV6:$BC6)&gt;0),Exposures!$D6&amp;"/RESTART","")</f>
        <v/>
      </c>
      <c r="C132" s="20" t="str">
        <f t="shared" si="18"/>
        <v/>
      </c>
      <c r="D132" s="20" t="str">
        <f>IF(B132="","",Exposures!$A6&amp;"")</f>
        <v/>
      </c>
      <c r="E132" s="20" t="str">
        <f>IF(B132="","",Exposures!$B6&amp;"")</f>
        <v/>
      </c>
      <c r="F132" s="20" t="str">
        <f t="shared" si="11"/>
        <v/>
      </c>
      <c r="G132" s="20" t="str">
        <f>IF(B132="","",Exposures!$D6&amp;"")</f>
        <v/>
      </c>
      <c r="H132" s="20" t="str">
        <f>IF(B132="","",Exposures!$AV6&amp;"")</f>
        <v/>
      </c>
      <c r="I132" s="20" t="str">
        <f>IF(B132="","",Exposures!$AY6&amp;"")</f>
        <v/>
      </c>
      <c r="J132" s="20" t="str">
        <f>IF(B132="","",Exposures!$BE6&amp;"")</f>
        <v/>
      </c>
      <c r="K132" s="20">
        <f>IF(B132="",0,Exposures!$BF6)</f>
        <v>0</v>
      </c>
      <c r="L132" s="20">
        <f>IF(B132="",0,Exposures!$BG6)</f>
        <v>0</v>
      </c>
      <c r="M132" s="20" t="str">
        <f>IF(B132="","",Exposures!$BJ6)</f>
        <v/>
      </c>
      <c r="N132" s="20" t="str">
        <f>IF(B132="","",Exposures!$BK6)</f>
        <v/>
      </c>
      <c r="O132" s="27" t="str">
        <f>IF(B132="","",Exposures!$BH6)</f>
        <v/>
      </c>
      <c r="P132" s="27" t="str">
        <f>IF(B132="","",Exposures!$BI6)</f>
        <v/>
      </c>
      <c r="Q132" s="20" t="str">
        <f t="shared" si="12"/>
        <v/>
      </c>
      <c r="R132" s="20" t="str">
        <f>IF(A132="","",IF(J132&lt;&gt;"",J132,IF(H132="TIMESTAMP",DAY(INT(M132/1440))&amp;" "&amp;INDEX(nLIST_Months,MONTH(INT(M132/1440)))&amp;" "&amp;YEAR(INT(M132/1440))&amp;" "&amp;RIGHT("0"&amp;INT(MOD(M132,1440)/60),2)&amp;":"&amp;RIGHT("0"&amp;MOD(M132,60),2)&amp;IF(L132=1," (UTC"&amp;I132&amp;")"," (offset unknown)"),IF(H132="DATE",DAY(O132)&amp;" "&amp;INDEX(nLIST_Months,MONTH(O132))&amp;" "&amp;YEAR(O132),IF(H132="MONTH",INDEX(nLIST_Months,MONTH(O132))&amp;" "&amp;YEAR(O132)&amp;" ("&amp;DAY(O132)&amp;" "&amp;INDEX(nLIST_Months,MONTH(O132))&amp;" "&amp;YEAR(O132)&amp;" to "&amp;DAY(P132)&amp;" "&amp;INDEX(nLIST_Months,MONTH(P132))&amp;" "&amp;YEAR(P132)&amp;")",IF(H132="YEAR",YEAR(O132)&amp;" (1 January to 31 December)",DAY(O132)&amp;" "&amp;INDEX(nLIST_Months,MONTH(O132))&amp;" "&amp;YEAR(O132)&amp;" to "&amp;DAY(P132)&amp;" "&amp;INDEX(nLIST_Months,MONTH(P132))&amp;" "&amp;YEAR(P132)))))))</f>
        <v/>
      </c>
      <c r="S132" s="20" t="str">
        <f>IF(B132="","",Exposures!$AU6&amp;"")</f>
        <v/>
      </c>
      <c r="T132" s="20" t="str">
        <f>IF(B132="","",Exposures!$BD6&amp;"")</f>
        <v/>
      </c>
      <c r="U132" s="20" t="str">
        <f>IF(B132="","","Exposures row "&amp;ROW(Exposures!$A6)&amp;", Restart")</f>
        <v/>
      </c>
      <c r="V132" s="20">
        <f>IF(A132="",0,COUNTIF(nTP_Key,A132))</f>
        <v>0</v>
      </c>
      <c r="W132" s="20">
        <f t="shared" si="13"/>
        <v>0</v>
      </c>
      <c r="X132" s="20">
        <f t="shared" si="14"/>
        <v>0</v>
      </c>
      <c r="Y132" s="20">
        <f t="shared" si="15"/>
        <v>0</v>
      </c>
      <c r="Z132" s="20">
        <f t="shared" si="16"/>
        <v>0</v>
      </c>
    </row>
    <row r="133" spans="1:26" x14ac:dyDescent="0.2">
      <c r="A133" s="20" t="str">
        <f t="shared" ref="A133:A196" si="19">IF(B133="","",F133&amp;"|"&amp;B133)</f>
        <v/>
      </c>
      <c r="B133" s="20" t="str">
        <f>IF(AND(Exposures!$D7&lt;&gt;"",COUNTA(Exposures!$AV7:$BC7)&gt;0),Exposures!$D7&amp;"/RESTART","")</f>
        <v/>
      </c>
      <c r="C133" s="20" t="str">
        <f t="shared" si="18"/>
        <v/>
      </c>
      <c r="D133" s="20" t="str">
        <f>IF(B133="","",Exposures!$A7&amp;"")</f>
        <v/>
      </c>
      <c r="E133" s="20" t="str">
        <f>IF(B133="","",Exposures!$B7&amp;"")</f>
        <v/>
      </c>
      <c r="F133" s="20" t="str">
        <f t="shared" ref="F133:F196" si="20">IF(B133="","",D133&amp;"|"&amp;E133)</f>
        <v/>
      </c>
      <c r="G133" s="20" t="str">
        <f>IF(B133="","",Exposures!$D7&amp;"")</f>
        <v/>
      </c>
      <c r="H133" s="20" t="str">
        <f>IF(B133="","",Exposures!$AV7&amp;"")</f>
        <v/>
      </c>
      <c r="I133" s="20" t="str">
        <f>IF(B133="","",Exposures!$AY7&amp;"")</f>
        <v/>
      </c>
      <c r="J133" s="20" t="str">
        <f>IF(B133="","",Exposures!$BE7&amp;"")</f>
        <v/>
      </c>
      <c r="K133" s="20">
        <f>IF(B133="",0,Exposures!$BF7)</f>
        <v>0</v>
      </c>
      <c r="L133" s="20">
        <f>IF(B133="",0,Exposures!$BG7)</f>
        <v>0</v>
      </c>
      <c r="M133" s="20" t="str">
        <f>IF(B133="","",Exposures!$BJ7)</f>
        <v/>
      </c>
      <c r="N133" s="20" t="str">
        <f>IF(B133="","",Exposures!$BK7)</f>
        <v/>
      </c>
      <c r="O133" s="27" t="str">
        <f>IF(B133="","",Exposures!$BH7)</f>
        <v/>
      </c>
      <c r="P133" s="27" t="str">
        <f>IF(B133="","",Exposures!$BI7)</f>
        <v/>
      </c>
      <c r="Q133" s="20" t="str">
        <f t="shared" ref="Q133:Q196" si="21">IF(OR(A133="",J133&lt;&gt;""),"",IF(H133="TIMESTAMP",YEAR(INT(M133/1440))&amp;"-"&amp;RIGHT("0"&amp;MONTH(INT(M133/1440)),2)&amp;"-"&amp;RIGHT("0"&amp;DAY(INT(M133/1440)),2)&amp;"T"&amp;RIGHT("0"&amp;INT(MOD(M133,1440)/60),2)&amp;":"&amp;RIGHT("0"&amp;MOD(M133,60),2)&amp;IF(L133=1,I133,""),IF(H133="DATE",YEAR(O133)&amp;"-"&amp;RIGHT("0"&amp;MONTH(O133),2)&amp;"-"&amp;RIGHT("0"&amp;DAY(O133),2),IF(H133="MONTH",YEAR(O133)&amp;"-"&amp;RIGHT("0"&amp;MONTH(O133),2),IF(H133="YEAR",YEAR(O133)&amp;"",YEAR(O133)&amp;"-"&amp;RIGHT("0"&amp;MONTH(O133),2)&amp;"-"&amp;RIGHT("0"&amp;DAY(O133),2)&amp;"/"&amp;YEAR(P133)&amp;"-"&amp;RIGHT("0"&amp;MONTH(P133),2)&amp;"-"&amp;RIGHT("0"&amp;DAY(P133),2))))))</f>
        <v/>
      </c>
      <c r="R133" s="20" t="str">
        <f>IF(A133="","",IF(J133&lt;&gt;"",J133,IF(H133="TIMESTAMP",DAY(INT(M133/1440))&amp;" "&amp;INDEX(nLIST_Months,MONTH(INT(M133/1440)))&amp;" "&amp;YEAR(INT(M133/1440))&amp;" "&amp;RIGHT("0"&amp;INT(MOD(M133,1440)/60),2)&amp;":"&amp;RIGHT("0"&amp;MOD(M133,60),2)&amp;IF(L133=1," (UTC"&amp;I133&amp;")"," (offset unknown)"),IF(H133="DATE",DAY(O133)&amp;" "&amp;INDEX(nLIST_Months,MONTH(O133))&amp;" "&amp;YEAR(O133),IF(H133="MONTH",INDEX(nLIST_Months,MONTH(O133))&amp;" "&amp;YEAR(O133)&amp;" ("&amp;DAY(O133)&amp;" "&amp;INDEX(nLIST_Months,MONTH(O133))&amp;" "&amp;YEAR(O133)&amp;" to "&amp;DAY(P133)&amp;" "&amp;INDEX(nLIST_Months,MONTH(P133))&amp;" "&amp;YEAR(P133)&amp;")",IF(H133="YEAR",YEAR(O133)&amp;" (1 January to 31 December)",DAY(O133)&amp;" "&amp;INDEX(nLIST_Months,MONTH(O133))&amp;" "&amp;YEAR(O133)&amp;" to "&amp;DAY(P133)&amp;" "&amp;INDEX(nLIST_Months,MONTH(P133))&amp;" "&amp;YEAR(P133)))))))</f>
        <v/>
      </c>
      <c r="S133" s="20" t="str">
        <f>IF(B133="","",Exposures!$AU7&amp;"")</f>
        <v/>
      </c>
      <c r="T133" s="20" t="str">
        <f>IF(B133="","",Exposures!$BD7&amp;"")</f>
        <v/>
      </c>
      <c r="U133" s="20" t="str">
        <f>IF(B133="","","Exposures row "&amp;ROW(Exposures!$A7)&amp;", Restart")</f>
        <v/>
      </c>
      <c r="V133" s="20">
        <f>IF(A133="",0,COUNTIF(nTP_Key,A133))</f>
        <v>0</v>
      </c>
      <c r="W133" s="20">
        <f t="shared" ref="W133:W196" si="22">IF(M133="",0,M133)</f>
        <v>0</v>
      </c>
      <c r="X133" s="20">
        <f t="shared" ref="X133:X196" si="23">IF(N133="",0,N133)</f>
        <v>0</v>
      </c>
      <c r="Y133" s="20">
        <f t="shared" ref="Y133:Y196" si="24">IF(O133="",0,O133)</f>
        <v>0</v>
      </c>
      <c r="Z133" s="20">
        <f t="shared" ref="Z133:Z196" si="25">IF(P133="",0,P133)</f>
        <v>0</v>
      </c>
    </row>
    <row r="134" spans="1:26" x14ac:dyDescent="0.2">
      <c r="A134" s="20" t="str">
        <f t="shared" si="19"/>
        <v/>
      </c>
      <c r="B134" s="20" t="str">
        <f>IF(AND(Exposures!$D8&lt;&gt;"",COUNTA(Exposures!$AV8:$BC8)&gt;0),Exposures!$D8&amp;"/RESTART","")</f>
        <v/>
      </c>
      <c r="C134" s="20" t="str">
        <f t="shared" si="18"/>
        <v/>
      </c>
      <c r="D134" s="20" t="str">
        <f>IF(B134="","",Exposures!$A8&amp;"")</f>
        <v/>
      </c>
      <c r="E134" s="20" t="str">
        <f>IF(B134="","",Exposures!$B8&amp;"")</f>
        <v/>
      </c>
      <c r="F134" s="20" t="str">
        <f t="shared" si="20"/>
        <v/>
      </c>
      <c r="G134" s="20" t="str">
        <f>IF(B134="","",Exposures!$D8&amp;"")</f>
        <v/>
      </c>
      <c r="H134" s="20" t="str">
        <f>IF(B134="","",Exposures!$AV8&amp;"")</f>
        <v/>
      </c>
      <c r="I134" s="20" t="str">
        <f>IF(B134="","",Exposures!$AY8&amp;"")</f>
        <v/>
      </c>
      <c r="J134" s="20" t="str">
        <f>IF(B134="","",Exposures!$BE8&amp;"")</f>
        <v/>
      </c>
      <c r="K134" s="20">
        <f>IF(B134="",0,Exposures!$BF8)</f>
        <v>0</v>
      </c>
      <c r="L134" s="20">
        <f>IF(B134="",0,Exposures!$BG8)</f>
        <v>0</v>
      </c>
      <c r="M134" s="20" t="str">
        <f>IF(B134="","",Exposures!$BJ8)</f>
        <v/>
      </c>
      <c r="N134" s="20" t="str">
        <f>IF(B134="","",Exposures!$BK8)</f>
        <v/>
      </c>
      <c r="O134" s="27" t="str">
        <f>IF(B134="","",Exposures!$BH8)</f>
        <v/>
      </c>
      <c r="P134" s="27" t="str">
        <f>IF(B134="","",Exposures!$BI8)</f>
        <v/>
      </c>
      <c r="Q134" s="20" t="str">
        <f t="shared" si="21"/>
        <v/>
      </c>
      <c r="R134" s="20" t="str">
        <f>IF(A134="","",IF(J134&lt;&gt;"",J134,IF(H134="TIMESTAMP",DAY(INT(M134/1440))&amp;" "&amp;INDEX(nLIST_Months,MONTH(INT(M134/1440)))&amp;" "&amp;YEAR(INT(M134/1440))&amp;" "&amp;RIGHT("0"&amp;INT(MOD(M134,1440)/60),2)&amp;":"&amp;RIGHT("0"&amp;MOD(M134,60),2)&amp;IF(L134=1," (UTC"&amp;I134&amp;")"," (offset unknown)"),IF(H134="DATE",DAY(O134)&amp;" "&amp;INDEX(nLIST_Months,MONTH(O134))&amp;" "&amp;YEAR(O134),IF(H134="MONTH",INDEX(nLIST_Months,MONTH(O134))&amp;" "&amp;YEAR(O134)&amp;" ("&amp;DAY(O134)&amp;" "&amp;INDEX(nLIST_Months,MONTH(O134))&amp;" "&amp;YEAR(O134)&amp;" to "&amp;DAY(P134)&amp;" "&amp;INDEX(nLIST_Months,MONTH(P134))&amp;" "&amp;YEAR(P134)&amp;")",IF(H134="YEAR",YEAR(O134)&amp;" (1 January to 31 December)",DAY(O134)&amp;" "&amp;INDEX(nLIST_Months,MONTH(O134))&amp;" "&amp;YEAR(O134)&amp;" to "&amp;DAY(P134)&amp;" "&amp;INDEX(nLIST_Months,MONTH(P134))&amp;" "&amp;YEAR(P134)))))))</f>
        <v/>
      </c>
      <c r="S134" s="20" t="str">
        <f>IF(B134="","",Exposures!$AU8&amp;"")</f>
        <v/>
      </c>
      <c r="T134" s="20" t="str">
        <f>IF(B134="","",Exposures!$BD8&amp;"")</f>
        <v/>
      </c>
      <c r="U134" s="20" t="str">
        <f>IF(B134="","","Exposures row "&amp;ROW(Exposures!$A8)&amp;", Restart")</f>
        <v/>
      </c>
      <c r="V134" s="20">
        <f>IF(A134="",0,COUNTIF(nTP_Key,A134))</f>
        <v>0</v>
      </c>
      <c r="W134" s="20">
        <f t="shared" si="22"/>
        <v>0</v>
      </c>
      <c r="X134" s="20">
        <f t="shared" si="23"/>
        <v>0</v>
      </c>
      <c r="Y134" s="20">
        <f t="shared" si="24"/>
        <v>0</v>
      </c>
      <c r="Z134" s="20">
        <f t="shared" si="25"/>
        <v>0</v>
      </c>
    </row>
    <row r="135" spans="1:26" x14ac:dyDescent="0.2">
      <c r="A135" s="20" t="str">
        <f t="shared" si="19"/>
        <v/>
      </c>
      <c r="B135" s="20" t="str">
        <f>IF(AND(Exposures!$D9&lt;&gt;"",COUNTA(Exposures!$AV9:$BC9)&gt;0),Exposures!$D9&amp;"/RESTART","")</f>
        <v/>
      </c>
      <c r="C135" s="20" t="str">
        <f t="shared" si="18"/>
        <v/>
      </c>
      <c r="D135" s="20" t="str">
        <f>IF(B135="","",Exposures!$A9&amp;"")</f>
        <v/>
      </c>
      <c r="E135" s="20" t="str">
        <f>IF(B135="","",Exposures!$B9&amp;"")</f>
        <v/>
      </c>
      <c r="F135" s="20" t="str">
        <f t="shared" si="20"/>
        <v/>
      </c>
      <c r="G135" s="20" t="str">
        <f>IF(B135="","",Exposures!$D9&amp;"")</f>
        <v/>
      </c>
      <c r="H135" s="20" t="str">
        <f>IF(B135="","",Exposures!$AV9&amp;"")</f>
        <v/>
      </c>
      <c r="I135" s="20" t="str">
        <f>IF(B135="","",Exposures!$AY9&amp;"")</f>
        <v/>
      </c>
      <c r="J135" s="20" t="str">
        <f>IF(B135="","",Exposures!$BE9&amp;"")</f>
        <v/>
      </c>
      <c r="K135" s="20">
        <f>IF(B135="",0,Exposures!$BF9)</f>
        <v>0</v>
      </c>
      <c r="L135" s="20">
        <f>IF(B135="",0,Exposures!$BG9)</f>
        <v>0</v>
      </c>
      <c r="M135" s="20" t="str">
        <f>IF(B135="","",Exposures!$BJ9)</f>
        <v/>
      </c>
      <c r="N135" s="20" t="str">
        <f>IF(B135="","",Exposures!$BK9)</f>
        <v/>
      </c>
      <c r="O135" s="27" t="str">
        <f>IF(B135="","",Exposures!$BH9)</f>
        <v/>
      </c>
      <c r="P135" s="27" t="str">
        <f>IF(B135="","",Exposures!$BI9)</f>
        <v/>
      </c>
      <c r="Q135" s="20" t="str">
        <f t="shared" si="21"/>
        <v/>
      </c>
      <c r="R135" s="20" t="str">
        <f>IF(A135="","",IF(J135&lt;&gt;"",J135,IF(H135="TIMESTAMP",DAY(INT(M135/1440))&amp;" "&amp;INDEX(nLIST_Months,MONTH(INT(M135/1440)))&amp;" "&amp;YEAR(INT(M135/1440))&amp;" "&amp;RIGHT("0"&amp;INT(MOD(M135,1440)/60),2)&amp;":"&amp;RIGHT("0"&amp;MOD(M135,60),2)&amp;IF(L135=1," (UTC"&amp;I135&amp;")"," (offset unknown)"),IF(H135="DATE",DAY(O135)&amp;" "&amp;INDEX(nLIST_Months,MONTH(O135))&amp;" "&amp;YEAR(O135),IF(H135="MONTH",INDEX(nLIST_Months,MONTH(O135))&amp;" "&amp;YEAR(O135)&amp;" ("&amp;DAY(O135)&amp;" "&amp;INDEX(nLIST_Months,MONTH(O135))&amp;" "&amp;YEAR(O135)&amp;" to "&amp;DAY(P135)&amp;" "&amp;INDEX(nLIST_Months,MONTH(P135))&amp;" "&amp;YEAR(P135)&amp;")",IF(H135="YEAR",YEAR(O135)&amp;" (1 January to 31 December)",DAY(O135)&amp;" "&amp;INDEX(nLIST_Months,MONTH(O135))&amp;" "&amp;YEAR(O135)&amp;" to "&amp;DAY(P135)&amp;" "&amp;INDEX(nLIST_Months,MONTH(P135))&amp;" "&amp;YEAR(P135)))))))</f>
        <v/>
      </c>
      <c r="S135" s="20" t="str">
        <f>IF(B135="","",Exposures!$AU9&amp;"")</f>
        <v/>
      </c>
      <c r="T135" s="20" t="str">
        <f>IF(B135="","",Exposures!$BD9&amp;"")</f>
        <v/>
      </c>
      <c r="U135" s="20" t="str">
        <f>IF(B135="","","Exposures row "&amp;ROW(Exposures!$A9)&amp;", Restart")</f>
        <v/>
      </c>
      <c r="V135" s="20">
        <f>IF(A135="",0,COUNTIF(nTP_Key,A135))</f>
        <v>0</v>
      </c>
      <c r="W135" s="20">
        <f t="shared" si="22"/>
        <v>0</v>
      </c>
      <c r="X135" s="20">
        <f t="shared" si="23"/>
        <v>0</v>
      </c>
      <c r="Y135" s="20">
        <f t="shared" si="24"/>
        <v>0</v>
      </c>
      <c r="Z135" s="20">
        <f t="shared" si="25"/>
        <v>0</v>
      </c>
    </row>
    <row r="136" spans="1:26" x14ac:dyDescent="0.2">
      <c r="A136" s="20" t="str">
        <f t="shared" si="19"/>
        <v/>
      </c>
      <c r="B136" s="20" t="str">
        <f>IF(AND(Exposures!$D10&lt;&gt;"",COUNTA(Exposures!$AV10:$BC10)&gt;0),Exposures!$D10&amp;"/RESTART","")</f>
        <v/>
      </c>
      <c r="C136" s="20" t="str">
        <f t="shared" si="18"/>
        <v/>
      </c>
      <c r="D136" s="20" t="str">
        <f>IF(B136="","",Exposures!$A10&amp;"")</f>
        <v/>
      </c>
      <c r="E136" s="20" t="str">
        <f>IF(B136="","",Exposures!$B10&amp;"")</f>
        <v/>
      </c>
      <c r="F136" s="20" t="str">
        <f t="shared" si="20"/>
        <v/>
      </c>
      <c r="G136" s="20" t="str">
        <f>IF(B136="","",Exposures!$D10&amp;"")</f>
        <v/>
      </c>
      <c r="H136" s="20" t="str">
        <f>IF(B136="","",Exposures!$AV10&amp;"")</f>
        <v/>
      </c>
      <c r="I136" s="20" t="str">
        <f>IF(B136="","",Exposures!$AY10&amp;"")</f>
        <v/>
      </c>
      <c r="J136" s="20" t="str">
        <f>IF(B136="","",Exposures!$BE10&amp;"")</f>
        <v/>
      </c>
      <c r="K136" s="20">
        <f>IF(B136="",0,Exposures!$BF10)</f>
        <v>0</v>
      </c>
      <c r="L136" s="20">
        <f>IF(B136="",0,Exposures!$BG10)</f>
        <v>0</v>
      </c>
      <c r="M136" s="20" t="str">
        <f>IF(B136="","",Exposures!$BJ10)</f>
        <v/>
      </c>
      <c r="N136" s="20" t="str">
        <f>IF(B136="","",Exposures!$BK10)</f>
        <v/>
      </c>
      <c r="O136" s="27" t="str">
        <f>IF(B136="","",Exposures!$BH10)</f>
        <v/>
      </c>
      <c r="P136" s="27" t="str">
        <f>IF(B136="","",Exposures!$BI10)</f>
        <v/>
      </c>
      <c r="Q136" s="20" t="str">
        <f t="shared" si="21"/>
        <v/>
      </c>
      <c r="R136" s="20" t="str">
        <f>IF(A136="","",IF(J136&lt;&gt;"",J136,IF(H136="TIMESTAMP",DAY(INT(M136/1440))&amp;" "&amp;INDEX(nLIST_Months,MONTH(INT(M136/1440)))&amp;" "&amp;YEAR(INT(M136/1440))&amp;" "&amp;RIGHT("0"&amp;INT(MOD(M136,1440)/60),2)&amp;":"&amp;RIGHT("0"&amp;MOD(M136,60),2)&amp;IF(L136=1," (UTC"&amp;I136&amp;")"," (offset unknown)"),IF(H136="DATE",DAY(O136)&amp;" "&amp;INDEX(nLIST_Months,MONTH(O136))&amp;" "&amp;YEAR(O136),IF(H136="MONTH",INDEX(nLIST_Months,MONTH(O136))&amp;" "&amp;YEAR(O136)&amp;" ("&amp;DAY(O136)&amp;" "&amp;INDEX(nLIST_Months,MONTH(O136))&amp;" "&amp;YEAR(O136)&amp;" to "&amp;DAY(P136)&amp;" "&amp;INDEX(nLIST_Months,MONTH(P136))&amp;" "&amp;YEAR(P136)&amp;")",IF(H136="YEAR",YEAR(O136)&amp;" (1 January to 31 December)",DAY(O136)&amp;" "&amp;INDEX(nLIST_Months,MONTH(O136))&amp;" "&amp;YEAR(O136)&amp;" to "&amp;DAY(P136)&amp;" "&amp;INDEX(nLIST_Months,MONTH(P136))&amp;" "&amp;YEAR(P136)))))))</f>
        <v/>
      </c>
      <c r="S136" s="20" t="str">
        <f>IF(B136="","",Exposures!$AU10&amp;"")</f>
        <v/>
      </c>
      <c r="T136" s="20" t="str">
        <f>IF(B136="","",Exposures!$BD10&amp;"")</f>
        <v/>
      </c>
      <c r="U136" s="20" t="str">
        <f>IF(B136="","","Exposures row "&amp;ROW(Exposures!$A10)&amp;", Restart")</f>
        <v/>
      </c>
      <c r="V136" s="20">
        <f>IF(A136="",0,COUNTIF(nTP_Key,A136))</f>
        <v>0</v>
      </c>
      <c r="W136" s="20">
        <f t="shared" si="22"/>
        <v>0</v>
      </c>
      <c r="X136" s="20">
        <f t="shared" si="23"/>
        <v>0</v>
      </c>
      <c r="Y136" s="20">
        <f t="shared" si="24"/>
        <v>0</v>
      </c>
      <c r="Z136" s="20">
        <f t="shared" si="25"/>
        <v>0</v>
      </c>
    </row>
    <row r="137" spans="1:26" x14ac:dyDescent="0.2">
      <c r="A137" s="20" t="str">
        <f t="shared" si="19"/>
        <v/>
      </c>
      <c r="B137" s="20" t="str">
        <f>IF(AND(Exposures!$D11&lt;&gt;"",COUNTA(Exposures!$AV11:$BC11)&gt;0),Exposures!$D11&amp;"/RESTART","")</f>
        <v/>
      </c>
      <c r="C137" s="20" t="str">
        <f t="shared" si="18"/>
        <v/>
      </c>
      <c r="D137" s="20" t="str">
        <f>IF(B137="","",Exposures!$A11&amp;"")</f>
        <v/>
      </c>
      <c r="E137" s="20" t="str">
        <f>IF(B137="","",Exposures!$B11&amp;"")</f>
        <v/>
      </c>
      <c r="F137" s="20" t="str">
        <f t="shared" si="20"/>
        <v/>
      </c>
      <c r="G137" s="20" t="str">
        <f>IF(B137="","",Exposures!$D11&amp;"")</f>
        <v/>
      </c>
      <c r="H137" s="20" t="str">
        <f>IF(B137="","",Exposures!$AV11&amp;"")</f>
        <v/>
      </c>
      <c r="I137" s="20" t="str">
        <f>IF(B137="","",Exposures!$AY11&amp;"")</f>
        <v/>
      </c>
      <c r="J137" s="20" t="str">
        <f>IF(B137="","",Exposures!$BE11&amp;"")</f>
        <v/>
      </c>
      <c r="K137" s="20">
        <f>IF(B137="",0,Exposures!$BF11)</f>
        <v>0</v>
      </c>
      <c r="L137" s="20">
        <f>IF(B137="",0,Exposures!$BG11)</f>
        <v>0</v>
      </c>
      <c r="M137" s="20" t="str">
        <f>IF(B137="","",Exposures!$BJ11)</f>
        <v/>
      </c>
      <c r="N137" s="20" t="str">
        <f>IF(B137="","",Exposures!$BK11)</f>
        <v/>
      </c>
      <c r="O137" s="27" t="str">
        <f>IF(B137="","",Exposures!$BH11)</f>
        <v/>
      </c>
      <c r="P137" s="27" t="str">
        <f>IF(B137="","",Exposures!$BI11)</f>
        <v/>
      </c>
      <c r="Q137" s="20" t="str">
        <f t="shared" si="21"/>
        <v/>
      </c>
      <c r="R137" s="20" t="str">
        <f>IF(A137="","",IF(J137&lt;&gt;"",J137,IF(H137="TIMESTAMP",DAY(INT(M137/1440))&amp;" "&amp;INDEX(nLIST_Months,MONTH(INT(M137/1440)))&amp;" "&amp;YEAR(INT(M137/1440))&amp;" "&amp;RIGHT("0"&amp;INT(MOD(M137,1440)/60),2)&amp;":"&amp;RIGHT("0"&amp;MOD(M137,60),2)&amp;IF(L137=1," (UTC"&amp;I137&amp;")"," (offset unknown)"),IF(H137="DATE",DAY(O137)&amp;" "&amp;INDEX(nLIST_Months,MONTH(O137))&amp;" "&amp;YEAR(O137),IF(H137="MONTH",INDEX(nLIST_Months,MONTH(O137))&amp;" "&amp;YEAR(O137)&amp;" ("&amp;DAY(O137)&amp;" "&amp;INDEX(nLIST_Months,MONTH(O137))&amp;" "&amp;YEAR(O137)&amp;" to "&amp;DAY(P137)&amp;" "&amp;INDEX(nLIST_Months,MONTH(P137))&amp;" "&amp;YEAR(P137)&amp;")",IF(H137="YEAR",YEAR(O137)&amp;" (1 January to 31 December)",DAY(O137)&amp;" "&amp;INDEX(nLIST_Months,MONTH(O137))&amp;" "&amp;YEAR(O137)&amp;" to "&amp;DAY(P137)&amp;" "&amp;INDEX(nLIST_Months,MONTH(P137))&amp;" "&amp;YEAR(P137)))))))</f>
        <v/>
      </c>
      <c r="S137" s="20" t="str">
        <f>IF(B137="","",Exposures!$AU11&amp;"")</f>
        <v/>
      </c>
      <c r="T137" s="20" t="str">
        <f>IF(B137="","",Exposures!$BD11&amp;"")</f>
        <v/>
      </c>
      <c r="U137" s="20" t="str">
        <f>IF(B137="","","Exposures row "&amp;ROW(Exposures!$A11)&amp;", Restart")</f>
        <v/>
      </c>
      <c r="V137" s="20">
        <f>IF(A137="",0,COUNTIF(nTP_Key,A137))</f>
        <v>0</v>
      </c>
      <c r="W137" s="20">
        <f t="shared" si="22"/>
        <v>0</v>
      </c>
      <c r="X137" s="20">
        <f t="shared" si="23"/>
        <v>0</v>
      </c>
      <c r="Y137" s="20">
        <f t="shared" si="24"/>
        <v>0</v>
      </c>
      <c r="Z137" s="20">
        <f t="shared" si="25"/>
        <v>0</v>
      </c>
    </row>
    <row r="138" spans="1:26" x14ac:dyDescent="0.2">
      <c r="A138" s="20" t="str">
        <f t="shared" si="19"/>
        <v/>
      </c>
      <c r="B138" s="20" t="str">
        <f>IF(AND(Exposures!$D12&lt;&gt;"",COUNTA(Exposures!$AV12:$BC12)&gt;0),Exposures!$D12&amp;"/RESTART","")</f>
        <v/>
      </c>
      <c r="C138" s="20" t="str">
        <f t="shared" si="18"/>
        <v/>
      </c>
      <c r="D138" s="20" t="str">
        <f>IF(B138="","",Exposures!$A12&amp;"")</f>
        <v/>
      </c>
      <c r="E138" s="20" t="str">
        <f>IF(B138="","",Exposures!$B12&amp;"")</f>
        <v/>
      </c>
      <c r="F138" s="20" t="str">
        <f t="shared" si="20"/>
        <v/>
      </c>
      <c r="G138" s="20" t="str">
        <f>IF(B138="","",Exposures!$D12&amp;"")</f>
        <v/>
      </c>
      <c r="H138" s="20" t="str">
        <f>IF(B138="","",Exposures!$AV12&amp;"")</f>
        <v/>
      </c>
      <c r="I138" s="20" t="str">
        <f>IF(B138="","",Exposures!$AY12&amp;"")</f>
        <v/>
      </c>
      <c r="J138" s="20" t="str">
        <f>IF(B138="","",Exposures!$BE12&amp;"")</f>
        <v/>
      </c>
      <c r="K138" s="20">
        <f>IF(B138="",0,Exposures!$BF12)</f>
        <v>0</v>
      </c>
      <c r="L138" s="20">
        <f>IF(B138="",0,Exposures!$BG12)</f>
        <v>0</v>
      </c>
      <c r="M138" s="20" t="str">
        <f>IF(B138="","",Exposures!$BJ12)</f>
        <v/>
      </c>
      <c r="N138" s="20" t="str">
        <f>IF(B138="","",Exposures!$BK12)</f>
        <v/>
      </c>
      <c r="O138" s="27" t="str">
        <f>IF(B138="","",Exposures!$BH12)</f>
        <v/>
      </c>
      <c r="P138" s="27" t="str">
        <f>IF(B138="","",Exposures!$BI12)</f>
        <v/>
      </c>
      <c r="Q138" s="20" t="str">
        <f t="shared" si="21"/>
        <v/>
      </c>
      <c r="R138" s="20" t="str">
        <f>IF(A138="","",IF(J138&lt;&gt;"",J138,IF(H138="TIMESTAMP",DAY(INT(M138/1440))&amp;" "&amp;INDEX(nLIST_Months,MONTH(INT(M138/1440)))&amp;" "&amp;YEAR(INT(M138/1440))&amp;" "&amp;RIGHT("0"&amp;INT(MOD(M138,1440)/60),2)&amp;":"&amp;RIGHT("0"&amp;MOD(M138,60),2)&amp;IF(L138=1," (UTC"&amp;I138&amp;")"," (offset unknown)"),IF(H138="DATE",DAY(O138)&amp;" "&amp;INDEX(nLIST_Months,MONTH(O138))&amp;" "&amp;YEAR(O138),IF(H138="MONTH",INDEX(nLIST_Months,MONTH(O138))&amp;" "&amp;YEAR(O138)&amp;" ("&amp;DAY(O138)&amp;" "&amp;INDEX(nLIST_Months,MONTH(O138))&amp;" "&amp;YEAR(O138)&amp;" to "&amp;DAY(P138)&amp;" "&amp;INDEX(nLIST_Months,MONTH(P138))&amp;" "&amp;YEAR(P138)&amp;")",IF(H138="YEAR",YEAR(O138)&amp;" (1 January to 31 December)",DAY(O138)&amp;" "&amp;INDEX(nLIST_Months,MONTH(O138))&amp;" "&amp;YEAR(O138)&amp;" to "&amp;DAY(P138)&amp;" "&amp;INDEX(nLIST_Months,MONTH(P138))&amp;" "&amp;YEAR(P138)))))))</f>
        <v/>
      </c>
      <c r="S138" s="20" t="str">
        <f>IF(B138="","",Exposures!$AU12&amp;"")</f>
        <v/>
      </c>
      <c r="T138" s="20" t="str">
        <f>IF(B138="","",Exposures!$BD12&amp;"")</f>
        <v/>
      </c>
      <c r="U138" s="20" t="str">
        <f>IF(B138="","","Exposures row "&amp;ROW(Exposures!$A12)&amp;", Restart")</f>
        <v/>
      </c>
      <c r="V138" s="20">
        <f>IF(A138="",0,COUNTIF(nTP_Key,A138))</f>
        <v>0</v>
      </c>
      <c r="W138" s="20">
        <f t="shared" si="22"/>
        <v>0</v>
      </c>
      <c r="X138" s="20">
        <f t="shared" si="23"/>
        <v>0</v>
      </c>
      <c r="Y138" s="20">
        <f t="shared" si="24"/>
        <v>0</v>
      </c>
      <c r="Z138" s="20">
        <f t="shared" si="25"/>
        <v>0</v>
      </c>
    </row>
    <row r="139" spans="1:26" x14ac:dyDescent="0.2">
      <c r="A139" s="20" t="str">
        <f t="shared" si="19"/>
        <v/>
      </c>
      <c r="B139" s="20" t="str">
        <f>IF(AND(Exposures!$D13&lt;&gt;"",COUNTA(Exposures!$AV13:$BC13)&gt;0),Exposures!$D13&amp;"/RESTART","")</f>
        <v/>
      </c>
      <c r="C139" s="20" t="str">
        <f t="shared" si="18"/>
        <v/>
      </c>
      <c r="D139" s="20" t="str">
        <f>IF(B139="","",Exposures!$A13&amp;"")</f>
        <v/>
      </c>
      <c r="E139" s="20" t="str">
        <f>IF(B139="","",Exposures!$B13&amp;"")</f>
        <v/>
      </c>
      <c r="F139" s="20" t="str">
        <f t="shared" si="20"/>
        <v/>
      </c>
      <c r="G139" s="20" t="str">
        <f>IF(B139="","",Exposures!$D13&amp;"")</f>
        <v/>
      </c>
      <c r="H139" s="20" t="str">
        <f>IF(B139="","",Exposures!$AV13&amp;"")</f>
        <v/>
      </c>
      <c r="I139" s="20" t="str">
        <f>IF(B139="","",Exposures!$AY13&amp;"")</f>
        <v/>
      </c>
      <c r="J139" s="20" t="str">
        <f>IF(B139="","",Exposures!$BE13&amp;"")</f>
        <v/>
      </c>
      <c r="K139" s="20">
        <f>IF(B139="",0,Exposures!$BF13)</f>
        <v>0</v>
      </c>
      <c r="L139" s="20">
        <f>IF(B139="",0,Exposures!$BG13)</f>
        <v>0</v>
      </c>
      <c r="M139" s="20" t="str">
        <f>IF(B139="","",Exposures!$BJ13)</f>
        <v/>
      </c>
      <c r="N139" s="20" t="str">
        <f>IF(B139="","",Exposures!$BK13)</f>
        <v/>
      </c>
      <c r="O139" s="27" t="str">
        <f>IF(B139="","",Exposures!$BH13)</f>
        <v/>
      </c>
      <c r="P139" s="27" t="str">
        <f>IF(B139="","",Exposures!$BI13)</f>
        <v/>
      </c>
      <c r="Q139" s="20" t="str">
        <f t="shared" si="21"/>
        <v/>
      </c>
      <c r="R139" s="20" t="str">
        <f>IF(A139="","",IF(J139&lt;&gt;"",J139,IF(H139="TIMESTAMP",DAY(INT(M139/1440))&amp;" "&amp;INDEX(nLIST_Months,MONTH(INT(M139/1440)))&amp;" "&amp;YEAR(INT(M139/1440))&amp;" "&amp;RIGHT("0"&amp;INT(MOD(M139,1440)/60),2)&amp;":"&amp;RIGHT("0"&amp;MOD(M139,60),2)&amp;IF(L139=1," (UTC"&amp;I139&amp;")"," (offset unknown)"),IF(H139="DATE",DAY(O139)&amp;" "&amp;INDEX(nLIST_Months,MONTH(O139))&amp;" "&amp;YEAR(O139),IF(H139="MONTH",INDEX(nLIST_Months,MONTH(O139))&amp;" "&amp;YEAR(O139)&amp;" ("&amp;DAY(O139)&amp;" "&amp;INDEX(nLIST_Months,MONTH(O139))&amp;" "&amp;YEAR(O139)&amp;" to "&amp;DAY(P139)&amp;" "&amp;INDEX(nLIST_Months,MONTH(P139))&amp;" "&amp;YEAR(P139)&amp;")",IF(H139="YEAR",YEAR(O139)&amp;" (1 January to 31 December)",DAY(O139)&amp;" "&amp;INDEX(nLIST_Months,MONTH(O139))&amp;" "&amp;YEAR(O139)&amp;" to "&amp;DAY(P139)&amp;" "&amp;INDEX(nLIST_Months,MONTH(P139))&amp;" "&amp;YEAR(P139)))))))</f>
        <v/>
      </c>
      <c r="S139" s="20" t="str">
        <f>IF(B139="","",Exposures!$AU13&amp;"")</f>
        <v/>
      </c>
      <c r="T139" s="20" t="str">
        <f>IF(B139="","",Exposures!$BD13&amp;"")</f>
        <v/>
      </c>
      <c r="U139" s="20" t="str">
        <f>IF(B139="","","Exposures row "&amp;ROW(Exposures!$A13)&amp;", Restart")</f>
        <v/>
      </c>
      <c r="V139" s="20">
        <f>IF(A139="",0,COUNTIF(nTP_Key,A139))</f>
        <v>0</v>
      </c>
      <c r="W139" s="20">
        <f t="shared" si="22"/>
        <v>0</v>
      </c>
      <c r="X139" s="20">
        <f t="shared" si="23"/>
        <v>0</v>
      </c>
      <c r="Y139" s="20">
        <f t="shared" si="24"/>
        <v>0</v>
      </c>
      <c r="Z139" s="20">
        <f t="shared" si="25"/>
        <v>0</v>
      </c>
    </row>
    <row r="140" spans="1:26" x14ac:dyDescent="0.2">
      <c r="A140" s="20" t="str">
        <f t="shared" si="19"/>
        <v/>
      </c>
      <c r="B140" s="20" t="str">
        <f>IF(AND(Exposures!$D14&lt;&gt;"",COUNTA(Exposures!$AV14:$BC14)&gt;0),Exposures!$D14&amp;"/RESTART","")</f>
        <v/>
      </c>
      <c r="C140" s="20" t="str">
        <f t="shared" si="18"/>
        <v/>
      </c>
      <c r="D140" s="20" t="str">
        <f>IF(B140="","",Exposures!$A14&amp;"")</f>
        <v/>
      </c>
      <c r="E140" s="20" t="str">
        <f>IF(B140="","",Exposures!$B14&amp;"")</f>
        <v/>
      </c>
      <c r="F140" s="20" t="str">
        <f t="shared" si="20"/>
        <v/>
      </c>
      <c r="G140" s="20" t="str">
        <f>IF(B140="","",Exposures!$D14&amp;"")</f>
        <v/>
      </c>
      <c r="H140" s="20" t="str">
        <f>IF(B140="","",Exposures!$AV14&amp;"")</f>
        <v/>
      </c>
      <c r="I140" s="20" t="str">
        <f>IF(B140="","",Exposures!$AY14&amp;"")</f>
        <v/>
      </c>
      <c r="J140" s="20" t="str">
        <f>IF(B140="","",Exposures!$BE14&amp;"")</f>
        <v/>
      </c>
      <c r="K140" s="20">
        <f>IF(B140="",0,Exposures!$BF14)</f>
        <v>0</v>
      </c>
      <c r="L140" s="20">
        <f>IF(B140="",0,Exposures!$BG14)</f>
        <v>0</v>
      </c>
      <c r="M140" s="20" t="str">
        <f>IF(B140="","",Exposures!$BJ14)</f>
        <v/>
      </c>
      <c r="N140" s="20" t="str">
        <f>IF(B140="","",Exposures!$BK14)</f>
        <v/>
      </c>
      <c r="O140" s="27" t="str">
        <f>IF(B140="","",Exposures!$BH14)</f>
        <v/>
      </c>
      <c r="P140" s="27" t="str">
        <f>IF(B140="","",Exposures!$BI14)</f>
        <v/>
      </c>
      <c r="Q140" s="20" t="str">
        <f t="shared" si="21"/>
        <v/>
      </c>
      <c r="R140" s="20" t="str">
        <f>IF(A140="","",IF(J140&lt;&gt;"",J140,IF(H140="TIMESTAMP",DAY(INT(M140/1440))&amp;" "&amp;INDEX(nLIST_Months,MONTH(INT(M140/1440)))&amp;" "&amp;YEAR(INT(M140/1440))&amp;" "&amp;RIGHT("0"&amp;INT(MOD(M140,1440)/60),2)&amp;":"&amp;RIGHT("0"&amp;MOD(M140,60),2)&amp;IF(L140=1," (UTC"&amp;I140&amp;")"," (offset unknown)"),IF(H140="DATE",DAY(O140)&amp;" "&amp;INDEX(nLIST_Months,MONTH(O140))&amp;" "&amp;YEAR(O140),IF(H140="MONTH",INDEX(nLIST_Months,MONTH(O140))&amp;" "&amp;YEAR(O140)&amp;" ("&amp;DAY(O140)&amp;" "&amp;INDEX(nLIST_Months,MONTH(O140))&amp;" "&amp;YEAR(O140)&amp;" to "&amp;DAY(P140)&amp;" "&amp;INDEX(nLIST_Months,MONTH(P140))&amp;" "&amp;YEAR(P140)&amp;")",IF(H140="YEAR",YEAR(O140)&amp;" (1 January to 31 December)",DAY(O140)&amp;" "&amp;INDEX(nLIST_Months,MONTH(O140))&amp;" "&amp;YEAR(O140)&amp;" to "&amp;DAY(P140)&amp;" "&amp;INDEX(nLIST_Months,MONTH(P140))&amp;" "&amp;YEAR(P140)))))))</f>
        <v/>
      </c>
      <c r="S140" s="20" t="str">
        <f>IF(B140="","",Exposures!$AU14&amp;"")</f>
        <v/>
      </c>
      <c r="T140" s="20" t="str">
        <f>IF(B140="","",Exposures!$BD14&amp;"")</f>
        <v/>
      </c>
      <c r="U140" s="20" t="str">
        <f>IF(B140="","","Exposures row "&amp;ROW(Exposures!$A14)&amp;", Restart")</f>
        <v/>
      </c>
      <c r="V140" s="20">
        <f>IF(A140="",0,COUNTIF(nTP_Key,A140))</f>
        <v>0</v>
      </c>
      <c r="W140" s="20">
        <f t="shared" si="22"/>
        <v>0</v>
      </c>
      <c r="X140" s="20">
        <f t="shared" si="23"/>
        <v>0</v>
      </c>
      <c r="Y140" s="20">
        <f t="shared" si="24"/>
        <v>0</v>
      </c>
      <c r="Z140" s="20">
        <f t="shared" si="25"/>
        <v>0</v>
      </c>
    </row>
    <row r="141" spans="1:26" x14ac:dyDescent="0.2">
      <c r="A141" s="20" t="str">
        <f t="shared" si="19"/>
        <v/>
      </c>
      <c r="B141" s="20" t="str">
        <f>IF(AND(Exposures!$D15&lt;&gt;"",COUNTA(Exposures!$AV15:$BC15)&gt;0),Exposures!$D15&amp;"/RESTART","")</f>
        <v/>
      </c>
      <c r="C141" s="20" t="str">
        <f t="shared" si="18"/>
        <v/>
      </c>
      <c r="D141" s="20" t="str">
        <f>IF(B141="","",Exposures!$A15&amp;"")</f>
        <v/>
      </c>
      <c r="E141" s="20" t="str">
        <f>IF(B141="","",Exposures!$B15&amp;"")</f>
        <v/>
      </c>
      <c r="F141" s="20" t="str">
        <f t="shared" si="20"/>
        <v/>
      </c>
      <c r="G141" s="20" t="str">
        <f>IF(B141="","",Exposures!$D15&amp;"")</f>
        <v/>
      </c>
      <c r="H141" s="20" t="str">
        <f>IF(B141="","",Exposures!$AV15&amp;"")</f>
        <v/>
      </c>
      <c r="I141" s="20" t="str">
        <f>IF(B141="","",Exposures!$AY15&amp;"")</f>
        <v/>
      </c>
      <c r="J141" s="20" t="str">
        <f>IF(B141="","",Exposures!$BE15&amp;"")</f>
        <v/>
      </c>
      <c r="K141" s="20">
        <f>IF(B141="",0,Exposures!$BF15)</f>
        <v>0</v>
      </c>
      <c r="L141" s="20">
        <f>IF(B141="",0,Exposures!$BG15)</f>
        <v>0</v>
      </c>
      <c r="M141" s="20" t="str">
        <f>IF(B141="","",Exposures!$BJ15)</f>
        <v/>
      </c>
      <c r="N141" s="20" t="str">
        <f>IF(B141="","",Exposures!$BK15)</f>
        <v/>
      </c>
      <c r="O141" s="27" t="str">
        <f>IF(B141="","",Exposures!$BH15)</f>
        <v/>
      </c>
      <c r="P141" s="27" t="str">
        <f>IF(B141="","",Exposures!$BI15)</f>
        <v/>
      </c>
      <c r="Q141" s="20" t="str">
        <f t="shared" si="21"/>
        <v/>
      </c>
      <c r="R141" s="20" t="str">
        <f>IF(A141="","",IF(J141&lt;&gt;"",J141,IF(H141="TIMESTAMP",DAY(INT(M141/1440))&amp;" "&amp;INDEX(nLIST_Months,MONTH(INT(M141/1440)))&amp;" "&amp;YEAR(INT(M141/1440))&amp;" "&amp;RIGHT("0"&amp;INT(MOD(M141,1440)/60),2)&amp;":"&amp;RIGHT("0"&amp;MOD(M141,60),2)&amp;IF(L141=1," (UTC"&amp;I141&amp;")"," (offset unknown)"),IF(H141="DATE",DAY(O141)&amp;" "&amp;INDEX(nLIST_Months,MONTH(O141))&amp;" "&amp;YEAR(O141),IF(H141="MONTH",INDEX(nLIST_Months,MONTH(O141))&amp;" "&amp;YEAR(O141)&amp;" ("&amp;DAY(O141)&amp;" "&amp;INDEX(nLIST_Months,MONTH(O141))&amp;" "&amp;YEAR(O141)&amp;" to "&amp;DAY(P141)&amp;" "&amp;INDEX(nLIST_Months,MONTH(P141))&amp;" "&amp;YEAR(P141)&amp;")",IF(H141="YEAR",YEAR(O141)&amp;" (1 January to 31 December)",DAY(O141)&amp;" "&amp;INDEX(nLIST_Months,MONTH(O141))&amp;" "&amp;YEAR(O141)&amp;" to "&amp;DAY(P141)&amp;" "&amp;INDEX(nLIST_Months,MONTH(P141))&amp;" "&amp;YEAR(P141)))))))</f>
        <v/>
      </c>
      <c r="S141" s="20" t="str">
        <f>IF(B141="","",Exposures!$AU15&amp;"")</f>
        <v/>
      </c>
      <c r="T141" s="20" t="str">
        <f>IF(B141="","",Exposures!$BD15&amp;"")</f>
        <v/>
      </c>
      <c r="U141" s="20" t="str">
        <f>IF(B141="","","Exposures row "&amp;ROW(Exposures!$A15)&amp;", Restart")</f>
        <v/>
      </c>
      <c r="V141" s="20">
        <f>IF(A141="",0,COUNTIF(nTP_Key,A141))</f>
        <v>0</v>
      </c>
      <c r="W141" s="20">
        <f t="shared" si="22"/>
        <v>0</v>
      </c>
      <c r="X141" s="20">
        <f t="shared" si="23"/>
        <v>0</v>
      </c>
      <c r="Y141" s="20">
        <f t="shared" si="24"/>
        <v>0</v>
      </c>
      <c r="Z141" s="20">
        <f t="shared" si="25"/>
        <v>0</v>
      </c>
    </row>
    <row r="142" spans="1:26" x14ac:dyDescent="0.2">
      <c r="A142" s="20" t="str">
        <f t="shared" si="19"/>
        <v/>
      </c>
      <c r="B142" s="20" t="str">
        <f>IF(AND(Exposures!$D16&lt;&gt;"",COUNTA(Exposures!$AV16:$BC16)&gt;0),Exposures!$D16&amp;"/RESTART","")</f>
        <v/>
      </c>
      <c r="C142" s="20" t="str">
        <f t="shared" si="18"/>
        <v/>
      </c>
      <c r="D142" s="20" t="str">
        <f>IF(B142="","",Exposures!$A16&amp;"")</f>
        <v/>
      </c>
      <c r="E142" s="20" t="str">
        <f>IF(B142="","",Exposures!$B16&amp;"")</f>
        <v/>
      </c>
      <c r="F142" s="20" t="str">
        <f t="shared" si="20"/>
        <v/>
      </c>
      <c r="G142" s="20" t="str">
        <f>IF(B142="","",Exposures!$D16&amp;"")</f>
        <v/>
      </c>
      <c r="H142" s="20" t="str">
        <f>IF(B142="","",Exposures!$AV16&amp;"")</f>
        <v/>
      </c>
      <c r="I142" s="20" t="str">
        <f>IF(B142="","",Exposures!$AY16&amp;"")</f>
        <v/>
      </c>
      <c r="J142" s="20" t="str">
        <f>IF(B142="","",Exposures!$BE16&amp;"")</f>
        <v/>
      </c>
      <c r="K142" s="20">
        <f>IF(B142="",0,Exposures!$BF16)</f>
        <v>0</v>
      </c>
      <c r="L142" s="20">
        <f>IF(B142="",0,Exposures!$BG16)</f>
        <v>0</v>
      </c>
      <c r="M142" s="20" t="str">
        <f>IF(B142="","",Exposures!$BJ16)</f>
        <v/>
      </c>
      <c r="N142" s="20" t="str">
        <f>IF(B142="","",Exposures!$BK16)</f>
        <v/>
      </c>
      <c r="O142" s="27" t="str">
        <f>IF(B142="","",Exposures!$BH16)</f>
        <v/>
      </c>
      <c r="P142" s="27" t="str">
        <f>IF(B142="","",Exposures!$BI16)</f>
        <v/>
      </c>
      <c r="Q142" s="20" t="str">
        <f t="shared" si="21"/>
        <v/>
      </c>
      <c r="R142" s="20" t="str">
        <f>IF(A142="","",IF(J142&lt;&gt;"",J142,IF(H142="TIMESTAMP",DAY(INT(M142/1440))&amp;" "&amp;INDEX(nLIST_Months,MONTH(INT(M142/1440)))&amp;" "&amp;YEAR(INT(M142/1440))&amp;" "&amp;RIGHT("0"&amp;INT(MOD(M142,1440)/60),2)&amp;":"&amp;RIGHT("0"&amp;MOD(M142,60),2)&amp;IF(L142=1," (UTC"&amp;I142&amp;")"," (offset unknown)"),IF(H142="DATE",DAY(O142)&amp;" "&amp;INDEX(nLIST_Months,MONTH(O142))&amp;" "&amp;YEAR(O142),IF(H142="MONTH",INDEX(nLIST_Months,MONTH(O142))&amp;" "&amp;YEAR(O142)&amp;" ("&amp;DAY(O142)&amp;" "&amp;INDEX(nLIST_Months,MONTH(O142))&amp;" "&amp;YEAR(O142)&amp;" to "&amp;DAY(P142)&amp;" "&amp;INDEX(nLIST_Months,MONTH(P142))&amp;" "&amp;YEAR(P142)&amp;")",IF(H142="YEAR",YEAR(O142)&amp;" (1 January to 31 December)",DAY(O142)&amp;" "&amp;INDEX(nLIST_Months,MONTH(O142))&amp;" "&amp;YEAR(O142)&amp;" to "&amp;DAY(P142)&amp;" "&amp;INDEX(nLIST_Months,MONTH(P142))&amp;" "&amp;YEAR(P142)))))))</f>
        <v/>
      </c>
      <c r="S142" s="20" t="str">
        <f>IF(B142="","",Exposures!$AU16&amp;"")</f>
        <v/>
      </c>
      <c r="T142" s="20" t="str">
        <f>IF(B142="","",Exposures!$BD16&amp;"")</f>
        <v/>
      </c>
      <c r="U142" s="20" t="str">
        <f>IF(B142="","","Exposures row "&amp;ROW(Exposures!$A16)&amp;", Restart")</f>
        <v/>
      </c>
      <c r="V142" s="20">
        <f>IF(A142="",0,COUNTIF(nTP_Key,A142))</f>
        <v>0</v>
      </c>
      <c r="W142" s="20">
        <f t="shared" si="22"/>
        <v>0</v>
      </c>
      <c r="X142" s="20">
        <f t="shared" si="23"/>
        <v>0</v>
      </c>
      <c r="Y142" s="20">
        <f t="shared" si="24"/>
        <v>0</v>
      </c>
      <c r="Z142" s="20">
        <f t="shared" si="25"/>
        <v>0</v>
      </c>
    </row>
    <row r="143" spans="1:26" x14ac:dyDescent="0.2">
      <c r="A143" s="20" t="str">
        <f t="shared" si="19"/>
        <v/>
      </c>
      <c r="B143" s="20" t="str">
        <f>IF(AND(Exposures!$D17&lt;&gt;"",COUNTA(Exposures!$AV17:$BC17)&gt;0),Exposures!$D17&amp;"/RESTART","")</f>
        <v/>
      </c>
      <c r="C143" s="20" t="str">
        <f t="shared" si="18"/>
        <v/>
      </c>
      <c r="D143" s="20" t="str">
        <f>IF(B143="","",Exposures!$A17&amp;"")</f>
        <v/>
      </c>
      <c r="E143" s="20" t="str">
        <f>IF(B143="","",Exposures!$B17&amp;"")</f>
        <v/>
      </c>
      <c r="F143" s="20" t="str">
        <f t="shared" si="20"/>
        <v/>
      </c>
      <c r="G143" s="20" t="str">
        <f>IF(B143="","",Exposures!$D17&amp;"")</f>
        <v/>
      </c>
      <c r="H143" s="20" t="str">
        <f>IF(B143="","",Exposures!$AV17&amp;"")</f>
        <v/>
      </c>
      <c r="I143" s="20" t="str">
        <f>IF(B143="","",Exposures!$AY17&amp;"")</f>
        <v/>
      </c>
      <c r="J143" s="20" t="str">
        <f>IF(B143="","",Exposures!$BE17&amp;"")</f>
        <v/>
      </c>
      <c r="K143" s="20">
        <f>IF(B143="",0,Exposures!$BF17)</f>
        <v>0</v>
      </c>
      <c r="L143" s="20">
        <f>IF(B143="",0,Exposures!$BG17)</f>
        <v>0</v>
      </c>
      <c r="M143" s="20" t="str">
        <f>IF(B143="","",Exposures!$BJ17)</f>
        <v/>
      </c>
      <c r="N143" s="20" t="str">
        <f>IF(B143="","",Exposures!$BK17)</f>
        <v/>
      </c>
      <c r="O143" s="27" t="str">
        <f>IF(B143="","",Exposures!$BH17)</f>
        <v/>
      </c>
      <c r="P143" s="27" t="str">
        <f>IF(B143="","",Exposures!$BI17)</f>
        <v/>
      </c>
      <c r="Q143" s="20" t="str">
        <f t="shared" si="21"/>
        <v/>
      </c>
      <c r="R143" s="20" t="str">
        <f>IF(A143="","",IF(J143&lt;&gt;"",J143,IF(H143="TIMESTAMP",DAY(INT(M143/1440))&amp;" "&amp;INDEX(nLIST_Months,MONTH(INT(M143/1440)))&amp;" "&amp;YEAR(INT(M143/1440))&amp;" "&amp;RIGHT("0"&amp;INT(MOD(M143,1440)/60),2)&amp;":"&amp;RIGHT("0"&amp;MOD(M143,60),2)&amp;IF(L143=1," (UTC"&amp;I143&amp;")"," (offset unknown)"),IF(H143="DATE",DAY(O143)&amp;" "&amp;INDEX(nLIST_Months,MONTH(O143))&amp;" "&amp;YEAR(O143),IF(H143="MONTH",INDEX(nLIST_Months,MONTH(O143))&amp;" "&amp;YEAR(O143)&amp;" ("&amp;DAY(O143)&amp;" "&amp;INDEX(nLIST_Months,MONTH(O143))&amp;" "&amp;YEAR(O143)&amp;" to "&amp;DAY(P143)&amp;" "&amp;INDEX(nLIST_Months,MONTH(P143))&amp;" "&amp;YEAR(P143)&amp;")",IF(H143="YEAR",YEAR(O143)&amp;" (1 January to 31 December)",DAY(O143)&amp;" "&amp;INDEX(nLIST_Months,MONTH(O143))&amp;" "&amp;YEAR(O143)&amp;" to "&amp;DAY(P143)&amp;" "&amp;INDEX(nLIST_Months,MONTH(P143))&amp;" "&amp;YEAR(P143)))))))</f>
        <v/>
      </c>
      <c r="S143" s="20" t="str">
        <f>IF(B143="","",Exposures!$AU17&amp;"")</f>
        <v/>
      </c>
      <c r="T143" s="20" t="str">
        <f>IF(B143="","",Exposures!$BD17&amp;"")</f>
        <v/>
      </c>
      <c r="U143" s="20" t="str">
        <f>IF(B143="","","Exposures row "&amp;ROW(Exposures!$A17)&amp;", Restart")</f>
        <v/>
      </c>
      <c r="V143" s="20">
        <f>IF(A143="",0,COUNTIF(nTP_Key,A143))</f>
        <v>0</v>
      </c>
      <c r="W143" s="20">
        <f t="shared" si="22"/>
        <v>0</v>
      </c>
      <c r="X143" s="20">
        <f t="shared" si="23"/>
        <v>0</v>
      </c>
      <c r="Y143" s="20">
        <f t="shared" si="24"/>
        <v>0</v>
      </c>
      <c r="Z143" s="20">
        <f t="shared" si="25"/>
        <v>0</v>
      </c>
    </row>
    <row r="144" spans="1:26" x14ac:dyDescent="0.2">
      <c r="A144" s="20" t="str">
        <f t="shared" si="19"/>
        <v/>
      </c>
      <c r="B144" s="20" t="str">
        <f>IF(AND(Exposures!$D18&lt;&gt;"",COUNTA(Exposures!$AV18:$BC18)&gt;0),Exposures!$D18&amp;"/RESTART","")</f>
        <v/>
      </c>
      <c r="C144" s="20" t="str">
        <f t="shared" si="18"/>
        <v/>
      </c>
      <c r="D144" s="20" t="str">
        <f>IF(B144="","",Exposures!$A18&amp;"")</f>
        <v/>
      </c>
      <c r="E144" s="20" t="str">
        <f>IF(B144="","",Exposures!$B18&amp;"")</f>
        <v/>
      </c>
      <c r="F144" s="20" t="str">
        <f t="shared" si="20"/>
        <v/>
      </c>
      <c r="G144" s="20" t="str">
        <f>IF(B144="","",Exposures!$D18&amp;"")</f>
        <v/>
      </c>
      <c r="H144" s="20" t="str">
        <f>IF(B144="","",Exposures!$AV18&amp;"")</f>
        <v/>
      </c>
      <c r="I144" s="20" t="str">
        <f>IF(B144="","",Exposures!$AY18&amp;"")</f>
        <v/>
      </c>
      <c r="J144" s="20" t="str">
        <f>IF(B144="","",Exposures!$BE18&amp;"")</f>
        <v/>
      </c>
      <c r="K144" s="20">
        <f>IF(B144="",0,Exposures!$BF18)</f>
        <v>0</v>
      </c>
      <c r="L144" s="20">
        <f>IF(B144="",0,Exposures!$BG18)</f>
        <v>0</v>
      </c>
      <c r="M144" s="20" t="str">
        <f>IF(B144="","",Exposures!$BJ18)</f>
        <v/>
      </c>
      <c r="N144" s="20" t="str">
        <f>IF(B144="","",Exposures!$BK18)</f>
        <v/>
      </c>
      <c r="O144" s="27" t="str">
        <f>IF(B144="","",Exposures!$BH18)</f>
        <v/>
      </c>
      <c r="P144" s="27" t="str">
        <f>IF(B144="","",Exposures!$BI18)</f>
        <v/>
      </c>
      <c r="Q144" s="20" t="str">
        <f t="shared" si="21"/>
        <v/>
      </c>
      <c r="R144" s="20" t="str">
        <f>IF(A144="","",IF(J144&lt;&gt;"",J144,IF(H144="TIMESTAMP",DAY(INT(M144/1440))&amp;" "&amp;INDEX(nLIST_Months,MONTH(INT(M144/1440)))&amp;" "&amp;YEAR(INT(M144/1440))&amp;" "&amp;RIGHT("0"&amp;INT(MOD(M144,1440)/60),2)&amp;":"&amp;RIGHT("0"&amp;MOD(M144,60),2)&amp;IF(L144=1," (UTC"&amp;I144&amp;")"," (offset unknown)"),IF(H144="DATE",DAY(O144)&amp;" "&amp;INDEX(nLIST_Months,MONTH(O144))&amp;" "&amp;YEAR(O144),IF(H144="MONTH",INDEX(nLIST_Months,MONTH(O144))&amp;" "&amp;YEAR(O144)&amp;" ("&amp;DAY(O144)&amp;" "&amp;INDEX(nLIST_Months,MONTH(O144))&amp;" "&amp;YEAR(O144)&amp;" to "&amp;DAY(P144)&amp;" "&amp;INDEX(nLIST_Months,MONTH(P144))&amp;" "&amp;YEAR(P144)&amp;")",IF(H144="YEAR",YEAR(O144)&amp;" (1 January to 31 December)",DAY(O144)&amp;" "&amp;INDEX(nLIST_Months,MONTH(O144))&amp;" "&amp;YEAR(O144)&amp;" to "&amp;DAY(P144)&amp;" "&amp;INDEX(nLIST_Months,MONTH(P144))&amp;" "&amp;YEAR(P144)))))))</f>
        <v/>
      </c>
      <c r="S144" s="20" t="str">
        <f>IF(B144="","",Exposures!$AU18&amp;"")</f>
        <v/>
      </c>
      <c r="T144" s="20" t="str">
        <f>IF(B144="","",Exposures!$BD18&amp;"")</f>
        <v/>
      </c>
      <c r="U144" s="20" t="str">
        <f>IF(B144="","","Exposures row "&amp;ROW(Exposures!$A18)&amp;", Restart")</f>
        <v/>
      </c>
      <c r="V144" s="20">
        <f>IF(A144="",0,COUNTIF(nTP_Key,A144))</f>
        <v>0</v>
      </c>
      <c r="W144" s="20">
        <f t="shared" si="22"/>
        <v>0</v>
      </c>
      <c r="X144" s="20">
        <f t="shared" si="23"/>
        <v>0</v>
      </c>
      <c r="Y144" s="20">
        <f t="shared" si="24"/>
        <v>0</v>
      </c>
      <c r="Z144" s="20">
        <f t="shared" si="25"/>
        <v>0</v>
      </c>
    </row>
    <row r="145" spans="1:26" x14ac:dyDescent="0.2">
      <c r="A145" s="20" t="str">
        <f t="shared" si="19"/>
        <v/>
      </c>
      <c r="B145" s="20" t="str">
        <f>IF(AND(Exposures!$D19&lt;&gt;"",COUNTA(Exposures!$AV19:$BC19)&gt;0),Exposures!$D19&amp;"/RESTART","")</f>
        <v/>
      </c>
      <c r="C145" s="20" t="str">
        <f t="shared" si="18"/>
        <v/>
      </c>
      <c r="D145" s="20" t="str">
        <f>IF(B145="","",Exposures!$A19&amp;"")</f>
        <v/>
      </c>
      <c r="E145" s="20" t="str">
        <f>IF(B145="","",Exposures!$B19&amp;"")</f>
        <v/>
      </c>
      <c r="F145" s="20" t="str">
        <f t="shared" si="20"/>
        <v/>
      </c>
      <c r="G145" s="20" t="str">
        <f>IF(B145="","",Exposures!$D19&amp;"")</f>
        <v/>
      </c>
      <c r="H145" s="20" t="str">
        <f>IF(B145="","",Exposures!$AV19&amp;"")</f>
        <v/>
      </c>
      <c r="I145" s="20" t="str">
        <f>IF(B145="","",Exposures!$AY19&amp;"")</f>
        <v/>
      </c>
      <c r="J145" s="20" t="str">
        <f>IF(B145="","",Exposures!$BE19&amp;"")</f>
        <v/>
      </c>
      <c r="K145" s="20">
        <f>IF(B145="",0,Exposures!$BF19)</f>
        <v>0</v>
      </c>
      <c r="L145" s="20">
        <f>IF(B145="",0,Exposures!$BG19)</f>
        <v>0</v>
      </c>
      <c r="M145" s="20" t="str">
        <f>IF(B145="","",Exposures!$BJ19)</f>
        <v/>
      </c>
      <c r="N145" s="20" t="str">
        <f>IF(B145="","",Exposures!$BK19)</f>
        <v/>
      </c>
      <c r="O145" s="27" t="str">
        <f>IF(B145="","",Exposures!$BH19)</f>
        <v/>
      </c>
      <c r="P145" s="27" t="str">
        <f>IF(B145="","",Exposures!$BI19)</f>
        <v/>
      </c>
      <c r="Q145" s="20" t="str">
        <f t="shared" si="21"/>
        <v/>
      </c>
      <c r="R145" s="20" t="str">
        <f>IF(A145="","",IF(J145&lt;&gt;"",J145,IF(H145="TIMESTAMP",DAY(INT(M145/1440))&amp;" "&amp;INDEX(nLIST_Months,MONTH(INT(M145/1440)))&amp;" "&amp;YEAR(INT(M145/1440))&amp;" "&amp;RIGHT("0"&amp;INT(MOD(M145,1440)/60),2)&amp;":"&amp;RIGHT("0"&amp;MOD(M145,60),2)&amp;IF(L145=1," (UTC"&amp;I145&amp;")"," (offset unknown)"),IF(H145="DATE",DAY(O145)&amp;" "&amp;INDEX(nLIST_Months,MONTH(O145))&amp;" "&amp;YEAR(O145),IF(H145="MONTH",INDEX(nLIST_Months,MONTH(O145))&amp;" "&amp;YEAR(O145)&amp;" ("&amp;DAY(O145)&amp;" "&amp;INDEX(nLIST_Months,MONTH(O145))&amp;" "&amp;YEAR(O145)&amp;" to "&amp;DAY(P145)&amp;" "&amp;INDEX(nLIST_Months,MONTH(P145))&amp;" "&amp;YEAR(P145)&amp;")",IF(H145="YEAR",YEAR(O145)&amp;" (1 January to 31 December)",DAY(O145)&amp;" "&amp;INDEX(nLIST_Months,MONTH(O145))&amp;" "&amp;YEAR(O145)&amp;" to "&amp;DAY(P145)&amp;" "&amp;INDEX(nLIST_Months,MONTH(P145))&amp;" "&amp;YEAR(P145)))))))</f>
        <v/>
      </c>
      <c r="S145" s="20" t="str">
        <f>IF(B145="","",Exposures!$AU19&amp;"")</f>
        <v/>
      </c>
      <c r="T145" s="20" t="str">
        <f>IF(B145="","",Exposures!$BD19&amp;"")</f>
        <v/>
      </c>
      <c r="U145" s="20" t="str">
        <f>IF(B145="","","Exposures row "&amp;ROW(Exposures!$A19)&amp;", Restart")</f>
        <v/>
      </c>
      <c r="V145" s="20">
        <f>IF(A145="",0,COUNTIF(nTP_Key,A145))</f>
        <v>0</v>
      </c>
      <c r="W145" s="20">
        <f t="shared" si="22"/>
        <v>0</v>
      </c>
      <c r="X145" s="20">
        <f t="shared" si="23"/>
        <v>0</v>
      </c>
      <c r="Y145" s="20">
        <f t="shared" si="24"/>
        <v>0</v>
      </c>
      <c r="Z145" s="20">
        <f t="shared" si="25"/>
        <v>0</v>
      </c>
    </row>
    <row r="146" spans="1:26" x14ac:dyDescent="0.2">
      <c r="A146" s="20" t="str">
        <f t="shared" si="19"/>
        <v/>
      </c>
      <c r="B146" s="20" t="str">
        <f>IF(AND(Exposures!$D20&lt;&gt;"",COUNTA(Exposures!$AV20:$BC20)&gt;0),Exposures!$D20&amp;"/RESTART","")</f>
        <v/>
      </c>
      <c r="C146" s="20" t="str">
        <f t="shared" si="18"/>
        <v/>
      </c>
      <c r="D146" s="20" t="str">
        <f>IF(B146="","",Exposures!$A20&amp;"")</f>
        <v/>
      </c>
      <c r="E146" s="20" t="str">
        <f>IF(B146="","",Exposures!$B20&amp;"")</f>
        <v/>
      </c>
      <c r="F146" s="20" t="str">
        <f t="shared" si="20"/>
        <v/>
      </c>
      <c r="G146" s="20" t="str">
        <f>IF(B146="","",Exposures!$D20&amp;"")</f>
        <v/>
      </c>
      <c r="H146" s="20" t="str">
        <f>IF(B146="","",Exposures!$AV20&amp;"")</f>
        <v/>
      </c>
      <c r="I146" s="20" t="str">
        <f>IF(B146="","",Exposures!$AY20&amp;"")</f>
        <v/>
      </c>
      <c r="J146" s="20" t="str">
        <f>IF(B146="","",Exposures!$BE20&amp;"")</f>
        <v/>
      </c>
      <c r="K146" s="20">
        <f>IF(B146="",0,Exposures!$BF20)</f>
        <v>0</v>
      </c>
      <c r="L146" s="20">
        <f>IF(B146="",0,Exposures!$BG20)</f>
        <v>0</v>
      </c>
      <c r="M146" s="20" t="str">
        <f>IF(B146="","",Exposures!$BJ20)</f>
        <v/>
      </c>
      <c r="N146" s="20" t="str">
        <f>IF(B146="","",Exposures!$BK20)</f>
        <v/>
      </c>
      <c r="O146" s="27" t="str">
        <f>IF(B146="","",Exposures!$BH20)</f>
        <v/>
      </c>
      <c r="P146" s="27" t="str">
        <f>IF(B146="","",Exposures!$BI20)</f>
        <v/>
      </c>
      <c r="Q146" s="20" t="str">
        <f t="shared" si="21"/>
        <v/>
      </c>
      <c r="R146" s="20" t="str">
        <f>IF(A146="","",IF(J146&lt;&gt;"",J146,IF(H146="TIMESTAMP",DAY(INT(M146/1440))&amp;" "&amp;INDEX(nLIST_Months,MONTH(INT(M146/1440)))&amp;" "&amp;YEAR(INT(M146/1440))&amp;" "&amp;RIGHT("0"&amp;INT(MOD(M146,1440)/60),2)&amp;":"&amp;RIGHT("0"&amp;MOD(M146,60),2)&amp;IF(L146=1," (UTC"&amp;I146&amp;")"," (offset unknown)"),IF(H146="DATE",DAY(O146)&amp;" "&amp;INDEX(nLIST_Months,MONTH(O146))&amp;" "&amp;YEAR(O146),IF(H146="MONTH",INDEX(nLIST_Months,MONTH(O146))&amp;" "&amp;YEAR(O146)&amp;" ("&amp;DAY(O146)&amp;" "&amp;INDEX(nLIST_Months,MONTH(O146))&amp;" "&amp;YEAR(O146)&amp;" to "&amp;DAY(P146)&amp;" "&amp;INDEX(nLIST_Months,MONTH(P146))&amp;" "&amp;YEAR(P146)&amp;")",IF(H146="YEAR",YEAR(O146)&amp;" (1 January to 31 December)",DAY(O146)&amp;" "&amp;INDEX(nLIST_Months,MONTH(O146))&amp;" "&amp;YEAR(O146)&amp;" to "&amp;DAY(P146)&amp;" "&amp;INDEX(nLIST_Months,MONTH(P146))&amp;" "&amp;YEAR(P146)))))))</f>
        <v/>
      </c>
      <c r="S146" s="20" t="str">
        <f>IF(B146="","",Exposures!$AU20&amp;"")</f>
        <v/>
      </c>
      <c r="T146" s="20" t="str">
        <f>IF(B146="","",Exposures!$BD20&amp;"")</f>
        <v/>
      </c>
      <c r="U146" s="20" t="str">
        <f>IF(B146="","","Exposures row "&amp;ROW(Exposures!$A20)&amp;", Restart")</f>
        <v/>
      </c>
      <c r="V146" s="20">
        <f>IF(A146="",0,COUNTIF(nTP_Key,A146))</f>
        <v>0</v>
      </c>
      <c r="W146" s="20">
        <f t="shared" si="22"/>
        <v>0</v>
      </c>
      <c r="X146" s="20">
        <f t="shared" si="23"/>
        <v>0</v>
      </c>
      <c r="Y146" s="20">
        <f t="shared" si="24"/>
        <v>0</v>
      </c>
      <c r="Z146" s="20">
        <f t="shared" si="25"/>
        <v>0</v>
      </c>
    </row>
    <row r="147" spans="1:26" x14ac:dyDescent="0.2">
      <c r="A147" s="20" t="str">
        <f t="shared" si="19"/>
        <v/>
      </c>
      <c r="B147" s="20" t="str">
        <f>IF(AND(Exposures!$D21&lt;&gt;"",COUNTA(Exposures!$AV21:$BC21)&gt;0),Exposures!$D21&amp;"/RESTART","")</f>
        <v/>
      </c>
      <c r="C147" s="20" t="str">
        <f t="shared" si="18"/>
        <v/>
      </c>
      <c r="D147" s="20" t="str">
        <f>IF(B147="","",Exposures!$A21&amp;"")</f>
        <v/>
      </c>
      <c r="E147" s="20" t="str">
        <f>IF(B147="","",Exposures!$B21&amp;"")</f>
        <v/>
      </c>
      <c r="F147" s="20" t="str">
        <f t="shared" si="20"/>
        <v/>
      </c>
      <c r="G147" s="20" t="str">
        <f>IF(B147="","",Exposures!$D21&amp;"")</f>
        <v/>
      </c>
      <c r="H147" s="20" t="str">
        <f>IF(B147="","",Exposures!$AV21&amp;"")</f>
        <v/>
      </c>
      <c r="I147" s="20" t="str">
        <f>IF(B147="","",Exposures!$AY21&amp;"")</f>
        <v/>
      </c>
      <c r="J147" s="20" t="str">
        <f>IF(B147="","",Exposures!$BE21&amp;"")</f>
        <v/>
      </c>
      <c r="K147" s="20">
        <f>IF(B147="",0,Exposures!$BF21)</f>
        <v>0</v>
      </c>
      <c r="L147" s="20">
        <f>IF(B147="",0,Exposures!$BG21)</f>
        <v>0</v>
      </c>
      <c r="M147" s="20" t="str">
        <f>IF(B147="","",Exposures!$BJ21)</f>
        <v/>
      </c>
      <c r="N147" s="20" t="str">
        <f>IF(B147="","",Exposures!$BK21)</f>
        <v/>
      </c>
      <c r="O147" s="27" t="str">
        <f>IF(B147="","",Exposures!$BH21)</f>
        <v/>
      </c>
      <c r="P147" s="27" t="str">
        <f>IF(B147="","",Exposures!$BI21)</f>
        <v/>
      </c>
      <c r="Q147" s="20" t="str">
        <f t="shared" si="21"/>
        <v/>
      </c>
      <c r="R147" s="20" t="str">
        <f>IF(A147="","",IF(J147&lt;&gt;"",J147,IF(H147="TIMESTAMP",DAY(INT(M147/1440))&amp;" "&amp;INDEX(nLIST_Months,MONTH(INT(M147/1440)))&amp;" "&amp;YEAR(INT(M147/1440))&amp;" "&amp;RIGHT("0"&amp;INT(MOD(M147,1440)/60),2)&amp;":"&amp;RIGHT("0"&amp;MOD(M147,60),2)&amp;IF(L147=1," (UTC"&amp;I147&amp;")"," (offset unknown)"),IF(H147="DATE",DAY(O147)&amp;" "&amp;INDEX(nLIST_Months,MONTH(O147))&amp;" "&amp;YEAR(O147),IF(H147="MONTH",INDEX(nLIST_Months,MONTH(O147))&amp;" "&amp;YEAR(O147)&amp;" ("&amp;DAY(O147)&amp;" "&amp;INDEX(nLIST_Months,MONTH(O147))&amp;" "&amp;YEAR(O147)&amp;" to "&amp;DAY(P147)&amp;" "&amp;INDEX(nLIST_Months,MONTH(P147))&amp;" "&amp;YEAR(P147)&amp;")",IF(H147="YEAR",YEAR(O147)&amp;" (1 January to 31 December)",DAY(O147)&amp;" "&amp;INDEX(nLIST_Months,MONTH(O147))&amp;" "&amp;YEAR(O147)&amp;" to "&amp;DAY(P147)&amp;" "&amp;INDEX(nLIST_Months,MONTH(P147))&amp;" "&amp;YEAR(P147)))))))</f>
        <v/>
      </c>
      <c r="S147" s="20" t="str">
        <f>IF(B147="","",Exposures!$AU21&amp;"")</f>
        <v/>
      </c>
      <c r="T147" s="20" t="str">
        <f>IF(B147="","",Exposures!$BD21&amp;"")</f>
        <v/>
      </c>
      <c r="U147" s="20" t="str">
        <f>IF(B147="","","Exposures row "&amp;ROW(Exposures!$A21)&amp;", Restart")</f>
        <v/>
      </c>
      <c r="V147" s="20">
        <f>IF(A147="",0,COUNTIF(nTP_Key,A147))</f>
        <v>0</v>
      </c>
      <c r="W147" s="20">
        <f t="shared" si="22"/>
        <v>0</v>
      </c>
      <c r="X147" s="20">
        <f t="shared" si="23"/>
        <v>0</v>
      </c>
      <c r="Y147" s="20">
        <f t="shared" si="24"/>
        <v>0</v>
      </c>
      <c r="Z147" s="20">
        <f t="shared" si="25"/>
        <v>0</v>
      </c>
    </row>
    <row r="148" spans="1:26" x14ac:dyDescent="0.2">
      <c r="A148" s="20" t="str">
        <f t="shared" si="19"/>
        <v/>
      </c>
      <c r="B148" s="20" t="str">
        <f>IF(AND(Exposures!$D22&lt;&gt;"",COUNTA(Exposures!$AV22:$BC22)&gt;0),Exposures!$D22&amp;"/RESTART","")</f>
        <v/>
      </c>
      <c r="C148" s="20" t="str">
        <f t="shared" si="18"/>
        <v/>
      </c>
      <c r="D148" s="20" t="str">
        <f>IF(B148="","",Exposures!$A22&amp;"")</f>
        <v/>
      </c>
      <c r="E148" s="20" t="str">
        <f>IF(B148="","",Exposures!$B22&amp;"")</f>
        <v/>
      </c>
      <c r="F148" s="20" t="str">
        <f t="shared" si="20"/>
        <v/>
      </c>
      <c r="G148" s="20" t="str">
        <f>IF(B148="","",Exposures!$D22&amp;"")</f>
        <v/>
      </c>
      <c r="H148" s="20" t="str">
        <f>IF(B148="","",Exposures!$AV22&amp;"")</f>
        <v/>
      </c>
      <c r="I148" s="20" t="str">
        <f>IF(B148="","",Exposures!$AY22&amp;"")</f>
        <v/>
      </c>
      <c r="J148" s="20" t="str">
        <f>IF(B148="","",Exposures!$BE22&amp;"")</f>
        <v/>
      </c>
      <c r="K148" s="20">
        <f>IF(B148="",0,Exposures!$BF22)</f>
        <v>0</v>
      </c>
      <c r="L148" s="20">
        <f>IF(B148="",0,Exposures!$BG22)</f>
        <v>0</v>
      </c>
      <c r="M148" s="20" t="str">
        <f>IF(B148="","",Exposures!$BJ22)</f>
        <v/>
      </c>
      <c r="N148" s="20" t="str">
        <f>IF(B148="","",Exposures!$BK22)</f>
        <v/>
      </c>
      <c r="O148" s="27" t="str">
        <f>IF(B148="","",Exposures!$BH22)</f>
        <v/>
      </c>
      <c r="P148" s="27" t="str">
        <f>IF(B148="","",Exposures!$BI22)</f>
        <v/>
      </c>
      <c r="Q148" s="20" t="str">
        <f t="shared" si="21"/>
        <v/>
      </c>
      <c r="R148" s="20" t="str">
        <f>IF(A148="","",IF(J148&lt;&gt;"",J148,IF(H148="TIMESTAMP",DAY(INT(M148/1440))&amp;" "&amp;INDEX(nLIST_Months,MONTH(INT(M148/1440)))&amp;" "&amp;YEAR(INT(M148/1440))&amp;" "&amp;RIGHT("0"&amp;INT(MOD(M148,1440)/60),2)&amp;":"&amp;RIGHT("0"&amp;MOD(M148,60),2)&amp;IF(L148=1," (UTC"&amp;I148&amp;")"," (offset unknown)"),IF(H148="DATE",DAY(O148)&amp;" "&amp;INDEX(nLIST_Months,MONTH(O148))&amp;" "&amp;YEAR(O148),IF(H148="MONTH",INDEX(nLIST_Months,MONTH(O148))&amp;" "&amp;YEAR(O148)&amp;" ("&amp;DAY(O148)&amp;" "&amp;INDEX(nLIST_Months,MONTH(O148))&amp;" "&amp;YEAR(O148)&amp;" to "&amp;DAY(P148)&amp;" "&amp;INDEX(nLIST_Months,MONTH(P148))&amp;" "&amp;YEAR(P148)&amp;")",IF(H148="YEAR",YEAR(O148)&amp;" (1 January to 31 December)",DAY(O148)&amp;" "&amp;INDEX(nLIST_Months,MONTH(O148))&amp;" "&amp;YEAR(O148)&amp;" to "&amp;DAY(P148)&amp;" "&amp;INDEX(nLIST_Months,MONTH(P148))&amp;" "&amp;YEAR(P148)))))))</f>
        <v/>
      </c>
      <c r="S148" s="20" t="str">
        <f>IF(B148="","",Exposures!$AU22&amp;"")</f>
        <v/>
      </c>
      <c r="T148" s="20" t="str">
        <f>IF(B148="","",Exposures!$BD22&amp;"")</f>
        <v/>
      </c>
      <c r="U148" s="20" t="str">
        <f>IF(B148="","","Exposures row "&amp;ROW(Exposures!$A22)&amp;", Restart")</f>
        <v/>
      </c>
      <c r="V148" s="20">
        <f>IF(A148="",0,COUNTIF(nTP_Key,A148))</f>
        <v>0</v>
      </c>
      <c r="W148" s="20">
        <f t="shared" si="22"/>
        <v>0</v>
      </c>
      <c r="X148" s="20">
        <f t="shared" si="23"/>
        <v>0</v>
      </c>
      <c r="Y148" s="20">
        <f t="shared" si="24"/>
        <v>0</v>
      </c>
      <c r="Z148" s="20">
        <f t="shared" si="25"/>
        <v>0</v>
      </c>
    </row>
    <row r="149" spans="1:26" x14ac:dyDescent="0.2">
      <c r="A149" s="20" t="str">
        <f t="shared" si="19"/>
        <v/>
      </c>
      <c r="B149" s="20" t="str">
        <f>IF(AND(Exposures!$D23&lt;&gt;"",COUNTA(Exposures!$AV23:$BC23)&gt;0),Exposures!$D23&amp;"/RESTART","")</f>
        <v/>
      </c>
      <c r="C149" s="20" t="str">
        <f t="shared" si="18"/>
        <v/>
      </c>
      <c r="D149" s="20" t="str">
        <f>IF(B149="","",Exposures!$A23&amp;"")</f>
        <v/>
      </c>
      <c r="E149" s="20" t="str">
        <f>IF(B149="","",Exposures!$B23&amp;"")</f>
        <v/>
      </c>
      <c r="F149" s="20" t="str">
        <f t="shared" si="20"/>
        <v/>
      </c>
      <c r="G149" s="20" t="str">
        <f>IF(B149="","",Exposures!$D23&amp;"")</f>
        <v/>
      </c>
      <c r="H149" s="20" t="str">
        <f>IF(B149="","",Exposures!$AV23&amp;"")</f>
        <v/>
      </c>
      <c r="I149" s="20" t="str">
        <f>IF(B149="","",Exposures!$AY23&amp;"")</f>
        <v/>
      </c>
      <c r="J149" s="20" t="str">
        <f>IF(B149="","",Exposures!$BE23&amp;"")</f>
        <v/>
      </c>
      <c r="K149" s="20">
        <f>IF(B149="",0,Exposures!$BF23)</f>
        <v>0</v>
      </c>
      <c r="L149" s="20">
        <f>IF(B149="",0,Exposures!$BG23)</f>
        <v>0</v>
      </c>
      <c r="M149" s="20" t="str">
        <f>IF(B149="","",Exposures!$BJ23)</f>
        <v/>
      </c>
      <c r="N149" s="20" t="str">
        <f>IF(B149="","",Exposures!$BK23)</f>
        <v/>
      </c>
      <c r="O149" s="27" t="str">
        <f>IF(B149="","",Exposures!$BH23)</f>
        <v/>
      </c>
      <c r="P149" s="27" t="str">
        <f>IF(B149="","",Exposures!$BI23)</f>
        <v/>
      </c>
      <c r="Q149" s="20" t="str">
        <f t="shared" si="21"/>
        <v/>
      </c>
      <c r="R149" s="20" t="str">
        <f>IF(A149="","",IF(J149&lt;&gt;"",J149,IF(H149="TIMESTAMP",DAY(INT(M149/1440))&amp;" "&amp;INDEX(nLIST_Months,MONTH(INT(M149/1440)))&amp;" "&amp;YEAR(INT(M149/1440))&amp;" "&amp;RIGHT("0"&amp;INT(MOD(M149,1440)/60),2)&amp;":"&amp;RIGHT("0"&amp;MOD(M149,60),2)&amp;IF(L149=1," (UTC"&amp;I149&amp;")"," (offset unknown)"),IF(H149="DATE",DAY(O149)&amp;" "&amp;INDEX(nLIST_Months,MONTH(O149))&amp;" "&amp;YEAR(O149),IF(H149="MONTH",INDEX(nLIST_Months,MONTH(O149))&amp;" "&amp;YEAR(O149)&amp;" ("&amp;DAY(O149)&amp;" "&amp;INDEX(nLIST_Months,MONTH(O149))&amp;" "&amp;YEAR(O149)&amp;" to "&amp;DAY(P149)&amp;" "&amp;INDEX(nLIST_Months,MONTH(P149))&amp;" "&amp;YEAR(P149)&amp;")",IF(H149="YEAR",YEAR(O149)&amp;" (1 January to 31 December)",DAY(O149)&amp;" "&amp;INDEX(nLIST_Months,MONTH(O149))&amp;" "&amp;YEAR(O149)&amp;" to "&amp;DAY(P149)&amp;" "&amp;INDEX(nLIST_Months,MONTH(P149))&amp;" "&amp;YEAR(P149)))))))</f>
        <v/>
      </c>
      <c r="S149" s="20" t="str">
        <f>IF(B149="","",Exposures!$AU23&amp;"")</f>
        <v/>
      </c>
      <c r="T149" s="20" t="str">
        <f>IF(B149="","",Exposures!$BD23&amp;"")</f>
        <v/>
      </c>
      <c r="U149" s="20" t="str">
        <f>IF(B149="","","Exposures row "&amp;ROW(Exposures!$A23)&amp;", Restart")</f>
        <v/>
      </c>
      <c r="V149" s="20">
        <f>IF(A149="",0,COUNTIF(nTP_Key,A149))</f>
        <v>0</v>
      </c>
      <c r="W149" s="20">
        <f t="shared" si="22"/>
        <v>0</v>
      </c>
      <c r="X149" s="20">
        <f t="shared" si="23"/>
        <v>0</v>
      </c>
      <c r="Y149" s="20">
        <f t="shared" si="24"/>
        <v>0</v>
      </c>
      <c r="Z149" s="20">
        <f t="shared" si="25"/>
        <v>0</v>
      </c>
    </row>
    <row r="150" spans="1:26" x14ac:dyDescent="0.2">
      <c r="A150" s="20" t="str">
        <f t="shared" si="19"/>
        <v/>
      </c>
      <c r="B150" s="20" t="str">
        <f>IF(AND(Exposures!$D24&lt;&gt;"",COUNTA(Exposures!$AV24:$BC24)&gt;0),Exposures!$D24&amp;"/RESTART","")</f>
        <v/>
      </c>
      <c r="C150" s="20" t="str">
        <f t="shared" si="18"/>
        <v/>
      </c>
      <c r="D150" s="20" t="str">
        <f>IF(B150="","",Exposures!$A24&amp;"")</f>
        <v/>
      </c>
      <c r="E150" s="20" t="str">
        <f>IF(B150="","",Exposures!$B24&amp;"")</f>
        <v/>
      </c>
      <c r="F150" s="20" t="str">
        <f t="shared" si="20"/>
        <v/>
      </c>
      <c r="G150" s="20" t="str">
        <f>IF(B150="","",Exposures!$D24&amp;"")</f>
        <v/>
      </c>
      <c r="H150" s="20" t="str">
        <f>IF(B150="","",Exposures!$AV24&amp;"")</f>
        <v/>
      </c>
      <c r="I150" s="20" t="str">
        <f>IF(B150="","",Exposures!$AY24&amp;"")</f>
        <v/>
      </c>
      <c r="J150" s="20" t="str">
        <f>IF(B150="","",Exposures!$BE24&amp;"")</f>
        <v/>
      </c>
      <c r="K150" s="20">
        <f>IF(B150="",0,Exposures!$BF24)</f>
        <v>0</v>
      </c>
      <c r="L150" s="20">
        <f>IF(B150="",0,Exposures!$BG24)</f>
        <v>0</v>
      </c>
      <c r="M150" s="20" t="str">
        <f>IF(B150="","",Exposures!$BJ24)</f>
        <v/>
      </c>
      <c r="N150" s="20" t="str">
        <f>IF(B150="","",Exposures!$BK24)</f>
        <v/>
      </c>
      <c r="O150" s="27" t="str">
        <f>IF(B150="","",Exposures!$BH24)</f>
        <v/>
      </c>
      <c r="P150" s="27" t="str">
        <f>IF(B150="","",Exposures!$BI24)</f>
        <v/>
      </c>
      <c r="Q150" s="20" t="str">
        <f t="shared" si="21"/>
        <v/>
      </c>
      <c r="R150" s="20" t="str">
        <f>IF(A150="","",IF(J150&lt;&gt;"",J150,IF(H150="TIMESTAMP",DAY(INT(M150/1440))&amp;" "&amp;INDEX(nLIST_Months,MONTH(INT(M150/1440)))&amp;" "&amp;YEAR(INT(M150/1440))&amp;" "&amp;RIGHT("0"&amp;INT(MOD(M150,1440)/60),2)&amp;":"&amp;RIGHT("0"&amp;MOD(M150,60),2)&amp;IF(L150=1," (UTC"&amp;I150&amp;")"," (offset unknown)"),IF(H150="DATE",DAY(O150)&amp;" "&amp;INDEX(nLIST_Months,MONTH(O150))&amp;" "&amp;YEAR(O150),IF(H150="MONTH",INDEX(nLIST_Months,MONTH(O150))&amp;" "&amp;YEAR(O150)&amp;" ("&amp;DAY(O150)&amp;" "&amp;INDEX(nLIST_Months,MONTH(O150))&amp;" "&amp;YEAR(O150)&amp;" to "&amp;DAY(P150)&amp;" "&amp;INDEX(nLIST_Months,MONTH(P150))&amp;" "&amp;YEAR(P150)&amp;")",IF(H150="YEAR",YEAR(O150)&amp;" (1 January to 31 December)",DAY(O150)&amp;" "&amp;INDEX(nLIST_Months,MONTH(O150))&amp;" "&amp;YEAR(O150)&amp;" to "&amp;DAY(P150)&amp;" "&amp;INDEX(nLIST_Months,MONTH(P150))&amp;" "&amp;YEAR(P150)))))))</f>
        <v/>
      </c>
      <c r="S150" s="20" t="str">
        <f>IF(B150="","",Exposures!$AU24&amp;"")</f>
        <v/>
      </c>
      <c r="T150" s="20" t="str">
        <f>IF(B150="","",Exposures!$BD24&amp;"")</f>
        <v/>
      </c>
      <c r="U150" s="20" t="str">
        <f>IF(B150="","","Exposures row "&amp;ROW(Exposures!$A24)&amp;", Restart")</f>
        <v/>
      </c>
      <c r="V150" s="20">
        <f>IF(A150="",0,COUNTIF(nTP_Key,A150))</f>
        <v>0</v>
      </c>
      <c r="W150" s="20">
        <f t="shared" si="22"/>
        <v>0</v>
      </c>
      <c r="X150" s="20">
        <f t="shared" si="23"/>
        <v>0</v>
      </c>
      <c r="Y150" s="20">
        <f t="shared" si="24"/>
        <v>0</v>
      </c>
      <c r="Z150" s="20">
        <f t="shared" si="25"/>
        <v>0</v>
      </c>
    </row>
    <row r="151" spans="1:26" x14ac:dyDescent="0.2">
      <c r="A151" s="20" t="str">
        <f t="shared" si="19"/>
        <v/>
      </c>
      <c r="B151" s="20" t="str">
        <f>IF(AND(Exposures!$D25&lt;&gt;"",COUNTA(Exposures!$AV25:$BC25)&gt;0),Exposures!$D25&amp;"/RESTART","")</f>
        <v/>
      </c>
      <c r="C151" s="20" t="str">
        <f t="shared" si="18"/>
        <v/>
      </c>
      <c r="D151" s="20" t="str">
        <f>IF(B151="","",Exposures!$A25&amp;"")</f>
        <v/>
      </c>
      <c r="E151" s="20" t="str">
        <f>IF(B151="","",Exposures!$B25&amp;"")</f>
        <v/>
      </c>
      <c r="F151" s="20" t="str">
        <f t="shared" si="20"/>
        <v/>
      </c>
      <c r="G151" s="20" t="str">
        <f>IF(B151="","",Exposures!$D25&amp;"")</f>
        <v/>
      </c>
      <c r="H151" s="20" t="str">
        <f>IF(B151="","",Exposures!$AV25&amp;"")</f>
        <v/>
      </c>
      <c r="I151" s="20" t="str">
        <f>IF(B151="","",Exposures!$AY25&amp;"")</f>
        <v/>
      </c>
      <c r="J151" s="20" t="str">
        <f>IF(B151="","",Exposures!$BE25&amp;"")</f>
        <v/>
      </c>
      <c r="K151" s="20">
        <f>IF(B151="",0,Exposures!$BF25)</f>
        <v>0</v>
      </c>
      <c r="L151" s="20">
        <f>IF(B151="",0,Exposures!$BG25)</f>
        <v>0</v>
      </c>
      <c r="M151" s="20" t="str">
        <f>IF(B151="","",Exposures!$BJ25)</f>
        <v/>
      </c>
      <c r="N151" s="20" t="str">
        <f>IF(B151="","",Exposures!$BK25)</f>
        <v/>
      </c>
      <c r="O151" s="27" t="str">
        <f>IF(B151="","",Exposures!$BH25)</f>
        <v/>
      </c>
      <c r="P151" s="27" t="str">
        <f>IF(B151="","",Exposures!$BI25)</f>
        <v/>
      </c>
      <c r="Q151" s="20" t="str">
        <f t="shared" si="21"/>
        <v/>
      </c>
      <c r="R151" s="20" t="str">
        <f>IF(A151="","",IF(J151&lt;&gt;"",J151,IF(H151="TIMESTAMP",DAY(INT(M151/1440))&amp;" "&amp;INDEX(nLIST_Months,MONTH(INT(M151/1440)))&amp;" "&amp;YEAR(INT(M151/1440))&amp;" "&amp;RIGHT("0"&amp;INT(MOD(M151,1440)/60),2)&amp;":"&amp;RIGHT("0"&amp;MOD(M151,60),2)&amp;IF(L151=1," (UTC"&amp;I151&amp;")"," (offset unknown)"),IF(H151="DATE",DAY(O151)&amp;" "&amp;INDEX(nLIST_Months,MONTH(O151))&amp;" "&amp;YEAR(O151),IF(H151="MONTH",INDEX(nLIST_Months,MONTH(O151))&amp;" "&amp;YEAR(O151)&amp;" ("&amp;DAY(O151)&amp;" "&amp;INDEX(nLIST_Months,MONTH(O151))&amp;" "&amp;YEAR(O151)&amp;" to "&amp;DAY(P151)&amp;" "&amp;INDEX(nLIST_Months,MONTH(P151))&amp;" "&amp;YEAR(P151)&amp;")",IF(H151="YEAR",YEAR(O151)&amp;" (1 January to 31 December)",DAY(O151)&amp;" "&amp;INDEX(nLIST_Months,MONTH(O151))&amp;" "&amp;YEAR(O151)&amp;" to "&amp;DAY(P151)&amp;" "&amp;INDEX(nLIST_Months,MONTH(P151))&amp;" "&amp;YEAR(P151)))))))</f>
        <v/>
      </c>
      <c r="S151" s="20" t="str">
        <f>IF(B151="","",Exposures!$AU25&amp;"")</f>
        <v/>
      </c>
      <c r="T151" s="20" t="str">
        <f>IF(B151="","",Exposures!$BD25&amp;"")</f>
        <v/>
      </c>
      <c r="U151" s="20" t="str">
        <f>IF(B151="","","Exposures row "&amp;ROW(Exposures!$A25)&amp;", Restart")</f>
        <v/>
      </c>
      <c r="V151" s="20">
        <f>IF(A151="",0,COUNTIF(nTP_Key,A151))</f>
        <v>0</v>
      </c>
      <c r="W151" s="20">
        <f t="shared" si="22"/>
        <v>0</v>
      </c>
      <c r="X151" s="20">
        <f t="shared" si="23"/>
        <v>0</v>
      </c>
      <c r="Y151" s="20">
        <f t="shared" si="24"/>
        <v>0</v>
      </c>
      <c r="Z151" s="20">
        <f t="shared" si="25"/>
        <v>0</v>
      </c>
    </row>
    <row r="152" spans="1:26" x14ac:dyDescent="0.2">
      <c r="A152" s="20" t="str">
        <f t="shared" si="19"/>
        <v/>
      </c>
      <c r="B152" s="20" t="str">
        <f>IF(AND(Exposures!$D26&lt;&gt;"",COUNTA(Exposures!$AV26:$BC26)&gt;0),Exposures!$D26&amp;"/RESTART","")</f>
        <v/>
      </c>
      <c r="C152" s="20" t="str">
        <f t="shared" si="18"/>
        <v/>
      </c>
      <c r="D152" s="20" t="str">
        <f>IF(B152="","",Exposures!$A26&amp;"")</f>
        <v/>
      </c>
      <c r="E152" s="20" t="str">
        <f>IF(B152="","",Exposures!$B26&amp;"")</f>
        <v/>
      </c>
      <c r="F152" s="20" t="str">
        <f t="shared" si="20"/>
        <v/>
      </c>
      <c r="G152" s="20" t="str">
        <f>IF(B152="","",Exposures!$D26&amp;"")</f>
        <v/>
      </c>
      <c r="H152" s="20" t="str">
        <f>IF(B152="","",Exposures!$AV26&amp;"")</f>
        <v/>
      </c>
      <c r="I152" s="20" t="str">
        <f>IF(B152="","",Exposures!$AY26&amp;"")</f>
        <v/>
      </c>
      <c r="J152" s="20" t="str">
        <f>IF(B152="","",Exposures!$BE26&amp;"")</f>
        <v/>
      </c>
      <c r="K152" s="20">
        <f>IF(B152="",0,Exposures!$BF26)</f>
        <v>0</v>
      </c>
      <c r="L152" s="20">
        <f>IF(B152="",0,Exposures!$BG26)</f>
        <v>0</v>
      </c>
      <c r="M152" s="20" t="str">
        <f>IF(B152="","",Exposures!$BJ26)</f>
        <v/>
      </c>
      <c r="N152" s="20" t="str">
        <f>IF(B152="","",Exposures!$BK26)</f>
        <v/>
      </c>
      <c r="O152" s="27" t="str">
        <f>IF(B152="","",Exposures!$BH26)</f>
        <v/>
      </c>
      <c r="P152" s="27" t="str">
        <f>IF(B152="","",Exposures!$BI26)</f>
        <v/>
      </c>
      <c r="Q152" s="20" t="str">
        <f t="shared" si="21"/>
        <v/>
      </c>
      <c r="R152" s="20" t="str">
        <f>IF(A152="","",IF(J152&lt;&gt;"",J152,IF(H152="TIMESTAMP",DAY(INT(M152/1440))&amp;" "&amp;INDEX(nLIST_Months,MONTH(INT(M152/1440)))&amp;" "&amp;YEAR(INT(M152/1440))&amp;" "&amp;RIGHT("0"&amp;INT(MOD(M152,1440)/60),2)&amp;":"&amp;RIGHT("0"&amp;MOD(M152,60),2)&amp;IF(L152=1," (UTC"&amp;I152&amp;")"," (offset unknown)"),IF(H152="DATE",DAY(O152)&amp;" "&amp;INDEX(nLIST_Months,MONTH(O152))&amp;" "&amp;YEAR(O152),IF(H152="MONTH",INDEX(nLIST_Months,MONTH(O152))&amp;" "&amp;YEAR(O152)&amp;" ("&amp;DAY(O152)&amp;" "&amp;INDEX(nLIST_Months,MONTH(O152))&amp;" "&amp;YEAR(O152)&amp;" to "&amp;DAY(P152)&amp;" "&amp;INDEX(nLIST_Months,MONTH(P152))&amp;" "&amp;YEAR(P152)&amp;")",IF(H152="YEAR",YEAR(O152)&amp;" (1 January to 31 December)",DAY(O152)&amp;" "&amp;INDEX(nLIST_Months,MONTH(O152))&amp;" "&amp;YEAR(O152)&amp;" to "&amp;DAY(P152)&amp;" "&amp;INDEX(nLIST_Months,MONTH(P152))&amp;" "&amp;YEAR(P152)))))))</f>
        <v/>
      </c>
      <c r="S152" s="20" t="str">
        <f>IF(B152="","",Exposures!$AU26&amp;"")</f>
        <v/>
      </c>
      <c r="T152" s="20" t="str">
        <f>IF(B152="","",Exposures!$BD26&amp;"")</f>
        <v/>
      </c>
      <c r="U152" s="20" t="str">
        <f>IF(B152="","","Exposures row "&amp;ROW(Exposures!$A26)&amp;", Restart")</f>
        <v/>
      </c>
      <c r="V152" s="20">
        <f>IF(A152="",0,COUNTIF(nTP_Key,A152))</f>
        <v>0</v>
      </c>
      <c r="W152" s="20">
        <f t="shared" si="22"/>
        <v>0</v>
      </c>
      <c r="X152" s="20">
        <f t="shared" si="23"/>
        <v>0</v>
      </c>
      <c r="Y152" s="20">
        <f t="shared" si="24"/>
        <v>0</v>
      </c>
      <c r="Z152" s="20">
        <f t="shared" si="25"/>
        <v>0</v>
      </c>
    </row>
    <row r="153" spans="1:26" x14ac:dyDescent="0.2">
      <c r="A153" s="20" t="str">
        <f t="shared" si="19"/>
        <v/>
      </c>
      <c r="B153" s="20" t="str">
        <f>IF(AND(Exposures!$D27&lt;&gt;"",COUNTA(Exposures!$AV27:$BC27)&gt;0),Exposures!$D27&amp;"/RESTART","")</f>
        <v/>
      </c>
      <c r="C153" s="20" t="str">
        <f t="shared" si="18"/>
        <v/>
      </c>
      <c r="D153" s="20" t="str">
        <f>IF(B153="","",Exposures!$A27&amp;"")</f>
        <v/>
      </c>
      <c r="E153" s="20" t="str">
        <f>IF(B153="","",Exposures!$B27&amp;"")</f>
        <v/>
      </c>
      <c r="F153" s="20" t="str">
        <f t="shared" si="20"/>
        <v/>
      </c>
      <c r="G153" s="20" t="str">
        <f>IF(B153="","",Exposures!$D27&amp;"")</f>
        <v/>
      </c>
      <c r="H153" s="20" t="str">
        <f>IF(B153="","",Exposures!$AV27&amp;"")</f>
        <v/>
      </c>
      <c r="I153" s="20" t="str">
        <f>IF(B153="","",Exposures!$AY27&amp;"")</f>
        <v/>
      </c>
      <c r="J153" s="20" t="str">
        <f>IF(B153="","",Exposures!$BE27&amp;"")</f>
        <v/>
      </c>
      <c r="K153" s="20">
        <f>IF(B153="",0,Exposures!$BF27)</f>
        <v>0</v>
      </c>
      <c r="L153" s="20">
        <f>IF(B153="",0,Exposures!$BG27)</f>
        <v>0</v>
      </c>
      <c r="M153" s="20" t="str">
        <f>IF(B153="","",Exposures!$BJ27)</f>
        <v/>
      </c>
      <c r="N153" s="20" t="str">
        <f>IF(B153="","",Exposures!$BK27)</f>
        <v/>
      </c>
      <c r="O153" s="27" t="str">
        <f>IF(B153="","",Exposures!$BH27)</f>
        <v/>
      </c>
      <c r="P153" s="27" t="str">
        <f>IF(B153="","",Exposures!$BI27)</f>
        <v/>
      </c>
      <c r="Q153" s="20" t="str">
        <f t="shared" si="21"/>
        <v/>
      </c>
      <c r="R153" s="20" t="str">
        <f>IF(A153="","",IF(J153&lt;&gt;"",J153,IF(H153="TIMESTAMP",DAY(INT(M153/1440))&amp;" "&amp;INDEX(nLIST_Months,MONTH(INT(M153/1440)))&amp;" "&amp;YEAR(INT(M153/1440))&amp;" "&amp;RIGHT("0"&amp;INT(MOD(M153,1440)/60),2)&amp;":"&amp;RIGHT("0"&amp;MOD(M153,60),2)&amp;IF(L153=1," (UTC"&amp;I153&amp;")"," (offset unknown)"),IF(H153="DATE",DAY(O153)&amp;" "&amp;INDEX(nLIST_Months,MONTH(O153))&amp;" "&amp;YEAR(O153),IF(H153="MONTH",INDEX(nLIST_Months,MONTH(O153))&amp;" "&amp;YEAR(O153)&amp;" ("&amp;DAY(O153)&amp;" "&amp;INDEX(nLIST_Months,MONTH(O153))&amp;" "&amp;YEAR(O153)&amp;" to "&amp;DAY(P153)&amp;" "&amp;INDEX(nLIST_Months,MONTH(P153))&amp;" "&amp;YEAR(P153)&amp;")",IF(H153="YEAR",YEAR(O153)&amp;" (1 January to 31 December)",DAY(O153)&amp;" "&amp;INDEX(nLIST_Months,MONTH(O153))&amp;" "&amp;YEAR(O153)&amp;" to "&amp;DAY(P153)&amp;" "&amp;INDEX(nLIST_Months,MONTH(P153))&amp;" "&amp;YEAR(P153)))))))</f>
        <v/>
      </c>
      <c r="S153" s="20" t="str">
        <f>IF(B153="","",Exposures!$AU27&amp;"")</f>
        <v/>
      </c>
      <c r="T153" s="20" t="str">
        <f>IF(B153="","",Exposures!$BD27&amp;"")</f>
        <v/>
      </c>
      <c r="U153" s="20" t="str">
        <f>IF(B153="","","Exposures row "&amp;ROW(Exposures!$A27)&amp;", Restart")</f>
        <v/>
      </c>
      <c r="V153" s="20">
        <f>IF(A153="",0,COUNTIF(nTP_Key,A153))</f>
        <v>0</v>
      </c>
      <c r="W153" s="20">
        <f t="shared" si="22"/>
        <v>0</v>
      </c>
      <c r="X153" s="20">
        <f t="shared" si="23"/>
        <v>0</v>
      </c>
      <c r="Y153" s="20">
        <f t="shared" si="24"/>
        <v>0</v>
      </c>
      <c r="Z153" s="20">
        <f t="shared" si="25"/>
        <v>0</v>
      </c>
    </row>
    <row r="154" spans="1:26" x14ac:dyDescent="0.2">
      <c r="A154" s="20" t="str">
        <f t="shared" si="19"/>
        <v/>
      </c>
      <c r="B154" s="20" t="str">
        <f>IF(AND(Exposures!$D28&lt;&gt;"",COUNTA(Exposures!$AV28:$BC28)&gt;0),Exposures!$D28&amp;"/RESTART","")</f>
        <v/>
      </c>
      <c r="C154" s="20" t="str">
        <f t="shared" si="18"/>
        <v/>
      </c>
      <c r="D154" s="20" t="str">
        <f>IF(B154="","",Exposures!$A28&amp;"")</f>
        <v/>
      </c>
      <c r="E154" s="20" t="str">
        <f>IF(B154="","",Exposures!$B28&amp;"")</f>
        <v/>
      </c>
      <c r="F154" s="20" t="str">
        <f t="shared" si="20"/>
        <v/>
      </c>
      <c r="G154" s="20" t="str">
        <f>IF(B154="","",Exposures!$D28&amp;"")</f>
        <v/>
      </c>
      <c r="H154" s="20" t="str">
        <f>IF(B154="","",Exposures!$AV28&amp;"")</f>
        <v/>
      </c>
      <c r="I154" s="20" t="str">
        <f>IF(B154="","",Exposures!$AY28&amp;"")</f>
        <v/>
      </c>
      <c r="J154" s="20" t="str">
        <f>IF(B154="","",Exposures!$BE28&amp;"")</f>
        <v/>
      </c>
      <c r="K154" s="20">
        <f>IF(B154="",0,Exposures!$BF28)</f>
        <v>0</v>
      </c>
      <c r="L154" s="20">
        <f>IF(B154="",0,Exposures!$BG28)</f>
        <v>0</v>
      </c>
      <c r="M154" s="20" t="str">
        <f>IF(B154="","",Exposures!$BJ28)</f>
        <v/>
      </c>
      <c r="N154" s="20" t="str">
        <f>IF(B154="","",Exposures!$BK28)</f>
        <v/>
      </c>
      <c r="O154" s="27" t="str">
        <f>IF(B154="","",Exposures!$BH28)</f>
        <v/>
      </c>
      <c r="P154" s="27" t="str">
        <f>IF(B154="","",Exposures!$BI28)</f>
        <v/>
      </c>
      <c r="Q154" s="20" t="str">
        <f t="shared" si="21"/>
        <v/>
      </c>
      <c r="R154" s="20" t="str">
        <f>IF(A154="","",IF(J154&lt;&gt;"",J154,IF(H154="TIMESTAMP",DAY(INT(M154/1440))&amp;" "&amp;INDEX(nLIST_Months,MONTH(INT(M154/1440)))&amp;" "&amp;YEAR(INT(M154/1440))&amp;" "&amp;RIGHT("0"&amp;INT(MOD(M154,1440)/60),2)&amp;":"&amp;RIGHT("0"&amp;MOD(M154,60),2)&amp;IF(L154=1," (UTC"&amp;I154&amp;")"," (offset unknown)"),IF(H154="DATE",DAY(O154)&amp;" "&amp;INDEX(nLIST_Months,MONTH(O154))&amp;" "&amp;YEAR(O154),IF(H154="MONTH",INDEX(nLIST_Months,MONTH(O154))&amp;" "&amp;YEAR(O154)&amp;" ("&amp;DAY(O154)&amp;" "&amp;INDEX(nLIST_Months,MONTH(O154))&amp;" "&amp;YEAR(O154)&amp;" to "&amp;DAY(P154)&amp;" "&amp;INDEX(nLIST_Months,MONTH(P154))&amp;" "&amp;YEAR(P154)&amp;")",IF(H154="YEAR",YEAR(O154)&amp;" (1 January to 31 December)",DAY(O154)&amp;" "&amp;INDEX(nLIST_Months,MONTH(O154))&amp;" "&amp;YEAR(O154)&amp;" to "&amp;DAY(P154)&amp;" "&amp;INDEX(nLIST_Months,MONTH(P154))&amp;" "&amp;YEAR(P154)))))))</f>
        <v/>
      </c>
      <c r="S154" s="20" t="str">
        <f>IF(B154="","",Exposures!$AU28&amp;"")</f>
        <v/>
      </c>
      <c r="T154" s="20" t="str">
        <f>IF(B154="","",Exposures!$BD28&amp;"")</f>
        <v/>
      </c>
      <c r="U154" s="20" t="str">
        <f>IF(B154="","","Exposures row "&amp;ROW(Exposures!$A28)&amp;", Restart")</f>
        <v/>
      </c>
      <c r="V154" s="20">
        <f>IF(A154="",0,COUNTIF(nTP_Key,A154))</f>
        <v>0</v>
      </c>
      <c r="W154" s="20">
        <f t="shared" si="22"/>
        <v>0</v>
      </c>
      <c r="X154" s="20">
        <f t="shared" si="23"/>
        <v>0</v>
      </c>
      <c r="Y154" s="20">
        <f t="shared" si="24"/>
        <v>0</v>
      </c>
      <c r="Z154" s="20">
        <f t="shared" si="25"/>
        <v>0</v>
      </c>
    </row>
    <row r="155" spans="1:26" x14ac:dyDescent="0.2">
      <c r="A155" s="20" t="str">
        <f t="shared" si="19"/>
        <v/>
      </c>
      <c r="B155" s="20" t="str">
        <f>IF(AND(Exposures!$D29&lt;&gt;"",COUNTA(Exposures!$AV29:$BC29)&gt;0),Exposures!$D29&amp;"/RESTART","")</f>
        <v/>
      </c>
      <c r="C155" s="20" t="str">
        <f t="shared" si="18"/>
        <v/>
      </c>
      <c r="D155" s="20" t="str">
        <f>IF(B155="","",Exposures!$A29&amp;"")</f>
        <v/>
      </c>
      <c r="E155" s="20" t="str">
        <f>IF(B155="","",Exposures!$B29&amp;"")</f>
        <v/>
      </c>
      <c r="F155" s="20" t="str">
        <f t="shared" si="20"/>
        <v/>
      </c>
      <c r="G155" s="20" t="str">
        <f>IF(B155="","",Exposures!$D29&amp;"")</f>
        <v/>
      </c>
      <c r="H155" s="20" t="str">
        <f>IF(B155="","",Exposures!$AV29&amp;"")</f>
        <v/>
      </c>
      <c r="I155" s="20" t="str">
        <f>IF(B155="","",Exposures!$AY29&amp;"")</f>
        <v/>
      </c>
      <c r="J155" s="20" t="str">
        <f>IF(B155="","",Exposures!$BE29&amp;"")</f>
        <v/>
      </c>
      <c r="K155" s="20">
        <f>IF(B155="",0,Exposures!$BF29)</f>
        <v>0</v>
      </c>
      <c r="L155" s="20">
        <f>IF(B155="",0,Exposures!$BG29)</f>
        <v>0</v>
      </c>
      <c r="M155" s="20" t="str">
        <f>IF(B155="","",Exposures!$BJ29)</f>
        <v/>
      </c>
      <c r="N155" s="20" t="str">
        <f>IF(B155="","",Exposures!$BK29)</f>
        <v/>
      </c>
      <c r="O155" s="27" t="str">
        <f>IF(B155="","",Exposures!$BH29)</f>
        <v/>
      </c>
      <c r="P155" s="27" t="str">
        <f>IF(B155="","",Exposures!$BI29)</f>
        <v/>
      </c>
      <c r="Q155" s="20" t="str">
        <f t="shared" si="21"/>
        <v/>
      </c>
      <c r="R155" s="20" t="str">
        <f>IF(A155="","",IF(J155&lt;&gt;"",J155,IF(H155="TIMESTAMP",DAY(INT(M155/1440))&amp;" "&amp;INDEX(nLIST_Months,MONTH(INT(M155/1440)))&amp;" "&amp;YEAR(INT(M155/1440))&amp;" "&amp;RIGHT("0"&amp;INT(MOD(M155,1440)/60),2)&amp;":"&amp;RIGHT("0"&amp;MOD(M155,60),2)&amp;IF(L155=1," (UTC"&amp;I155&amp;")"," (offset unknown)"),IF(H155="DATE",DAY(O155)&amp;" "&amp;INDEX(nLIST_Months,MONTH(O155))&amp;" "&amp;YEAR(O155),IF(H155="MONTH",INDEX(nLIST_Months,MONTH(O155))&amp;" "&amp;YEAR(O155)&amp;" ("&amp;DAY(O155)&amp;" "&amp;INDEX(nLIST_Months,MONTH(O155))&amp;" "&amp;YEAR(O155)&amp;" to "&amp;DAY(P155)&amp;" "&amp;INDEX(nLIST_Months,MONTH(P155))&amp;" "&amp;YEAR(P155)&amp;")",IF(H155="YEAR",YEAR(O155)&amp;" (1 January to 31 December)",DAY(O155)&amp;" "&amp;INDEX(nLIST_Months,MONTH(O155))&amp;" "&amp;YEAR(O155)&amp;" to "&amp;DAY(P155)&amp;" "&amp;INDEX(nLIST_Months,MONTH(P155))&amp;" "&amp;YEAR(P155)))))))</f>
        <v/>
      </c>
      <c r="S155" s="20" t="str">
        <f>IF(B155="","",Exposures!$AU29&amp;"")</f>
        <v/>
      </c>
      <c r="T155" s="20" t="str">
        <f>IF(B155="","",Exposures!$BD29&amp;"")</f>
        <v/>
      </c>
      <c r="U155" s="20" t="str">
        <f>IF(B155="","","Exposures row "&amp;ROW(Exposures!$A29)&amp;", Restart")</f>
        <v/>
      </c>
      <c r="V155" s="20">
        <f>IF(A155="",0,COUNTIF(nTP_Key,A155))</f>
        <v>0</v>
      </c>
      <c r="W155" s="20">
        <f t="shared" si="22"/>
        <v>0</v>
      </c>
      <c r="X155" s="20">
        <f t="shared" si="23"/>
        <v>0</v>
      </c>
      <c r="Y155" s="20">
        <f t="shared" si="24"/>
        <v>0</v>
      </c>
      <c r="Z155" s="20">
        <f t="shared" si="25"/>
        <v>0</v>
      </c>
    </row>
    <row r="156" spans="1:26" x14ac:dyDescent="0.2">
      <c r="A156" s="20" t="str">
        <f t="shared" si="19"/>
        <v/>
      </c>
      <c r="B156" s="20" t="str">
        <f>IF(AND(Exposures!$D30&lt;&gt;"",COUNTA(Exposures!$AV30:$BC30)&gt;0),Exposures!$D30&amp;"/RESTART","")</f>
        <v/>
      </c>
      <c r="C156" s="20" t="str">
        <f t="shared" si="18"/>
        <v/>
      </c>
      <c r="D156" s="20" t="str">
        <f>IF(B156="","",Exposures!$A30&amp;"")</f>
        <v/>
      </c>
      <c r="E156" s="20" t="str">
        <f>IF(B156="","",Exposures!$B30&amp;"")</f>
        <v/>
      </c>
      <c r="F156" s="20" t="str">
        <f t="shared" si="20"/>
        <v/>
      </c>
      <c r="G156" s="20" t="str">
        <f>IF(B156="","",Exposures!$D30&amp;"")</f>
        <v/>
      </c>
      <c r="H156" s="20" t="str">
        <f>IF(B156="","",Exposures!$AV30&amp;"")</f>
        <v/>
      </c>
      <c r="I156" s="20" t="str">
        <f>IF(B156="","",Exposures!$AY30&amp;"")</f>
        <v/>
      </c>
      <c r="J156" s="20" t="str">
        <f>IF(B156="","",Exposures!$BE30&amp;"")</f>
        <v/>
      </c>
      <c r="K156" s="20">
        <f>IF(B156="",0,Exposures!$BF30)</f>
        <v>0</v>
      </c>
      <c r="L156" s="20">
        <f>IF(B156="",0,Exposures!$BG30)</f>
        <v>0</v>
      </c>
      <c r="M156" s="20" t="str">
        <f>IF(B156="","",Exposures!$BJ30)</f>
        <v/>
      </c>
      <c r="N156" s="20" t="str">
        <f>IF(B156="","",Exposures!$BK30)</f>
        <v/>
      </c>
      <c r="O156" s="27" t="str">
        <f>IF(B156="","",Exposures!$BH30)</f>
        <v/>
      </c>
      <c r="P156" s="27" t="str">
        <f>IF(B156="","",Exposures!$BI30)</f>
        <v/>
      </c>
      <c r="Q156" s="20" t="str">
        <f t="shared" si="21"/>
        <v/>
      </c>
      <c r="R156" s="20" t="str">
        <f>IF(A156="","",IF(J156&lt;&gt;"",J156,IF(H156="TIMESTAMP",DAY(INT(M156/1440))&amp;" "&amp;INDEX(nLIST_Months,MONTH(INT(M156/1440)))&amp;" "&amp;YEAR(INT(M156/1440))&amp;" "&amp;RIGHT("0"&amp;INT(MOD(M156,1440)/60),2)&amp;":"&amp;RIGHT("0"&amp;MOD(M156,60),2)&amp;IF(L156=1," (UTC"&amp;I156&amp;")"," (offset unknown)"),IF(H156="DATE",DAY(O156)&amp;" "&amp;INDEX(nLIST_Months,MONTH(O156))&amp;" "&amp;YEAR(O156),IF(H156="MONTH",INDEX(nLIST_Months,MONTH(O156))&amp;" "&amp;YEAR(O156)&amp;" ("&amp;DAY(O156)&amp;" "&amp;INDEX(nLIST_Months,MONTH(O156))&amp;" "&amp;YEAR(O156)&amp;" to "&amp;DAY(P156)&amp;" "&amp;INDEX(nLIST_Months,MONTH(P156))&amp;" "&amp;YEAR(P156)&amp;")",IF(H156="YEAR",YEAR(O156)&amp;" (1 January to 31 December)",DAY(O156)&amp;" "&amp;INDEX(nLIST_Months,MONTH(O156))&amp;" "&amp;YEAR(O156)&amp;" to "&amp;DAY(P156)&amp;" "&amp;INDEX(nLIST_Months,MONTH(P156))&amp;" "&amp;YEAR(P156)))))))</f>
        <v/>
      </c>
      <c r="S156" s="20" t="str">
        <f>IF(B156="","",Exposures!$AU30&amp;"")</f>
        <v/>
      </c>
      <c r="T156" s="20" t="str">
        <f>IF(B156="","",Exposures!$BD30&amp;"")</f>
        <v/>
      </c>
      <c r="U156" s="20" t="str">
        <f>IF(B156="","","Exposures row "&amp;ROW(Exposures!$A30)&amp;", Restart")</f>
        <v/>
      </c>
      <c r="V156" s="20">
        <f>IF(A156="",0,COUNTIF(nTP_Key,A156))</f>
        <v>0</v>
      </c>
      <c r="W156" s="20">
        <f t="shared" si="22"/>
        <v>0</v>
      </c>
      <c r="X156" s="20">
        <f t="shared" si="23"/>
        <v>0</v>
      </c>
      <c r="Y156" s="20">
        <f t="shared" si="24"/>
        <v>0</v>
      </c>
      <c r="Z156" s="20">
        <f t="shared" si="25"/>
        <v>0</v>
      </c>
    </row>
    <row r="157" spans="1:26" x14ac:dyDescent="0.2">
      <c r="A157" s="20" t="str">
        <f t="shared" si="19"/>
        <v/>
      </c>
      <c r="B157" s="20" t="str">
        <f>IF(AND(Exposures!$D31&lt;&gt;"",COUNTA(Exposures!$AV31:$BC31)&gt;0),Exposures!$D31&amp;"/RESTART","")</f>
        <v/>
      </c>
      <c r="C157" s="20" t="str">
        <f t="shared" si="18"/>
        <v/>
      </c>
      <c r="D157" s="20" t="str">
        <f>IF(B157="","",Exposures!$A31&amp;"")</f>
        <v/>
      </c>
      <c r="E157" s="20" t="str">
        <f>IF(B157="","",Exposures!$B31&amp;"")</f>
        <v/>
      </c>
      <c r="F157" s="20" t="str">
        <f t="shared" si="20"/>
        <v/>
      </c>
      <c r="G157" s="20" t="str">
        <f>IF(B157="","",Exposures!$D31&amp;"")</f>
        <v/>
      </c>
      <c r="H157" s="20" t="str">
        <f>IF(B157="","",Exposures!$AV31&amp;"")</f>
        <v/>
      </c>
      <c r="I157" s="20" t="str">
        <f>IF(B157="","",Exposures!$AY31&amp;"")</f>
        <v/>
      </c>
      <c r="J157" s="20" t="str">
        <f>IF(B157="","",Exposures!$BE31&amp;"")</f>
        <v/>
      </c>
      <c r="K157" s="20">
        <f>IF(B157="",0,Exposures!$BF31)</f>
        <v>0</v>
      </c>
      <c r="L157" s="20">
        <f>IF(B157="",0,Exposures!$BG31)</f>
        <v>0</v>
      </c>
      <c r="M157" s="20" t="str">
        <f>IF(B157="","",Exposures!$BJ31)</f>
        <v/>
      </c>
      <c r="N157" s="20" t="str">
        <f>IF(B157="","",Exposures!$BK31)</f>
        <v/>
      </c>
      <c r="O157" s="27" t="str">
        <f>IF(B157="","",Exposures!$BH31)</f>
        <v/>
      </c>
      <c r="P157" s="27" t="str">
        <f>IF(B157="","",Exposures!$BI31)</f>
        <v/>
      </c>
      <c r="Q157" s="20" t="str">
        <f t="shared" si="21"/>
        <v/>
      </c>
      <c r="R157" s="20" t="str">
        <f>IF(A157="","",IF(J157&lt;&gt;"",J157,IF(H157="TIMESTAMP",DAY(INT(M157/1440))&amp;" "&amp;INDEX(nLIST_Months,MONTH(INT(M157/1440)))&amp;" "&amp;YEAR(INT(M157/1440))&amp;" "&amp;RIGHT("0"&amp;INT(MOD(M157,1440)/60),2)&amp;":"&amp;RIGHT("0"&amp;MOD(M157,60),2)&amp;IF(L157=1," (UTC"&amp;I157&amp;")"," (offset unknown)"),IF(H157="DATE",DAY(O157)&amp;" "&amp;INDEX(nLIST_Months,MONTH(O157))&amp;" "&amp;YEAR(O157),IF(H157="MONTH",INDEX(nLIST_Months,MONTH(O157))&amp;" "&amp;YEAR(O157)&amp;" ("&amp;DAY(O157)&amp;" "&amp;INDEX(nLIST_Months,MONTH(O157))&amp;" "&amp;YEAR(O157)&amp;" to "&amp;DAY(P157)&amp;" "&amp;INDEX(nLIST_Months,MONTH(P157))&amp;" "&amp;YEAR(P157)&amp;")",IF(H157="YEAR",YEAR(O157)&amp;" (1 January to 31 December)",DAY(O157)&amp;" "&amp;INDEX(nLIST_Months,MONTH(O157))&amp;" "&amp;YEAR(O157)&amp;" to "&amp;DAY(P157)&amp;" "&amp;INDEX(nLIST_Months,MONTH(P157))&amp;" "&amp;YEAR(P157)))))))</f>
        <v/>
      </c>
      <c r="S157" s="20" t="str">
        <f>IF(B157="","",Exposures!$AU31&amp;"")</f>
        <v/>
      </c>
      <c r="T157" s="20" t="str">
        <f>IF(B157="","",Exposures!$BD31&amp;"")</f>
        <v/>
      </c>
      <c r="U157" s="20" t="str">
        <f>IF(B157="","","Exposures row "&amp;ROW(Exposures!$A31)&amp;", Restart")</f>
        <v/>
      </c>
      <c r="V157" s="20">
        <f>IF(A157="",0,COUNTIF(nTP_Key,A157))</f>
        <v>0</v>
      </c>
      <c r="W157" s="20">
        <f t="shared" si="22"/>
        <v>0</v>
      </c>
      <c r="X157" s="20">
        <f t="shared" si="23"/>
        <v>0</v>
      </c>
      <c r="Y157" s="20">
        <f t="shared" si="24"/>
        <v>0</v>
      </c>
      <c r="Z157" s="20">
        <f t="shared" si="25"/>
        <v>0</v>
      </c>
    </row>
    <row r="158" spans="1:26" x14ac:dyDescent="0.2">
      <c r="A158" s="20" t="str">
        <f t="shared" si="19"/>
        <v/>
      </c>
      <c r="B158" s="20" t="str">
        <f>IF(AND(Exposures!$D32&lt;&gt;"",COUNTA(Exposures!$AV32:$BC32)&gt;0),Exposures!$D32&amp;"/RESTART","")</f>
        <v/>
      </c>
      <c r="C158" s="20" t="str">
        <f t="shared" si="18"/>
        <v/>
      </c>
      <c r="D158" s="20" t="str">
        <f>IF(B158="","",Exposures!$A32&amp;"")</f>
        <v/>
      </c>
      <c r="E158" s="20" t="str">
        <f>IF(B158="","",Exposures!$B32&amp;"")</f>
        <v/>
      </c>
      <c r="F158" s="20" t="str">
        <f t="shared" si="20"/>
        <v/>
      </c>
      <c r="G158" s="20" t="str">
        <f>IF(B158="","",Exposures!$D32&amp;"")</f>
        <v/>
      </c>
      <c r="H158" s="20" t="str">
        <f>IF(B158="","",Exposures!$AV32&amp;"")</f>
        <v/>
      </c>
      <c r="I158" s="20" t="str">
        <f>IF(B158="","",Exposures!$AY32&amp;"")</f>
        <v/>
      </c>
      <c r="J158" s="20" t="str">
        <f>IF(B158="","",Exposures!$BE32&amp;"")</f>
        <v/>
      </c>
      <c r="K158" s="20">
        <f>IF(B158="",0,Exposures!$BF32)</f>
        <v>0</v>
      </c>
      <c r="L158" s="20">
        <f>IF(B158="",0,Exposures!$BG32)</f>
        <v>0</v>
      </c>
      <c r="M158" s="20" t="str">
        <f>IF(B158="","",Exposures!$BJ32)</f>
        <v/>
      </c>
      <c r="N158" s="20" t="str">
        <f>IF(B158="","",Exposures!$BK32)</f>
        <v/>
      </c>
      <c r="O158" s="27" t="str">
        <f>IF(B158="","",Exposures!$BH32)</f>
        <v/>
      </c>
      <c r="P158" s="27" t="str">
        <f>IF(B158="","",Exposures!$BI32)</f>
        <v/>
      </c>
      <c r="Q158" s="20" t="str">
        <f t="shared" si="21"/>
        <v/>
      </c>
      <c r="R158" s="20" t="str">
        <f>IF(A158="","",IF(J158&lt;&gt;"",J158,IF(H158="TIMESTAMP",DAY(INT(M158/1440))&amp;" "&amp;INDEX(nLIST_Months,MONTH(INT(M158/1440)))&amp;" "&amp;YEAR(INT(M158/1440))&amp;" "&amp;RIGHT("0"&amp;INT(MOD(M158,1440)/60),2)&amp;":"&amp;RIGHT("0"&amp;MOD(M158,60),2)&amp;IF(L158=1," (UTC"&amp;I158&amp;")"," (offset unknown)"),IF(H158="DATE",DAY(O158)&amp;" "&amp;INDEX(nLIST_Months,MONTH(O158))&amp;" "&amp;YEAR(O158),IF(H158="MONTH",INDEX(nLIST_Months,MONTH(O158))&amp;" "&amp;YEAR(O158)&amp;" ("&amp;DAY(O158)&amp;" "&amp;INDEX(nLIST_Months,MONTH(O158))&amp;" "&amp;YEAR(O158)&amp;" to "&amp;DAY(P158)&amp;" "&amp;INDEX(nLIST_Months,MONTH(P158))&amp;" "&amp;YEAR(P158)&amp;")",IF(H158="YEAR",YEAR(O158)&amp;" (1 January to 31 December)",DAY(O158)&amp;" "&amp;INDEX(nLIST_Months,MONTH(O158))&amp;" "&amp;YEAR(O158)&amp;" to "&amp;DAY(P158)&amp;" "&amp;INDEX(nLIST_Months,MONTH(P158))&amp;" "&amp;YEAR(P158)))))))</f>
        <v/>
      </c>
      <c r="S158" s="20" t="str">
        <f>IF(B158="","",Exposures!$AU32&amp;"")</f>
        <v/>
      </c>
      <c r="T158" s="20" t="str">
        <f>IF(B158="","",Exposures!$BD32&amp;"")</f>
        <v/>
      </c>
      <c r="U158" s="20" t="str">
        <f>IF(B158="","","Exposures row "&amp;ROW(Exposures!$A32)&amp;", Restart")</f>
        <v/>
      </c>
      <c r="V158" s="20">
        <f>IF(A158="",0,COUNTIF(nTP_Key,A158))</f>
        <v>0</v>
      </c>
      <c r="W158" s="20">
        <f t="shared" si="22"/>
        <v>0</v>
      </c>
      <c r="X158" s="20">
        <f t="shared" si="23"/>
        <v>0</v>
      </c>
      <c r="Y158" s="20">
        <f t="shared" si="24"/>
        <v>0</v>
      </c>
      <c r="Z158" s="20">
        <f t="shared" si="25"/>
        <v>0</v>
      </c>
    </row>
    <row r="159" spans="1:26" x14ac:dyDescent="0.2">
      <c r="A159" s="20" t="str">
        <f t="shared" si="19"/>
        <v/>
      </c>
      <c r="B159" s="20" t="str">
        <f>IF(AND(Exposures!$D33&lt;&gt;"",COUNTA(Exposures!$AV33:$BC33)&gt;0),Exposures!$D33&amp;"/RESTART","")</f>
        <v/>
      </c>
      <c r="C159" s="20" t="str">
        <f t="shared" si="18"/>
        <v/>
      </c>
      <c r="D159" s="20" t="str">
        <f>IF(B159="","",Exposures!$A33&amp;"")</f>
        <v/>
      </c>
      <c r="E159" s="20" t="str">
        <f>IF(B159="","",Exposures!$B33&amp;"")</f>
        <v/>
      </c>
      <c r="F159" s="20" t="str">
        <f t="shared" si="20"/>
        <v/>
      </c>
      <c r="G159" s="20" t="str">
        <f>IF(B159="","",Exposures!$D33&amp;"")</f>
        <v/>
      </c>
      <c r="H159" s="20" t="str">
        <f>IF(B159="","",Exposures!$AV33&amp;"")</f>
        <v/>
      </c>
      <c r="I159" s="20" t="str">
        <f>IF(B159="","",Exposures!$AY33&amp;"")</f>
        <v/>
      </c>
      <c r="J159" s="20" t="str">
        <f>IF(B159="","",Exposures!$BE33&amp;"")</f>
        <v/>
      </c>
      <c r="K159" s="20">
        <f>IF(B159="",0,Exposures!$BF33)</f>
        <v>0</v>
      </c>
      <c r="L159" s="20">
        <f>IF(B159="",0,Exposures!$BG33)</f>
        <v>0</v>
      </c>
      <c r="M159" s="20" t="str">
        <f>IF(B159="","",Exposures!$BJ33)</f>
        <v/>
      </c>
      <c r="N159" s="20" t="str">
        <f>IF(B159="","",Exposures!$BK33)</f>
        <v/>
      </c>
      <c r="O159" s="27" t="str">
        <f>IF(B159="","",Exposures!$BH33)</f>
        <v/>
      </c>
      <c r="P159" s="27" t="str">
        <f>IF(B159="","",Exposures!$BI33)</f>
        <v/>
      </c>
      <c r="Q159" s="20" t="str">
        <f t="shared" si="21"/>
        <v/>
      </c>
      <c r="R159" s="20" t="str">
        <f>IF(A159="","",IF(J159&lt;&gt;"",J159,IF(H159="TIMESTAMP",DAY(INT(M159/1440))&amp;" "&amp;INDEX(nLIST_Months,MONTH(INT(M159/1440)))&amp;" "&amp;YEAR(INT(M159/1440))&amp;" "&amp;RIGHT("0"&amp;INT(MOD(M159,1440)/60),2)&amp;":"&amp;RIGHT("0"&amp;MOD(M159,60),2)&amp;IF(L159=1," (UTC"&amp;I159&amp;")"," (offset unknown)"),IF(H159="DATE",DAY(O159)&amp;" "&amp;INDEX(nLIST_Months,MONTH(O159))&amp;" "&amp;YEAR(O159),IF(H159="MONTH",INDEX(nLIST_Months,MONTH(O159))&amp;" "&amp;YEAR(O159)&amp;" ("&amp;DAY(O159)&amp;" "&amp;INDEX(nLIST_Months,MONTH(O159))&amp;" "&amp;YEAR(O159)&amp;" to "&amp;DAY(P159)&amp;" "&amp;INDEX(nLIST_Months,MONTH(P159))&amp;" "&amp;YEAR(P159)&amp;")",IF(H159="YEAR",YEAR(O159)&amp;" (1 January to 31 December)",DAY(O159)&amp;" "&amp;INDEX(nLIST_Months,MONTH(O159))&amp;" "&amp;YEAR(O159)&amp;" to "&amp;DAY(P159)&amp;" "&amp;INDEX(nLIST_Months,MONTH(P159))&amp;" "&amp;YEAR(P159)))))))</f>
        <v/>
      </c>
      <c r="S159" s="20" t="str">
        <f>IF(B159="","",Exposures!$AU33&amp;"")</f>
        <v/>
      </c>
      <c r="T159" s="20" t="str">
        <f>IF(B159="","",Exposures!$BD33&amp;"")</f>
        <v/>
      </c>
      <c r="U159" s="20" t="str">
        <f>IF(B159="","","Exposures row "&amp;ROW(Exposures!$A33)&amp;", Restart")</f>
        <v/>
      </c>
      <c r="V159" s="20">
        <f>IF(A159="",0,COUNTIF(nTP_Key,A159))</f>
        <v>0</v>
      </c>
      <c r="W159" s="20">
        <f t="shared" si="22"/>
        <v>0</v>
      </c>
      <c r="X159" s="20">
        <f t="shared" si="23"/>
        <v>0</v>
      </c>
      <c r="Y159" s="20">
        <f t="shared" si="24"/>
        <v>0</v>
      </c>
      <c r="Z159" s="20">
        <f t="shared" si="25"/>
        <v>0</v>
      </c>
    </row>
    <row r="160" spans="1:26" x14ac:dyDescent="0.2">
      <c r="A160" s="20" t="str">
        <f t="shared" si="19"/>
        <v/>
      </c>
      <c r="B160" s="20" t="str">
        <f>IF(AND(Exposures!$D34&lt;&gt;"",COUNTA(Exposures!$AV34:$BC34)&gt;0),Exposures!$D34&amp;"/RESTART","")</f>
        <v/>
      </c>
      <c r="C160" s="20" t="str">
        <f t="shared" si="18"/>
        <v/>
      </c>
      <c r="D160" s="20" t="str">
        <f>IF(B160="","",Exposures!$A34&amp;"")</f>
        <v/>
      </c>
      <c r="E160" s="20" t="str">
        <f>IF(B160="","",Exposures!$B34&amp;"")</f>
        <v/>
      </c>
      <c r="F160" s="20" t="str">
        <f t="shared" si="20"/>
        <v/>
      </c>
      <c r="G160" s="20" t="str">
        <f>IF(B160="","",Exposures!$D34&amp;"")</f>
        <v/>
      </c>
      <c r="H160" s="20" t="str">
        <f>IF(B160="","",Exposures!$AV34&amp;"")</f>
        <v/>
      </c>
      <c r="I160" s="20" t="str">
        <f>IF(B160="","",Exposures!$AY34&amp;"")</f>
        <v/>
      </c>
      <c r="J160" s="20" t="str">
        <f>IF(B160="","",Exposures!$BE34&amp;"")</f>
        <v/>
      </c>
      <c r="K160" s="20">
        <f>IF(B160="",0,Exposures!$BF34)</f>
        <v>0</v>
      </c>
      <c r="L160" s="20">
        <f>IF(B160="",0,Exposures!$BG34)</f>
        <v>0</v>
      </c>
      <c r="M160" s="20" t="str">
        <f>IF(B160="","",Exposures!$BJ34)</f>
        <v/>
      </c>
      <c r="N160" s="20" t="str">
        <f>IF(B160="","",Exposures!$BK34)</f>
        <v/>
      </c>
      <c r="O160" s="27" t="str">
        <f>IF(B160="","",Exposures!$BH34)</f>
        <v/>
      </c>
      <c r="P160" s="27" t="str">
        <f>IF(B160="","",Exposures!$BI34)</f>
        <v/>
      </c>
      <c r="Q160" s="20" t="str">
        <f t="shared" si="21"/>
        <v/>
      </c>
      <c r="R160" s="20" t="str">
        <f>IF(A160="","",IF(J160&lt;&gt;"",J160,IF(H160="TIMESTAMP",DAY(INT(M160/1440))&amp;" "&amp;INDEX(nLIST_Months,MONTH(INT(M160/1440)))&amp;" "&amp;YEAR(INT(M160/1440))&amp;" "&amp;RIGHT("0"&amp;INT(MOD(M160,1440)/60),2)&amp;":"&amp;RIGHT("0"&amp;MOD(M160,60),2)&amp;IF(L160=1," (UTC"&amp;I160&amp;")"," (offset unknown)"),IF(H160="DATE",DAY(O160)&amp;" "&amp;INDEX(nLIST_Months,MONTH(O160))&amp;" "&amp;YEAR(O160),IF(H160="MONTH",INDEX(nLIST_Months,MONTH(O160))&amp;" "&amp;YEAR(O160)&amp;" ("&amp;DAY(O160)&amp;" "&amp;INDEX(nLIST_Months,MONTH(O160))&amp;" "&amp;YEAR(O160)&amp;" to "&amp;DAY(P160)&amp;" "&amp;INDEX(nLIST_Months,MONTH(P160))&amp;" "&amp;YEAR(P160)&amp;")",IF(H160="YEAR",YEAR(O160)&amp;" (1 January to 31 December)",DAY(O160)&amp;" "&amp;INDEX(nLIST_Months,MONTH(O160))&amp;" "&amp;YEAR(O160)&amp;" to "&amp;DAY(P160)&amp;" "&amp;INDEX(nLIST_Months,MONTH(P160))&amp;" "&amp;YEAR(P160)))))))</f>
        <v/>
      </c>
      <c r="S160" s="20" t="str">
        <f>IF(B160="","",Exposures!$AU34&amp;"")</f>
        <v/>
      </c>
      <c r="T160" s="20" t="str">
        <f>IF(B160="","",Exposures!$BD34&amp;"")</f>
        <v/>
      </c>
      <c r="U160" s="20" t="str">
        <f>IF(B160="","","Exposures row "&amp;ROW(Exposures!$A34)&amp;", Restart")</f>
        <v/>
      </c>
      <c r="V160" s="20">
        <f>IF(A160="",0,COUNTIF(nTP_Key,A160))</f>
        <v>0</v>
      </c>
      <c r="W160" s="20">
        <f t="shared" si="22"/>
        <v>0</v>
      </c>
      <c r="X160" s="20">
        <f t="shared" si="23"/>
        <v>0</v>
      </c>
      <c r="Y160" s="20">
        <f t="shared" si="24"/>
        <v>0</v>
      </c>
      <c r="Z160" s="20">
        <f t="shared" si="25"/>
        <v>0</v>
      </c>
    </row>
    <row r="161" spans="1:26" x14ac:dyDescent="0.2">
      <c r="A161" s="20" t="str">
        <f t="shared" si="19"/>
        <v/>
      </c>
      <c r="B161" s="20" t="str">
        <f>IF(AND(Exposures!$D35&lt;&gt;"",COUNTA(Exposures!$AV35:$BC35)&gt;0),Exposures!$D35&amp;"/RESTART","")</f>
        <v/>
      </c>
      <c r="C161" s="20" t="str">
        <f t="shared" si="18"/>
        <v/>
      </c>
      <c r="D161" s="20" t="str">
        <f>IF(B161="","",Exposures!$A35&amp;"")</f>
        <v/>
      </c>
      <c r="E161" s="20" t="str">
        <f>IF(B161="","",Exposures!$B35&amp;"")</f>
        <v/>
      </c>
      <c r="F161" s="20" t="str">
        <f t="shared" si="20"/>
        <v/>
      </c>
      <c r="G161" s="20" t="str">
        <f>IF(B161="","",Exposures!$D35&amp;"")</f>
        <v/>
      </c>
      <c r="H161" s="20" t="str">
        <f>IF(B161="","",Exposures!$AV35&amp;"")</f>
        <v/>
      </c>
      <c r="I161" s="20" t="str">
        <f>IF(B161="","",Exposures!$AY35&amp;"")</f>
        <v/>
      </c>
      <c r="J161" s="20" t="str">
        <f>IF(B161="","",Exposures!$BE35&amp;"")</f>
        <v/>
      </c>
      <c r="K161" s="20">
        <f>IF(B161="",0,Exposures!$BF35)</f>
        <v>0</v>
      </c>
      <c r="L161" s="20">
        <f>IF(B161="",0,Exposures!$BG35)</f>
        <v>0</v>
      </c>
      <c r="M161" s="20" t="str">
        <f>IF(B161="","",Exposures!$BJ35)</f>
        <v/>
      </c>
      <c r="N161" s="20" t="str">
        <f>IF(B161="","",Exposures!$BK35)</f>
        <v/>
      </c>
      <c r="O161" s="27" t="str">
        <f>IF(B161="","",Exposures!$BH35)</f>
        <v/>
      </c>
      <c r="P161" s="27" t="str">
        <f>IF(B161="","",Exposures!$BI35)</f>
        <v/>
      </c>
      <c r="Q161" s="20" t="str">
        <f t="shared" si="21"/>
        <v/>
      </c>
      <c r="R161" s="20" t="str">
        <f>IF(A161="","",IF(J161&lt;&gt;"",J161,IF(H161="TIMESTAMP",DAY(INT(M161/1440))&amp;" "&amp;INDEX(nLIST_Months,MONTH(INT(M161/1440)))&amp;" "&amp;YEAR(INT(M161/1440))&amp;" "&amp;RIGHT("0"&amp;INT(MOD(M161,1440)/60),2)&amp;":"&amp;RIGHT("0"&amp;MOD(M161,60),2)&amp;IF(L161=1," (UTC"&amp;I161&amp;")"," (offset unknown)"),IF(H161="DATE",DAY(O161)&amp;" "&amp;INDEX(nLIST_Months,MONTH(O161))&amp;" "&amp;YEAR(O161),IF(H161="MONTH",INDEX(nLIST_Months,MONTH(O161))&amp;" "&amp;YEAR(O161)&amp;" ("&amp;DAY(O161)&amp;" "&amp;INDEX(nLIST_Months,MONTH(O161))&amp;" "&amp;YEAR(O161)&amp;" to "&amp;DAY(P161)&amp;" "&amp;INDEX(nLIST_Months,MONTH(P161))&amp;" "&amp;YEAR(P161)&amp;")",IF(H161="YEAR",YEAR(O161)&amp;" (1 January to 31 December)",DAY(O161)&amp;" "&amp;INDEX(nLIST_Months,MONTH(O161))&amp;" "&amp;YEAR(O161)&amp;" to "&amp;DAY(P161)&amp;" "&amp;INDEX(nLIST_Months,MONTH(P161))&amp;" "&amp;YEAR(P161)))))))</f>
        <v/>
      </c>
      <c r="S161" s="20" t="str">
        <f>IF(B161="","",Exposures!$AU35&amp;"")</f>
        <v/>
      </c>
      <c r="T161" s="20" t="str">
        <f>IF(B161="","",Exposures!$BD35&amp;"")</f>
        <v/>
      </c>
      <c r="U161" s="20" t="str">
        <f>IF(B161="","","Exposures row "&amp;ROW(Exposures!$A35)&amp;", Restart")</f>
        <v/>
      </c>
      <c r="V161" s="20">
        <f>IF(A161="",0,COUNTIF(nTP_Key,A161))</f>
        <v>0</v>
      </c>
      <c r="W161" s="20">
        <f t="shared" si="22"/>
        <v>0</v>
      </c>
      <c r="X161" s="20">
        <f t="shared" si="23"/>
        <v>0</v>
      </c>
      <c r="Y161" s="20">
        <f t="shared" si="24"/>
        <v>0</v>
      </c>
      <c r="Z161" s="20">
        <f t="shared" si="25"/>
        <v>0</v>
      </c>
    </row>
    <row r="162" spans="1:26" x14ac:dyDescent="0.2">
      <c r="A162" s="20" t="str">
        <f t="shared" si="19"/>
        <v/>
      </c>
      <c r="B162" s="20" t="str">
        <f>IF(AND(Exposures!$D36&lt;&gt;"",COUNTA(Exposures!$AV36:$BC36)&gt;0),Exposures!$D36&amp;"/RESTART","")</f>
        <v/>
      </c>
      <c r="C162" s="20" t="str">
        <f t="shared" si="18"/>
        <v/>
      </c>
      <c r="D162" s="20" t="str">
        <f>IF(B162="","",Exposures!$A36&amp;"")</f>
        <v/>
      </c>
      <c r="E162" s="20" t="str">
        <f>IF(B162="","",Exposures!$B36&amp;"")</f>
        <v/>
      </c>
      <c r="F162" s="20" t="str">
        <f t="shared" si="20"/>
        <v/>
      </c>
      <c r="G162" s="20" t="str">
        <f>IF(B162="","",Exposures!$D36&amp;"")</f>
        <v/>
      </c>
      <c r="H162" s="20" t="str">
        <f>IF(B162="","",Exposures!$AV36&amp;"")</f>
        <v/>
      </c>
      <c r="I162" s="20" t="str">
        <f>IF(B162="","",Exposures!$AY36&amp;"")</f>
        <v/>
      </c>
      <c r="J162" s="20" t="str">
        <f>IF(B162="","",Exposures!$BE36&amp;"")</f>
        <v/>
      </c>
      <c r="K162" s="20">
        <f>IF(B162="",0,Exposures!$BF36)</f>
        <v>0</v>
      </c>
      <c r="L162" s="20">
        <f>IF(B162="",0,Exposures!$BG36)</f>
        <v>0</v>
      </c>
      <c r="M162" s="20" t="str">
        <f>IF(B162="","",Exposures!$BJ36)</f>
        <v/>
      </c>
      <c r="N162" s="20" t="str">
        <f>IF(B162="","",Exposures!$BK36)</f>
        <v/>
      </c>
      <c r="O162" s="27" t="str">
        <f>IF(B162="","",Exposures!$BH36)</f>
        <v/>
      </c>
      <c r="P162" s="27" t="str">
        <f>IF(B162="","",Exposures!$BI36)</f>
        <v/>
      </c>
      <c r="Q162" s="20" t="str">
        <f t="shared" si="21"/>
        <v/>
      </c>
      <c r="R162" s="20" t="str">
        <f>IF(A162="","",IF(J162&lt;&gt;"",J162,IF(H162="TIMESTAMP",DAY(INT(M162/1440))&amp;" "&amp;INDEX(nLIST_Months,MONTH(INT(M162/1440)))&amp;" "&amp;YEAR(INT(M162/1440))&amp;" "&amp;RIGHT("0"&amp;INT(MOD(M162,1440)/60),2)&amp;":"&amp;RIGHT("0"&amp;MOD(M162,60),2)&amp;IF(L162=1," (UTC"&amp;I162&amp;")"," (offset unknown)"),IF(H162="DATE",DAY(O162)&amp;" "&amp;INDEX(nLIST_Months,MONTH(O162))&amp;" "&amp;YEAR(O162),IF(H162="MONTH",INDEX(nLIST_Months,MONTH(O162))&amp;" "&amp;YEAR(O162)&amp;" ("&amp;DAY(O162)&amp;" "&amp;INDEX(nLIST_Months,MONTH(O162))&amp;" "&amp;YEAR(O162)&amp;" to "&amp;DAY(P162)&amp;" "&amp;INDEX(nLIST_Months,MONTH(P162))&amp;" "&amp;YEAR(P162)&amp;")",IF(H162="YEAR",YEAR(O162)&amp;" (1 January to 31 December)",DAY(O162)&amp;" "&amp;INDEX(nLIST_Months,MONTH(O162))&amp;" "&amp;YEAR(O162)&amp;" to "&amp;DAY(P162)&amp;" "&amp;INDEX(nLIST_Months,MONTH(P162))&amp;" "&amp;YEAR(P162)))))))</f>
        <v/>
      </c>
      <c r="S162" s="20" t="str">
        <f>IF(B162="","",Exposures!$AU36&amp;"")</f>
        <v/>
      </c>
      <c r="T162" s="20" t="str">
        <f>IF(B162="","",Exposures!$BD36&amp;"")</f>
        <v/>
      </c>
      <c r="U162" s="20" t="str">
        <f>IF(B162="","","Exposures row "&amp;ROW(Exposures!$A36)&amp;", Restart")</f>
        <v/>
      </c>
      <c r="V162" s="20">
        <f>IF(A162="",0,COUNTIF(nTP_Key,A162))</f>
        <v>0</v>
      </c>
      <c r="W162" s="20">
        <f t="shared" si="22"/>
        <v>0</v>
      </c>
      <c r="X162" s="20">
        <f t="shared" si="23"/>
        <v>0</v>
      </c>
      <c r="Y162" s="20">
        <f t="shared" si="24"/>
        <v>0</v>
      </c>
      <c r="Z162" s="20">
        <f t="shared" si="25"/>
        <v>0</v>
      </c>
    </row>
    <row r="163" spans="1:26" x14ac:dyDescent="0.2">
      <c r="A163" s="20" t="str">
        <f t="shared" si="19"/>
        <v/>
      </c>
      <c r="B163" s="20" t="str">
        <f>IF(AND(Exposures!$D37&lt;&gt;"",COUNTA(Exposures!$AV37:$BC37)&gt;0),Exposures!$D37&amp;"/RESTART","")</f>
        <v/>
      </c>
      <c r="C163" s="20" t="str">
        <f t="shared" ref="C163:C194" si="26">IF(B163="","","EXPOSURE_RESTART")</f>
        <v/>
      </c>
      <c r="D163" s="20" t="str">
        <f>IF(B163="","",Exposures!$A37&amp;"")</f>
        <v/>
      </c>
      <c r="E163" s="20" t="str">
        <f>IF(B163="","",Exposures!$B37&amp;"")</f>
        <v/>
      </c>
      <c r="F163" s="20" t="str">
        <f t="shared" si="20"/>
        <v/>
      </c>
      <c r="G163" s="20" t="str">
        <f>IF(B163="","",Exposures!$D37&amp;"")</f>
        <v/>
      </c>
      <c r="H163" s="20" t="str">
        <f>IF(B163="","",Exposures!$AV37&amp;"")</f>
        <v/>
      </c>
      <c r="I163" s="20" t="str">
        <f>IF(B163="","",Exposures!$AY37&amp;"")</f>
        <v/>
      </c>
      <c r="J163" s="20" t="str">
        <f>IF(B163="","",Exposures!$BE37&amp;"")</f>
        <v/>
      </c>
      <c r="K163" s="20">
        <f>IF(B163="",0,Exposures!$BF37)</f>
        <v>0</v>
      </c>
      <c r="L163" s="20">
        <f>IF(B163="",0,Exposures!$BG37)</f>
        <v>0</v>
      </c>
      <c r="M163" s="20" t="str">
        <f>IF(B163="","",Exposures!$BJ37)</f>
        <v/>
      </c>
      <c r="N163" s="20" t="str">
        <f>IF(B163="","",Exposures!$BK37)</f>
        <v/>
      </c>
      <c r="O163" s="27" t="str">
        <f>IF(B163="","",Exposures!$BH37)</f>
        <v/>
      </c>
      <c r="P163" s="27" t="str">
        <f>IF(B163="","",Exposures!$BI37)</f>
        <v/>
      </c>
      <c r="Q163" s="20" t="str">
        <f t="shared" si="21"/>
        <v/>
      </c>
      <c r="R163" s="20" t="str">
        <f>IF(A163="","",IF(J163&lt;&gt;"",J163,IF(H163="TIMESTAMP",DAY(INT(M163/1440))&amp;" "&amp;INDEX(nLIST_Months,MONTH(INT(M163/1440)))&amp;" "&amp;YEAR(INT(M163/1440))&amp;" "&amp;RIGHT("0"&amp;INT(MOD(M163,1440)/60),2)&amp;":"&amp;RIGHT("0"&amp;MOD(M163,60),2)&amp;IF(L163=1," (UTC"&amp;I163&amp;")"," (offset unknown)"),IF(H163="DATE",DAY(O163)&amp;" "&amp;INDEX(nLIST_Months,MONTH(O163))&amp;" "&amp;YEAR(O163),IF(H163="MONTH",INDEX(nLIST_Months,MONTH(O163))&amp;" "&amp;YEAR(O163)&amp;" ("&amp;DAY(O163)&amp;" "&amp;INDEX(nLIST_Months,MONTH(O163))&amp;" "&amp;YEAR(O163)&amp;" to "&amp;DAY(P163)&amp;" "&amp;INDEX(nLIST_Months,MONTH(P163))&amp;" "&amp;YEAR(P163)&amp;")",IF(H163="YEAR",YEAR(O163)&amp;" (1 January to 31 December)",DAY(O163)&amp;" "&amp;INDEX(nLIST_Months,MONTH(O163))&amp;" "&amp;YEAR(O163)&amp;" to "&amp;DAY(P163)&amp;" "&amp;INDEX(nLIST_Months,MONTH(P163))&amp;" "&amp;YEAR(P163)))))))</f>
        <v/>
      </c>
      <c r="S163" s="20" t="str">
        <f>IF(B163="","",Exposures!$AU37&amp;"")</f>
        <v/>
      </c>
      <c r="T163" s="20" t="str">
        <f>IF(B163="","",Exposures!$BD37&amp;"")</f>
        <v/>
      </c>
      <c r="U163" s="20" t="str">
        <f>IF(B163="","","Exposures row "&amp;ROW(Exposures!$A37)&amp;", Restart")</f>
        <v/>
      </c>
      <c r="V163" s="20">
        <f>IF(A163="",0,COUNTIF(nTP_Key,A163))</f>
        <v>0</v>
      </c>
      <c r="W163" s="20">
        <f t="shared" si="22"/>
        <v>0</v>
      </c>
      <c r="X163" s="20">
        <f t="shared" si="23"/>
        <v>0</v>
      </c>
      <c r="Y163" s="20">
        <f t="shared" si="24"/>
        <v>0</v>
      </c>
      <c r="Z163" s="20">
        <f t="shared" si="25"/>
        <v>0</v>
      </c>
    </row>
    <row r="164" spans="1:26" x14ac:dyDescent="0.2">
      <c r="A164" s="20" t="str">
        <f t="shared" si="19"/>
        <v/>
      </c>
      <c r="B164" s="20" t="str">
        <f>IF(AND(Exposures!$D38&lt;&gt;"",COUNTA(Exposures!$AV38:$BC38)&gt;0),Exposures!$D38&amp;"/RESTART","")</f>
        <v/>
      </c>
      <c r="C164" s="20" t="str">
        <f t="shared" si="26"/>
        <v/>
      </c>
      <c r="D164" s="20" t="str">
        <f>IF(B164="","",Exposures!$A38&amp;"")</f>
        <v/>
      </c>
      <c r="E164" s="20" t="str">
        <f>IF(B164="","",Exposures!$B38&amp;"")</f>
        <v/>
      </c>
      <c r="F164" s="20" t="str">
        <f t="shared" si="20"/>
        <v/>
      </c>
      <c r="G164" s="20" t="str">
        <f>IF(B164="","",Exposures!$D38&amp;"")</f>
        <v/>
      </c>
      <c r="H164" s="20" t="str">
        <f>IF(B164="","",Exposures!$AV38&amp;"")</f>
        <v/>
      </c>
      <c r="I164" s="20" t="str">
        <f>IF(B164="","",Exposures!$AY38&amp;"")</f>
        <v/>
      </c>
      <c r="J164" s="20" t="str">
        <f>IF(B164="","",Exposures!$BE38&amp;"")</f>
        <v/>
      </c>
      <c r="K164" s="20">
        <f>IF(B164="",0,Exposures!$BF38)</f>
        <v>0</v>
      </c>
      <c r="L164" s="20">
        <f>IF(B164="",0,Exposures!$BG38)</f>
        <v>0</v>
      </c>
      <c r="M164" s="20" t="str">
        <f>IF(B164="","",Exposures!$BJ38)</f>
        <v/>
      </c>
      <c r="N164" s="20" t="str">
        <f>IF(B164="","",Exposures!$BK38)</f>
        <v/>
      </c>
      <c r="O164" s="27" t="str">
        <f>IF(B164="","",Exposures!$BH38)</f>
        <v/>
      </c>
      <c r="P164" s="27" t="str">
        <f>IF(B164="","",Exposures!$BI38)</f>
        <v/>
      </c>
      <c r="Q164" s="20" t="str">
        <f t="shared" si="21"/>
        <v/>
      </c>
      <c r="R164" s="20" t="str">
        <f>IF(A164="","",IF(J164&lt;&gt;"",J164,IF(H164="TIMESTAMP",DAY(INT(M164/1440))&amp;" "&amp;INDEX(nLIST_Months,MONTH(INT(M164/1440)))&amp;" "&amp;YEAR(INT(M164/1440))&amp;" "&amp;RIGHT("0"&amp;INT(MOD(M164,1440)/60),2)&amp;":"&amp;RIGHT("0"&amp;MOD(M164,60),2)&amp;IF(L164=1," (UTC"&amp;I164&amp;")"," (offset unknown)"),IF(H164="DATE",DAY(O164)&amp;" "&amp;INDEX(nLIST_Months,MONTH(O164))&amp;" "&amp;YEAR(O164),IF(H164="MONTH",INDEX(nLIST_Months,MONTH(O164))&amp;" "&amp;YEAR(O164)&amp;" ("&amp;DAY(O164)&amp;" "&amp;INDEX(nLIST_Months,MONTH(O164))&amp;" "&amp;YEAR(O164)&amp;" to "&amp;DAY(P164)&amp;" "&amp;INDEX(nLIST_Months,MONTH(P164))&amp;" "&amp;YEAR(P164)&amp;")",IF(H164="YEAR",YEAR(O164)&amp;" (1 January to 31 December)",DAY(O164)&amp;" "&amp;INDEX(nLIST_Months,MONTH(O164))&amp;" "&amp;YEAR(O164)&amp;" to "&amp;DAY(P164)&amp;" "&amp;INDEX(nLIST_Months,MONTH(P164))&amp;" "&amp;YEAR(P164)))))))</f>
        <v/>
      </c>
      <c r="S164" s="20" t="str">
        <f>IF(B164="","",Exposures!$AU38&amp;"")</f>
        <v/>
      </c>
      <c r="T164" s="20" t="str">
        <f>IF(B164="","",Exposures!$BD38&amp;"")</f>
        <v/>
      </c>
      <c r="U164" s="20" t="str">
        <f>IF(B164="","","Exposures row "&amp;ROW(Exposures!$A38)&amp;", Restart")</f>
        <v/>
      </c>
      <c r="V164" s="20">
        <f>IF(A164="",0,COUNTIF(nTP_Key,A164))</f>
        <v>0</v>
      </c>
      <c r="W164" s="20">
        <f t="shared" si="22"/>
        <v>0</v>
      </c>
      <c r="X164" s="20">
        <f t="shared" si="23"/>
        <v>0</v>
      </c>
      <c r="Y164" s="20">
        <f t="shared" si="24"/>
        <v>0</v>
      </c>
      <c r="Z164" s="20">
        <f t="shared" si="25"/>
        <v>0</v>
      </c>
    </row>
    <row r="165" spans="1:26" x14ac:dyDescent="0.2">
      <c r="A165" s="20" t="str">
        <f t="shared" si="19"/>
        <v/>
      </c>
      <c r="B165" s="20" t="str">
        <f>IF(AND(Exposures!$D39&lt;&gt;"",COUNTA(Exposures!$AV39:$BC39)&gt;0),Exposures!$D39&amp;"/RESTART","")</f>
        <v/>
      </c>
      <c r="C165" s="20" t="str">
        <f t="shared" si="26"/>
        <v/>
      </c>
      <c r="D165" s="20" t="str">
        <f>IF(B165="","",Exposures!$A39&amp;"")</f>
        <v/>
      </c>
      <c r="E165" s="20" t="str">
        <f>IF(B165="","",Exposures!$B39&amp;"")</f>
        <v/>
      </c>
      <c r="F165" s="20" t="str">
        <f t="shared" si="20"/>
        <v/>
      </c>
      <c r="G165" s="20" t="str">
        <f>IF(B165="","",Exposures!$D39&amp;"")</f>
        <v/>
      </c>
      <c r="H165" s="20" t="str">
        <f>IF(B165="","",Exposures!$AV39&amp;"")</f>
        <v/>
      </c>
      <c r="I165" s="20" t="str">
        <f>IF(B165="","",Exposures!$AY39&amp;"")</f>
        <v/>
      </c>
      <c r="J165" s="20" t="str">
        <f>IF(B165="","",Exposures!$BE39&amp;"")</f>
        <v/>
      </c>
      <c r="K165" s="20">
        <f>IF(B165="",0,Exposures!$BF39)</f>
        <v>0</v>
      </c>
      <c r="L165" s="20">
        <f>IF(B165="",0,Exposures!$BG39)</f>
        <v>0</v>
      </c>
      <c r="M165" s="20" t="str">
        <f>IF(B165="","",Exposures!$BJ39)</f>
        <v/>
      </c>
      <c r="N165" s="20" t="str">
        <f>IF(B165="","",Exposures!$BK39)</f>
        <v/>
      </c>
      <c r="O165" s="27" t="str">
        <f>IF(B165="","",Exposures!$BH39)</f>
        <v/>
      </c>
      <c r="P165" s="27" t="str">
        <f>IF(B165="","",Exposures!$BI39)</f>
        <v/>
      </c>
      <c r="Q165" s="20" t="str">
        <f t="shared" si="21"/>
        <v/>
      </c>
      <c r="R165" s="20" t="str">
        <f>IF(A165="","",IF(J165&lt;&gt;"",J165,IF(H165="TIMESTAMP",DAY(INT(M165/1440))&amp;" "&amp;INDEX(nLIST_Months,MONTH(INT(M165/1440)))&amp;" "&amp;YEAR(INT(M165/1440))&amp;" "&amp;RIGHT("0"&amp;INT(MOD(M165,1440)/60),2)&amp;":"&amp;RIGHT("0"&amp;MOD(M165,60),2)&amp;IF(L165=1," (UTC"&amp;I165&amp;")"," (offset unknown)"),IF(H165="DATE",DAY(O165)&amp;" "&amp;INDEX(nLIST_Months,MONTH(O165))&amp;" "&amp;YEAR(O165),IF(H165="MONTH",INDEX(nLIST_Months,MONTH(O165))&amp;" "&amp;YEAR(O165)&amp;" ("&amp;DAY(O165)&amp;" "&amp;INDEX(nLIST_Months,MONTH(O165))&amp;" "&amp;YEAR(O165)&amp;" to "&amp;DAY(P165)&amp;" "&amp;INDEX(nLIST_Months,MONTH(P165))&amp;" "&amp;YEAR(P165)&amp;")",IF(H165="YEAR",YEAR(O165)&amp;" (1 January to 31 December)",DAY(O165)&amp;" "&amp;INDEX(nLIST_Months,MONTH(O165))&amp;" "&amp;YEAR(O165)&amp;" to "&amp;DAY(P165)&amp;" "&amp;INDEX(nLIST_Months,MONTH(P165))&amp;" "&amp;YEAR(P165)))))))</f>
        <v/>
      </c>
      <c r="S165" s="20" t="str">
        <f>IF(B165="","",Exposures!$AU39&amp;"")</f>
        <v/>
      </c>
      <c r="T165" s="20" t="str">
        <f>IF(B165="","",Exposures!$BD39&amp;"")</f>
        <v/>
      </c>
      <c r="U165" s="20" t="str">
        <f>IF(B165="","","Exposures row "&amp;ROW(Exposures!$A39)&amp;", Restart")</f>
        <v/>
      </c>
      <c r="V165" s="20">
        <f>IF(A165="",0,COUNTIF(nTP_Key,A165))</f>
        <v>0</v>
      </c>
      <c r="W165" s="20">
        <f t="shared" si="22"/>
        <v>0</v>
      </c>
      <c r="X165" s="20">
        <f t="shared" si="23"/>
        <v>0</v>
      </c>
      <c r="Y165" s="20">
        <f t="shared" si="24"/>
        <v>0</v>
      </c>
      <c r="Z165" s="20">
        <f t="shared" si="25"/>
        <v>0</v>
      </c>
    </row>
    <row r="166" spans="1:26" x14ac:dyDescent="0.2">
      <c r="A166" s="20" t="str">
        <f t="shared" si="19"/>
        <v/>
      </c>
      <c r="B166" s="20" t="str">
        <f>IF(AND(Exposures!$D40&lt;&gt;"",COUNTA(Exposures!$AV40:$BC40)&gt;0),Exposures!$D40&amp;"/RESTART","")</f>
        <v/>
      </c>
      <c r="C166" s="20" t="str">
        <f t="shared" si="26"/>
        <v/>
      </c>
      <c r="D166" s="20" t="str">
        <f>IF(B166="","",Exposures!$A40&amp;"")</f>
        <v/>
      </c>
      <c r="E166" s="20" t="str">
        <f>IF(B166="","",Exposures!$B40&amp;"")</f>
        <v/>
      </c>
      <c r="F166" s="20" t="str">
        <f t="shared" si="20"/>
        <v/>
      </c>
      <c r="G166" s="20" t="str">
        <f>IF(B166="","",Exposures!$D40&amp;"")</f>
        <v/>
      </c>
      <c r="H166" s="20" t="str">
        <f>IF(B166="","",Exposures!$AV40&amp;"")</f>
        <v/>
      </c>
      <c r="I166" s="20" t="str">
        <f>IF(B166="","",Exposures!$AY40&amp;"")</f>
        <v/>
      </c>
      <c r="J166" s="20" t="str">
        <f>IF(B166="","",Exposures!$BE40&amp;"")</f>
        <v/>
      </c>
      <c r="K166" s="20">
        <f>IF(B166="",0,Exposures!$BF40)</f>
        <v>0</v>
      </c>
      <c r="L166" s="20">
        <f>IF(B166="",0,Exposures!$BG40)</f>
        <v>0</v>
      </c>
      <c r="M166" s="20" t="str">
        <f>IF(B166="","",Exposures!$BJ40)</f>
        <v/>
      </c>
      <c r="N166" s="20" t="str">
        <f>IF(B166="","",Exposures!$BK40)</f>
        <v/>
      </c>
      <c r="O166" s="27" t="str">
        <f>IF(B166="","",Exposures!$BH40)</f>
        <v/>
      </c>
      <c r="P166" s="27" t="str">
        <f>IF(B166="","",Exposures!$BI40)</f>
        <v/>
      </c>
      <c r="Q166" s="20" t="str">
        <f t="shared" si="21"/>
        <v/>
      </c>
      <c r="R166" s="20" t="str">
        <f>IF(A166="","",IF(J166&lt;&gt;"",J166,IF(H166="TIMESTAMP",DAY(INT(M166/1440))&amp;" "&amp;INDEX(nLIST_Months,MONTH(INT(M166/1440)))&amp;" "&amp;YEAR(INT(M166/1440))&amp;" "&amp;RIGHT("0"&amp;INT(MOD(M166,1440)/60),2)&amp;":"&amp;RIGHT("0"&amp;MOD(M166,60),2)&amp;IF(L166=1," (UTC"&amp;I166&amp;")"," (offset unknown)"),IF(H166="DATE",DAY(O166)&amp;" "&amp;INDEX(nLIST_Months,MONTH(O166))&amp;" "&amp;YEAR(O166),IF(H166="MONTH",INDEX(nLIST_Months,MONTH(O166))&amp;" "&amp;YEAR(O166)&amp;" ("&amp;DAY(O166)&amp;" "&amp;INDEX(nLIST_Months,MONTH(O166))&amp;" "&amp;YEAR(O166)&amp;" to "&amp;DAY(P166)&amp;" "&amp;INDEX(nLIST_Months,MONTH(P166))&amp;" "&amp;YEAR(P166)&amp;")",IF(H166="YEAR",YEAR(O166)&amp;" (1 January to 31 December)",DAY(O166)&amp;" "&amp;INDEX(nLIST_Months,MONTH(O166))&amp;" "&amp;YEAR(O166)&amp;" to "&amp;DAY(P166)&amp;" "&amp;INDEX(nLIST_Months,MONTH(P166))&amp;" "&amp;YEAR(P166)))))))</f>
        <v/>
      </c>
      <c r="S166" s="20" t="str">
        <f>IF(B166="","",Exposures!$AU40&amp;"")</f>
        <v/>
      </c>
      <c r="T166" s="20" t="str">
        <f>IF(B166="","",Exposures!$BD40&amp;"")</f>
        <v/>
      </c>
      <c r="U166" s="20" t="str">
        <f>IF(B166="","","Exposures row "&amp;ROW(Exposures!$A40)&amp;", Restart")</f>
        <v/>
      </c>
      <c r="V166" s="20">
        <f>IF(A166="",0,COUNTIF(nTP_Key,A166))</f>
        <v>0</v>
      </c>
      <c r="W166" s="20">
        <f t="shared" si="22"/>
        <v>0</v>
      </c>
      <c r="X166" s="20">
        <f t="shared" si="23"/>
        <v>0</v>
      </c>
      <c r="Y166" s="20">
        <f t="shared" si="24"/>
        <v>0</v>
      </c>
      <c r="Z166" s="20">
        <f t="shared" si="25"/>
        <v>0</v>
      </c>
    </row>
    <row r="167" spans="1:26" x14ac:dyDescent="0.2">
      <c r="A167" s="20" t="str">
        <f t="shared" si="19"/>
        <v/>
      </c>
      <c r="B167" s="20" t="str">
        <f>IF(AND(Exposures!$D41&lt;&gt;"",COUNTA(Exposures!$AV41:$BC41)&gt;0),Exposures!$D41&amp;"/RESTART","")</f>
        <v/>
      </c>
      <c r="C167" s="20" t="str">
        <f t="shared" si="26"/>
        <v/>
      </c>
      <c r="D167" s="20" t="str">
        <f>IF(B167="","",Exposures!$A41&amp;"")</f>
        <v/>
      </c>
      <c r="E167" s="20" t="str">
        <f>IF(B167="","",Exposures!$B41&amp;"")</f>
        <v/>
      </c>
      <c r="F167" s="20" t="str">
        <f t="shared" si="20"/>
        <v/>
      </c>
      <c r="G167" s="20" t="str">
        <f>IF(B167="","",Exposures!$D41&amp;"")</f>
        <v/>
      </c>
      <c r="H167" s="20" t="str">
        <f>IF(B167="","",Exposures!$AV41&amp;"")</f>
        <v/>
      </c>
      <c r="I167" s="20" t="str">
        <f>IF(B167="","",Exposures!$AY41&amp;"")</f>
        <v/>
      </c>
      <c r="J167" s="20" t="str">
        <f>IF(B167="","",Exposures!$BE41&amp;"")</f>
        <v/>
      </c>
      <c r="K167" s="20">
        <f>IF(B167="",0,Exposures!$BF41)</f>
        <v>0</v>
      </c>
      <c r="L167" s="20">
        <f>IF(B167="",0,Exposures!$BG41)</f>
        <v>0</v>
      </c>
      <c r="M167" s="20" t="str">
        <f>IF(B167="","",Exposures!$BJ41)</f>
        <v/>
      </c>
      <c r="N167" s="20" t="str">
        <f>IF(B167="","",Exposures!$BK41)</f>
        <v/>
      </c>
      <c r="O167" s="27" t="str">
        <f>IF(B167="","",Exposures!$BH41)</f>
        <v/>
      </c>
      <c r="P167" s="27" t="str">
        <f>IF(B167="","",Exposures!$BI41)</f>
        <v/>
      </c>
      <c r="Q167" s="20" t="str">
        <f t="shared" si="21"/>
        <v/>
      </c>
      <c r="R167" s="20" t="str">
        <f>IF(A167="","",IF(J167&lt;&gt;"",J167,IF(H167="TIMESTAMP",DAY(INT(M167/1440))&amp;" "&amp;INDEX(nLIST_Months,MONTH(INT(M167/1440)))&amp;" "&amp;YEAR(INT(M167/1440))&amp;" "&amp;RIGHT("0"&amp;INT(MOD(M167,1440)/60),2)&amp;":"&amp;RIGHT("0"&amp;MOD(M167,60),2)&amp;IF(L167=1," (UTC"&amp;I167&amp;")"," (offset unknown)"),IF(H167="DATE",DAY(O167)&amp;" "&amp;INDEX(nLIST_Months,MONTH(O167))&amp;" "&amp;YEAR(O167),IF(H167="MONTH",INDEX(nLIST_Months,MONTH(O167))&amp;" "&amp;YEAR(O167)&amp;" ("&amp;DAY(O167)&amp;" "&amp;INDEX(nLIST_Months,MONTH(O167))&amp;" "&amp;YEAR(O167)&amp;" to "&amp;DAY(P167)&amp;" "&amp;INDEX(nLIST_Months,MONTH(P167))&amp;" "&amp;YEAR(P167)&amp;")",IF(H167="YEAR",YEAR(O167)&amp;" (1 January to 31 December)",DAY(O167)&amp;" "&amp;INDEX(nLIST_Months,MONTH(O167))&amp;" "&amp;YEAR(O167)&amp;" to "&amp;DAY(P167)&amp;" "&amp;INDEX(nLIST_Months,MONTH(P167))&amp;" "&amp;YEAR(P167)))))))</f>
        <v/>
      </c>
      <c r="S167" s="20" t="str">
        <f>IF(B167="","",Exposures!$AU41&amp;"")</f>
        <v/>
      </c>
      <c r="T167" s="20" t="str">
        <f>IF(B167="","",Exposures!$BD41&amp;"")</f>
        <v/>
      </c>
      <c r="U167" s="20" t="str">
        <f>IF(B167="","","Exposures row "&amp;ROW(Exposures!$A41)&amp;", Restart")</f>
        <v/>
      </c>
      <c r="V167" s="20">
        <f>IF(A167="",0,COUNTIF(nTP_Key,A167))</f>
        <v>0</v>
      </c>
      <c r="W167" s="20">
        <f t="shared" si="22"/>
        <v>0</v>
      </c>
      <c r="X167" s="20">
        <f t="shared" si="23"/>
        <v>0</v>
      </c>
      <c r="Y167" s="20">
        <f t="shared" si="24"/>
        <v>0</v>
      </c>
      <c r="Z167" s="20">
        <f t="shared" si="25"/>
        <v>0</v>
      </c>
    </row>
    <row r="168" spans="1:26" x14ac:dyDescent="0.2">
      <c r="A168" s="20" t="str">
        <f t="shared" si="19"/>
        <v/>
      </c>
      <c r="B168" s="20" t="str">
        <f>IF(AND(Exposures!$D42&lt;&gt;"",COUNTA(Exposures!$AV42:$BC42)&gt;0),Exposures!$D42&amp;"/RESTART","")</f>
        <v/>
      </c>
      <c r="C168" s="20" t="str">
        <f t="shared" si="26"/>
        <v/>
      </c>
      <c r="D168" s="20" t="str">
        <f>IF(B168="","",Exposures!$A42&amp;"")</f>
        <v/>
      </c>
      <c r="E168" s="20" t="str">
        <f>IF(B168="","",Exposures!$B42&amp;"")</f>
        <v/>
      </c>
      <c r="F168" s="20" t="str">
        <f t="shared" si="20"/>
        <v/>
      </c>
      <c r="G168" s="20" t="str">
        <f>IF(B168="","",Exposures!$D42&amp;"")</f>
        <v/>
      </c>
      <c r="H168" s="20" t="str">
        <f>IF(B168="","",Exposures!$AV42&amp;"")</f>
        <v/>
      </c>
      <c r="I168" s="20" t="str">
        <f>IF(B168="","",Exposures!$AY42&amp;"")</f>
        <v/>
      </c>
      <c r="J168" s="20" t="str">
        <f>IF(B168="","",Exposures!$BE42&amp;"")</f>
        <v/>
      </c>
      <c r="K168" s="20">
        <f>IF(B168="",0,Exposures!$BF42)</f>
        <v>0</v>
      </c>
      <c r="L168" s="20">
        <f>IF(B168="",0,Exposures!$BG42)</f>
        <v>0</v>
      </c>
      <c r="M168" s="20" t="str">
        <f>IF(B168="","",Exposures!$BJ42)</f>
        <v/>
      </c>
      <c r="N168" s="20" t="str">
        <f>IF(B168="","",Exposures!$BK42)</f>
        <v/>
      </c>
      <c r="O168" s="27" t="str">
        <f>IF(B168="","",Exposures!$BH42)</f>
        <v/>
      </c>
      <c r="P168" s="27" t="str">
        <f>IF(B168="","",Exposures!$BI42)</f>
        <v/>
      </c>
      <c r="Q168" s="20" t="str">
        <f t="shared" si="21"/>
        <v/>
      </c>
      <c r="R168" s="20" t="str">
        <f>IF(A168="","",IF(J168&lt;&gt;"",J168,IF(H168="TIMESTAMP",DAY(INT(M168/1440))&amp;" "&amp;INDEX(nLIST_Months,MONTH(INT(M168/1440)))&amp;" "&amp;YEAR(INT(M168/1440))&amp;" "&amp;RIGHT("0"&amp;INT(MOD(M168,1440)/60),2)&amp;":"&amp;RIGHT("0"&amp;MOD(M168,60),2)&amp;IF(L168=1," (UTC"&amp;I168&amp;")"," (offset unknown)"),IF(H168="DATE",DAY(O168)&amp;" "&amp;INDEX(nLIST_Months,MONTH(O168))&amp;" "&amp;YEAR(O168),IF(H168="MONTH",INDEX(nLIST_Months,MONTH(O168))&amp;" "&amp;YEAR(O168)&amp;" ("&amp;DAY(O168)&amp;" "&amp;INDEX(nLIST_Months,MONTH(O168))&amp;" "&amp;YEAR(O168)&amp;" to "&amp;DAY(P168)&amp;" "&amp;INDEX(nLIST_Months,MONTH(P168))&amp;" "&amp;YEAR(P168)&amp;")",IF(H168="YEAR",YEAR(O168)&amp;" (1 January to 31 December)",DAY(O168)&amp;" "&amp;INDEX(nLIST_Months,MONTH(O168))&amp;" "&amp;YEAR(O168)&amp;" to "&amp;DAY(P168)&amp;" "&amp;INDEX(nLIST_Months,MONTH(P168))&amp;" "&amp;YEAR(P168)))))))</f>
        <v/>
      </c>
      <c r="S168" s="20" t="str">
        <f>IF(B168="","",Exposures!$AU42&amp;"")</f>
        <v/>
      </c>
      <c r="T168" s="20" t="str">
        <f>IF(B168="","",Exposures!$BD42&amp;"")</f>
        <v/>
      </c>
      <c r="U168" s="20" t="str">
        <f>IF(B168="","","Exposures row "&amp;ROW(Exposures!$A42)&amp;", Restart")</f>
        <v/>
      </c>
      <c r="V168" s="20">
        <f>IF(A168="",0,COUNTIF(nTP_Key,A168))</f>
        <v>0</v>
      </c>
      <c r="W168" s="20">
        <f t="shared" si="22"/>
        <v>0</v>
      </c>
      <c r="X168" s="20">
        <f t="shared" si="23"/>
        <v>0</v>
      </c>
      <c r="Y168" s="20">
        <f t="shared" si="24"/>
        <v>0</v>
      </c>
      <c r="Z168" s="20">
        <f t="shared" si="25"/>
        <v>0</v>
      </c>
    </row>
    <row r="169" spans="1:26" x14ac:dyDescent="0.2">
      <c r="A169" s="20" t="str">
        <f t="shared" si="19"/>
        <v/>
      </c>
      <c r="B169" s="20" t="str">
        <f>IF(AND(Exposures!$D43&lt;&gt;"",COUNTA(Exposures!$AV43:$BC43)&gt;0),Exposures!$D43&amp;"/RESTART","")</f>
        <v/>
      </c>
      <c r="C169" s="20" t="str">
        <f t="shared" si="26"/>
        <v/>
      </c>
      <c r="D169" s="20" t="str">
        <f>IF(B169="","",Exposures!$A43&amp;"")</f>
        <v/>
      </c>
      <c r="E169" s="20" t="str">
        <f>IF(B169="","",Exposures!$B43&amp;"")</f>
        <v/>
      </c>
      <c r="F169" s="20" t="str">
        <f t="shared" si="20"/>
        <v/>
      </c>
      <c r="G169" s="20" t="str">
        <f>IF(B169="","",Exposures!$D43&amp;"")</f>
        <v/>
      </c>
      <c r="H169" s="20" t="str">
        <f>IF(B169="","",Exposures!$AV43&amp;"")</f>
        <v/>
      </c>
      <c r="I169" s="20" t="str">
        <f>IF(B169="","",Exposures!$AY43&amp;"")</f>
        <v/>
      </c>
      <c r="J169" s="20" t="str">
        <f>IF(B169="","",Exposures!$BE43&amp;"")</f>
        <v/>
      </c>
      <c r="K169" s="20">
        <f>IF(B169="",0,Exposures!$BF43)</f>
        <v>0</v>
      </c>
      <c r="L169" s="20">
        <f>IF(B169="",0,Exposures!$BG43)</f>
        <v>0</v>
      </c>
      <c r="M169" s="20" t="str">
        <f>IF(B169="","",Exposures!$BJ43)</f>
        <v/>
      </c>
      <c r="N169" s="20" t="str">
        <f>IF(B169="","",Exposures!$BK43)</f>
        <v/>
      </c>
      <c r="O169" s="27" t="str">
        <f>IF(B169="","",Exposures!$BH43)</f>
        <v/>
      </c>
      <c r="P169" s="27" t="str">
        <f>IF(B169="","",Exposures!$BI43)</f>
        <v/>
      </c>
      <c r="Q169" s="20" t="str">
        <f t="shared" si="21"/>
        <v/>
      </c>
      <c r="R169" s="20" t="str">
        <f>IF(A169="","",IF(J169&lt;&gt;"",J169,IF(H169="TIMESTAMP",DAY(INT(M169/1440))&amp;" "&amp;INDEX(nLIST_Months,MONTH(INT(M169/1440)))&amp;" "&amp;YEAR(INT(M169/1440))&amp;" "&amp;RIGHT("0"&amp;INT(MOD(M169,1440)/60),2)&amp;":"&amp;RIGHT("0"&amp;MOD(M169,60),2)&amp;IF(L169=1," (UTC"&amp;I169&amp;")"," (offset unknown)"),IF(H169="DATE",DAY(O169)&amp;" "&amp;INDEX(nLIST_Months,MONTH(O169))&amp;" "&amp;YEAR(O169),IF(H169="MONTH",INDEX(nLIST_Months,MONTH(O169))&amp;" "&amp;YEAR(O169)&amp;" ("&amp;DAY(O169)&amp;" "&amp;INDEX(nLIST_Months,MONTH(O169))&amp;" "&amp;YEAR(O169)&amp;" to "&amp;DAY(P169)&amp;" "&amp;INDEX(nLIST_Months,MONTH(P169))&amp;" "&amp;YEAR(P169)&amp;")",IF(H169="YEAR",YEAR(O169)&amp;" (1 January to 31 December)",DAY(O169)&amp;" "&amp;INDEX(nLIST_Months,MONTH(O169))&amp;" "&amp;YEAR(O169)&amp;" to "&amp;DAY(P169)&amp;" "&amp;INDEX(nLIST_Months,MONTH(P169))&amp;" "&amp;YEAR(P169)))))))</f>
        <v/>
      </c>
      <c r="S169" s="20" t="str">
        <f>IF(B169="","",Exposures!$AU43&amp;"")</f>
        <v/>
      </c>
      <c r="T169" s="20" t="str">
        <f>IF(B169="","",Exposures!$BD43&amp;"")</f>
        <v/>
      </c>
      <c r="U169" s="20" t="str">
        <f>IF(B169="","","Exposures row "&amp;ROW(Exposures!$A43)&amp;", Restart")</f>
        <v/>
      </c>
      <c r="V169" s="20">
        <f>IF(A169="",0,COUNTIF(nTP_Key,A169))</f>
        <v>0</v>
      </c>
      <c r="W169" s="20">
        <f t="shared" si="22"/>
        <v>0</v>
      </c>
      <c r="X169" s="20">
        <f t="shared" si="23"/>
        <v>0</v>
      </c>
      <c r="Y169" s="20">
        <f t="shared" si="24"/>
        <v>0</v>
      </c>
      <c r="Z169" s="20">
        <f t="shared" si="25"/>
        <v>0</v>
      </c>
    </row>
    <row r="170" spans="1:26" x14ac:dyDescent="0.2">
      <c r="A170" s="20" t="str">
        <f t="shared" si="19"/>
        <v/>
      </c>
      <c r="B170" s="20" t="str">
        <f>IF(AND(Exposures!$D44&lt;&gt;"",COUNTA(Exposures!$AV44:$BC44)&gt;0),Exposures!$D44&amp;"/RESTART","")</f>
        <v/>
      </c>
      <c r="C170" s="20" t="str">
        <f t="shared" si="26"/>
        <v/>
      </c>
      <c r="D170" s="20" t="str">
        <f>IF(B170="","",Exposures!$A44&amp;"")</f>
        <v/>
      </c>
      <c r="E170" s="20" t="str">
        <f>IF(B170="","",Exposures!$B44&amp;"")</f>
        <v/>
      </c>
      <c r="F170" s="20" t="str">
        <f t="shared" si="20"/>
        <v/>
      </c>
      <c r="G170" s="20" t="str">
        <f>IF(B170="","",Exposures!$D44&amp;"")</f>
        <v/>
      </c>
      <c r="H170" s="20" t="str">
        <f>IF(B170="","",Exposures!$AV44&amp;"")</f>
        <v/>
      </c>
      <c r="I170" s="20" t="str">
        <f>IF(B170="","",Exposures!$AY44&amp;"")</f>
        <v/>
      </c>
      <c r="J170" s="20" t="str">
        <f>IF(B170="","",Exposures!$BE44&amp;"")</f>
        <v/>
      </c>
      <c r="K170" s="20">
        <f>IF(B170="",0,Exposures!$BF44)</f>
        <v>0</v>
      </c>
      <c r="L170" s="20">
        <f>IF(B170="",0,Exposures!$BG44)</f>
        <v>0</v>
      </c>
      <c r="M170" s="20" t="str">
        <f>IF(B170="","",Exposures!$BJ44)</f>
        <v/>
      </c>
      <c r="N170" s="20" t="str">
        <f>IF(B170="","",Exposures!$BK44)</f>
        <v/>
      </c>
      <c r="O170" s="27" t="str">
        <f>IF(B170="","",Exposures!$BH44)</f>
        <v/>
      </c>
      <c r="P170" s="27" t="str">
        <f>IF(B170="","",Exposures!$BI44)</f>
        <v/>
      </c>
      <c r="Q170" s="20" t="str">
        <f t="shared" si="21"/>
        <v/>
      </c>
      <c r="R170" s="20" t="str">
        <f>IF(A170="","",IF(J170&lt;&gt;"",J170,IF(H170="TIMESTAMP",DAY(INT(M170/1440))&amp;" "&amp;INDEX(nLIST_Months,MONTH(INT(M170/1440)))&amp;" "&amp;YEAR(INT(M170/1440))&amp;" "&amp;RIGHT("0"&amp;INT(MOD(M170,1440)/60),2)&amp;":"&amp;RIGHT("0"&amp;MOD(M170,60),2)&amp;IF(L170=1," (UTC"&amp;I170&amp;")"," (offset unknown)"),IF(H170="DATE",DAY(O170)&amp;" "&amp;INDEX(nLIST_Months,MONTH(O170))&amp;" "&amp;YEAR(O170),IF(H170="MONTH",INDEX(nLIST_Months,MONTH(O170))&amp;" "&amp;YEAR(O170)&amp;" ("&amp;DAY(O170)&amp;" "&amp;INDEX(nLIST_Months,MONTH(O170))&amp;" "&amp;YEAR(O170)&amp;" to "&amp;DAY(P170)&amp;" "&amp;INDEX(nLIST_Months,MONTH(P170))&amp;" "&amp;YEAR(P170)&amp;")",IF(H170="YEAR",YEAR(O170)&amp;" (1 January to 31 December)",DAY(O170)&amp;" "&amp;INDEX(nLIST_Months,MONTH(O170))&amp;" "&amp;YEAR(O170)&amp;" to "&amp;DAY(P170)&amp;" "&amp;INDEX(nLIST_Months,MONTH(P170))&amp;" "&amp;YEAR(P170)))))))</f>
        <v/>
      </c>
      <c r="S170" s="20" t="str">
        <f>IF(B170="","",Exposures!$AU44&amp;"")</f>
        <v/>
      </c>
      <c r="T170" s="20" t="str">
        <f>IF(B170="","",Exposures!$BD44&amp;"")</f>
        <v/>
      </c>
      <c r="U170" s="20" t="str">
        <f>IF(B170="","","Exposures row "&amp;ROW(Exposures!$A44)&amp;", Restart")</f>
        <v/>
      </c>
      <c r="V170" s="20">
        <f>IF(A170="",0,COUNTIF(nTP_Key,A170))</f>
        <v>0</v>
      </c>
      <c r="W170" s="20">
        <f t="shared" si="22"/>
        <v>0</v>
      </c>
      <c r="X170" s="20">
        <f t="shared" si="23"/>
        <v>0</v>
      </c>
      <c r="Y170" s="20">
        <f t="shared" si="24"/>
        <v>0</v>
      </c>
      <c r="Z170" s="20">
        <f t="shared" si="25"/>
        <v>0</v>
      </c>
    </row>
    <row r="171" spans="1:26" x14ac:dyDescent="0.2">
      <c r="A171" s="20" t="str">
        <f t="shared" si="19"/>
        <v/>
      </c>
      <c r="B171" s="20" t="str">
        <f>IF(AND(Exposures!$D45&lt;&gt;"",COUNTA(Exposures!$AV45:$BC45)&gt;0),Exposures!$D45&amp;"/RESTART","")</f>
        <v/>
      </c>
      <c r="C171" s="20" t="str">
        <f t="shared" si="26"/>
        <v/>
      </c>
      <c r="D171" s="20" t="str">
        <f>IF(B171="","",Exposures!$A45&amp;"")</f>
        <v/>
      </c>
      <c r="E171" s="20" t="str">
        <f>IF(B171="","",Exposures!$B45&amp;"")</f>
        <v/>
      </c>
      <c r="F171" s="20" t="str">
        <f t="shared" si="20"/>
        <v/>
      </c>
      <c r="G171" s="20" t="str">
        <f>IF(B171="","",Exposures!$D45&amp;"")</f>
        <v/>
      </c>
      <c r="H171" s="20" t="str">
        <f>IF(B171="","",Exposures!$AV45&amp;"")</f>
        <v/>
      </c>
      <c r="I171" s="20" t="str">
        <f>IF(B171="","",Exposures!$AY45&amp;"")</f>
        <v/>
      </c>
      <c r="J171" s="20" t="str">
        <f>IF(B171="","",Exposures!$BE45&amp;"")</f>
        <v/>
      </c>
      <c r="K171" s="20">
        <f>IF(B171="",0,Exposures!$BF45)</f>
        <v>0</v>
      </c>
      <c r="L171" s="20">
        <f>IF(B171="",0,Exposures!$BG45)</f>
        <v>0</v>
      </c>
      <c r="M171" s="20" t="str">
        <f>IF(B171="","",Exposures!$BJ45)</f>
        <v/>
      </c>
      <c r="N171" s="20" t="str">
        <f>IF(B171="","",Exposures!$BK45)</f>
        <v/>
      </c>
      <c r="O171" s="27" t="str">
        <f>IF(B171="","",Exposures!$BH45)</f>
        <v/>
      </c>
      <c r="P171" s="27" t="str">
        <f>IF(B171="","",Exposures!$BI45)</f>
        <v/>
      </c>
      <c r="Q171" s="20" t="str">
        <f t="shared" si="21"/>
        <v/>
      </c>
      <c r="R171" s="20" t="str">
        <f>IF(A171="","",IF(J171&lt;&gt;"",J171,IF(H171="TIMESTAMP",DAY(INT(M171/1440))&amp;" "&amp;INDEX(nLIST_Months,MONTH(INT(M171/1440)))&amp;" "&amp;YEAR(INT(M171/1440))&amp;" "&amp;RIGHT("0"&amp;INT(MOD(M171,1440)/60),2)&amp;":"&amp;RIGHT("0"&amp;MOD(M171,60),2)&amp;IF(L171=1," (UTC"&amp;I171&amp;")"," (offset unknown)"),IF(H171="DATE",DAY(O171)&amp;" "&amp;INDEX(nLIST_Months,MONTH(O171))&amp;" "&amp;YEAR(O171),IF(H171="MONTH",INDEX(nLIST_Months,MONTH(O171))&amp;" "&amp;YEAR(O171)&amp;" ("&amp;DAY(O171)&amp;" "&amp;INDEX(nLIST_Months,MONTH(O171))&amp;" "&amp;YEAR(O171)&amp;" to "&amp;DAY(P171)&amp;" "&amp;INDEX(nLIST_Months,MONTH(P171))&amp;" "&amp;YEAR(P171)&amp;")",IF(H171="YEAR",YEAR(O171)&amp;" (1 January to 31 December)",DAY(O171)&amp;" "&amp;INDEX(nLIST_Months,MONTH(O171))&amp;" "&amp;YEAR(O171)&amp;" to "&amp;DAY(P171)&amp;" "&amp;INDEX(nLIST_Months,MONTH(P171))&amp;" "&amp;YEAR(P171)))))))</f>
        <v/>
      </c>
      <c r="S171" s="20" t="str">
        <f>IF(B171="","",Exposures!$AU45&amp;"")</f>
        <v/>
      </c>
      <c r="T171" s="20" t="str">
        <f>IF(B171="","",Exposures!$BD45&amp;"")</f>
        <v/>
      </c>
      <c r="U171" s="20" t="str">
        <f>IF(B171="","","Exposures row "&amp;ROW(Exposures!$A45)&amp;", Restart")</f>
        <v/>
      </c>
      <c r="V171" s="20">
        <f>IF(A171="",0,COUNTIF(nTP_Key,A171))</f>
        <v>0</v>
      </c>
      <c r="W171" s="20">
        <f t="shared" si="22"/>
        <v>0</v>
      </c>
      <c r="X171" s="20">
        <f t="shared" si="23"/>
        <v>0</v>
      </c>
      <c r="Y171" s="20">
        <f t="shared" si="24"/>
        <v>0</v>
      </c>
      <c r="Z171" s="20">
        <f t="shared" si="25"/>
        <v>0</v>
      </c>
    </row>
    <row r="172" spans="1:26" x14ac:dyDescent="0.2">
      <c r="A172" s="20" t="str">
        <f t="shared" si="19"/>
        <v/>
      </c>
      <c r="B172" s="20" t="str">
        <f>IF(AND(Exposures!$D46&lt;&gt;"",COUNTA(Exposures!$AV46:$BC46)&gt;0),Exposures!$D46&amp;"/RESTART","")</f>
        <v/>
      </c>
      <c r="C172" s="20" t="str">
        <f t="shared" si="26"/>
        <v/>
      </c>
      <c r="D172" s="20" t="str">
        <f>IF(B172="","",Exposures!$A46&amp;"")</f>
        <v/>
      </c>
      <c r="E172" s="20" t="str">
        <f>IF(B172="","",Exposures!$B46&amp;"")</f>
        <v/>
      </c>
      <c r="F172" s="20" t="str">
        <f t="shared" si="20"/>
        <v/>
      </c>
      <c r="G172" s="20" t="str">
        <f>IF(B172="","",Exposures!$D46&amp;"")</f>
        <v/>
      </c>
      <c r="H172" s="20" t="str">
        <f>IF(B172="","",Exposures!$AV46&amp;"")</f>
        <v/>
      </c>
      <c r="I172" s="20" t="str">
        <f>IF(B172="","",Exposures!$AY46&amp;"")</f>
        <v/>
      </c>
      <c r="J172" s="20" t="str">
        <f>IF(B172="","",Exposures!$BE46&amp;"")</f>
        <v/>
      </c>
      <c r="K172" s="20">
        <f>IF(B172="",0,Exposures!$BF46)</f>
        <v>0</v>
      </c>
      <c r="L172" s="20">
        <f>IF(B172="",0,Exposures!$BG46)</f>
        <v>0</v>
      </c>
      <c r="M172" s="20" t="str">
        <f>IF(B172="","",Exposures!$BJ46)</f>
        <v/>
      </c>
      <c r="N172" s="20" t="str">
        <f>IF(B172="","",Exposures!$BK46)</f>
        <v/>
      </c>
      <c r="O172" s="27" t="str">
        <f>IF(B172="","",Exposures!$BH46)</f>
        <v/>
      </c>
      <c r="P172" s="27" t="str">
        <f>IF(B172="","",Exposures!$BI46)</f>
        <v/>
      </c>
      <c r="Q172" s="20" t="str">
        <f t="shared" si="21"/>
        <v/>
      </c>
      <c r="R172" s="20" t="str">
        <f>IF(A172="","",IF(J172&lt;&gt;"",J172,IF(H172="TIMESTAMP",DAY(INT(M172/1440))&amp;" "&amp;INDEX(nLIST_Months,MONTH(INT(M172/1440)))&amp;" "&amp;YEAR(INT(M172/1440))&amp;" "&amp;RIGHT("0"&amp;INT(MOD(M172,1440)/60),2)&amp;":"&amp;RIGHT("0"&amp;MOD(M172,60),2)&amp;IF(L172=1," (UTC"&amp;I172&amp;")"," (offset unknown)"),IF(H172="DATE",DAY(O172)&amp;" "&amp;INDEX(nLIST_Months,MONTH(O172))&amp;" "&amp;YEAR(O172),IF(H172="MONTH",INDEX(nLIST_Months,MONTH(O172))&amp;" "&amp;YEAR(O172)&amp;" ("&amp;DAY(O172)&amp;" "&amp;INDEX(nLIST_Months,MONTH(O172))&amp;" "&amp;YEAR(O172)&amp;" to "&amp;DAY(P172)&amp;" "&amp;INDEX(nLIST_Months,MONTH(P172))&amp;" "&amp;YEAR(P172)&amp;")",IF(H172="YEAR",YEAR(O172)&amp;" (1 January to 31 December)",DAY(O172)&amp;" "&amp;INDEX(nLIST_Months,MONTH(O172))&amp;" "&amp;YEAR(O172)&amp;" to "&amp;DAY(P172)&amp;" "&amp;INDEX(nLIST_Months,MONTH(P172))&amp;" "&amp;YEAR(P172)))))))</f>
        <v/>
      </c>
      <c r="S172" s="20" t="str">
        <f>IF(B172="","",Exposures!$AU46&amp;"")</f>
        <v/>
      </c>
      <c r="T172" s="20" t="str">
        <f>IF(B172="","",Exposures!$BD46&amp;"")</f>
        <v/>
      </c>
      <c r="U172" s="20" t="str">
        <f>IF(B172="","","Exposures row "&amp;ROW(Exposures!$A46)&amp;", Restart")</f>
        <v/>
      </c>
      <c r="V172" s="20">
        <f>IF(A172="",0,COUNTIF(nTP_Key,A172))</f>
        <v>0</v>
      </c>
      <c r="W172" s="20">
        <f t="shared" si="22"/>
        <v>0</v>
      </c>
      <c r="X172" s="20">
        <f t="shared" si="23"/>
        <v>0</v>
      </c>
      <c r="Y172" s="20">
        <f t="shared" si="24"/>
        <v>0</v>
      </c>
      <c r="Z172" s="20">
        <f t="shared" si="25"/>
        <v>0</v>
      </c>
    </row>
    <row r="173" spans="1:26" x14ac:dyDescent="0.2">
      <c r="A173" s="20" t="str">
        <f t="shared" si="19"/>
        <v/>
      </c>
      <c r="B173" s="20" t="str">
        <f>IF(AND(Exposures!$D47&lt;&gt;"",COUNTA(Exposures!$AV47:$BC47)&gt;0),Exposures!$D47&amp;"/RESTART","")</f>
        <v/>
      </c>
      <c r="C173" s="20" t="str">
        <f t="shared" si="26"/>
        <v/>
      </c>
      <c r="D173" s="20" t="str">
        <f>IF(B173="","",Exposures!$A47&amp;"")</f>
        <v/>
      </c>
      <c r="E173" s="20" t="str">
        <f>IF(B173="","",Exposures!$B47&amp;"")</f>
        <v/>
      </c>
      <c r="F173" s="20" t="str">
        <f t="shared" si="20"/>
        <v/>
      </c>
      <c r="G173" s="20" t="str">
        <f>IF(B173="","",Exposures!$D47&amp;"")</f>
        <v/>
      </c>
      <c r="H173" s="20" t="str">
        <f>IF(B173="","",Exposures!$AV47&amp;"")</f>
        <v/>
      </c>
      <c r="I173" s="20" t="str">
        <f>IF(B173="","",Exposures!$AY47&amp;"")</f>
        <v/>
      </c>
      <c r="J173" s="20" t="str">
        <f>IF(B173="","",Exposures!$BE47&amp;"")</f>
        <v/>
      </c>
      <c r="K173" s="20">
        <f>IF(B173="",0,Exposures!$BF47)</f>
        <v>0</v>
      </c>
      <c r="L173" s="20">
        <f>IF(B173="",0,Exposures!$BG47)</f>
        <v>0</v>
      </c>
      <c r="M173" s="20" t="str">
        <f>IF(B173="","",Exposures!$BJ47)</f>
        <v/>
      </c>
      <c r="N173" s="20" t="str">
        <f>IF(B173="","",Exposures!$BK47)</f>
        <v/>
      </c>
      <c r="O173" s="27" t="str">
        <f>IF(B173="","",Exposures!$BH47)</f>
        <v/>
      </c>
      <c r="P173" s="27" t="str">
        <f>IF(B173="","",Exposures!$BI47)</f>
        <v/>
      </c>
      <c r="Q173" s="20" t="str">
        <f t="shared" si="21"/>
        <v/>
      </c>
      <c r="R173" s="20" t="str">
        <f>IF(A173="","",IF(J173&lt;&gt;"",J173,IF(H173="TIMESTAMP",DAY(INT(M173/1440))&amp;" "&amp;INDEX(nLIST_Months,MONTH(INT(M173/1440)))&amp;" "&amp;YEAR(INT(M173/1440))&amp;" "&amp;RIGHT("0"&amp;INT(MOD(M173,1440)/60),2)&amp;":"&amp;RIGHT("0"&amp;MOD(M173,60),2)&amp;IF(L173=1," (UTC"&amp;I173&amp;")"," (offset unknown)"),IF(H173="DATE",DAY(O173)&amp;" "&amp;INDEX(nLIST_Months,MONTH(O173))&amp;" "&amp;YEAR(O173),IF(H173="MONTH",INDEX(nLIST_Months,MONTH(O173))&amp;" "&amp;YEAR(O173)&amp;" ("&amp;DAY(O173)&amp;" "&amp;INDEX(nLIST_Months,MONTH(O173))&amp;" "&amp;YEAR(O173)&amp;" to "&amp;DAY(P173)&amp;" "&amp;INDEX(nLIST_Months,MONTH(P173))&amp;" "&amp;YEAR(P173)&amp;")",IF(H173="YEAR",YEAR(O173)&amp;" (1 January to 31 December)",DAY(O173)&amp;" "&amp;INDEX(nLIST_Months,MONTH(O173))&amp;" "&amp;YEAR(O173)&amp;" to "&amp;DAY(P173)&amp;" "&amp;INDEX(nLIST_Months,MONTH(P173))&amp;" "&amp;YEAR(P173)))))))</f>
        <v/>
      </c>
      <c r="S173" s="20" t="str">
        <f>IF(B173="","",Exposures!$AU47&amp;"")</f>
        <v/>
      </c>
      <c r="T173" s="20" t="str">
        <f>IF(B173="","",Exposures!$BD47&amp;"")</f>
        <v/>
      </c>
      <c r="U173" s="20" t="str">
        <f>IF(B173="","","Exposures row "&amp;ROW(Exposures!$A47)&amp;", Restart")</f>
        <v/>
      </c>
      <c r="V173" s="20">
        <f>IF(A173="",0,COUNTIF(nTP_Key,A173))</f>
        <v>0</v>
      </c>
      <c r="W173" s="20">
        <f t="shared" si="22"/>
        <v>0</v>
      </c>
      <c r="X173" s="20">
        <f t="shared" si="23"/>
        <v>0</v>
      </c>
      <c r="Y173" s="20">
        <f t="shared" si="24"/>
        <v>0</v>
      </c>
      <c r="Z173" s="20">
        <f t="shared" si="25"/>
        <v>0</v>
      </c>
    </row>
    <row r="174" spans="1:26" x14ac:dyDescent="0.2">
      <c r="A174" s="20" t="str">
        <f t="shared" si="19"/>
        <v/>
      </c>
      <c r="B174" s="20" t="str">
        <f>IF(AND(Exposures!$D48&lt;&gt;"",COUNTA(Exposures!$AV48:$BC48)&gt;0),Exposures!$D48&amp;"/RESTART","")</f>
        <v/>
      </c>
      <c r="C174" s="20" t="str">
        <f t="shared" si="26"/>
        <v/>
      </c>
      <c r="D174" s="20" t="str">
        <f>IF(B174="","",Exposures!$A48&amp;"")</f>
        <v/>
      </c>
      <c r="E174" s="20" t="str">
        <f>IF(B174="","",Exposures!$B48&amp;"")</f>
        <v/>
      </c>
      <c r="F174" s="20" t="str">
        <f t="shared" si="20"/>
        <v/>
      </c>
      <c r="G174" s="20" t="str">
        <f>IF(B174="","",Exposures!$D48&amp;"")</f>
        <v/>
      </c>
      <c r="H174" s="20" t="str">
        <f>IF(B174="","",Exposures!$AV48&amp;"")</f>
        <v/>
      </c>
      <c r="I174" s="20" t="str">
        <f>IF(B174="","",Exposures!$AY48&amp;"")</f>
        <v/>
      </c>
      <c r="J174" s="20" t="str">
        <f>IF(B174="","",Exposures!$BE48&amp;"")</f>
        <v/>
      </c>
      <c r="K174" s="20">
        <f>IF(B174="",0,Exposures!$BF48)</f>
        <v>0</v>
      </c>
      <c r="L174" s="20">
        <f>IF(B174="",0,Exposures!$BG48)</f>
        <v>0</v>
      </c>
      <c r="M174" s="20" t="str">
        <f>IF(B174="","",Exposures!$BJ48)</f>
        <v/>
      </c>
      <c r="N174" s="20" t="str">
        <f>IF(B174="","",Exposures!$BK48)</f>
        <v/>
      </c>
      <c r="O174" s="27" t="str">
        <f>IF(B174="","",Exposures!$BH48)</f>
        <v/>
      </c>
      <c r="P174" s="27" t="str">
        <f>IF(B174="","",Exposures!$BI48)</f>
        <v/>
      </c>
      <c r="Q174" s="20" t="str">
        <f t="shared" si="21"/>
        <v/>
      </c>
      <c r="R174" s="20" t="str">
        <f>IF(A174="","",IF(J174&lt;&gt;"",J174,IF(H174="TIMESTAMP",DAY(INT(M174/1440))&amp;" "&amp;INDEX(nLIST_Months,MONTH(INT(M174/1440)))&amp;" "&amp;YEAR(INT(M174/1440))&amp;" "&amp;RIGHT("0"&amp;INT(MOD(M174,1440)/60),2)&amp;":"&amp;RIGHT("0"&amp;MOD(M174,60),2)&amp;IF(L174=1," (UTC"&amp;I174&amp;")"," (offset unknown)"),IF(H174="DATE",DAY(O174)&amp;" "&amp;INDEX(nLIST_Months,MONTH(O174))&amp;" "&amp;YEAR(O174),IF(H174="MONTH",INDEX(nLIST_Months,MONTH(O174))&amp;" "&amp;YEAR(O174)&amp;" ("&amp;DAY(O174)&amp;" "&amp;INDEX(nLIST_Months,MONTH(O174))&amp;" "&amp;YEAR(O174)&amp;" to "&amp;DAY(P174)&amp;" "&amp;INDEX(nLIST_Months,MONTH(P174))&amp;" "&amp;YEAR(P174)&amp;")",IF(H174="YEAR",YEAR(O174)&amp;" (1 January to 31 December)",DAY(O174)&amp;" "&amp;INDEX(nLIST_Months,MONTH(O174))&amp;" "&amp;YEAR(O174)&amp;" to "&amp;DAY(P174)&amp;" "&amp;INDEX(nLIST_Months,MONTH(P174))&amp;" "&amp;YEAR(P174)))))))</f>
        <v/>
      </c>
      <c r="S174" s="20" t="str">
        <f>IF(B174="","",Exposures!$AU48&amp;"")</f>
        <v/>
      </c>
      <c r="T174" s="20" t="str">
        <f>IF(B174="","",Exposures!$BD48&amp;"")</f>
        <v/>
      </c>
      <c r="U174" s="20" t="str">
        <f>IF(B174="","","Exposures row "&amp;ROW(Exposures!$A48)&amp;", Restart")</f>
        <v/>
      </c>
      <c r="V174" s="20">
        <f>IF(A174="",0,COUNTIF(nTP_Key,A174))</f>
        <v>0</v>
      </c>
      <c r="W174" s="20">
        <f t="shared" si="22"/>
        <v>0</v>
      </c>
      <c r="X174" s="20">
        <f t="shared" si="23"/>
        <v>0</v>
      </c>
      <c r="Y174" s="20">
        <f t="shared" si="24"/>
        <v>0</v>
      </c>
      <c r="Z174" s="20">
        <f t="shared" si="25"/>
        <v>0</v>
      </c>
    </row>
    <row r="175" spans="1:26" x14ac:dyDescent="0.2">
      <c r="A175" s="20" t="str">
        <f t="shared" si="19"/>
        <v/>
      </c>
      <c r="B175" s="20" t="str">
        <f>IF(AND(Exposures!$D49&lt;&gt;"",COUNTA(Exposures!$AV49:$BC49)&gt;0),Exposures!$D49&amp;"/RESTART","")</f>
        <v/>
      </c>
      <c r="C175" s="20" t="str">
        <f t="shared" si="26"/>
        <v/>
      </c>
      <c r="D175" s="20" t="str">
        <f>IF(B175="","",Exposures!$A49&amp;"")</f>
        <v/>
      </c>
      <c r="E175" s="20" t="str">
        <f>IF(B175="","",Exposures!$B49&amp;"")</f>
        <v/>
      </c>
      <c r="F175" s="20" t="str">
        <f t="shared" si="20"/>
        <v/>
      </c>
      <c r="G175" s="20" t="str">
        <f>IF(B175="","",Exposures!$D49&amp;"")</f>
        <v/>
      </c>
      <c r="H175" s="20" t="str">
        <f>IF(B175="","",Exposures!$AV49&amp;"")</f>
        <v/>
      </c>
      <c r="I175" s="20" t="str">
        <f>IF(B175="","",Exposures!$AY49&amp;"")</f>
        <v/>
      </c>
      <c r="J175" s="20" t="str">
        <f>IF(B175="","",Exposures!$BE49&amp;"")</f>
        <v/>
      </c>
      <c r="K175" s="20">
        <f>IF(B175="",0,Exposures!$BF49)</f>
        <v>0</v>
      </c>
      <c r="L175" s="20">
        <f>IF(B175="",0,Exposures!$BG49)</f>
        <v>0</v>
      </c>
      <c r="M175" s="20" t="str">
        <f>IF(B175="","",Exposures!$BJ49)</f>
        <v/>
      </c>
      <c r="N175" s="20" t="str">
        <f>IF(B175="","",Exposures!$BK49)</f>
        <v/>
      </c>
      <c r="O175" s="27" t="str">
        <f>IF(B175="","",Exposures!$BH49)</f>
        <v/>
      </c>
      <c r="P175" s="27" t="str">
        <f>IF(B175="","",Exposures!$BI49)</f>
        <v/>
      </c>
      <c r="Q175" s="20" t="str">
        <f t="shared" si="21"/>
        <v/>
      </c>
      <c r="R175" s="20" t="str">
        <f>IF(A175="","",IF(J175&lt;&gt;"",J175,IF(H175="TIMESTAMP",DAY(INT(M175/1440))&amp;" "&amp;INDEX(nLIST_Months,MONTH(INT(M175/1440)))&amp;" "&amp;YEAR(INT(M175/1440))&amp;" "&amp;RIGHT("0"&amp;INT(MOD(M175,1440)/60),2)&amp;":"&amp;RIGHT("0"&amp;MOD(M175,60),2)&amp;IF(L175=1," (UTC"&amp;I175&amp;")"," (offset unknown)"),IF(H175="DATE",DAY(O175)&amp;" "&amp;INDEX(nLIST_Months,MONTH(O175))&amp;" "&amp;YEAR(O175),IF(H175="MONTH",INDEX(nLIST_Months,MONTH(O175))&amp;" "&amp;YEAR(O175)&amp;" ("&amp;DAY(O175)&amp;" "&amp;INDEX(nLIST_Months,MONTH(O175))&amp;" "&amp;YEAR(O175)&amp;" to "&amp;DAY(P175)&amp;" "&amp;INDEX(nLIST_Months,MONTH(P175))&amp;" "&amp;YEAR(P175)&amp;")",IF(H175="YEAR",YEAR(O175)&amp;" (1 January to 31 December)",DAY(O175)&amp;" "&amp;INDEX(nLIST_Months,MONTH(O175))&amp;" "&amp;YEAR(O175)&amp;" to "&amp;DAY(P175)&amp;" "&amp;INDEX(nLIST_Months,MONTH(P175))&amp;" "&amp;YEAR(P175)))))))</f>
        <v/>
      </c>
      <c r="S175" s="20" t="str">
        <f>IF(B175="","",Exposures!$AU49&amp;"")</f>
        <v/>
      </c>
      <c r="T175" s="20" t="str">
        <f>IF(B175="","",Exposures!$BD49&amp;"")</f>
        <v/>
      </c>
      <c r="U175" s="20" t="str">
        <f>IF(B175="","","Exposures row "&amp;ROW(Exposures!$A49)&amp;", Restart")</f>
        <v/>
      </c>
      <c r="V175" s="20">
        <f>IF(A175="",0,COUNTIF(nTP_Key,A175))</f>
        <v>0</v>
      </c>
      <c r="W175" s="20">
        <f t="shared" si="22"/>
        <v>0</v>
      </c>
      <c r="X175" s="20">
        <f t="shared" si="23"/>
        <v>0</v>
      </c>
      <c r="Y175" s="20">
        <f t="shared" si="24"/>
        <v>0</v>
      </c>
      <c r="Z175" s="20">
        <f t="shared" si="25"/>
        <v>0</v>
      </c>
    </row>
    <row r="176" spans="1:26" x14ac:dyDescent="0.2">
      <c r="A176" s="20" t="str">
        <f t="shared" si="19"/>
        <v/>
      </c>
      <c r="B176" s="20" t="str">
        <f>IF(AND(Exposures!$D50&lt;&gt;"",COUNTA(Exposures!$AV50:$BC50)&gt;0),Exposures!$D50&amp;"/RESTART","")</f>
        <v/>
      </c>
      <c r="C176" s="20" t="str">
        <f t="shared" si="26"/>
        <v/>
      </c>
      <c r="D176" s="20" t="str">
        <f>IF(B176="","",Exposures!$A50&amp;"")</f>
        <v/>
      </c>
      <c r="E176" s="20" t="str">
        <f>IF(B176="","",Exposures!$B50&amp;"")</f>
        <v/>
      </c>
      <c r="F176" s="20" t="str">
        <f t="shared" si="20"/>
        <v/>
      </c>
      <c r="G176" s="20" t="str">
        <f>IF(B176="","",Exposures!$D50&amp;"")</f>
        <v/>
      </c>
      <c r="H176" s="20" t="str">
        <f>IF(B176="","",Exposures!$AV50&amp;"")</f>
        <v/>
      </c>
      <c r="I176" s="20" t="str">
        <f>IF(B176="","",Exposures!$AY50&amp;"")</f>
        <v/>
      </c>
      <c r="J176" s="20" t="str">
        <f>IF(B176="","",Exposures!$BE50&amp;"")</f>
        <v/>
      </c>
      <c r="K176" s="20">
        <f>IF(B176="",0,Exposures!$BF50)</f>
        <v>0</v>
      </c>
      <c r="L176" s="20">
        <f>IF(B176="",0,Exposures!$BG50)</f>
        <v>0</v>
      </c>
      <c r="M176" s="20" t="str">
        <f>IF(B176="","",Exposures!$BJ50)</f>
        <v/>
      </c>
      <c r="N176" s="20" t="str">
        <f>IF(B176="","",Exposures!$BK50)</f>
        <v/>
      </c>
      <c r="O176" s="27" t="str">
        <f>IF(B176="","",Exposures!$BH50)</f>
        <v/>
      </c>
      <c r="P176" s="27" t="str">
        <f>IF(B176="","",Exposures!$BI50)</f>
        <v/>
      </c>
      <c r="Q176" s="20" t="str">
        <f t="shared" si="21"/>
        <v/>
      </c>
      <c r="R176" s="20" t="str">
        <f>IF(A176="","",IF(J176&lt;&gt;"",J176,IF(H176="TIMESTAMP",DAY(INT(M176/1440))&amp;" "&amp;INDEX(nLIST_Months,MONTH(INT(M176/1440)))&amp;" "&amp;YEAR(INT(M176/1440))&amp;" "&amp;RIGHT("0"&amp;INT(MOD(M176,1440)/60),2)&amp;":"&amp;RIGHT("0"&amp;MOD(M176,60),2)&amp;IF(L176=1," (UTC"&amp;I176&amp;")"," (offset unknown)"),IF(H176="DATE",DAY(O176)&amp;" "&amp;INDEX(nLIST_Months,MONTH(O176))&amp;" "&amp;YEAR(O176),IF(H176="MONTH",INDEX(nLIST_Months,MONTH(O176))&amp;" "&amp;YEAR(O176)&amp;" ("&amp;DAY(O176)&amp;" "&amp;INDEX(nLIST_Months,MONTH(O176))&amp;" "&amp;YEAR(O176)&amp;" to "&amp;DAY(P176)&amp;" "&amp;INDEX(nLIST_Months,MONTH(P176))&amp;" "&amp;YEAR(P176)&amp;")",IF(H176="YEAR",YEAR(O176)&amp;" (1 January to 31 December)",DAY(O176)&amp;" "&amp;INDEX(nLIST_Months,MONTH(O176))&amp;" "&amp;YEAR(O176)&amp;" to "&amp;DAY(P176)&amp;" "&amp;INDEX(nLIST_Months,MONTH(P176))&amp;" "&amp;YEAR(P176)))))))</f>
        <v/>
      </c>
      <c r="S176" s="20" t="str">
        <f>IF(B176="","",Exposures!$AU50&amp;"")</f>
        <v/>
      </c>
      <c r="T176" s="20" t="str">
        <f>IF(B176="","",Exposures!$BD50&amp;"")</f>
        <v/>
      </c>
      <c r="U176" s="20" t="str">
        <f>IF(B176="","","Exposures row "&amp;ROW(Exposures!$A50)&amp;", Restart")</f>
        <v/>
      </c>
      <c r="V176" s="20">
        <f>IF(A176="",0,COUNTIF(nTP_Key,A176))</f>
        <v>0</v>
      </c>
      <c r="W176" s="20">
        <f t="shared" si="22"/>
        <v>0</v>
      </c>
      <c r="X176" s="20">
        <f t="shared" si="23"/>
        <v>0</v>
      </c>
      <c r="Y176" s="20">
        <f t="shared" si="24"/>
        <v>0</v>
      </c>
      <c r="Z176" s="20">
        <f t="shared" si="25"/>
        <v>0</v>
      </c>
    </row>
    <row r="177" spans="1:26" x14ac:dyDescent="0.2">
      <c r="A177" s="20" t="str">
        <f t="shared" si="19"/>
        <v/>
      </c>
      <c r="B177" s="20" t="str">
        <f>IF(AND(Exposures!$D51&lt;&gt;"",COUNTA(Exposures!$AV51:$BC51)&gt;0),Exposures!$D51&amp;"/RESTART","")</f>
        <v/>
      </c>
      <c r="C177" s="20" t="str">
        <f t="shared" si="26"/>
        <v/>
      </c>
      <c r="D177" s="20" t="str">
        <f>IF(B177="","",Exposures!$A51&amp;"")</f>
        <v/>
      </c>
      <c r="E177" s="20" t="str">
        <f>IF(B177="","",Exposures!$B51&amp;"")</f>
        <v/>
      </c>
      <c r="F177" s="20" t="str">
        <f t="shared" si="20"/>
        <v/>
      </c>
      <c r="G177" s="20" t="str">
        <f>IF(B177="","",Exposures!$D51&amp;"")</f>
        <v/>
      </c>
      <c r="H177" s="20" t="str">
        <f>IF(B177="","",Exposures!$AV51&amp;"")</f>
        <v/>
      </c>
      <c r="I177" s="20" t="str">
        <f>IF(B177="","",Exposures!$AY51&amp;"")</f>
        <v/>
      </c>
      <c r="J177" s="20" t="str">
        <f>IF(B177="","",Exposures!$BE51&amp;"")</f>
        <v/>
      </c>
      <c r="K177" s="20">
        <f>IF(B177="",0,Exposures!$BF51)</f>
        <v>0</v>
      </c>
      <c r="L177" s="20">
        <f>IF(B177="",0,Exposures!$BG51)</f>
        <v>0</v>
      </c>
      <c r="M177" s="20" t="str">
        <f>IF(B177="","",Exposures!$BJ51)</f>
        <v/>
      </c>
      <c r="N177" s="20" t="str">
        <f>IF(B177="","",Exposures!$BK51)</f>
        <v/>
      </c>
      <c r="O177" s="27" t="str">
        <f>IF(B177="","",Exposures!$BH51)</f>
        <v/>
      </c>
      <c r="P177" s="27" t="str">
        <f>IF(B177="","",Exposures!$BI51)</f>
        <v/>
      </c>
      <c r="Q177" s="20" t="str">
        <f t="shared" si="21"/>
        <v/>
      </c>
      <c r="R177" s="20" t="str">
        <f>IF(A177="","",IF(J177&lt;&gt;"",J177,IF(H177="TIMESTAMP",DAY(INT(M177/1440))&amp;" "&amp;INDEX(nLIST_Months,MONTH(INT(M177/1440)))&amp;" "&amp;YEAR(INT(M177/1440))&amp;" "&amp;RIGHT("0"&amp;INT(MOD(M177,1440)/60),2)&amp;":"&amp;RIGHT("0"&amp;MOD(M177,60),2)&amp;IF(L177=1," (UTC"&amp;I177&amp;")"," (offset unknown)"),IF(H177="DATE",DAY(O177)&amp;" "&amp;INDEX(nLIST_Months,MONTH(O177))&amp;" "&amp;YEAR(O177),IF(H177="MONTH",INDEX(nLIST_Months,MONTH(O177))&amp;" "&amp;YEAR(O177)&amp;" ("&amp;DAY(O177)&amp;" "&amp;INDEX(nLIST_Months,MONTH(O177))&amp;" "&amp;YEAR(O177)&amp;" to "&amp;DAY(P177)&amp;" "&amp;INDEX(nLIST_Months,MONTH(P177))&amp;" "&amp;YEAR(P177)&amp;")",IF(H177="YEAR",YEAR(O177)&amp;" (1 January to 31 December)",DAY(O177)&amp;" "&amp;INDEX(nLIST_Months,MONTH(O177))&amp;" "&amp;YEAR(O177)&amp;" to "&amp;DAY(P177)&amp;" "&amp;INDEX(nLIST_Months,MONTH(P177))&amp;" "&amp;YEAR(P177)))))))</f>
        <v/>
      </c>
      <c r="S177" s="20" t="str">
        <f>IF(B177="","",Exposures!$AU51&amp;"")</f>
        <v/>
      </c>
      <c r="T177" s="20" t="str">
        <f>IF(B177="","",Exposures!$BD51&amp;"")</f>
        <v/>
      </c>
      <c r="U177" s="20" t="str">
        <f>IF(B177="","","Exposures row "&amp;ROW(Exposures!$A51)&amp;", Restart")</f>
        <v/>
      </c>
      <c r="V177" s="20">
        <f>IF(A177="",0,COUNTIF(nTP_Key,A177))</f>
        <v>0</v>
      </c>
      <c r="W177" s="20">
        <f t="shared" si="22"/>
        <v>0</v>
      </c>
      <c r="X177" s="20">
        <f t="shared" si="23"/>
        <v>0</v>
      </c>
      <c r="Y177" s="20">
        <f t="shared" si="24"/>
        <v>0</v>
      </c>
      <c r="Z177" s="20">
        <f t="shared" si="25"/>
        <v>0</v>
      </c>
    </row>
    <row r="178" spans="1:26" x14ac:dyDescent="0.2">
      <c r="A178" s="20" t="str">
        <f t="shared" si="19"/>
        <v/>
      </c>
      <c r="B178" s="20" t="str">
        <f>IF(AND(Exposures!$D52&lt;&gt;"",COUNTA(Exposures!$AV52:$BC52)&gt;0),Exposures!$D52&amp;"/RESTART","")</f>
        <v/>
      </c>
      <c r="C178" s="20" t="str">
        <f t="shared" si="26"/>
        <v/>
      </c>
      <c r="D178" s="20" t="str">
        <f>IF(B178="","",Exposures!$A52&amp;"")</f>
        <v/>
      </c>
      <c r="E178" s="20" t="str">
        <f>IF(B178="","",Exposures!$B52&amp;"")</f>
        <v/>
      </c>
      <c r="F178" s="20" t="str">
        <f t="shared" si="20"/>
        <v/>
      </c>
      <c r="G178" s="20" t="str">
        <f>IF(B178="","",Exposures!$D52&amp;"")</f>
        <v/>
      </c>
      <c r="H178" s="20" t="str">
        <f>IF(B178="","",Exposures!$AV52&amp;"")</f>
        <v/>
      </c>
      <c r="I178" s="20" t="str">
        <f>IF(B178="","",Exposures!$AY52&amp;"")</f>
        <v/>
      </c>
      <c r="J178" s="20" t="str">
        <f>IF(B178="","",Exposures!$BE52&amp;"")</f>
        <v/>
      </c>
      <c r="K178" s="20">
        <f>IF(B178="",0,Exposures!$BF52)</f>
        <v>0</v>
      </c>
      <c r="L178" s="20">
        <f>IF(B178="",0,Exposures!$BG52)</f>
        <v>0</v>
      </c>
      <c r="M178" s="20" t="str">
        <f>IF(B178="","",Exposures!$BJ52)</f>
        <v/>
      </c>
      <c r="N178" s="20" t="str">
        <f>IF(B178="","",Exposures!$BK52)</f>
        <v/>
      </c>
      <c r="O178" s="27" t="str">
        <f>IF(B178="","",Exposures!$BH52)</f>
        <v/>
      </c>
      <c r="P178" s="27" t="str">
        <f>IF(B178="","",Exposures!$BI52)</f>
        <v/>
      </c>
      <c r="Q178" s="20" t="str">
        <f t="shared" si="21"/>
        <v/>
      </c>
      <c r="R178" s="20" t="str">
        <f>IF(A178="","",IF(J178&lt;&gt;"",J178,IF(H178="TIMESTAMP",DAY(INT(M178/1440))&amp;" "&amp;INDEX(nLIST_Months,MONTH(INT(M178/1440)))&amp;" "&amp;YEAR(INT(M178/1440))&amp;" "&amp;RIGHT("0"&amp;INT(MOD(M178,1440)/60),2)&amp;":"&amp;RIGHT("0"&amp;MOD(M178,60),2)&amp;IF(L178=1," (UTC"&amp;I178&amp;")"," (offset unknown)"),IF(H178="DATE",DAY(O178)&amp;" "&amp;INDEX(nLIST_Months,MONTH(O178))&amp;" "&amp;YEAR(O178),IF(H178="MONTH",INDEX(nLIST_Months,MONTH(O178))&amp;" "&amp;YEAR(O178)&amp;" ("&amp;DAY(O178)&amp;" "&amp;INDEX(nLIST_Months,MONTH(O178))&amp;" "&amp;YEAR(O178)&amp;" to "&amp;DAY(P178)&amp;" "&amp;INDEX(nLIST_Months,MONTH(P178))&amp;" "&amp;YEAR(P178)&amp;")",IF(H178="YEAR",YEAR(O178)&amp;" (1 January to 31 December)",DAY(O178)&amp;" "&amp;INDEX(nLIST_Months,MONTH(O178))&amp;" "&amp;YEAR(O178)&amp;" to "&amp;DAY(P178)&amp;" "&amp;INDEX(nLIST_Months,MONTH(P178))&amp;" "&amp;YEAR(P178)))))))</f>
        <v/>
      </c>
      <c r="S178" s="20" t="str">
        <f>IF(B178="","",Exposures!$AU52&amp;"")</f>
        <v/>
      </c>
      <c r="T178" s="20" t="str">
        <f>IF(B178="","",Exposures!$BD52&amp;"")</f>
        <v/>
      </c>
      <c r="U178" s="20" t="str">
        <f>IF(B178="","","Exposures row "&amp;ROW(Exposures!$A52)&amp;", Restart")</f>
        <v/>
      </c>
      <c r="V178" s="20">
        <f>IF(A178="",0,COUNTIF(nTP_Key,A178))</f>
        <v>0</v>
      </c>
      <c r="W178" s="20">
        <f t="shared" si="22"/>
        <v>0</v>
      </c>
      <c r="X178" s="20">
        <f t="shared" si="23"/>
        <v>0</v>
      </c>
      <c r="Y178" s="20">
        <f t="shared" si="24"/>
        <v>0</v>
      </c>
      <c r="Z178" s="20">
        <f t="shared" si="25"/>
        <v>0</v>
      </c>
    </row>
    <row r="179" spans="1:26" x14ac:dyDescent="0.2">
      <c r="A179" s="20" t="str">
        <f t="shared" si="19"/>
        <v/>
      </c>
      <c r="B179" s="20" t="str">
        <f>IF(AND(Exposures!$D53&lt;&gt;"",COUNTA(Exposures!$AV53:$BC53)&gt;0),Exposures!$D53&amp;"/RESTART","")</f>
        <v/>
      </c>
      <c r="C179" s="20" t="str">
        <f t="shared" si="26"/>
        <v/>
      </c>
      <c r="D179" s="20" t="str">
        <f>IF(B179="","",Exposures!$A53&amp;"")</f>
        <v/>
      </c>
      <c r="E179" s="20" t="str">
        <f>IF(B179="","",Exposures!$B53&amp;"")</f>
        <v/>
      </c>
      <c r="F179" s="20" t="str">
        <f t="shared" si="20"/>
        <v/>
      </c>
      <c r="G179" s="20" t="str">
        <f>IF(B179="","",Exposures!$D53&amp;"")</f>
        <v/>
      </c>
      <c r="H179" s="20" t="str">
        <f>IF(B179="","",Exposures!$AV53&amp;"")</f>
        <v/>
      </c>
      <c r="I179" s="20" t="str">
        <f>IF(B179="","",Exposures!$AY53&amp;"")</f>
        <v/>
      </c>
      <c r="J179" s="20" t="str">
        <f>IF(B179="","",Exposures!$BE53&amp;"")</f>
        <v/>
      </c>
      <c r="K179" s="20">
        <f>IF(B179="",0,Exposures!$BF53)</f>
        <v>0</v>
      </c>
      <c r="L179" s="20">
        <f>IF(B179="",0,Exposures!$BG53)</f>
        <v>0</v>
      </c>
      <c r="M179" s="20" t="str">
        <f>IF(B179="","",Exposures!$BJ53)</f>
        <v/>
      </c>
      <c r="N179" s="20" t="str">
        <f>IF(B179="","",Exposures!$BK53)</f>
        <v/>
      </c>
      <c r="O179" s="27" t="str">
        <f>IF(B179="","",Exposures!$BH53)</f>
        <v/>
      </c>
      <c r="P179" s="27" t="str">
        <f>IF(B179="","",Exposures!$BI53)</f>
        <v/>
      </c>
      <c r="Q179" s="20" t="str">
        <f t="shared" si="21"/>
        <v/>
      </c>
      <c r="R179" s="20" t="str">
        <f>IF(A179="","",IF(J179&lt;&gt;"",J179,IF(H179="TIMESTAMP",DAY(INT(M179/1440))&amp;" "&amp;INDEX(nLIST_Months,MONTH(INT(M179/1440)))&amp;" "&amp;YEAR(INT(M179/1440))&amp;" "&amp;RIGHT("0"&amp;INT(MOD(M179,1440)/60),2)&amp;":"&amp;RIGHT("0"&amp;MOD(M179,60),2)&amp;IF(L179=1," (UTC"&amp;I179&amp;")"," (offset unknown)"),IF(H179="DATE",DAY(O179)&amp;" "&amp;INDEX(nLIST_Months,MONTH(O179))&amp;" "&amp;YEAR(O179),IF(H179="MONTH",INDEX(nLIST_Months,MONTH(O179))&amp;" "&amp;YEAR(O179)&amp;" ("&amp;DAY(O179)&amp;" "&amp;INDEX(nLIST_Months,MONTH(O179))&amp;" "&amp;YEAR(O179)&amp;" to "&amp;DAY(P179)&amp;" "&amp;INDEX(nLIST_Months,MONTH(P179))&amp;" "&amp;YEAR(P179)&amp;")",IF(H179="YEAR",YEAR(O179)&amp;" (1 January to 31 December)",DAY(O179)&amp;" "&amp;INDEX(nLIST_Months,MONTH(O179))&amp;" "&amp;YEAR(O179)&amp;" to "&amp;DAY(P179)&amp;" "&amp;INDEX(nLIST_Months,MONTH(P179))&amp;" "&amp;YEAR(P179)))))))</f>
        <v/>
      </c>
      <c r="S179" s="20" t="str">
        <f>IF(B179="","",Exposures!$AU53&amp;"")</f>
        <v/>
      </c>
      <c r="T179" s="20" t="str">
        <f>IF(B179="","",Exposures!$BD53&amp;"")</f>
        <v/>
      </c>
      <c r="U179" s="20" t="str">
        <f>IF(B179="","","Exposures row "&amp;ROW(Exposures!$A53)&amp;", Restart")</f>
        <v/>
      </c>
      <c r="V179" s="20">
        <f>IF(A179="",0,COUNTIF(nTP_Key,A179))</f>
        <v>0</v>
      </c>
      <c r="W179" s="20">
        <f t="shared" si="22"/>
        <v>0</v>
      </c>
      <c r="X179" s="20">
        <f t="shared" si="23"/>
        <v>0</v>
      </c>
      <c r="Y179" s="20">
        <f t="shared" si="24"/>
        <v>0</v>
      </c>
      <c r="Z179" s="20">
        <f t="shared" si="25"/>
        <v>0</v>
      </c>
    </row>
    <row r="180" spans="1:26" x14ac:dyDescent="0.2">
      <c r="A180" s="20" t="str">
        <f t="shared" si="19"/>
        <v/>
      </c>
      <c r="B180" s="20" t="str">
        <f>IF(AND(Exposures!$D54&lt;&gt;"",COUNTA(Exposures!$AV54:$BC54)&gt;0),Exposures!$D54&amp;"/RESTART","")</f>
        <v/>
      </c>
      <c r="C180" s="20" t="str">
        <f t="shared" si="26"/>
        <v/>
      </c>
      <c r="D180" s="20" t="str">
        <f>IF(B180="","",Exposures!$A54&amp;"")</f>
        <v/>
      </c>
      <c r="E180" s="20" t="str">
        <f>IF(B180="","",Exposures!$B54&amp;"")</f>
        <v/>
      </c>
      <c r="F180" s="20" t="str">
        <f t="shared" si="20"/>
        <v/>
      </c>
      <c r="G180" s="20" t="str">
        <f>IF(B180="","",Exposures!$D54&amp;"")</f>
        <v/>
      </c>
      <c r="H180" s="20" t="str">
        <f>IF(B180="","",Exposures!$AV54&amp;"")</f>
        <v/>
      </c>
      <c r="I180" s="20" t="str">
        <f>IF(B180="","",Exposures!$AY54&amp;"")</f>
        <v/>
      </c>
      <c r="J180" s="20" t="str">
        <f>IF(B180="","",Exposures!$BE54&amp;"")</f>
        <v/>
      </c>
      <c r="K180" s="20">
        <f>IF(B180="",0,Exposures!$BF54)</f>
        <v>0</v>
      </c>
      <c r="L180" s="20">
        <f>IF(B180="",0,Exposures!$BG54)</f>
        <v>0</v>
      </c>
      <c r="M180" s="20" t="str">
        <f>IF(B180="","",Exposures!$BJ54)</f>
        <v/>
      </c>
      <c r="N180" s="20" t="str">
        <f>IF(B180="","",Exposures!$BK54)</f>
        <v/>
      </c>
      <c r="O180" s="27" t="str">
        <f>IF(B180="","",Exposures!$BH54)</f>
        <v/>
      </c>
      <c r="P180" s="27" t="str">
        <f>IF(B180="","",Exposures!$BI54)</f>
        <v/>
      </c>
      <c r="Q180" s="20" t="str">
        <f t="shared" si="21"/>
        <v/>
      </c>
      <c r="R180" s="20" t="str">
        <f>IF(A180="","",IF(J180&lt;&gt;"",J180,IF(H180="TIMESTAMP",DAY(INT(M180/1440))&amp;" "&amp;INDEX(nLIST_Months,MONTH(INT(M180/1440)))&amp;" "&amp;YEAR(INT(M180/1440))&amp;" "&amp;RIGHT("0"&amp;INT(MOD(M180,1440)/60),2)&amp;":"&amp;RIGHT("0"&amp;MOD(M180,60),2)&amp;IF(L180=1," (UTC"&amp;I180&amp;")"," (offset unknown)"),IF(H180="DATE",DAY(O180)&amp;" "&amp;INDEX(nLIST_Months,MONTH(O180))&amp;" "&amp;YEAR(O180),IF(H180="MONTH",INDEX(nLIST_Months,MONTH(O180))&amp;" "&amp;YEAR(O180)&amp;" ("&amp;DAY(O180)&amp;" "&amp;INDEX(nLIST_Months,MONTH(O180))&amp;" "&amp;YEAR(O180)&amp;" to "&amp;DAY(P180)&amp;" "&amp;INDEX(nLIST_Months,MONTH(P180))&amp;" "&amp;YEAR(P180)&amp;")",IF(H180="YEAR",YEAR(O180)&amp;" (1 January to 31 December)",DAY(O180)&amp;" "&amp;INDEX(nLIST_Months,MONTH(O180))&amp;" "&amp;YEAR(O180)&amp;" to "&amp;DAY(P180)&amp;" "&amp;INDEX(nLIST_Months,MONTH(P180))&amp;" "&amp;YEAR(P180)))))))</f>
        <v/>
      </c>
      <c r="S180" s="20" t="str">
        <f>IF(B180="","",Exposures!$AU54&amp;"")</f>
        <v/>
      </c>
      <c r="T180" s="20" t="str">
        <f>IF(B180="","",Exposures!$BD54&amp;"")</f>
        <v/>
      </c>
      <c r="U180" s="20" t="str">
        <f>IF(B180="","","Exposures row "&amp;ROW(Exposures!$A54)&amp;", Restart")</f>
        <v/>
      </c>
      <c r="V180" s="20">
        <f>IF(A180="",0,COUNTIF(nTP_Key,A180))</f>
        <v>0</v>
      </c>
      <c r="W180" s="20">
        <f t="shared" si="22"/>
        <v>0</v>
      </c>
      <c r="X180" s="20">
        <f t="shared" si="23"/>
        <v>0</v>
      </c>
      <c r="Y180" s="20">
        <f t="shared" si="24"/>
        <v>0</v>
      </c>
      <c r="Z180" s="20">
        <f t="shared" si="25"/>
        <v>0</v>
      </c>
    </row>
    <row r="181" spans="1:26" x14ac:dyDescent="0.2">
      <c r="A181" s="20" t="str">
        <f t="shared" si="19"/>
        <v>VEC-V08|1|EX1/RESTART</v>
      </c>
      <c r="B181" s="20" t="str">
        <f>IF(AND(Exposures!$D55&lt;&gt;"",COUNTA(Exposures!$AV55:$BC55)&gt;0),Exposures!$D55&amp;"/RESTART","")</f>
        <v>EX1/RESTART</v>
      </c>
      <c r="C181" s="20" t="str">
        <f t="shared" si="26"/>
        <v>EXPOSURE_RESTART</v>
      </c>
      <c r="D181" s="20" t="str">
        <f>IF(B181="","",Exposures!$A55&amp;"")</f>
        <v>VEC-V08</v>
      </c>
      <c r="E181" s="20" t="str">
        <f>IF(B181="","",Exposures!$B55&amp;"")</f>
        <v>1</v>
      </c>
      <c r="F181" s="20" t="str">
        <f t="shared" si="20"/>
        <v>VEC-V08|1</v>
      </c>
      <c r="G181" s="20" t="str">
        <f>IF(B181="","",Exposures!$D55&amp;"")</f>
        <v>EX1</v>
      </c>
      <c r="H181" s="20" t="str">
        <f>IF(B181="","",Exposures!$AV55&amp;"")</f>
        <v>DATE</v>
      </c>
      <c r="I181" s="20" t="str">
        <f>IF(B181="","",Exposures!$AY55&amp;"")</f>
        <v/>
      </c>
      <c r="J181" s="20" t="str">
        <f>IF(B181="","",Exposures!$BE55&amp;"")</f>
        <v/>
      </c>
      <c r="K181" s="20">
        <f>IF(B181="",0,Exposures!$BF55)</f>
        <v>0</v>
      </c>
      <c r="L181" s="20">
        <f>IF(B181="",0,Exposures!$BG55)</f>
        <v>0</v>
      </c>
      <c r="M181" s="20" t="str">
        <f>IF(B181="","",Exposures!$BJ55)</f>
        <v/>
      </c>
      <c r="N181" s="20" t="str">
        <f>IF(B181="","",Exposures!$BK55)</f>
        <v/>
      </c>
      <c r="O181" s="27">
        <f>IF(B181="","",Exposures!$BH55)</f>
        <v>46063</v>
      </c>
      <c r="P181" s="27">
        <f>IF(B181="","",Exposures!$BI55)</f>
        <v>46063</v>
      </c>
      <c r="Q181" s="20" t="str">
        <f t="shared" si="21"/>
        <v>2026-02-10</v>
      </c>
      <c r="R181" s="20" t="str">
        <f>IF(A181="","",IF(J181&lt;&gt;"",J181,IF(H181="TIMESTAMP",DAY(INT(M181/1440))&amp;" "&amp;INDEX(nLIST_Months,MONTH(INT(M181/1440)))&amp;" "&amp;YEAR(INT(M181/1440))&amp;" "&amp;RIGHT("0"&amp;INT(MOD(M181,1440)/60),2)&amp;":"&amp;RIGHT("0"&amp;MOD(M181,60),2)&amp;IF(L181=1," (UTC"&amp;I181&amp;")"," (offset unknown)"),IF(H181="DATE",DAY(O181)&amp;" "&amp;INDEX(nLIST_Months,MONTH(O181))&amp;" "&amp;YEAR(O181),IF(H181="MONTH",INDEX(nLIST_Months,MONTH(O181))&amp;" "&amp;YEAR(O181)&amp;" ("&amp;DAY(O181)&amp;" "&amp;INDEX(nLIST_Months,MONTH(O181))&amp;" "&amp;YEAR(O181)&amp;" to "&amp;DAY(P181)&amp;" "&amp;INDEX(nLIST_Months,MONTH(P181))&amp;" "&amp;YEAR(P181)&amp;")",IF(H181="YEAR",YEAR(O181)&amp;" (1 January to 31 December)",DAY(O181)&amp;" "&amp;INDEX(nLIST_Months,MONTH(O181))&amp;" "&amp;YEAR(O181)&amp;" to "&amp;DAY(P181)&amp;" "&amp;INDEX(nLIST_Months,MONTH(P181))&amp;" "&amp;YEAR(P181)))))))</f>
        <v>10 February 2026</v>
      </c>
      <c r="S181" s="20" t="str">
        <f>IF(B181="","",Exposures!$AU55&amp;"")</f>
        <v>restart</v>
      </c>
      <c r="T181" s="20" t="str">
        <f>IF(B181="","",Exposures!$BD55&amp;"")</f>
        <v>tto_calc_test_vectors_v1.0.json V08</v>
      </c>
      <c r="U181" s="20" t="str">
        <f>IF(B181="","","Exposures row "&amp;ROW(Exposures!$A55)&amp;", Restart")</f>
        <v>Exposures row 55, Restart</v>
      </c>
      <c r="V181" s="20">
        <f>IF(A181="",0,COUNTIF(nTP_Key,A181))</f>
        <v>1</v>
      </c>
      <c r="W181" s="20">
        <f t="shared" si="22"/>
        <v>0</v>
      </c>
      <c r="X181" s="20">
        <f t="shared" si="23"/>
        <v>0</v>
      </c>
      <c r="Y181" s="20">
        <f t="shared" si="24"/>
        <v>46063</v>
      </c>
      <c r="Z181" s="20">
        <f t="shared" si="25"/>
        <v>46063</v>
      </c>
    </row>
    <row r="182" spans="1:26" x14ac:dyDescent="0.2">
      <c r="A182" s="20" t="str">
        <f t="shared" si="19"/>
        <v/>
      </c>
      <c r="B182" s="20" t="str">
        <f>IF(AND(Exposures!$D56&lt;&gt;"",COUNTA(Exposures!$AV56:$BC56)&gt;0),Exposures!$D56&amp;"/RESTART","")</f>
        <v/>
      </c>
      <c r="C182" s="20" t="str">
        <f t="shared" si="26"/>
        <v/>
      </c>
      <c r="D182" s="20" t="str">
        <f>IF(B182="","",Exposures!$A56&amp;"")</f>
        <v/>
      </c>
      <c r="E182" s="20" t="str">
        <f>IF(B182="","",Exposures!$B56&amp;"")</f>
        <v/>
      </c>
      <c r="F182" s="20" t="str">
        <f t="shared" si="20"/>
        <v/>
      </c>
      <c r="G182" s="20" t="str">
        <f>IF(B182="","",Exposures!$D56&amp;"")</f>
        <v/>
      </c>
      <c r="H182" s="20" t="str">
        <f>IF(B182="","",Exposures!$AV56&amp;"")</f>
        <v/>
      </c>
      <c r="I182" s="20" t="str">
        <f>IF(B182="","",Exposures!$AY56&amp;"")</f>
        <v/>
      </c>
      <c r="J182" s="20" t="str">
        <f>IF(B182="","",Exposures!$BE56&amp;"")</f>
        <v/>
      </c>
      <c r="K182" s="20">
        <f>IF(B182="",0,Exposures!$BF56)</f>
        <v>0</v>
      </c>
      <c r="L182" s="20">
        <f>IF(B182="",0,Exposures!$BG56)</f>
        <v>0</v>
      </c>
      <c r="M182" s="20" t="str">
        <f>IF(B182="","",Exposures!$BJ56)</f>
        <v/>
      </c>
      <c r="N182" s="20" t="str">
        <f>IF(B182="","",Exposures!$BK56)</f>
        <v/>
      </c>
      <c r="O182" s="27" t="str">
        <f>IF(B182="","",Exposures!$BH56)</f>
        <v/>
      </c>
      <c r="P182" s="27" t="str">
        <f>IF(B182="","",Exposures!$BI56)</f>
        <v/>
      </c>
      <c r="Q182" s="20" t="str">
        <f t="shared" si="21"/>
        <v/>
      </c>
      <c r="R182" s="20" t="str">
        <f>IF(A182="","",IF(J182&lt;&gt;"",J182,IF(H182="TIMESTAMP",DAY(INT(M182/1440))&amp;" "&amp;INDEX(nLIST_Months,MONTH(INT(M182/1440)))&amp;" "&amp;YEAR(INT(M182/1440))&amp;" "&amp;RIGHT("0"&amp;INT(MOD(M182,1440)/60),2)&amp;":"&amp;RIGHT("0"&amp;MOD(M182,60),2)&amp;IF(L182=1," (UTC"&amp;I182&amp;")"," (offset unknown)"),IF(H182="DATE",DAY(O182)&amp;" "&amp;INDEX(nLIST_Months,MONTH(O182))&amp;" "&amp;YEAR(O182),IF(H182="MONTH",INDEX(nLIST_Months,MONTH(O182))&amp;" "&amp;YEAR(O182)&amp;" ("&amp;DAY(O182)&amp;" "&amp;INDEX(nLIST_Months,MONTH(O182))&amp;" "&amp;YEAR(O182)&amp;" to "&amp;DAY(P182)&amp;" "&amp;INDEX(nLIST_Months,MONTH(P182))&amp;" "&amp;YEAR(P182)&amp;")",IF(H182="YEAR",YEAR(O182)&amp;" (1 January to 31 December)",DAY(O182)&amp;" "&amp;INDEX(nLIST_Months,MONTH(O182))&amp;" "&amp;YEAR(O182)&amp;" to "&amp;DAY(P182)&amp;" "&amp;INDEX(nLIST_Months,MONTH(P182))&amp;" "&amp;YEAR(P182)))))))</f>
        <v/>
      </c>
      <c r="S182" s="20" t="str">
        <f>IF(B182="","",Exposures!$AU56&amp;"")</f>
        <v/>
      </c>
      <c r="T182" s="20" t="str">
        <f>IF(B182="","",Exposures!$BD56&amp;"")</f>
        <v/>
      </c>
      <c r="U182" s="20" t="str">
        <f>IF(B182="","","Exposures row "&amp;ROW(Exposures!$A56)&amp;", Restart")</f>
        <v/>
      </c>
      <c r="V182" s="20">
        <f>IF(A182="",0,COUNTIF(nTP_Key,A182))</f>
        <v>0</v>
      </c>
      <c r="W182" s="20">
        <f t="shared" si="22"/>
        <v>0</v>
      </c>
      <c r="X182" s="20">
        <f t="shared" si="23"/>
        <v>0</v>
      </c>
      <c r="Y182" s="20">
        <f t="shared" si="24"/>
        <v>0</v>
      </c>
      <c r="Z182" s="20">
        <f t="shared" si="25"/>
        <v>0</v>
      </c>
    </row>
    <row r="183" spans="1:26" x14ac:dyDescent="0.2">
      <c r="A183" s="20" t="str">
        <f t="shared" si="19"/>
        <v/>
      </c>
      <c r="B183" s="20" t="str">
        <f>IF(AND(Exposures!$D57&lt;&gt;"",COUNTA(Exposures!$AV57:$BC57)&gt;0),Exposures!$D57&amp;"/RESTART","")</f>
        <v/>
      </c>
      <c r="C183" s="20" t="str">
        <f t="shared" si="26"/>
        <v/>
      </c>
      <c r="D183" s="20" t="str">
        <f>IF(B183="","",Exposures!$A57&amp;"")</f>
        <v/>
      </c>
      <c r="E183" s="20" t="str">
        <f>IF(B183="","",Exposures!$B57&amp;"")</f>
        <v/>
      </c>
      <c r="F183" s="20" t="str">
        <f t="shared" si="20"/>
        <v/>
      </c>
      <c r="G183" s="20" t="str">
        <f>IF(B183="","",Exposures!$D57&amp;"")</f>
        <v/>
      </c>
      <c r="H183" s="20" t="str">
        <f>IF(B183="","",Exposures!$AV57&amp;"")</f>
        <v/>
      </c>
      <c r="I183" s="20" t="str">
        <f>IF(B183="","",Exposures!$AY57&amp;"")</f>
        <v/>
      </c>
      <c r="J183" s="20" t="str">
        <f>IF(B183="","",Exposures!$BE57&amp;"")</f>
        <v/>
      </c>
      <c r="K183" s="20">
        <f>IF(B183="",0,Exposures!$BF57)</f>
        <v>0</v>
      </c>
      <c r="L183" s="20">
        <f>IF(B183="",0,Exposures!$BG57)</f>
        <v>0</v>
      </c>
      <c r="M183" s="20" t="str">
        <f>IF(B183="","",Exposures!$BJ57)</f>
        <v/>
      </c>
      <c r="N183" s="20" t="str">
        <f>IF(B183="","",Exposures!$BK57)</f>
        <v/>
      </c>
      <c r="O183" s="27" t="str">
        <f>IF(B183="","",Exposures!$BH57)</f>
        <v/>
      </c>
      <c r="P183" s="27" t="str">
        <f>IF(B183="","",Exposures!$BI57)</f>
        <v/>
      </c>
      <c r="Q183" s="20" t="str">
        <f t="shared" si="21"/>
        <v/>
      </c>
      <c r="R183" s="20" t="str">
        <f>IF(A183="","",IF(J183&lt;&gt;"",J183,IF(H183="TIMESTAMP",DAY(INT(M183/1440))&amp;" "&amp;INDEX(nLIST_Months,MONTH(INT(M183/1440)))&amp;" "&amp;YEAR(INT(M183/1440))&amp;" "&amp;RIGHT("0"&amp;INT(MOD(M183,1440)/60),2)&amp;":"&amp;RIGHT("0"&amp;MOD(M183,60),2)&amp;IF(L183=1," (UTC"&amp;I183&amp;")"," (offset unknown)"),IF(H183="DATE",DAY(O183)&amp;" "&amp;INDEX(nLIST_Months,MONTH(O183))&amp;" "&amp;YEAR(O183),IF(H183="MONTH",INDEX(nLIST_Months,MONTH(O183))&amp;" "&amp;YEAR(O183)&amp;" ("&amp;DAY(O183)&amp;" "&amp;INDEX(nLIST_Months,MONTH(O183))&amp;" "&amp;YEAR(O183)&amp;" to "&amp;DAY(P183)&amp;" "&amp;INDEX(nLIST_Months,MONTH(P183))&amp;" "&amp;YEAR(P183)&amp;")",IF(H183="YEAR",YEAR(O183)&amp;" (1 January to 31 December)",DAY(O183)&amp;" "&amp;INDEX(nLIST_Months,MONTH(O183))&amp;" "&amp;YEAR(O183)&amp;" to "&amp;DAY(P183)&amp;" "&amp;INDEX(nLIST_Months,MONTH(P183))&amp;" "&amp;YEAR(P183)))))))</f>
        <v/>
      </c>
      <c r="S183" s="20" t="str">
        <f>IF(B183="","",Exposures!$AU57&amp;"")</f>
        <v/>
      </c>
      <c r="T183" s="20" t="str">
        <f>IF(B183="","",Exposures!$BD57&amp;"")</f>
        <v/>
      </c>
      <c r="U183" s="20" t="str">
        <f>IF(B183="","","Exposures row "&amp;ROW(Exposures!$A57)&amp;", Restart")</f>
        <v/>
      </c>
      <c r="V183" s="20">
        <f>IF(A183="",0,COUNTIF(nTP_Key,A183))</f>
        <v>0</v>
      </c>
      <c r="W183" s="20">
        <f t="shared" si="22"/>
        <v>0</v>
      </c>
      <c r="X183" s="20">
        <f t="shared" si="23"/>
        <v>0</v>
      </c>
      <c r="Y183" s="20">
        <f t="shared" si="24"/>
        <v>0</v>
      </c>
      <c r="Z183" s="20">
        <f t="shared" si="25"/>
        <v>0</v>
      </c>
    </row>
    <row r="184" spans="1:26" x14ac:dyDescent="0.2">
      <c r="A184" s="20" t="str">
        <f t="shared" si="19"/>
        <v/>
      </c>
      <c r="B184" s="20" t="str">
        <f>IF(AND(Exposures!$D58&lt;&gt;"",COUNTA(Exposures!$AV58:$BC58)&gt;0),Exposures!$D58&amp;"/RESTART","")</f>
        <v/>
      </c>
      <c r="C184" s="20" t="str">
        <f t="shared" si="26"/>
        <v/>
      </c>
      <c r="D184" s="20" t="str">
        <f>IF(B184="","",Exposures!$A58&amp;"")</f>
        <v/>
      </c>
      <c r="E184" s="20" t="str">
        <f>IF(B184="","",Exposures!$B58&amp;"")</f>
        <v/>
      </c>
      <c r="F184" s="20" t="str">
        <f t="shared" si="20"/>
        <v/>
      </c>
      <c r="G184" s="20" t="str">
        <f>IF(B184="","",Exposures!$D58&amp;"")</f>
        <v/>
      </c>
      <c r="H184" s="20" t="str">
        <f>IF(B184="","",Exposures!$AV58&amp;"")</f>
        <v/>
      </c>
      <c r="I184" s="20" t="str">
        <f>IF(B184="","",Exposures!$AY58&amp;"")</f>
        <v/>
      </c>
      <c r="J184" s="20" t="str">
        <f>IF(B184="","",Exposures!$BE58&amp;"")</f>
        <v/>
      </c>
      <c r="K184" s="20">
        <f>IF(B184="",0,Exposures!$BF58)</f>
        <v>0</v>
      </c>
      <c r="L184" s="20">
        <f>IF(B184="",0,Exposures!$BG58)</f>
        <v>0</v>
      </c>
      <c r="M184" s="20" t="str">
        <f>IF(B184="","",Exposures!$BJ58)</f>
        <v/>
      </c>
      <c r="N184" s="20" t="str">
        <f>IF(B184="","",Exposures!$BK58)</f>
        <v/>
      </c>
      <c r="O184" s="27" t="str">
        <f>IF(B184="","",Exposures!$BH58)</f>
        <v/>
      </c>
      <c r="P184" s="27" t="str">
        <f>IF(B184="","",Exposures!$BI58)</f>
        <v/>
      </c>
      <c r="Q184" s="20" t="str">
        <f t="shared" si="21"/>
        <v/>
      </c>
      <c r="R184" s="20" t="str">
        <f>IF(A184="","",IF(J184&lt;&gt;"",J184,IF(H184="TIMESTAMP",DAY(INT(M184/1440))&amp;" "&amp;INDEX(nLIST_Months,MONTH(INT(M184/1440)))&amp;" "&amp;YEAR(INT(M184/1440))&amp;" "&amp;RIGHT("0"&amp;INT(MOD(M184,1440)/60),2)&amp;":"&amp;RIGHT("0"&amp;MOD(M184,60),2)&amp;IF(L184=1," (UTC"&amp;I184&amp;")"," (offset unknown)"),IF(H184="DATE",DAY(O184)&amp;" "&amp;INDEX(nLIST_Months,MONTH(O184))&amp;" "&amp;YEAR(O184),IF(H184="MONTH",INDEX(nLIST_Months,MONTH(O184))&amp;" "&amp;YEAR(O184)&amp;" ("&amp;DAY(O184)&amp;" "&amp;INDEX(nLIST_Months,MONTH(O184))&amp;" "&amp;YEAR(O184)&amp;" to "&amp;DAY(P184)&amp;" "&amp;INDEX(nLIST_Months,MONTH(P184))&amp;" "&amp;YEAR(P184)&amp;")",IF(H184="YEAR",YEAR(O184)&amp;" (1 January to 31 December)",DAY(O184)&amp;" "&amp;INDEX(nLIST_Months,MONTH(O184))&amp;" "&amp;YEAR(O184)&amp;" to "&amp;DAY(P184)&amp;" "&amp;INDEX(nLIST_Months,MONTH(P184))&amp;" "&amp;YEAR(P184)))))))</f>
        <v/>
      </c>
      <c r="S184" s="20" t="str">
        <f>IF(B184="","",Exposures!$AU58&amp;"")</f>
        <v/>
      </c>
      <c r="T184" s="20" t="str">
        <f>IF(B184="","",Exposures!$BD58&amp;"")</f>
        <v/>
      </c>
      <c r="U184" s="20" t="str">
        <f>IF(B184="","","Exposures row "&amp;ROW(Exposures!$A58)&amp;", Restart")</f>
        <v/>
      </c>
      <c r="V184" s="20">
        <f>IF(A184="",0,COUNTIF(nTP_Key,A184))</f>
        <v>0</v>
      </c>
      <c r="W184" s="20">
        <f t="shared" si="22"/>
        <v>0</v>
      </c>
      <c r="X184" s="20">
        <f t="shared" si="23"/>
        <v>0</v>
      </c>
      <c r="Y184" s="20">
        <f t="shared" si="24"/>
        <v>0</v>
      </c>
      <c r="Z184" s="20">
        <f t="shared" si="25"/>
        <v>0</v>
      </c>
    </row>
    <row r="185" spans="1:26" x14ac:dyDescent="0.2">
      <c r="A185" s="20" t="str">
        <f t="shared" si="19"/>
        <v/>
      </c>
      <c r="B185" s="20" t="str">
        <f>IF(AND(Exposures!$D59&lt;&gt;"",COUNTA(Exposures!$AV59:$BC59)&gt;0),Exposures!$D59&amp;"/RESTART","")</f>
        <v/>
      </c>
      <c r="C185" s="20" t="str">
        <f t="shared" si="26"/>
        <v/>
      </c>
      <c r="D185" s="20" t="str">
        <f>IF(B185="","",Exposures!$A59&amp;"")</f>
        <v/>
      </c>
      <c r="E185" s="20" t="str">
        <f>IF(B185="","",Exposures!$B59&amp;"")</f>
        <v/>
      </c>
      <c r="F185" s="20" t="str">
        <f t="shared" si="20"/>
        <v/>
      </c>
      <c r="G185" s="20" t="str">
        <f>IF(B185="","",Exposures!$D59&amp;"")</f>
        <v/>
      </c>
      <c r="H185" s="20" t="str">
        <f>IF(B185="","",Exposures!$AV59&amp;"")</f>
        <v/>
      </c>
      <c r="I185" s="20" t="str">
        <f>IF(B185="","",Exposures!$AY59&amp;"")</f>
        <v/>
      </c>
      <c r="J185" s="20" t="str">
        <f>IF(B185="","",Exposures!$BE59&amp;"")</f>
        <v/>
      </c>
      <c r="K185" s="20">
        <f>IF(B185="",0,Exposures!$BF59)</f>
        <v>0</v>
      </c>
      <c r="L185" s="20">
        <f>IF(B185="",0,Exposures!$BG59)</f>
        <v>0</v>
      </c>
      <c r="M185" s="20" t="str">
        <f>IF(B185="","",Exposures!$BJ59)</f>
        <v/>
      </c>
      <c r="N185" s="20" t="str">
        <f>IF(B185="","",Exposures!$BK59)</f>
        <v/>
      </c>
      <c r="O185" s="27" t="str">
        <f>IF(B185="","",Exposures!$BH59)</f>
        <v/>
      </c>
      <c r="P185" s="27" t="str">
        <f>IF(B185="","",Exposures!$BI59)</f>
        <v/>
      </c>
      <c r="Q185" s="20" t="str">
        <f t="shared" si="21"/>
        <v/>
      </c>
      <c r="R185" s="20" t="str">
        <f>IF(A185="","",IF(J185&lt;&gt;"",J185,IF(H185="TIMESTAMP",DAY(INT(M185/1440))&amp;" "&amp;INDEX(nLIST_Months,MONTH(INT(M185/1440)))&amp;" "&amp;YEAR(INT(M185/1440))&amp;" "&amp;RIGHT("0"&amp;INT(MOD(M185,1440)/60),2)&amp;":"&amp;RIGHT("0"&amp;MOD(M185,60),2)&amp;IF(L185=1," (UTC"&amp;I185&amp;")"," (offset unknown)"),IF(H185="DATE",DAY(O185)&amp;" "&amp;INDEX(nLIST_Months,MONTH(O185))&amp;" "&amp;YEAR(O185),IF(H185="MONTH",INDEX(nLIST_Months,MONTH(O185))&amp;" "&amp;YEAR(O185)&amp;" ("&amp;DAY(O185)&amp;" "&amp;INDEX(nLIST_Months,MONTH(O185))&amp;" "&amp;YEAR(O185)&amp;" to "&amp;DAY(P185)&amp;" "&amp;INDEX(nLIST_Months,MONTH(P185))&amp;" "&amp;YEAR(P185)&amp;")",IF(H185="YEAR",YEAR(O185)&amp;" (1 January to 31 December)",DAY(O185)&amp;" "&amp;INDEX(nLIST_Months,MONTH(O185))&amp;" "&amp;YEAR(O185)&amp;" to "&amp;DAY(P185)&amp;" "&amp;INDEX(nLIST_Months,MONTH(P185))&amp;" "&amp;YEAR(P185)))))))</f>
        <v/>
      </c>
      <c r="S185" s="20" t="str">
        <f>IF(B185="","",Exposures!$AU59&amp;"")</f>
        <v/>
      </c>
      <c r="T185" s="20" t="str">
        <f>IF(B185="","",Exposures!$BD59&amp;"")</f>
        <v/>
      </c>
      <c r="U185" s="20" t="str">
        <f>IF(B185="","","Exposures row "&amp;ROW(Exposures!$A59)&amp;", Restart")</f>
        <v/>
      </c>
      <c r="V185" s="20">
        <f>IF(A185="",0,COUNTIF(nTP_Key,A185))</f>
        <v>0</v>
      </c>
      <c r="W185" s="20">
        <f t="shared" si="22"/>
        <v>0</v>
      </c>
      <c r="X185" s="20">
        <f t="shared" si="23"/>
        <v>0</v>
      </c>
      <c r="Y185" s="20">
        <f t="shared" si="24"/>
        <v>0</v>
      </c>
      <c r="Z185" s="20">
        <f t="shared" si="25"/>
        <v>0</v>
      </c>
    </row>
    <row r="186" spans="1:26" x14ac:dyDescent="0.2">
      <c r="A186" s="20" t="str">
        <f t="shared" si="19"/>
        <v/>
      </c>
      <c r="B186" s="20" t="str">
        <f>IF(AND(Exposures!$D60&lt;&gt;"",COUNTA(Exposures!$AV60:$BC60)&gt;0),Exposures!$D60&amp;"/RESTART","")</f>
        <v/>
      </c>
      <c r="C186" s="20" t="str">
        <f t="shared" si="26"/>
        <v/>
      </c>
      <c r="D186" s="20" t="str">
        <f>IF(B186="","",Exposures!$A60&amp;"")</f>
        <v/>
      </c>
      <c r="E186" s="20" t="str">
        <f>IF(B186="","",Exposures!$B60&amp;"")</f>
        <v/>
      </c>
      <c r="F186" s="20" t="str">
        <f t="shared" si="20"/>
        <v/>
      </c>
      <c r="G186" s="20" t="str">
        <f>IF(B186="","",Exposures!$D60&amp;"")</f>
        <v/>
      </c>
      <c r="H186" s="20" t="str">
        <f>IF(B186="","",Exposures!$AV60&amp;"")</f>
        <v/>
      </c>
      <c r="I186" s="20" t="str">
        <f>IF(B186="","",Exposures!$AY60&amp;"")</f>
        <v/>
      </c>
      <c r="J186" s="20" t="str">
        <f>IF(B186="","",Exposures!$BE60&amp;"")</f>
        <v/>
      </c>
      <c r="K186" s="20">
        <f>IF(B186="",0,Exposures!$BF60)</f>
        <v>0</v>
      </c>
      <c r="L186" s="20">
        <f>IF(B186="",0,Exposures!$BG60)</f>
        <v>0</v>
      </c>
      <c r="M186" s="20" t="str">
        <f>IF(B186="","",Exposures!$BJ60)</f>
        <v/>
      </c>
      <c r="N186" s="20" t="str">
        <f>IF(B186="","",Exposures!$BK60)</f>
        <v/>
      </c>
      <c r="O186" s="27" t="str">
        <f>IF(B186="","",Exposures!$BH60)</f>
        <v/>
      </c>
      <c r="P186" s="27" t="str">
        <f>IF(B186="","",Exposures!$BI60)</f>
        <v/>
      </c>
      <c r="Q186" s="20" t="str">
        <f t="shared" si="21"/>
        <v/>
      </c>
      <c r="R186" s="20" t="str">
        <f>IF(A186="","",IF(J186&lt;&gt;"",J186,IF(H186="TIMESTAMP",DAY(INT(M186/1440))&amp;" "&amp;INDEX(nLIST_Months,MONTH(INT(M186/1440)))&amp;" "&amp;YEAR(INT(M186/1440))&amp;" "&amp;RIGHT("0"&amp;INT(MOD(M186,1440)/60),2)&amp;":"&amp;RIGHT("0"&amp;MOD(M186,60),2)&amp;IF(L186=1," (UTC"&amp;I186&amp;")"," (offset unknown)"),IF(H186="DATE",DAY(O186)&amp;" "&amp;INDEX(nLIST_Months,MONTH(O186))&amp;" "&amp;YEAR(O186),IF(H186="MONTH",INDEX(nLIST_Months,MONTH(O186))&amp;" "&amp;YEAR(O186)&amp;" ("&amp;DAY(O186)&amp;" "&amp;INDEX(nLIST_Months,MONTH(O186))&amp;" "&amp;YEAR(O186)&amp;" to "&amp;DAY(P186)&amp;" "&amp;INDEX(nLIST_Months,MONTH(P186))&amp;" "&amp;YEAR(P186)&amp;")",IF(H186="YEAR",YEAR(O186)&amp;" (1 January to 31 December)",DAY(O186)&amp;" "&amp;INDEX(nLIST_Months,MONTH(O186))&amp;" "&amp;YEAR(O186)&amp;" to "&amp;DAY(P186)&amp;" "&amp;INDEX(nLIST_Months,MONTH(P186))&amp;" "&amp;YEAR(P186)))))))</f>
        <v/>
      </c>
      <c r="S186" s="20" t="str">
        <f>IF(B186="","",Exposures!$AU60&amp;"")</f>
        <v/>
      </c>
      <c r="T186" s="20" t="str">
        <f>IF(B186="","",Exposures!$BD60&amp;"")</f>
        <v/>
      </c>
      <c r="U186" s="20" t="str">
        <f>IF(B186="","","Exposures row "&amp;ROW(Exposures!$A60)&amp;", Restart")</f>
        <v/>
      </c>
      <c r="V186" s="20">
        <f>IF(A186="",0,COUNTIF(nTP_Key,A186))</f>
        <v>0</v>
      </c>
      <c r="W186" s="20">
        <f t="shared" si="22"/>
        <v>0</v>
      </c>
      <c r="X186" s="20">
        <f t="shared" si="23"/>
        <v>0</v>
      </c>
      <c r="Y186" s="20">
        <f t="shared" si="24"/>
        <v>0</v>
      </c>
      <c r="Z186" s="20">
        <f t="shared" si="25"/>
        <v>0</v>
      </c>
    </row>
    <row r="187" spans="1:26" x14ac:dyDescent="0.2">
      <c r="A187" s="20" t="str">
        <f t="shared" si="19"/>
        <v/>
      </c>
      <c r="B187" s="20" t="str">
        <f>IF(AND(Exposures!$D61&lt;&gt;"",COUNTA(Exposures!$AV61:$BC61)&gt;0),Exposures!$D61&amp;"/RESTART","")</f>
        <v/>
      </c>
      <c r="C187" s="20" t="str">
        <f t="shared" si="26"/>
        <v/>
      </c>
      <c r="D187" s="20" t="str">
        <f>IF(B187="","",Exposures!$A61&amp;"")</f>
        <v/>
      </c>
      <c r="E187" s="20" t="str">
        <f>IF(B187="","",Exposures!$B61&amp;"")</f>
        <v/>
      </c>
      <c r="F187" s="20" t="str">
        <f t="shared" si="20"/>
        <v/>
      </c>
      <c r="G187" s="20" t="str">
        <f>IF(B187="","",Exposures!$D61&amp;"")</f>
        <v/>
      </c>
      <c r="H187" s="20" t="str">
        <f>IF(B187="","",Exposures!$AV61&amp;"")</f>
        <v/>
      </c>
      <c r="I187" s="20" t="str">
        <f>IF(B187="","",Exposures!$AY61&amp;"")</f>
        <v/>
      </c>
      <c r="J187" s="20" t="str">
        <f>IF(B187="","",Exposures!$BE61&amp;"")</f>
        <v/>
      </c>
      <c r="K187" s="20">
        <f>IF(B187="",0,Exposures!$BF61)</f>
        <v>0</v>
      </c>
      <c r="L187" s="20">
        <f>IF(B187="",0,Exposures!$BG61)</f>
        <v>0</v>
      </c>
      <c r="M187" s="20" t="str">
        <f>IF(B187="","",Exposures!$BJ61)</f>
        <v/>
      </c>
      <c r="N187" s="20" t="str">
        <f>IF(B187="","",Exposures!$BK61)</f>
        <v/>
      </c>
      <c r="O187" s="27" t="str">
        <f>IF(B187="","",Exposures!$BH61)</f>
        <v/>
      </c>
      <c r="P187" s="27" t="str">
        <f>IF(B187="","",Exposures!$BI61)</f>
        <v/>
      </c>
      <c r="Q187" s="20" t="str">
        <f t="shared" si="21"/>
        <v/>
      </c>
      <c r="R187" s="20" t="str">
        <f>IF(A187="","",IF(J187&lt;&gt;"",J187,IF(H187="TIMESTAMP",DAY(INT(M187/1440))&amp;" "&amp;INDEX(nLIST_Months,MONTH(INT(M187/1440)))&amp;" "&amp;YEAR(INT(M187/1440))&amp;" "&amp;RIGHT("0"&amp;INT(MOD(M187,1440)/60),2)&amp;":"&amp;RIGHT("0"&amp;MOD(M187,60),2)&amp;IF(L187=1," (UTC"&amp;I187&amp;")"," (offset unknown)"),IF(H187="DATE",DAY(O187)&amp;" "&amp;INDEX(nLIST_Months,MONTH(O187))&amp;" "&amp;YEAR(O187),IF(H187="MONTH",INDEX(nLIST_Months,MONTH(O187))&amp;" "&amp;YEAR(O187)&amp;" ("&amp;DAY(O187)&amp;" "&amp;INDEX(nLIST_Months,MONTH(O187))&amp;" "&amp;YEAR(O187)&amp;" to "&amp;DAY(P187)&amp;" "&amp;INDEX(nLIST_Months,MONTH(P187))&amp;" "&amp;YEAR(P187)&amp;")",IF(H187="YEAR",YEAR(O187)&amp;" (1 January to 31 December)",DAY(O187)&amp;" "&amp;INDEX(nLIST_Months,MONTH(O187))&amp;" "&amp;YEAR(O187)&amp;" to "&amp;DAY(P187)&amp;" "&amp;INDEX(nLIST_Months,MONTH(P187))&amp;" "&amp;YEAR(P187)))))))</f>
        <v/>
      </c>
      <c r="S187" s="20" t="str">
        <f>IF(B187="","",Exposures!$AU61&amp;"")</f>
        <v/>
      </c>
      <c r="T187" s="20" t="str">
        <f>IF(B187="","",Exposures!$BD61&amp;"")</f>
        <v/>
      </c>
      <c r="U187" s="20" t="str">
        <f>IF(B187="","","Exposures row "&amp;ROW(Exposures!$A61)&amp;", Restart")</f>
        <v/>
      </c>
      <c r="V187" s="20">
        <f>IF(A187="",0,COUNTIF(nTP_Key,A187))</f>
        <v>0</v>
      </c>
      <c r="W187" s="20">
        <f t="shared" si="22"/>
        <v>0</v>
      </c>
      <c r="X187" s="20">
        <f t="shared" si="23"/>
        <v>0</v>
      </c>
      <c r="Y187" s="20">
        <f t="shared" si="24"/>
        <v>0</v>
      </c>
      <c r="Z187" s="20">
        <f t="shared" si="25"/>
        <v>0</v>
      </c>
    </row>
    <row r="188" spans="1:26" x14ac:dyDescent="0.2">
      <c r="A188" s="20" t="str">
        <f t="shared" si="19"/>
        <v/>
      </c>
      <c r="B188" s="20" t="str">
        <f>IF(AND(Exposures!$D62&lt;&gt;"",COUNTA(Exposures!$AV62:$BC62)&gt;0),Exposures!$D62&amp;"/RESTART","")</f>
        <v/>
      </c>
      <c r="C188" s="20" t="str">
        <f t="shared" si="26"/>
        <v/>
      </c>
      <c r="D188" s="20" t="str">
        <f>IF(B188="","",Exposures!$A62&amp;"")</f>
        <v/>
      </c>
      <c r="E188" s="20" t="str">
        <f>IF(B188="","",Exposures!$B62&amp;"")</f>
        <v/>
      </c>
      <c r="F188" s="20" t="str">
        <f t="shared" si="20"/>
        <v/>
      </c>
      <c r="G188" s="20" t="str">
        <f>IF(B188="","",Exposures!$D62&amp;"")</f>
        <v/>
      </c>
      <c r="H188" s="20" t="str">
        <f>IF(B188="","",Exposures!$AV62&amp;"")</f>
        <v/>
      </c>
      <c r="I188" s="20" t="str">
        <f>IF(B188="","",Exposures!$AY62&amp;"")</f>
        <v/>
      </c>
      <c r="J188" s="20" t="str">
        <f>IF(B188="","",Exposures!$BE62&amp;"")</f>
        <v/>
      </c>
      <c r="K188" s="20">
        <f>IF(B188="",0,Exposures!$BF62)</f>
        <v>0</v>
      </c>
      <c r="L188" s="20">
        <f>IF(B188="",0,Exposures!$BG62)</f>
        <v>0</v>
      </c>
      <c r="M188" s="20" t="str">
        <f>IF(B188="","",Exposures!$BJ62)</f>
        <v/>
      </c>
      <c r="N188" s="20" t="str">
        <f>IF(B188="","",Exposures!$BK62)</f>
        <v/>
      </c>
      <c r="O188" s="27" t="str">
        <f>IF(B188="","",Exposures!$BH62)</f>
        <v/>
      </c>
      <c r="P188" s="27" t="str">
        <f>IF(B188="","",Exposures!$BI62)</f>
        <v/>
      </c>
      <c r="Q188" s="20" t="str">
        <f t="shared" si="21"/>
        <v/>
      </c>
      <c r="R188" s="20" t="str">
        <f>IF(A188="","",IF(J188&lt;&gt;"",J188,IF(H188="TIMESTAMP",DAY(INT(M188/1440))&amp;" "&amp;INDEX(nLIST_Months,MONTH(INT(M188/1440)))&amp;" "&amp;YEAR(INT(M188/1440))&amp;" "&amp;RIGHT("0"&amp;INT(MOD(M188,1440)/60),2)&amp;":"&amp;RIGHT("0"&amp;MOD(M188,60),2)&amp;IF(L188=1," (UTC"&amp;I188&amp;")"," (offset unknown)"),IF(H188="DATE",DAY(O188)&amp;" "&amp;INDEX(nLIST_Months,MONTH(O188))&amp;" "&amp;YEAR(O188),IF(H188="MONTH",INDEX(nLIST_Months,MONTH(O188))&amp;" "&amp;YEAR(O188)&amp;" ("&amp;DAY(O188)&amp;" "&amp;INDEX(nLIST_Months,MONTH(O188))&amp;" "&amp;YEAR(O188)&amp;" to "&amp;DAY(P188)&amp;" "&amp;INDEX(nLIST_Months,MONTH(P188))&amp;" "&amp;YEAR(P188)&amp;")",IF(H188="YEAR",YEAR(O188)&amp;" (1 January to 31 December)",DAY(O188)&amp;" "&amp;INDEX(nLIST_Months,MONTH(O188))&amp;" "&amp;YEAR(O188)&amp;" to "&amp;DAY(P188)&amp;" "&amp;INDEX(nLIST_Months,MONTH(P188))&amp;" "&amp;YEAR(P188)))))))</f>
        <v/>
      </c>
      <c r="S188" s="20" t="str">
        <f>IF(B188="","",Exposures!$AU62&amp;"")</f>
        <v/>
      </c>
      <c r="T188" s="20" t="str">
        <f>IF(B188="","",Exposures!$BD62&amp;"")</f>
        <v/>
      </c>
      <c r="U188" s="20" t="str">
        <f>IF(B188="","","Exposures row "&amp;ROW(Exposures!$A62)&amp;", Restart")</f>
        <v/>
      </c>
      <c r="V188" s="20">
        <f>IF(A188="",0,COUNTIF(nTP_Key,A188))</f>
        <v>0</v>
      </c>
      <c r="W188" s="20">
        <f t="shared" si="22"/>
        <v>0</v>
      </c>
      <c r="X188" s="20">
        <f t="shared" si="23"/>
        <v>0</v>
      </c>
      <c r="Y188" s="20">
        <f t="shared" si="24"/>
        <v>0</v>
      </c>
      <c r="Z188" s="20">
        <f t="shared" si="25"/>
        <v>0</v>
      </c>
    </row>
    <row r="189" spans="1:26" x14ac:dyDescent="0.2">
      <c r="A189" s="20" t="str">
        <f t="shared" si="19"/>
        <v/>
      </c>
      <c r="B189" s="20" t="str">
        <f>IF(AND(Exposures!$D63&lt;&gt;"",COUNTA(Exposures!$AV63:$BC63)&gt;0),Exposures!$D63&amp;"/RESTART","")</f>
        <v/>
      </c>
      <c r="C189" s="20" t="str">
        <f t="shared" si="26"/>
        <v/>
      </c>
      <c r="D189" s="20" t="str">
        <f>IF(B189="","",Exposures!$A63&amp;"")</f>
        <v/>
      </c>
      <c r="E189" s="20" t="str">
        <f>IF(B189="","",Exposures!$B63&amp;"")</f>
        <v/>
      </c>
      <c r="F189" s="20" t="str">
        <f t="shared" si="20"/>
        <v/>
      </c>
      <c r="G189" s="20" t="str">
        <f>IF(B189="","",Exposures!$D63&amp;"")</f>
        <v/>
      </c>
      <c r="H189" s="20" t="str">
        <f>IF(B189="","",Exposures!$AV63&amp;"")</f>
        <v/>
      </c>
      <c r="I189" s="20" t="str">
        <f>IF(B189="","",Exposures!$AY63&amp;"")</f>
        <v/>
      </c>
      <c r="J189" s="20" t="str">
        <f>IF(B189="","",Exposures!$BE63&amp;"")</f>
        <v/>
      </c>
      <c r="K189" s="20">
        <f>IF(B189="",0,Exposures!$BF63)</f>
        <v>0</v>
      </c>
      <c r="L189" s="20">
        <f>IF(B189="",0,Exposures!$BG63)</f>
        <v>0</v>
      </c>
      <c r="M189" s="20" t="str">
        <f>IF(B189="","",Exposures!$BJ63)</f>
        <v/>
      </c>
      <c r="N189" s="20" t="str">
        <f>IF(B189="","",Exposures!$BK63)</f>
        <v/>
      </c>
      <c r="O189" s="27" t="str">
        <f>IF(B189="","",Exposures!$BH63)</f>
        <v/>
      </c>
      <c r="P189" s="27" t="str">
        <f>IF(B189="","",Exposures!$BI63)</f>
        <v/>
      </c>
      <c r="Q189" s="20" t="str">
        <f t="shared" si="21"/>
        <v/>
      </c>
      <c r="R189" s="20" t="str">
        <f>IF(A189="","",IF(J189&lt;&gt;"",J189,IF(H189="TIMESTAMP",DAY(INT(M189/1440))&amp;" "&amp;INDEX(nLIST_Months,MONTH(INT(M189/1440)))&amp;" "&amp;YEAR(INT(M189/1440))&amp;" "&amp;RIGHT("0"&amp;INT(MOD(M189,1440)/60),2)&amp;":"&amp;RIGHT("0"&amp;MOD(M189,60),2)&amp;IF(L189=1," (UTC"&amp;I189&amp;")"," (offset unknown)"),IF(H189="DATE",DAY(O189)&amp;" "&amp;INDEX(nLIST_Months,MONTH(O189))&amp;" "&amp;YEAR(O189),IF(H189="MONTH",INDEX(nLIST_Months,MONTH(O189))&amp;" "&amp;YEAR(O189)&amp;" ("&amp;DAY(O189)&amp;" "&amp;INDEX(nLIST_Months,MONTH(O189))&amp;" "&amp;YEAR(O189)&amp;" to "&amp;DAY(P189)&amp;" "&amp;INDEX(nLIST_Months,MONTH(P189))&amp;" "&amp;YEAR(P189)&amp;")",IF(H189="YEAR",YEAR(O189)&amp;" (1 January to 31 December)",DAY(O189)&amp;" "&amp;INDEX(nLIST_Months,MONTH(O189))&amp;" "&amp;YEAR(O189)&amp;" to "&amp;DAY(P189)&amp;" "&amp;INDEX(nLIST_Months,MONTH(P189))&amp;" "&amp;YEAR(P189)))))))</f>
        <v/>
      </c>
      <c r="S189" s="20" t="str">
        <f>IF(B189="","",Exposures!$AU63&amp;"")</f>
        <v/>
      </c>
      <c r="T189" s="20" t="str">
        <f>IF(B189="","",Exposures!$BD63&amp;"")</f>
        <v/>
      </c>
      <c r="U189" s="20" t="str">
        <f>IF(B189="","","Exposures row "&amp;ROW(Exposures!$A63)&amp;", Restart")</f>
        <v/>
      </c>
      <c r="V189" s="20">
        <f>IF(A189="",0,COUNTIF(nTP_Key,A189))</f>
        <v>0</v>
      </c>
      <c r="W189" s="20">
        <f t="shared" si="22"/>
        <v>0</v>
      </c>
      <c r="X189" s="20">
        <f t="shared" si="23"/>
        <v>0</v>
      </c>
      <c r="Y189" s="20">
        <f t="shared" si="24"/>
        <v>0</v>
      </c>
      <c r="Z189" s="20">
        <f t="shared" si="25"/>
        <v>0</v>
      </c>
    </row>
    <row r="190" spans="1:26" x14ac:dyDescent="0.2">
      <c r="A190" s="20" t="str">
        <f t="shared" si="19"/>
        <v/>
      </c>
      <c r="B190" s="20" t="str">
        <f>IF(AND(Exposures!$D64&lt;&gt;"",COUNTA(Exposures!$AV64:$BC64)&gt;0),Exposures!$D64&amp;"/RESTART","")</f>
        <v/>
      </c>
      <c r="C190" s="20" t="str">
        <f t="shared" si="26"/>
        <v/>
      </c>
      <c r="D190" s="20" t="str">
        <f>IF(B190="","",Exposures!$A64&amp;"")</f>
        <v/>
      </c>
      <c r="E190" s="20" t="str">
        <f>IF(B190="","",Exposures!$B64&amp;"")</f>
        <v/>
      </c>
      <c r="F190" s="20" t="str">
        <f t="shared" si="20"/>
        <v/>
      </c>
      <c r="G190" s="20" t="str">
        <f>IF(B190="","",Exposures!$D64&amp;"")</f>
        <v/>
      </c>
      <c r="H190" s="20" t="str">
        <f>IF(B190="","",Exposures!$AV64&amp;"")</f>
        <v/>
      </c>
      <c r="I190" s="20" t="str">
        <f>IF(B190="","",Exposures!$AY64&amp;"")</f>
        <v/>
      </c>
      <c r="J190" s="20" t="str">
        <f>IF(B190="","",Exposures!$BE64&amp;"")</f>
        <v/>
      </c>
      <c r="K190" s="20">
        <f>IF(B190="",0,Exposures!$BF64)</f>
        <v>0</v>
      </c>
      <c r="L190" s="20">
        <f>IF(B190="",0,Exposures!$BG64)</f>
        <v>0</v>
      </c>
      <c r="M190" s="20" t="str">
        <f>IF(B190="","",Exposures!$BJ64)</f>
        <v/>
      </c>
      <c r="N190" s="20" t="str">
        <f>IF(B190="","",Exposures!$BK64)</f>
        <v/>
      </c>
      <c r="O190" s="27" t="str">
        <f>IF(B190="","",Exposures!$BH64)</f>
        <v/>
      </c>
      <c r="P190" s="27" t="str">
        <f>IF(B190="","",Exposures!$BI64)</f>
        <v/>
      </c>
      <c r="Q190" s="20" t="str">
        <f t="shared" si="21"/>
        <v/>
      </c>
      <c r="R190" s="20" t="str">
        <f>IF(A190="","",IF(J190&lt;&gt;"",J190,IF(H190="TIMESTAMP",DAY(INT(M190/1440))&amp;" "&amp;INDEX(nLIST_Months,MONTH(INT(M190/1440)))&amp;" "&amp;YEAR(INT(M190/1440))&amp;" "&amp;RIGHT("0"&amp;INT(MOD(M190,1440)/60),2)&amp;":"&amp;RIGHT("0"&amp;MOD(M190,60),2)&amp;IF(L190=1," (UTC"&amp;I190&amp;")"," (offset unknown)"),IF(H190="DATE",DAY(O190)&amp;" "&amp;INDEX(nLIST_Months,MONTH(O190))&amp;" "&amp;YEAR(O190),IF(H190="MONTH",INDEX(nLIST_Months,MONTH(O190))&amp;" "&amp;YEAR(O190)&amp;" ("&amp;DAY(O190)&amp;" "&amp;INDEX(nLIST_Months,MONTH(O190))&amp;" "&amp;YEAR(O190)&amp;" to "&amp;DAY(P190)&amp;" "&amp;INDEX(nLIST_Months,MONTH(P190))&amp;" "&amp;YEAR(P190)&amp;")",IF(H190="YEAR",YEAR(O190)&amp;" (1 January to 31 December)",DAY(O190)&amp;" "&amp;INDEX(nLIST_Months,MONTH(O190))&amp;" "&amp;YEAR(O190)&amp;" to "&amp;DAY(P190)&amp;" "&amp;INDEX(nLIST_Months,MONTH(P190))&amp;" "&amp;YEAR(P190)))))))</f>
        <v/>
      </c>
      <c r="S190" s="20" t="str">
        <f>IF(B190="","",Exposures!$AU64&amp;"")</f>
        <v/>
      </c>
      <c r="T190" s="20" t="str">
        <f>IF(B190="","",Exposures!$BD64&amp;"")</f>
        <v/>
      </c>
      <c r="U190" s="20" t="str">
        <f>IF(B190="","","Exposures row "&amp;ROW(Exposures!$A64)&amp;", Restart")</f>
        <v/>
      </c>
      <c r="V190" s="20">
        <f>IF(A190="",0,COUNTIF(nTP_Key,A190))</f>
        <v>0</v>
      </c>
      <c r="W190" s="20">
        <f t="shared" si="22"/>
        <v>0</v>
      </c>
      <c r="X190" s="20">
        <f t="shared" si="23"/>
        <v>0</v>
      </c>
      <c r="Y190" s="20">
        <f t="shared" si="24"/>
        <v>0</v>
      </c>
      <c r="Z190" s="20">
        <f t="shared" si="25"/>
        <v>0</v>
      </c>
    </row>
    <row r="191" spans="1:26" x14ac:dyDescent="0.2">
      <c r="A191" s="20" t="str">
        <f t="shared" si="19"/>
        <v/>
      </c>
      <c r="B191" s="20" t="str">
        <f>IF(AND(Exposures!$D65&lt;&gt;"",COUNTA(Exposures!$AV65:$BC65)&gt;0),Exposures!$D65&amp;"/RESTART","")</f>
        <v/>
      </c>
      <c r="C191" s="20" t="str">
        <f t="shared" si="26"/>
        <v/>
      </c>
      <c r="D191" s="20" t="str">
        <f>IF(B191="","",Exposures!$A65&amp;"")</f>
        <v/>
      </c>
      <c r="E191" s="20" t="str">
        <f>IF(B191="","",Exposures!$B65&amp;"")</f>
        <v/>
      </c>
      <c r="F191" s="20" t="str">
        <f t="shared" si="20"/>
        <v/>
      </c>
      <c r="G191" s="20" t="str">
        <f>IF(B191="","",Exposures!$D65&amp;"")</f>
        <v/>
      </c>
      <c r="H191" s="20" t="str">
        <f>IF(B191="","",Exposures!$AV65&amp;"")</f>
        <v/>
      </c>
      <c r="I191" s="20" t="str">
        <f>IF(B191="","",Exposures!$AY65&amp;"")</f>
        <v/>
      </c>
      <c r="J191" s="20" t="str">
        <f>IF(B191="","",Exposures!$BE65&amp;"")</f>
        <v/>
      </c>
      <c r="K191" s="20">
        <f>IF(B191="",0,Exposures!$BF65)</f>
        <v>0</v>
      </c>
      <c r="L191" s="20">
        <f>IF(B191="",0,Exposures!$BG65)</f>
        <v>0</v>
      </c>
      <c r="M191" s="20" t="str">
        <f>IF(B191="","",Exposures!$BJ65)</f>
        <v/>
      </c>
      <c r="N191" s="20" t="str">
        <f>IF(B191="","",Exposures!$BK65)</f>
        <v/>
      </c>
      <c r="O191" s="27" t="str">
        <f>IF(B191="","",Exposures!$BH65)</f>
        <v/>
      </c>
      <c r="P191" s="27" t="str">
        <f>IF(B191="","",Exposures!$BI65)</f>
        <v/>
      </c>
      <c r="Q191" s="20" t="str">
        <f t="shared" si="21"/>
        <v/>
      </c>
      <c r="R191" s="20" t="str">
        <f>IF(A191="","",IF(J191&lt;&gt;"",J191,IF(H191="TIMESTAMP",DAY(INT(M191/1440))&amp;" "&amp;INDEX(nLIST_Months,MONTH(INT(M191/1440)))&amp;" "&amp;YEAR(INT(M191/1440))&amp;" "&amp;RIGHT("0"&amp;INT(MOD(M191,1440)/60),2)&amp;":"&amp;RIGHT("0"&amp;MOD(M191,60),2)&amp;IF(L191=1," (UTC"&amp;I191&amp;")"," (offset unknown)"),IF(H191="DATE",DAY(O191)&amp;" "&amp;INDEX(nLIST_Months,MONTH(O191))&amp;" "&amp;YEAR(O191),IF(H191="MONTH",INDEX(nLIST_Months,MONTH(O191))&amp;" "&amp;YEAR(O191)&amp;" ("&amp;DAY(O191)&amp;" "&amp;INDEX(nLIST_Months,MONTH(O191))&amp;" "&amp;YEAR(O191)&amp;" to "&amp;DAY(P191)&amp;" "&amp;INDEX(nLIST_Months,MONTH(P191))&amp;" "&amp;YEAR(P191)&amp;")",IF(H191="YEAR",YEAR(O191)&amp;" (1 January to 31 December)",DAY(O191)&amp;" "&amp;INDEX(nLIST_Months,MONTH(O191))&amp;" "&amp;YEAR(O191)&amp;" to "&amp;DAY(P191)&amp;" "&amp;INDEX(nLIST_Months,MONTH(P191))&amp;" "&amp;YEAR(P191)))))))</f>
        <v/>
      </c>
      <c r="S191" s="20" t="str">
        <f>IF(B191="","",Exposures!$AU65&amp;"")</f>
        <v/>
      </c>
      <c r="T191" s="20" t="str">
        <f>IF(B191="","",Exposures!$BD65&amp;"")</f>
        <v/>
      </c>
      <c r="U191" s="20" t="str">
        <f>IF(B191="","","Exposures row "&amp;ROW(Exposures!$A65)&amp;", Restart")</f>
        <v/>
      </c>
      <c r="V191" s="20">
        <f>IF(A191="",0,COUNTIF(nTP_Key,A191))</f>
        <v>0</v>
      </c>
      <c r="W191" s="20">
        <f t="shared" si="22"/>
        <v>0</v>
      </c>
      <c r="X191" s="20">
        <f t="shared" si="23"/>
        <v>0</v>
      </c>
      <c r="Y191" s="20">
        <f t="shared" si="24"/>
        <v>0</v>
      </c>
      <c r="Z191" s="20">
        <f t="shared" si="25"/>
        <v>0</v>
      </c>
    </row>
    <row r="192" spans="1:26" x14ac:dyDescent="0.2">
      <c r="A192" s="20" t="str">
        <f t="shared" si="19"/>
        <v/>
      </c>
      <c r="B192" s="20" t="str">
        <f>IF(AND(Exposures!$D66&lt;&gt;"",COUNTA(Exposures!$AV66:$BC66)&gt;0),Exposures!$D66&amp;"/RESTART","")</f>
        <v/>
      </c>
      <c r="C192" s="20" t="str">
        <f t="shared" si="26"/>
        <v/>
      </c>
      <c r="D192" s="20" t="str">
        <f>IF(B192="","",Exposures!$A66&amp;"")</f>
        <v/>
      </c>
      <c r="E192" s="20" t="str">
        <f>IF(B192="","",Exposures!$B66&amp;"")</f>
        <v/>
      </c>
      <c r="F192" s="20" t="str">
        <f t="shared" si="20"/>
        <v/>
      </c>
      <c r="G192" s="20" t="str">
        <f>IF(B192="","",Exposures!$D66&amp;"")</f>
        <v/>
      </c>
      <c r="H192" s="20" t="str">
        <f>IF(B192="","",Exposures!$AV66&amp;"")</f>
        <v/>
      </c>
      <c r="I192" s="20" t="str">
        <f>IF(B192="","",Exposures!$AY66&amp;"")</f>
        <v/>
      </c>
      <c r="J192" s="20" t="str">
        <f>IF(B192="","",Exposures!$BE66&amp;"")</f>
        <v/>
      </c>
      <c r="K192" s="20">
        <f>IF(B192="",0,Exposures!$BF66)</f>
        <v>0</v>
      </c>
      <c r="L192" s="20">
        <f>IF(B192="",0,Exposures!$BG66)</f>
        <v>0</v>
      </c>
      <c r="M192" s="20" t="str">
        <f>IF(B192="","",Exposures!$BJ66)</f>
        <v/>
      </c>
      <c r="N192" s="20" t="str">
        <f>IF(B192="","",Exposures!$BK66)</f>
        <v/>
      </c>
      <c r="O192" s="27" t="str">
        <f>IF(B192="","",Exposures!$BH66)</f>
        <v/>
      </c>
      <c r="P192" s="27" t="str">
        <f>IF(B192="","",Exposures!$BI66)</f>
        <v/>
      </c>
      <c r="Q192" s="20" t="str">
        <f t="shared" si="21"/>
        <v/>
      </c>
      <c r="R192" s="20" t="str">
        <f>IF(A192="","",IF(J192&lt;&gt;"",J192,IF(H192="TIMESTAMP",DAY(INT(M192/1440))&amp;" "&amp;INDEX(nLIST_Months,MONTH(INT(M192/1440)))&amp;" "&amp;YEAR(INT(M192/1440))&amp;" "&amp;RIGHT("0"&amp;INT(MOD(M192,1440)/60),2)&amp;":"&amp;RIGHT("0"&amp;MOD(M192,60),2)&amp;IF(L192=1," (UTC"&amp;I192&amp;")"," (offset unknown)"),IF(H192="DATE",DAY(O192)&amp;" "&amp;INDEX(nLIST_Months,MONTH(O192))&amp;" "&amp;YEAR(O192),IF(H192="MONTH",INDEX(nLIST_Months,MONTH(O192))&amp;" "&amp;YEAR(O192)&amp;" ("&amp;DAY(O192)&amp;" "&amp;INDEX(nLIST_Months,MONTH(O192))&amp;" "&amp;YEAR(O192)&amp;" to "&amp;DAY(P192)&amp;" "&amp;INDEX(nLIST_Months,MONTH(P192))&amp;" "&amp;YEAR(P192)&amp;")",IF(H192="YEAR",YEAR(O192)&amp;" (1 January to 31 December)",DAY(O192)&amp;" "&amp;INDEX(nLIST_Months,MONTH(O192))&amp;" "&amp;YEAR(O192)&amp;" to "&amp;DAY(P192)&amp;" "&amp;INDEX(nLIST_Months,MONTH(P192))&amp;" "&amp;YEAR(P192)))))))</f>
        <v/>
      </c>
      <c r="S192" s="20" t="str">
        <f>IF(B192="","",Exposures!$AU66&amp;"")</f>
        <v/>
      </c>
      <c r="T192" s="20" t="str">
        <f>IF(B192="","",Exposures!$BD66&amp;"")</f>
        <v/>
      </c>
      <c r="U192" s="20" t="str">
        <f>IF(B192="","","Exposures row "&amp;ROW(Exposures!$A66)&amp;", Restart")</f>
        <v/>
      </c>
      <c r="V192" s="20">
        <f>IF(A192="",0,COUNTIF(nTP_Key,A192))</f>
        <v>0</v>
      </c>
      <c r="W192" s="20">
        <f t="shared" si="22"/>
        <v>0</v>
      </c>
      <c r="X192" s="20">
        <f t="shared" si="23"/>
        <v>0</v>
      </c>
      <c r="Y192" s="20">
        <f t="shared" si="24"/>
        <v>0</v>
      </c>
      <c r="Z192" s="20">
        <f t="shared" si="25"/>
        <v>0</v>
      </c>
    </row>
    <row r="193" spans="1:26" x14ac:dyDescent="0.2">
      <c r="A193" s="20" t="str">
        <f t="shared" si="19"/>
        <v/>
      </c>
      <c r="B193" s="20" t="str">
        <f>IF(AND(Exposures!$D67&lt;&gt;"",COUNTA(Exposures!$AV67:$BC67)&gt;0),Exposures!$D67&amp;"/RESTART","")</f>
        <v/>
      </c>
      <c r="C193" s="20" t="str">
        <f t="shared" si="26"/>
        <v/>
      </c>
      <c r="D193" s="20" t="str">
        <f>IF(B193="","",Exposures!$A67&amp;"")</f>
        <v/>
      </c>
      <c r="E193" s="20" t="str">
        <f>IF(B193="","",Exposures!$B67&amp;"")</f>
        <v/>
      </c>
      <c r="F193" s="20" t="str">
        <f t="shared" si="20"/>
        <v/>
      </c>
      <c r="G193" s="20" t="str">
        <f>IF(B193="","",Exposures!$D67&amp;"")</f>
        <v/>
      </c>
      <c r="H193" s="20" t="str">
        <f>IF(B193="","",Exposures!$AV67&amp;"")</f>
        <v/>
      </c>
      <c r="I193" s="20" t="str">
        <f>IF(B193="","",Exposures!$AY67&amp;"")</f>
        <v/>
      </c>
      <c r="J193" s="20" t="str">
        <f>IF(B193="","",Exposures!$BE67&amp;"")</f>
        <v/>
      </c>
      <c r="K193" s="20">
        <f>IF(B193="",0,Exposures!$BF67)</f>
        <v>0</v>
      </c>
      <c r="L193" s="20">
        <f>IF(B193="",0,Exposures!$BG67)</f>
        <v>0</v>
      </c>
      <c r="M193" s="20" t="str">
        <f>IF(B193="","",Exposures!$BJ67)</f>
        <v/>
      </c>
      <c r="N193" s="20" t="str">
        <f>IF(B193="","",Exposures!$BK67)</f>
        <v/>
      </c>
      <c r="O193" s="27" t="str">
        <f>IF(B193="","",Exposures!$BH67)</f>
        <v/>
      </c>
      <c r="P193" s="27" t="str">
        <f>IF(B193="","",Exposures!$BI67)</f>
        <v/>
      </c>
      <c r="Q193" s="20" t="str">
        <f t="shared" si="21"/>
        <v/>
      </c>
      <c r="R193" s="20" t="str">
        <f>IF(A193="","",IF(J193&lt;&gt;"",J193,IF(H193="TIMESTAMP",DAY(INT(M193/1440))&amp;" "&amp;INDEX(nLIST_Months,MONTH(INT(M193/1440)))&amp;" "&amp;YEAR(INT(M193/1440))&amp;" "&amp;RIGHT("0"&amp;INT(MOD(M193,1440)/60),2)&amp;":"&amp;RIGHT("0"&amp;MOD(M193,60),2)&amp;IF(L193=1," (UTC"&amp;I193&amp;")"," (offset unknown)"),IF(H193="DATE",DAY(O193)&amp;" "&amp;INDEX(nLIST_Months,MONTH(O193))&amp;" "&amp;YEAR(O193),IF(H193="MONTH",INDEX(nLIST_Months,MONTH(O193))&amp;" "&amp;YEAR(O193)&amp;" ("&amp;DAY(O193)&amp;" "&amp;INDEX(nLIST_Months,MONTH(O193))&amp;" "&amp;YEAR(O193)&amp;" to "&amp;DAY(P193)&amp;" "&amp;INDEX(nLIST_Months,MONTH(P193))&amp;" "&amp;YEAR(P193)&amp;")",IF(H193="YEAR",YEAR(O193)&amp;" (1 January to 31 December)",DAY(O193)&amp;" "&amp;INDEX(nLIST_Months,MONTH(O193))&amp;" "&amp;YEAR(O193)&amp;" to "&amp;DAY(P193)&amp;" "&amp;INDEX(nLIST_Months,MONTH(P193))&amp;" "&amp;YEAR(P193)))))))</f>
        <v/>
      </c>
      <c r="S193" s="20" t="str">
        <f>IF(B193="","",Exposures!$AU67&amp;"")</f>
        <v/>
      </c>
      <c r="T193" s="20" t="str">
        <f>IF(B193="","",Exposures!$BD67&amp;"")</f>
        <v/>
      </c>
      <c r="U193" s="20" t="str">
        <f>IF(B193="","","Exposures row "&amp;ROW(Exposures!$A67)&amp;", Restart")</f>
        <v/>
      </c>
      <c r="V193" s="20">
        <f>IF(A193="",0,COUNTIF(nTP_Key,A193))</f>
        <v>0</v>
      </c>
      <c r="W193" s="20">
        <f t="shared" si="22"/>
        <v>0</v>
      </c>
      <c r="X193" s="20">
        <f t="shared" si="23"/>
        <v>0</v>
      </c>
      <c r="Y193" s="20">
        <f t="shared" si="24"/>
        <v>0</v>
      </c>
      <c r="Z193" s="20">
        <f t="shared" si="25"/>
        <v>0</v>
      </c>
    </row>
    <row r="194" spans="1:26" x14ac:dyDescent="0.2">
      <c r="A194" s="20" t="str">
        <f t="shared" si="19"/>
        <v/>
      </c>
      <c r="B194" s="20" t="str">
        <f>IF(AND(Administrations!$C5&lt;&gt;"",COUNTA(Administrations!$N5:$U5)&gt;0),Administrations!$C5&amp;"","")</f>
        <v/>
      </c>
      <c r="C194" s="20" t="str">
        <f t="shared" ref="C194:C225" si="27">IF(B194="","","ADMINISTRATION")</f>
        <v/>
      </c>
      <c r="D194" s="20" t="str">
        <f>IF(B194="","",Administrations!$A5&amp;"")</f>
        <v/>
      </c>
      <c r="E194" s="20" t="str">
        <f>IF(B194="","",Administrations!$B5&amp;"")</f>
        <v/>
      </c>
      <c r="F194" s="20" t="str">
        <f t="shared" si="20"/>
        <v/>
      </c>
      <c r="G194" s="20" t="str">
        <f>IF(B194="","",Administrations!$D5&amp;"")</f>
        <v/>
      </c>
      <c r="H194" s="20" t="str">
        <f>IF(B194="","",Administrations!$N5&amp;"")</f>
        <v/>
      </c>
      <c r="I194" s="20" t="str">
        <f>IF(B194="","",Administrations!$Q5&amp;"")</f>
        <v/>
      </c>
      <c r="J194" s="20" t="str">
        <f>IF(B194="","",Administrations!$W5&amp;"")</f>
        <v/>
      </c>
      <c r="K194" s="20">
        <f>IF(B194="",0,Administrations!$X5)</f>
        <v>0</v>
      </c>
      <c r="L194" s="20">
        <f>IF(B194="",0,Administrations!$Y5)</f>
        <v>0</v>
      </c>
      <c r="M194" s="20" t="str">
        <f>IF(B194="","",Administrations!$AB5)</f>
        <v/>
      </c>
      <c r="N194" s="20" t="str">
        <f>IF(B194="","",Administrations!$AC5)</f>
        <v/>
      </c>
      <c r="O194" s="27" t="str">
        <f>IF(B194="","",Administrations!$Z5)</f>
        <v/>
      </c>
      <c r="P194" s="27" t="str">
        <f>IF(B194="","",Administrations!$AA5)</f>
        <v/>
      </c>
      <c r="Q194" s="20" t="str">
        <f t="shared" si="21"/>
        <v/>
      </c>
      <c r="R194" s="20" t="str">
        <f>IF(A194="","",IF(J194&lt;&gt;"",J194,IF(H194="TIMESTAMP",DAY(INT(M194/1440))&amp;" "&amp;INDEX(nLIST_Months,MONTH(INT(M194/1440)))&amp;" "&amp;YEAR(INT(M194/1440))&amp;" "&amp;RIGHT("0"&amp;INT(MOD(M194,1440)/60),2)&amp;":"&amp;RIGHT("0"&amp;MOD(M194,60),2)&amp;IF(L194=1," (UTC"&amp;I194&amp;")"," (offset unknown)"),IF(H194="DATE",DAY(O194)&amp;" "&amp;INDEX(nLIST_Months,MONTH(O194))&amp;" "&amp;YEAR(O194),IF(H194="MONTH",INDEX(nLIST_Months,MONTH(O194))&amp;" "&amp;YEAR(O194)&amp;" ("&amp;DAY(O194)&amp;" "&amp;INDEX(nLIST_Months,MONTH(O194))&amp;" "&amp;YEAR(O194)&amp;" to "&amp;DAY(P194)&amp;" "&amp;INDEX(nLIST_Months,MONTH(P194))&amp;" "&amp;YEAR(P194)&amp;")",IF(H194="YEAR",YEAR(O194)&amp;" (1 January to 31 December)",DAY(O194)&amp;" "&amp;INDEX(nLIST_Months,MONTH(O194))&amp;" "&amp;YEAR(O194)&amp;" to "&amp;DAY(P194)&amp;" "&amp;INDEX(nLIST_Months,MONTH(P194))&amp;" "&amp;YEAR(P194)))))))</f>
        <v/>
      </c>
      <c r="S194" s="20" t="str">
        <f>IF(B194="","",Administrations!$M5&amp;"")</f>
        <v/>
      </c>
      <c r="T194" s="20" t="str">
        <f>IF(B194="","",Administrations!$V5&amp;"")</f>
        <v/>
      </c>
      <c r="U194" s="20" t="str">
        <f>IF(B194="","","Administrations row "&amp;ROW(Administrations!$A5)&amp;", Administration")</f>
        <v/>
      </c>
      <c r="V194" s="20">
        <f>IF(A194="",0,COUNTIF(nTP_Key,A194))</f>
        <v>0</v>
      </c>
      <c r="W194" s="20">
        <f t="shared" si="22"/>
        <v>0</v>
      </c>
      <c r="X194" s="20">
        <f t="shared" si="23"/>
        <v>0</v>
      </c>
      <c r="Y194" s="20">
        <f t="shared" si="24"/>
        <v>0</v>
      </c>
      <c r="Z194" s="20">
        <f t="shared" si="25"/>
        <v>0</v>
      </c>
    </row>
    <row r="195" spans="1:26" x14ac:dyDescent="0.2">
      <c r="A195" s="20" t="str">
        <f t="shared" si="19"/>
        <v/>
      </c>
      <c r="B195" s="20" t="str">
        <f>IF(AND(Administrations!$C6&lt;&gt;"",COUNTA(Administrations!$N6:$U6)&gt;0),Administrations!$C6&amp;"","")</f>
        <v/>
      </c>
      <c r="C195" s="20" t="str">
        <f t="shared" si="27"/>
        <v/>
      </c>
      <c r="D195" s="20" t="str">
        <f>IF(B195="","",Administrations!$A6&amp;"")</f>
        <v/>
      </c>
      <c r="E195" s="20" t="str">
        <f>IF(B195="","",Administrations!$B6&amp;"")</f>
        <v/>
      </c>
      <c r="F195" s="20" t="str">
        <f t="shared" si="20"/>
        <v/>
      </c>
      <c r="G195" s="20" t="str">
        <f>IF(B195="","",Administrations!$D6&amp;"")</f>
        <v/>
      </c>
      <c r="H195" s="20" t="str">
        <f>IF(B195="","",Administrations!$N6&amp;"")</f>
        <v/>
      </c>
      <c r="I195" s="20" t="str">
        <f>IF(B195="","",Administrations!$Q6&amp;"")</f>
        <v/>
      </c>
      <c r="J195" s="20" t="str">
        <f>IF(B195="","",Administrations!$W6&amp;"")</f>
        <v/>
      </c>
      <c r="K195" s="20">
        <f>IF(B195="",0,Administrations!$X6)</f>
        <v>0</v>
      </c>
      <c r="L195" s="20">
        <f>IF(B195="",0,Administrations!$Y6)</f>
        <v>0</v>
      </c>
      <c r="M195" s="20" t="str">
        <f>IF(B195="","",Administrations!$AB6)</f>
        <v/>
      </c>
      <c r="N195" s="20" t="str">
        <f>IF(B195="","",Administrations!$AC6)</f>
        <v/>
      </c>
      <c r="O195" s="27" t="str">
        <f>IF(B195="","",Administrations!$Z6)</f>
        <v/>
      </c>
      <c r="P195" s="27" t="str">
        <f>IF(B195="","",Administrations!$AA6)</f>
        <v/>
      </c>
      <c r="Q195" s="20" t="str">
        <f t="shared" si="21"/>
        <v/>
      </c>
      <c r="R195" s="20" t="str">
        <f>IF(A195="","",IF(J195&lt;&gt;"",J195,IF(H195="TIMESTAMP",DAY(INT(M195/1440))&amp;" "&amp;INDEX(nLIST_Months,MONTH(INT(M195/1440)))&amp;" "&amp;YEAR(INT(M195/1440))&amp;" "&amp;RIGHT("0"&amp;INT(MOD(M195,1440)/60),2)&amp;":"&amp;RIGHT("0"&amp;MOD(M195,60),2)&amp;IF(L195=1," (UTC"&amp;I195&amp;")"," (offset unknown)"),IF(H195="DATE",DAY(O195)&amp;" "&amp;INDEX(nLIST_Months,MONTH(O195))&amp;" "&amp;YEAR(O195),IF(H195="MONTH",INDEX(nLIST_Months,MONTH(O195))&amp;" "&amp;YEAR(O195)&amp;" ("&amp;DAY(O195)&amp;" "&amp;INDEX(nLIST_Months,MONTH(O195))&amp;" "&amp;YEAR(O195)&amp;" to "&amp;DAY(P195)&amp;" "&amp;INDEX(nLIST_Months,MONTH(P195))&amp;" "&amp;YEAR(P195)&amp;")",IF(H195="YEAR",YEAR(O195)&amp;" (1 January to 31 December)",DAY(O195)&amp;" "&amp;INDEX(nLIST_Months,MONTH(O195))&amp;" "&amp;YEAR(O195)&amp;" to "&amp;DAY(P195)&amp;" "&amp;INDEX(nLIST_Months,MONTH(P195))&amp;" "&amp;YEAR(P195)))))))</f>
        <v/>
      </c>
      <c r="S195" s="20" t="str">
        <f>IF(B195="","",Administrations!$M6&amp;"")</f>
        <v/>
      </c>
      <c r="T195" s="20" t="str">
        <f>IF(B195="","",Administrations!$V6&amp;"")</f>
        <v/>
      </c>
      <c r="U195" s="20" t="str">
        <f>IF(B195="","","Administrations row "&amp;ROW(Administrations!$A6)&amp;", Administration")</f>
        <v/>
      </c>
      <c r="V195" s="20">
        <f>IF(A195="",0,COUNTIF(nTP_Key,A195))</f>
        <v>0</v>
      </c>
      <c r="W195" s="20">
        <f t="shared" si="22"/>
        <v>0</v>
      </c>
      <c r="X195" s="20">
        <f t="shared" si="23"/>
        <v>0</v>
      </c>
      <c r="Y195" s="20">
        <f t="shared" si="24"/>
        <v>0</v>
      </c>
      <c r="Z195" s="20">
        <f t="shared" si="25"/>
        <v>0</v>
      </c>
    </row>
    <row r="196" spans="1:26" x14ac:dyDescent="0.2">
      <c r="A196" s="20" t="str">
        <f t="shared" si="19"/>
        <v/>
      </c>
      <c r="B196" s="20" t="str">
        <f>IF(AND(Administrations!$C7&lt;&gt;"",COUNTA(Administrations!$N7:$U7)&gt;0),Administrations!$C7&amp;"","")</f>
        <v/>
      </c>
      <c r="C196" s="20" t="str">
        <f t="shared" si="27"/>
        <v/>
      </c>
      <c r="D196" s="20" t="str">
        <f>IF(B196="","",Administrations!$A7&amp;"")</f>
        <v/>
      </c>
      <c r="E196" s="20" t="str">
        <f>IF(B196="","",Administrations!$B7&amp;"")</f>
        <v/>
      </c>
      <c r="F196" s="20" t="str">
        <f t="shared" si="20"/>
        <v/>
      </c>
      <c r="G196" s="20" t="str">
        <f>IF(B196="","",Administrations!$D7&amp;"")</f>
        <v/>
      </c>
      <c r="H196" s="20" t="str">
        <f>IF(B196="","",Administrations!$N7&amp;"")</f>
        <v/>
      </c>
      <c r="I196" s="20" t="str">
        <f>IF(B196="","",Administrations!$Q7&amp;"")</f>
        <v/>
      </c>
      <c r="J196" s="20" t="str">
        <f>IF(B196="","",Administrations!$W7&amp;"")</f>
        <v/>
      </c>
      <c r="K196" s="20">
        <f>IF(B196="",0,Administrations!$X7)</f>
        <v>0</v>
      </c>
      <c r="L196" s="20">
        <f>IF(B196="",0,Administrations!$Y7)</f>
        <v>0</v>
      </c>
      <c r="M196" s="20" t="str">
        <f>IF(B196="","",Administrations!$AB7)</f>
        <v/>
      </c>
      <c r="N196" s="20" t="str">
        <f>IF(B196="","",Administrations!$AC7)</f>
        <v/>
      </c>
      <c r="O196" s="27" t="str">
        <f>IF(B196="","",Administrations!$Z7)</f>
        <v/>
      </c>
      <c r="P196" s="27" t="str">
        <f>IF(B196="","",Administrations!$AA7)</f>
        <v/>
      </c>
      <c r="Q196" s="20" t="str">
        <f t="shared" si="21"/>
        <v/>
      </c>
      <c r="R196" s="20" t="str">
        <f>IF(A196="","",IF(J196&lt;&gt;"",J196,IF(H196="TIMESTAMP",DAY(INT(M196/1440))&amp;" "&amp;INDEX(nLIST_Months,MONTH(INT(M196/1440)))&amp;" "&amp;YEAR(INT(M196/1440))&amp;" "&amp;RIGHT("0"&amp;INT(MOD(M196,1440)/60),2)&amp;":"&amp;RIGHT("0"&amp;MOD(M196,60),2)&amp;IF(L196=1," (UTC"&amp;I196&amp;")"," (offset unknown)"),IF(H196="DATE",DAY(O196)&amp;" "&amp;INDEX(nLIST_Months,MONTH(O196))&amp;" "&amp;YEAR(O196),IF(H196="MONTH",INDEX(nLIST_Months,MONTH(O196))&amp;" "&amp;YEAR(O196)&amp;" ("&amp;DAY(O196)&amp;" "&amp;INDEX(nLIST_Months,MONTH(O196))&amp;" "&amp;YEAR(O196)&amp;" to "&amp;DAY(P196)&amp;" "&amp;INDEX(nLIST_Months,MONTH(P196))&amp;" "&amp;YEAR(P196)&amp;")",IF(H196="YEAR",YEAR(O196)&amp;" (1 January to 31 December)",DAY(O196)&amp;" "&amp;INDEX(nLIST_Months,MONTH(O196))&amp;" "&amp;YEAR(O196)&amp;" to "&amp;DAY(P196)&amp;" "&amp;INDEX(nLIST_Months,MONTH(P196))&amp;" "&amp;YEAR(P196)))))))</f>
        <v/>
      </c>
      <c r="S196" s="20" t="str">
        <f>IF(B196="","",Administrations!$M7&amp;"")</f>
        <v/>
      </c>
      <c r="T196" s="20" t="str">
        <f>IF(B196="","",Administrations!$V7&amp;"")</f>
        <v/>
      </c>
      <c r="U196" s="20" t="str">
        <f>IF(B196="","","Administrations row "&amp;ROW(Administrations!$A7)&amp;", Administration")</f>
        <v/>
      </c>
      <c r="V196" s="20">
        <f>IF(A196="",0,COUNTIF(nTP_Key,A196))</f>
        <v>0</v>
      </c>
      <c r="W196" s="20">
        <f t="shared" si="22"/>
        <v>0</v>
      </c>
      <c r="X196" s="20">
        <f t="shared" si="23"/>
        <v>0</v>
      </c>
      <c r="Y196" s="20">
        <f t="shared" si="24"/>
        <v>0</v>
      </c>
      <c r="Z196" s="20">
        <f t="shared" si="25"/>
        <v>0</v>
      </c>
    </row>
    <row r="197" spans="1:26" x14ac:dyDescent="0.2">
      <c r="A197" s="20" t="str">
        <f t="shared" ref="A197:A260" si="28">IF(B197="","",F197&amp;"|"&amp;B197)</f>
        <v/>
      </c>
      <c r="B197" s="20" t="str">
        <f>IF(AND(Administrations!$C8&lt;&gt;"",COUNTA(Administrations!$N8:$U8)&gt;0),Administrations!$C8&amp;"","")</f>
        <v/>
      </c>
      <c r="C197" s="20" t="str">
        <f t="shared" si="27"/>
        <v/>
      </c>
      <c r="D197" s="20" t="str">
        <f>IF(B197="","",Administrations!$A8&amp;"")</f>
        <v/>
      </c>
      <c r="E197" s="20" t="str">
        <f>IF(B197="","",Administrations!$B8&amp;"")</f>
        <v/>
      </c>
      <c r="F197" s="20" t="str">
        <f t="shared" ref="F197:F260" si="29">IF(B197="","",D197&amp;"|"&amp;E197)</f>
        <v/>
      </c>
      <c r="G197" s="20" t="str">
        <f>IF(B197="","",Administrations!$D8&amp;"")</f>
        <v/>
      </c>
      <c r="H197" s="20" t="str">
        <f>IF(B197="","",Administrations!$N8&amp;"")</f>
        <v/>
      </c>
      <c r="I197" s="20" t="str">
        <f>IF(B197="","",Administrations!$Q8&amp;"")</f>
        <v/>
      </c>
      <c r="J197" s="20" t="str">
        <f>IF(B197="","",Administrations!$W8&amp;"")</f>
        <v/>
      </c>
      <c r="K197" s="20">
        <f>IF(B197="",0,Administrations!$X8)</f>
        <v>0</v>
      </c>
      <c r="L197" s="20">
        <f>IF(B197="",0,Administrations!$Y8)</f>
        <v>0</v>
      </c>
      <c r="M197" s="20" t="str">
        <f>IF(B197="","",Administrations!$AB8)</f>
        <v/>
      </c>
      <c r="N197" s="20" t="str">
        <f>IF(B197="","",Administrations!$AC8)</f>
        <v/>
      </c>
      <c r="O197" s="27" t="str">
        <f>IF(B197="","",Administrations!$Z8)</f>
        <v/>
      </c>
      <c r="P197" s="27" t="str">
        <f>IF(B197="","",Administrations!$AA8)</f>
        <v/>
      </c>
      <c r="Q197" s="20" t="str">
        <f t="shared" ref="Q197:Q260" si="30">IF(OR(A197="",J197&lt;&gt;""),"",IF(H197="TIMESTAMP",YEAR(INT(M197/1440))&amp;"-"&amp;RIGHT("0"&amp;MONTH(INT(M197/1440)),2)&amp;"-"&amp;RIGHT("0"&amp;DAY(INT(M197/1440)),2)&amp;"T"&amp;RIGHT("0"&amp;INT(MOD(M197,1440)/60),2)&amp;":"&amp;RIGHT("0"&amp;MOD(M197,60),2)&amp;IF(L197=1,I197,""),IF(H197="DATE",YEAR(O197)&amp;"-"&amp;RIGHT("0"&amp;MONTH(O197),2)&amp;"-"&amp;RIGHT("0"&amp;DAY(O197),2),IF(H197="MONTH",YEAR(O197)&amp;"-"&amp;RIGHT("0"&amp;MONTH(O197),2),IF(H197="YEAR",YEAR(O197)&amp;"",YEAR(O197)&amp;"-"&amp;RIGHT("0"&amp;MONTH(O197),2)&amp;"-"&amp;RIGHT("0"&amp;DAY(O197),2)&amp;"/"&amp;YEAR(P197)&amp;"-"&amp;RIGHT("0"&amp;MONTH(P197),2)&amp;"-"&amp;RIGHT("0"&amp;DAY(P197),2))))))</f>
        <v/>
      </c>
      <c r="R197" s="20" t="str">
        <f>IF(A197="","",IF(J197&lt;&gt;"",J197,IF(H197="TIMESTAMP",DAY(INT(M197/1440))&amp;" "&amp;INDEX(nLIST_Months,MONTH(INT(M197/1440)))&amp;" "&amp;YEAR(INT(M197/1440))&amp;" "&amp;RIGHT("0"&amp;INT(MOD(M197,1440)/60),2)&amp;":"&amp;RIGHT("0"&amp;MOD(M197,60),2)&amp;IF(L197=1," (UTC"&amp;I197&amp;")"," (offset unknown)"),IF(H197="DATE",DAY(O197)&amp;" "&amp;INDEX(nLIST_Months,MONTH(O197))&amp;" "&amp;YEAR(O197),IF(H197="MONTH",INDEX(nLIST_Months,MONTH(O197))&amp;" "&amp;YEAR(O197)&amp;" ("&amp;DAY(O197)&amp;" "&amp;INDEX(nLIST_Months,MONTH(O197))&amp;" "&amp;YEAR(O197)&amp;" to "&amp;DAY(P197)&amp;" "&amp;INDEX(nLIST_Months,MONTH(P197))&amp;" "&amp;YEAR(P197)&amp;")",IF(H197="YEAR",YEAR(O197)&amp;" (1 January to 31 December)",DAY(O197)&amp;" "&amp;INDEX(nLIST_Months,MONTH(O197))&amp;" "&amp;YEAR(O197)&amp;" to "&amp;DAY(P197)&amp;" "&amp;INDEX(nLIST_Months,MONTH(P197))&amp;" "&amp;YEAR(P197)))))))</f>
        <v/>
      </c>
      <c r="S197" s="20" t="str">
        <f>IF(B197="","",Administrations!$M8&amp;"")</f>
        <v/>
      </c>
      <c r="T197" s="20" t="str">
        <f>IF(B197="","",Administrations!$V8&amp;"")</f>
        <v/>
      </c>
      <c r="U197" s="20" t="str">
        <f>IF(B197="","","Administrations row "&amp;ROW(Administrations!$A8)&amp;", Administration")</f>
        <v/>
      </c>
      <c r="V197" s="20">
        <f>IF(A197="",0,COUNTIF(nTP_Key,A197))</f>
        <v>0</v>
      </c>
      <c r="W197" s="20">
        <f t="shared" ref="W197:W260" si="31">IF(M197="",0,M197)</f>
        <v>0</v>
      </c>
      <c r="X197" s="20">
        <f t="shared" ref="X197:X260" si="32">IF(N197="",0,N197)</f>
        <v>0</v>
      </c>
      <c r="Y197" s="20">
        <f t="shared" ref="Y197:Y260" si="33">IF(O197="",0,O197)</f>
        <v>0</v>
      </c>
      <c r="Z197" s="20">
        <f t="shared" ref="Z197:Z260" si="34">IF(P197="",0,P197)</f>
        <v>0</v>
      </c>
    </row>
    <row r="198" spans="1:26" x14ac:dyDescent="0.2">
      <c r="A198" s="20" t="str">
        <f t="shared" si="28"/>
        <v/>
      </c>
      <c r="B198" s="20" t="str">
        <f>IF(AND(Administrations!$C9&lt;&gt;"",COUNTA(Administrations!$N9:$U9)&gt;0),Administrations!$C9&amp;"","")</f>
        <v/>
      </c>
      <c r="C198" s="20" t="str">
        <f t="shared" si="27"/>
        <v/>
      </c>
      <c r="D198" s="20" t="str">
        <f>IF(B198="","",Administrations!$A9&amp;"")</f>
        <v/>
      </c>
      <c r="E198" s="20" t="str">
        <f>IF(B198="","",Administrations!$B9&amp;"")</f>
        <v/>
      </c>
      <c r="F198" s="20" t="str">
        <f t="shared" si="29"/>
        <v/>
      </c>
      <c r="G198" s="20" t="str">
        <f>IF(B198="","",Administrations!$D9&amp;"")</f>
        <v/>
      </c>
      <c r="H198" s="20" t="str">
        <f>IF(B198="","",Administrations!$N9&amp;"")</f>
        <v/>
      </c>
      <c r="I198" s="20" t="str">
        <f>IF(B198="","",Administrations!$Q9&amp;"")</f>
        <v/>
      </c>
      <c r="J198" s="20" t="str">
        <f>IF(B198="","",Administrations!$W9&amp;"")</f>
        <v/>
      </c>
      <c r="K198" s="20">
        <f>IF(B198="",0,Administrations!$X9)</f>
        <v>0</v>
      </c>
      <c r="L198" s="20">
        <f>IF(B198="",0,Administrations!$Y9)</f>
        <v>0</v>
      </c>
      <c r="M198" s="20" t="str">
        <f>IF(B198="","",Administrations!$AB9)</f>
        <v/>
      </c>
      <c r="N198" s="20" t="str">
        <f>IF(B198="","",Administrations!$AC9)</f>
        <v/>
      </c>
      <c r="O198" s="27" t="str">
        <f>IF(B198="","",Administrations!$Z9)</f>
        <v/>
      </c>
      <c r="P198" s="27" t="str">
        <f>IF(B198="","",Administrations!$AA9)</f>
        <v/>
      </c>
      <c r="Q198" s="20" t="str">
        <f t="shared" si="30"/>
        <v/>
      </c>
      <c r="R198" s="20" t="str">
        <f>IF(A198="","",IF(J198&lt;&gt;"",J198,IF(H198="TIMESTAMP",DAY(INT(M198/1440))&amp;" "&amp;INDEX(nLIST_Months,MONTH(INT(M198/1440)))&amp;" "&amp;YEAR(INT(M198/1440))&amp;" "&amp;RIGHT("0"&amp;INT(MOD(M198,1440)/60),2)&amp;":"&amp;RIGHT("0"&amp;MOD(M198,60),2)&amp;IF(L198=1," (UTC"&amp;I198&amp;")"," (offset unknown)"),IF(H198="DATE",DAY(O198)&amp;" "&amp;INDEX(nLIST_Months,MONTH(O198))&amp;" "&amp;YEAR(O198),IF(H198="MONTH",INDEX(nLIST_Months,MONTH(O198))&amp;" "&amp;YEAR(O198)&amp;" ("&amp;DAY(O198)&amp;" "&amp;INDEX(nLIST_Months,MONTH(O198))&amp;" "&amp;YEAR(O198)&amp;" to "&amp;DAY(P198)&amp;" "&amp;INDEX(nLIST_Months,MONTH(P198))&amp;" "&amp;YEAR(P198)&amp;")",IF(H198="YEAR",YEAR(O198)&amp;" (1 January to 31 December)",DAY(O198)&amp;" "&amp;INDEX(nLIST_Months,MONTH(O198))&amp;" "&amp;YEAR(O198)&amp;" to "&amp;DAY(P198)&amp;" "&amp;INDEX(nLIST_Months,MONTH(P198))&amp;" "&amp;YEAR(P198)))))))</f>
        <v/>
      </c>
      <c r="S198" s="20" t="str">
        <f>IF(B198="","",Administrations!$M9&amp;"")</f>
        <v/>
      </c>
      <c r="T198" s="20" t="str">
        <f>IF(B198="","",Administrations!$V9&amp;"")</f>
        <v/>
      </c>
      <c r="U198" s="20" t="str">
        <f>IF(B198="","","Administrations row "&amp;ROW(Administrations!$A9)&amp;", Administration")</f>
        <v/>
      </c>
      <c r="V198" s="20">
        <f>IF(A198="",0,COUNTIF(nTP_Key,A198))</f>
        <v>0</v>
      </c>
      <c r="W198" s="20">
        <f t="shared" si="31"/>
        <v>0</v>
      </c>
      <c r="X198" s="20">
        <f t="shared" si="32"/>
        <v>0</v>
      </c>
      <c r="Y198" s="20">
        <f t="shared" si="33"/>
        <v>0</v>
      </c>
      <c r="Z198" s="20">
        <f t="shared" si="34"/>
        <v>0</v>
      </c>
    </row>
    <row r="199" spans="1:26" x14ac:dyDescent="0.2">
      <c r="A199" s="20" t="str">
        <f t="shared" si="28"/>
        <v/>
      </c>
      <c r="B199" s="20" t="str">
        <f>IF(AND(Administrations!$C10&lt;&gt;"",COUNTA(Administrations!$N10:$U10)&gt;0),Administrations!$C10&amp;"","")</f>
        <v/>
      </c>
      <c r="C199" s="20" t="str">
        <f t="shared" si="27"/>
        <v/>
      </c>
      <c r="D199" s="20" t="str">
        <f>IF(B199="","",Administrations!$A10&amp;"")</f>
        <v/>
      </c>
      <c r="E199" s="20" t="str">
        <f>IF(B199="","",Administrations!$B10&amp;"")</f>
        <v/>
      </c>
      <c r="F199" s="20" t="str">
        <f t="shared" si="29"/>
        <v/>
      </c>
      <c r="G199" s="20" t="str">
        <f>IF(B199="","",Administrations!$D10&amp;"")</f>
        <v/>
      </c>
      <c r="H199" s="20" t="str">
        <f>IF(B199="","",Administrations!$N10&amp;"")</f>
        <v/>
      </c>
      <c r="I199" s="20" t="str">
        <f>IF(B199="","",Administrations!$Q10&amp;"")</f>
        <v/>
      </c>
      <c r="J199" s="20" t="str">
        <f>IF(B199="","",Administrations!$W10&amp;"")</f>
        <v/>
      </c>
      <c r="K199" s="20">
        <f>IF(B199="",0,Administrations!$X10)</f>
        <v>0</v>
      </c>
      <c r="L199" s="20">
        <f>IF(B199="",0,Administrations!$Y10)</f>
        <v>0</v>
      </c>
      <c r="M199" s="20" t="str">
        <f>IF(B199="","",Administrations!$AB10)</f>
        <v/>
      </c>
      <c r="N199" s="20" t="str">
        <f>IF(B199="","",Administrations!$AC10)</f>
        <v/>
      </c>
      <c r="O199" s="27" t="str">
        <f>IF(B199="","",Administrations!$Z10)</f>
        <v/>
      </c>
      <c r="P199" s="27" t="str">
        <f>IF(B199="","",Administrations!$AA10)</f>
        <v/>
      </c>
      <c r="Q199" s="20" t="str">
        <f t="shared" si="30"/>
        <v/>
      </c>
      <c r="R199" s="20" t="str">
        <f>IF(A199="","",IF(J199&lt;&gt;"",J199,IF(H199="TIMESTAMP",DAY(INT(M199/1440))&amp;" "&amp;INDEX(nLIST_Months,MONTH(INT(M199/1440)))&amp;" "&amp;YEAR(INT(M199/1440))&amp;" "&amp;RIGHT("0"&amp;INT(MOD(M199,1440)/60),2)&amp;":"&amp;RIGHT("0"&amp;MOD(M199,60),2)&amp;IF(L199=1," (UTC"&amp;I199&amp;")"," (offset unknown)"),IF(H199="DATE",DAY(O199)&amp;" "&amp;INDEX(nLIST_Months,MONTH(O199))&amp;" "&amp;YEAR(O199),IF(H199="MONTH",INDEX(nLIST_Months,MONTH(O199))&amp;" "&amp;YEAR(O199)&amp;" ("&amp;DAY(O199)&amp;" "&amp;INDEX(nLIST_Months,MONTH(O199))&amp;" "&amp;YEAR(O199)&amp;" to "&amp;DAY(P199)&amp;" "&amp;INDEX(nLIST_Months,MONTH(P199))&amp;" "&amp;YEAR(P199)&amp;")",IF(H199="YEAR",YEAR(O199)&amp;" (1 January to 31 December)",DAY(O199)&amp;" "&amp;INDEX(nLIST_Months,MONTH(O199))&amp;" "&amp;YEAR(O199)&amp;" to "&amp;DAY(P199)&amp;" "&amp;INDEX(nLIST_Months,MONTH(P199))&amp;" "&amp;YEAR(P199)))))))</f>
        <v/>
      </c>
      <c r="S199" s="20" t="str">
        <f>IF(B199="","",Administrations!$M10&amp;"")</f>
        <v/>
      </c>
      <c r="T199" s="20" t="str">
        <f>IF(B199="","",Administrations!$V10&amp;"")</f>
        <v/>
      </c>
      <c r="U199" s="20" t="str">
        <f>IF(B199="","","Administrations row "&amp;ROW(Administrations!$A10)&amp;", Administration")</f>
        <v/>
      </c>
      <c r="V199" s="20">
        <f>IF(A199="",0,COUNTIF(nTP_Key,A199))</f>
        <v>0</v>
      </c>
      <c r="W199" s="20">
        <f t="shared" si="31"/>
        <v>0</v>
      </c>
      <c r="X199" s="20">
        <f t="shared" si="32"/>
        <v>0</v>
      </c>
      <c r="Y199" s="20">
        <f t="shared" si="33"/>
        <v>0</v>
      </c>
      <c r="Z199" s="20">
        <f t="shared" si="34"/>
        <v>0</v>
      </c>
    </row>
    <row r="200" spans="1:26" x14ac:dyDescent="0.2">
      <c r="A200" s="20" t="str">
        <f t="shared" si="28"/>
        <v/>
      </c>
      <c r="B200" s="20" t="str">
        <f>IF(AND(Administrations!$C11&lt;&gt;"",COUNTA(Administrations!$N11:$U11)&gt;0),Administrations!$C11&amp;"","")</f>
        <v/>
      </c>
      <c r="C200" s="20" t="str">
        <f t="shared" si="27"/>
        <v/>
      </c>
      <c r="D200" s="20" t="str">
        <f>IF(B200="","",Administrations!$A11&amp;"")</f>
        <v/>
      </c>
      <c r="E200" s="20" t="str">
        <f>IF(B200="","",Administrations!$B11&amp;"")</f>
        <v/>
      </c>
      <c r="F200" s="20" t="str">
        <f t="shared" si="29"/>
        <v/>
      </c>
      <c r="G200" s="20" t="str">
        <f>IF(B200="","",Administrations!$D11&amp;"")</f>
        <v/>
      </c>
      <c r="H200" s="20" t="str">
        <f>IF(B200="","",Administrations!$N11&amp;"")</f>
        <v/>
      </c>
      <c r="I200" s="20" t="str">
        <f>IF(B200="","",Administrations!$Q11&amp;"")</f>
        <v/>
      </c>
      <c r="J200" s="20" t="str">
        <f>IF(B200="","",Administrations!$W11&amp;"")</f>
        <v/>
      </c>
      <c r="K200" s="20">
        <f>IF(B200="",0,Administrations!$X11)</f>
        <v>0</v>
      </c>
      <c r="L200" s="20">
        <f>IF(B200="",0,Administrations!$Y11)</f>
        <v>0</v>
      </c>
      <c r="M200" s="20" t="str">
        <f>IF(B200="","",Administrations!$AB11)</f>
        <v/>
      </c>
      <c r="N200" s="20" t="str">
        <f>IF(B200="","",Administrations!$AC11)</f>
        <v/>
      </c>
      <c r="O200" s="27" t="str">
        <f>IF(B200="","",Administrations!$Z11)</f>
        <v/>
      </c>
      <c r="P200" s="27" t="str">
        <f>IF(B200="","",Administrations!$AA11)</f>
        <v/>
      </c>
      <c r="Q200" s="20" t="str">
        <f t="shared" si="30"/>
        <v/>
      </c>
      <c r="R200" s="20" t="str">
        <f>IF(A200="","",IF(J200&lt;&gt;"",J200,IF(H200="TIMESTAMP",DAY(INT(M200/1440))&amp;" "&amp;INDEX(nLIST_Months,MONTH(INT(M200/1440)))&amp;" "&amp;YEAR(INT(M200/1440))&amp;" "&amp;RIGHT("0"&amp;INT(MOD(M200,1440)/60),2)&amp;":"&amp;RIGHT("0"&amp;MOD(M200,60),2)&amp;IF(L200=1," (UTC"&amp;I200&amp;")"," (offset unknown)"),IF(H200="DATE",DAY(O200)&amp;" "&amp;INDEX(nLIST_Months,MONTH(O200))&amp;" "&amp;YEAR(O200),IF(H200="MONTH",INDEX(nLIST_Months,MONTH(O200))&amp;" "&amp;YEAR(O200)&amp;" ("&amp;DAY(O200)&amp;" "&amp;INDEX(nLIST_Months,MONTH(O200))&amp;" "&amp;YEAR(O200)&amp;" to "&amp;DAY(P200)&amp;" "&amp;INDEX(nLIST_Months,MONTH(P200))&amp;" "&amp;YEAR(P200)&amp;")",IF(H200="YEAR",YEAR(O200)&amp;" (1 January to 31 December)",DAY(O200)&amp;" "&amp;INDEX(nLIST_Months,MONTH(O200))&amp;" "&amp;YEAR(O200)&amp;" to "&amp;DAY(P200)&amp;" "&amp;INDEX(nLIST_Months,MONTH(P200))&amp;" "&amp;YEAR(P200)))))))</f>
        <v/>
      </c>
      <c r="S200" s="20" t="str">
        <f>IF(B200="","",Administrations!$M11&amp;"")</f>
        <v/>
      </c>
      <c r="T200" s="20" t="str">
        <f>IF(B200="","",Administrations!$V11&amp;"")</f>
        <v/>
      </c>
      <c r="U200" s="20" t="str">
        <f>IF(B200="","","Administrations row "&amp;ROW(Administrations!$A11)&amp;", Administration")</f>
        <v/>
      </c>
      <c r="V200" s="20">
        <f>IF(A200="",0,COUNTIF(nTP_Key,A200))</f>
        <v>0</v>
      </c>
      <c r="W200" s="20">
        <f t="shared" si="31"/>
        <v>0</v>
      </c>
      <c r="X200" s="20">
        <f t="shared" si="32"/>
        <v>0</v>
      </c>
      <c r="Y200" s="20">
        <f t="shared" si="33"/>
        <v>0</v>
      </c>
      <c r="Z200" s="20">
        <f t="shared" si="34"/>
        <v>0</v>
      </c>
    </row>
    <row r="201" spans="1:26" x14ac:dyDescent="0.2">
      <c r="A201" s="20" t="str">
        <f t="shared" si="28"/>
        <v/>
      </c>
      <c r="B201" s="20" t="str">
        <f>IF(AND(Administrations!$C12&lt;&gt;"",COUNTA(Administrations!$N12:$U12)&gt;0),Administrations!$C12&amp;"","")</f>
        <v/>
      </c>
      <c r="C201" s="20" t="str">
        <f t="shared" si="27"/>
        <v/>
      </c>
      <c r="D201" s="20" t="str">
        <f>IF(B201="","",Administrations!$A12&amp;"")</f>
        <v/>
      </c>
      <c r="E201" s="20" t="str">
        <f>IF(B201="","",Administrations!$B12&amp;"")</f>
        <v/>
      </c>
      <c r="F201" s="20" t="str">
        <f t="shared" si="29"/>
        <v/>
      </c>
      <c r="G201" s="20" t="str">
        <f>IF(B201="","",Administrations!$D12&amp;"")</f>
        <v/>
      </c>
      <c r="H201" s="20" t="str">
        <f>IF(B201="","",Administrations!$N12&amp;"")</f>
        <v/>
      </c>
      <c r="I201" s="20" t="str">
        <f>IF(B201="","",Administrations!$Q12&amp;"")</f>
        <v/>
      </c>
      <c r="J201" s="20" t="str">
        <f>IF(B201="","",Administrations!$W12&amp;"")</f>
        <v/>
      </c>
      <c r="K201" s="20">
        <f>IF(B201="",0,Administrations!$X12)</f>
        <v>0</v>
      </c>
      <c r="L201" s="20">
        <f>IF(B201="",0,Administrations!$Y12)</f>
        <v>0</v>
      </c>
      <c r="M201" s="20" t="str">
        <f>IF(B201="","",Administrations!$AB12)</f>
        <v/>
      </c>
      <c r="N201" s="20" t="str">
        <f>IF(B201="","",Administrations!$AC12)</f>
        <v/>
      </c>
      <c r="O201" s="27" t="str">
        <f>IF(B201="","",Administrations!$Z12)</f>
        <v/>
      </c>
      <c r="P201" s="27" t="str">
        <f>IF(B201="","",Administrations!$AA12)</f>
        <v/>
      </c>
      <c r="Q201" s="20" t="str">
        <f t="shared" si="30"/>
        <v/>
      </c>
      <c r="R201" s="20" t="str">
        <f>IF(A201="","",IF(J201&lt;&gt;"",J201,IF(H201="TIMESTAMP",DAY(INT(M201/1440))&amp;" "&amp;INDEX(nLIST_Months,MONTH(INT(M201/1440)))&amp;" "&amp;YEAR(INT(M201/1440))&amp;" "&amp;RIGHT("0"&amp;INT(MOD(M201,1440)/60),2)&amp;":"&amp;RIGHT("0"&amp;MOD(M201,60),2)&amp;IF(L201=1," (UTC"&amp;I201&amp;")"," (offset unknown)"),IF(H201="DATE",DAY(O201)&amp;" "&amp;INDEX(nLIST_Months,MONTH(O201))&amp;" "&amp;YEAR(O201),IF(H201="MONTH",INDEX(nLIST_Months,MONTH(O201))&amp;" "&amp;YEAR(O201)&amp;" ("&amp;DAY(O201)&amp;" "&amp;INDEX(nLIST_Months,MONTH(O201))&amp;" "&amp;YEAR(O201)&amp;" to "&amp;DAY(P201)&amp;" "&amp;INDEX(nLIST_Months,MONTH(P201))&amp;" "&amp;YEAR(P201)&amp;")",IF(H201="YEAR",YEAR(O201)&amp;" (1 January to 31 December)",DAY(O201)&amp;" "&amp;INDEX(nLIST_Months,MONTH(O201))&amp;" "&amp;YEAR(O201)&amp;" to "&amp;DAY(P201)&amp;" "&amp;INDEX(nLIST_Months,MONTH(P201))&amp;" "&amp;YEAR(P201)))))))</f>
        <v/>
      </c>
      <c r="S201" s="20" t="str">
        <f>IF(B201="","",Administrations!$M12&amp;"")</f>
        <v/>
      </c>
      <c r="T201" s="20" t="str">
        <f>IF(B201="","",Administrations!$V12&amp;"")</f>
        <v/>
      </c>
      <c r="U201" s="20" t="str">
        <f>IF(B201="","","Administrations row "&amp;ROW(Administrations!$A12)&amp;", Administration")</f>
        <v/>
      </c>
      <c r="V201" s="20">
        <f>IF(A201="",0,COUNTIF(nTP_Key,A201))</f>
        <v>0</v>
      </c>
      <c r="W201" s="20">
        <f t="shared" si="31"/>
        <v>0</v>
      </c>
      <c r="X201" s="20">
        <f t="shared" si="32"/>
        <v>0</v>
      </c>
      <c r="Y201" s="20">
        <f t="shared" si="33"/>
        <v>0</v>
      </c>
      <c r="Z201" s="20">
        <f t="shared" si="34"/>
        <v>0</v>
      </c>
    </row>
    <row r="202" spans="1:26" x14ac:dyDescent="0.2">
      <c r="A202" s="20" t="str">
        <f t="shared" si="28"/>
        <v/>
      </c>
      <c r="B202" s="20" t="str">
        <f>IF(AND(Administrations!$C13&lt;&gt;"",COUNTA(Administrations!$N13:$U13)&gt;0),Administrations!$C13&amp;"","")</f>
        <v/>
      </c>
      <c r="C202" s="20" t="str">
        <f t="shared" si="27"/>
        <v/>
      </c>
      <c r="D202" s="20" t="str">
        <f>IF(B202="","",Administrations!$A13&amp;"")</f>
        <v/>
      </c>
      <c r="E202" s="20" t="str">
        <f>IF(B202="","",Administrations!$B13&amp;"")</f>
        <v/>
      </c>
      <c r="F202" s="20" t="str">
        <f t="shared" si="29"/>
        <v/>
      </c>
      <c r="G202" s="20" t="str">
        <f>IF(B202="","",Administrations!$D13&amp;"")</f>
        <v/>
      </c>
      <c r="H202" s="20" t="str">
        <f>IF(B202="","",Administrations!$N13&amp;"")</f>
        <v/>
      </c>
      <c r="I202" s="20" t="str">
        <f>IF(B202="","",Administrations!$Q13&amp;"")</f>
        <v/>
      </c>
      <c r="J202" s="20" t="str">
        <f>IF(B202="","",Administrations!$W13&amp;"")</f>
        <v/>
      </c>
      <c r="K202" s="20">
        <f>IF(B202="",0,Administrations!$X13)</f>
        <v>0</v>
      </c>
      <c r="L202" s="20">
        <f>IF(B202="",0,Administrations!$Y13)</f>
        <v>0</v>
      </c>
      <c r="M202" s="20" t="str">
        <f>IF(B202="","",Administrations!$AB13)</f>
        <v/>
      </c>
      <c r="N202" s="20" t="str">
        <f>IF(B202="","",Administrations!$AC13)</f>
        <v/>
      </c>
      <c r="O202" s="27" t="str">
        <f>IF(B202="","",Administrations!$Z13)</f>
        <v/>
      </c>
      <c r="P202" s="27" t="str">
        <f>IF(B202="","",Administrations!$AA13)</f>
        <v/>
      </c>
      <c r="Q202" s="20" t="str">
        <f t="shared" si="30"/>
        <v/>
      </c>
      <c r="R202" s="20" t="str">
        <f>IF(A202="","",IF(J202&lt;&gt;"",J202,IF(H202="TIMESTAMP",DAY(INT(M202/1440))&amp;" "&amp;INDEX(nLIST_Months,MONTH(INT(M202/1440)))&amp;" "&amp;YEAR(INT(M202/1440))&amp;" "&amp;RIGHT("0"&amp;INT(MOD(M202,1440)/60),2)&amp;":"&amp;RIGHT("0"&amp;MOD(M202,60),2)&amp;IF(L202=1," (UTC"&amp;I202&amp;")"," (offset unknown)"),IF(H202="DATE",DAY(O202)&amp;" "&amp;INDEX(nLIST_Months,MONTH(O202))&amp;" "&amp;YEAR(O202),IF(H202="MONTH",INDEX(nLIST_Months,MONTH(O202))&amp;" "&amp;YEAR(O202)&amp;" ("&amp;DAY(O202)&amp;" "&amp;INDEX(nLIST_Months,MONTH(O202))&amp;" "&amp;YEAR(O202)&amp;" to "&amp;DAY(P202)&amp;" "&amp;INDEX(nLIST_Months,MONTH(P202))&amp;" "&amp;YEAR(P202)&amp;")",IF(H202="YEAR",YEAR(O202)&amp;" (1 January to 31 December)",DAY(O202)&amp;" "&amp;INDEX(nLIST_Months,MONTH(O202))&amp;" "&amp;YEAR(O202)&amp;" to "&amp;DAY(P202)&amp;" "&amp;INDEX(nLIST_Months,MONTH(P202))&amp;" "&amp;YEAR(P202)))))))</f>
        <v/>
      </c>
      <c r="S202" s="20" t="str">
        <f>IF(B202="","",Administrations!$M13&amp;"")</f>
        <v/>
      </c>
      <c r="T202" s="20" t="str">
        <f>IF(B202="","",Administrations!$V13&amp;"")</f>
        <v/>
      </c>
      <c r="U202" s="20" t="str">
        <f>IF(B202="","","Administrations row "&amp;ROW(Administrations!$A13)&amp;", Administration")</f>
        <v/>
      </c>
      <c r="V202" s="20">
        <f>IF(A202="",0,COUNTIF(nTP_Key,A202))</f>
        <v>0</v>
      </c>
      <c r="W202" s="20">
        <f t="shared" si="31"/>
        <v>0</v>
      </c>
      <c r="X202" s="20">
        <f t="shared" si="32"/>
        <v>0</v>
      </c>
      <c r="Y202" s="20">
        <f t="shared" si="33"/>
        <v>0</v>
      </c>
      <c r="Z202" s="20">
        <f t="shared" si="34"/>
        <v>0</v>
      </c>
    </row>
    <row r="203" spans="1:26" x14ac:dyDescent="0.2">
      <c r="A203" s="20" t="str">
        <f t="shared" si="28"/>
        <v/>
      </c>
      <c r="B203" s="20" t="str">
        <f>IF(AND(Administrations!$C14&lt;&gt;"",COUNTA(Administrations!$N14:$U14)&gt;0),Administrations!$C14&amp;"","")</f>
        <v/>
      </c>
      <c r="C203" s="20" t="str">
        <f t="shared" si="27"/>
        <v/>
      </c>
      <c r="D203" s="20" t="str">
        <f>IF(B203="","",Administrations!$A14&amp;"")</f>
        <v/>
      </c>
      <c r="E203" s="20" t="str">
        <f>IF(B203="","",Administrations!$B14&amp;"")</f>
        <v/>
      </c>
      <c r="F203" s="20" t="str">
        <f t="shared" si="29"/>
        <v/>
      </c>
      <c r="G203" s="20" t="str">
        <f>IF(B203="","",Administrations!$D14&amp;"")</f>
        <v/>
      </c>
      <c r="H203" s="20" t="str">
        <f>IF(B203="","",Administrations!$N14&amp;"")</f>
        <v/>
      </c>
      <c r="I203" s="20" t="str">
        <f>IF(B203="","",Administrations!$Q14&amp;"")</f>
        <v/>
      </c>
      <c r="J203" s="20" t="str">
        <f>IF(B203="","",Administrations!$W14&amp;"")</f>
        <v/>
      </c>
      <c r="K203" s="20">
        <f>IF(B203="",0,Administrations!$X14)</f>
        <v>0</v>
      </c>
      <c r="L203" s="20">
        <f>IF(B203="",0,Administrations!$Y14)</f>
        <v>0</v>
      </c>
      <c r="M203" s="20" t="str">
        <f>IF(B203="","",Administrations!$AB14)</f>
        <v/>
      </c>
      <c r="N203" s="20" t="str">
        <f>IF(B203="","",Administrations!$AC14)</f>
        <v/>
      </c>
      <c r="O203" s="27" t="str">
        <f>IF(B203="","",Administrations!$Z14)</f>
        <v/>
      </c>
      <c r="P203" s="27" t="str">
        <f>IF(B203="","",Administrations!$AA14)</f>
        <v/>
      </c>
      <c r="Q203" s="20" t="str">
        <f t="shared" si="30"/>
        <v/>
      </c>
      <c r="R203" s="20" t="str">
        <f>IF(A203="","",IF(J203&lt;&gt;"",J203,IF(H203="TIMESTAMP",DAY(INT(M203/1440))&amp;" "&amp;INDEX(nLIST_Months,MONTH(INT(M203/1440)))&amp;" "&amp;YEAR(INT(M203/1440))&amp;" "&amp;RIGHT("0"&amp;INT(MOD(M203,1440)/60),2)&amp;":"&amp;RIGHT("0"&amp;MOD(M203,60),2)&amp;IF(L203=1," (UTC"&amp;I203&amp;")"," (offset unknown)"),IF(H203="DATE",DAY(O203)&amp;" "&amp;INDEX(nLIST_Months,MONTH(O203))&amp;" "&amp;YEAR(O203),IF(H203="MONTH",INDEX(nLIST_Months,MONTH(O203))&amp;" "&amp;YEAR(O203)&amp;" ("&amp;DAY(O203)&amp;" "&amp;INDEX(nLIST_Months,MONTH(O203))&amp;" "&amp;YEAR(O203)&amp;" to "&amp;DAY(P203)&amp;" "&amp;INDEX(nLIST_Months,MONTH(P203))&amp;" "&amp;YEAR(P203)&amp;")",IF(H203="YEAR",YEAR(O203)&amp;" (1 January to 31 December)",DAY(O203)&amp;" "&amp;INDEX(nLIST_Months,MONTH(O203))&amp;" "&amp;YEAR(O203)&amp;" to "&amp;DAY(P203)&amp;" "&amp;INDEX(nLIST_Months,MONTH(P203))&amp;" "&amp;YEAR(P203)))))))</f>
        <v/>
      </c>
      <c r="S203" s="20" t="str">
        <f>IF(B203="","",Administrations!$M14&amp;"")</f>
        <v/>
      </c>
      <c r="T203" s="20" t="str">
        <f>IF(B203="","",Administrations!$V14&amp;"")</f>
        <v/>
      </c>
      <c r="U203" s="20" t="str">
        <f>IF(B203="","","Administrations row "&amp;ROW(Administrations!$A14)&amp;", Administration")</f>
        <v/>
      </c>
      <c r="V203" s="20">
        <f>IF(A203="",0,COUNTIF(nTP_Key,A203))</f>
        <v>0</v>
      </c>
      <c r="W203" s="20">
        <f t="shared" si="31"/>
        <v>0</v>
      </c>
      <c r="X203" s="20">
        <f t="shared" si="32"/>
        <v>0</v>
      </c>
      <c r="Y203" s="20">
        <f t="shared" si="33"/>
        <v>0</v>
      </c>
      <c r="Z203" s="20">
        <f t="shared" si="34"/>
        <v>0</v>
      </c>
    </row>
    <row r="204" spans="1:26" x14ac:dyDescent="0.2">
      <c r="A204" s="20" t="str">
        <f t="shared" si="28"/>
        <v/>
      </c>
      <c r="B204" s="20" t="str">
        <f>IF(AND(Administrations!$C15&lt;&gt;"",COUNTA(Administrations!$N15:$U15)&gt;0),Administrations!$C15&amp;"","")</f>
        <v/>
      </c>
      <c r="C204" s="20" t="str">
        <f t="shared" si="27"/>
        <v/>
      </c>
      <c r="D204" s="20" t="str">
        <f>IF(B204="","",Administrations!$A15&amp;"")</f>
        <v/>
      </c>
      <c r="E204" s="20" t="str">
        <f>IF(B204="","",Administrations!$B15&amp;"")</f>
        <v/>
      </c>
      <c r="F204" s="20" t="str">
        <f t="shared" si="29"/>
        <v/>
      </c>
      <c r="G204" s="20" t="str">
        <f>IF(B204="","",Administrations!$D15&amp;"")</f>
        <v/>
      </c>
      <c r="H204" s="20" t="str">
        <f>IF(B204="","",Administrations!$N15&amp;"")</f>
        <v/>
      </c>
      <c r="I204" s="20" t="str">
        <f>IF(B204="","",Administrations!$Q15&amp;"")</f>
        <v/>
      </c>
      <c r="J204" s="20" t="str">
        <f>IF(B204="","",Administrations!$W15&amp;"")</f>
        <v/>
      </c>
      <c r="K204" s="20">
        <f>IF(B204="",0,Administrations!$X15)</f>
        <v>0</v>
      </c>
      <c r="L204" s="20">
        <f>IF(B204="",0,Administrations!$Y15)</f>
        <v>0</v>
      </c>
      <c r="M204" s="20" t="str">
        <f>IF(B204="","",Administrations!$AB15)</f>
        <v/>
      </c>
      <c r="N204" s="20" t="str">
        <f>IF(B204="","",Administrations!$AC15)</f>
        <v/>
      </c>
      <c r="O204" s="27" t="str">
        <f>IF(B204="","",Administrations!$Z15)</f>
        <v/>
      </c>
      <c r="P204" s="27" t="str">
        <f>IF(B204="","",Administrations!$AA15)</f>
        <v/>
      </c>
      <c r="Q204" s="20" t="str">
        <f t="shared" si="30"/>
        <v/>
      </c>
      <c r="R204" s="20" t="str">
        <f>IF(A204="","",IF(J204&lt;&gt;"",J204,IF(H204="TIMESTAMP",DAY(INT(M204/1440))&amp;" "&amp;INDEX(nLIST_Months,MONTH(INT(M204/1440)))&amp;" "&amp;YEAR(INT(M204/1440))&amp;" "&amp;RIGHT("0"&amp;INT(MOD(M204,1440)/60),2)&amp;":"&amp;RIGHT("0"&amp;MOD(M204,60),2)&amp;IF(L204=1," (UTC"&amp;I204&amp;")"," (offset unknown)"),IF(H204="DATE",DAY(O204)&amp;" "&amp;INDEX(nLIST_Months,MONTH(O204))&amp;" "&amp;YEAR(O204),IF(H204="MONTH",INDEX(nLIST_Months,MONTH(O204))&amp;" "&amp;YEAR(O204)&amp;" ("&amp;DAY(O204)&amp;" "&amp;INDEX(nLIST_Months,MONTH(O204))&amp;" "&amp;YEAR(O204)&amp;" to "&amp;DAY(P204)&amp;" "&amp;INDEX(nLIST_Months,MONTH(P204))&amp;" "&amp;YEAR(P204)&amp;")",IF(H204="YEAR",YEAR(O204)&amp;" (1 January to 31 December)",DAY(O204)&amp;" "&amp;INDEX(nLIST_Months,MONTH(O204))&amp;" "&amp;YEAR(O204)&amp;" to "&amp;DAY(P204)&amp;" "&amp;INDEX(nLIST_Months,MONTH(P204))&amp;" "&amp;YEAR(P204)))))))</f>
        <v/>
      </c>
      <c r="S204" s="20" t="str">
        <f>IF(B204="","",Administrations!$M15&amp;"")</f>
        <v/>
      </c>
      <c r="T204" s="20" t="str">
        <f>IF(B204="","",Administrations!$V15&amp;"")</f>
        <v/>
      </c>
      <c r="U204" s="20" t="str">
        <f>IF(B204="","","Administrations row "&amp;ROW(Administrations!$A15)&amp;", Administration")</f>
        <v/>
      </c>
      <c r="V204" s="20">
        <f>IF(A204="",0,COUNTIF(nTP_Key,A204))</f>
        <v>0</v>
      </c>
      <c r="W204" s="20">
        <f t="shared" si="31"/>
        <v>0</v>
      </c>
      <c r="X204" s="20">
        <f t="shared" si="32"/>
        <v>0</v>
      </c>
      <c r="Y204" s="20">
        <f t="shared" si="33"/>
        <v>0</v>
      </c>
      <c r="Z204" s="20">
        <f t="shared" si="34"/>
        <v>0</v>
      </c>
    </row>
    <row r="205" spans="1:26" x14ac:dyDescent="0.2">
      <c r="A205" s="20" t="str">
        <f t="shared" si="28"/>
        <v/>
      </c>
      <c r="B205" s="20" t="str">
        <f>IF(AND(Administrations!$C16&lt;&gt;"",COUNTA(Administrations!$N16:$U16)&gt;0),Administrations!$C16&amp;"","")</f>
        <v/>
      </c>
      <c r="C205" s="20" t="str">
        <f t="shared" si="27"/>
        <v/>
      </c>
      <c r="D205" s="20" t="str">
        <f>IF(B205="","",Administrations!$A16&amp;"")</f>
        <v/>
      </c>
      <c r="E205" s="20" t="str">
        <f>IF(B205="","",Administrations!$B16&amp;"")</f>
        <v/>
      </c>
      <c r="F205" s="20" t="str">
        <f t="shared" si="29"/>
        <v/>
      </c>
      <c r="G205" s="20" t="str">
        <f>IF(B205="","",Administrations!$D16&amp;"")</f>
        <v/>
      </c>
      <c r="H205" s="20" t="str">
        <f>IF(B205="","",Administrations!$N16&amp;"")</f>
        <v/>
      </c>
      <c r="I205" s="20" t="str">
        <f>IF(B205="","",Administrations!$Q16&amp;"")</f>
        <v/>
      </c>
      <c r="J205" s="20" t="str">
        <f>IF(B205="","",Administrations!$W16&amp;"")</f>
        <v/>
      </c>
      <c r="K205" s="20">
        <f>IF(B205="",0,Administrations!$X16)</f>
        <v>0</v>
      </c>
      <c r="L205" s="20">
        <f>IF(B205="",0,Administrations!$Y16)</f>
        <v>0</v>
      </c>
      <c r="M205" s="20" t="str">
        <f>IF(B205="","",Administrations!$AB16)</f>
        <v/>
      </c>
      <c r="N205" s="20" t="str">
        <f>IF(B205="","",Administrations!$AC16)</f>
        <v/>
      </c>
      <c r="O205" s="27" t="str">
        <f>IF(B205="","",Administrations!$Z16)</f>
        <v/>
      </c>
      <c r="P205" s="27" t="str">
        <f>IF(B205="","",Administrations!$AA16)</f>
        <v/>
      </c>
      <c r="Q205" s="20" t="str">
        <f t="shared" si="30"/>
        <v/>
      </c>
      <c r="R205" s="20" t="str">
        <f>IF(A205="","",IF(J205&lt;&gt;"",J205,IF(H205="TIMESTAMP",DAY(INT(M205/1440))&amp;" "&amp;INDEX(nLIST_Months,MONTH(INT(M205/1440)))&amp;" "&amp;YEAR(INT(M205/1440))&amp;" "&amp;RIGHT("0"&amp;INT(MOD(M205,1440)/60),2)&amp;":"&amp;RIGHT("0"&amp;MOD(M205,60),2)&amp;IF(L205=1," (UTC"&amp;I205&amp;")"," (offset unknown)"),IF(H205="DATE",DAY(O205)&amp;" "&amp;INDEX(nLIST_Months,MONTH(O205))&amp;" "&amp;YEAR(O205),IF(H205="MONTH",INDEX(nLIST_Months,MONTH(O205))&amp;" "&amp;YEAR(O205)&amp;" ("&amp;DAY(O205)&amp;" "&amp;INDEX(nLIST_Months,MONTH(O205))&amp;" "&amp;YEAR(O205)&amp;" to "&amp;DAY(P205)&amp;" "&amp;INDEX(nLIST_Months,MONTH(P205))&amp;" "&amp;YEAR(P205)&amp;")",IF(H205="YEAR",YEAR(O205)&amp;" (1 January to 31 December)",DAY(O205)&amp;" "&amp;INDEX(nLIST_Months,MONTH(O205))&amp;" "&amp;YEAR(O205)&amp;" to "&amp;DAY(P205)&amp;" "&amp;INDEX(nLIST_Months,MONTH(P205))&amp;" "&amp;YEAR(P205)))))))</f>
        <v/>
      </c>
      <c r="S205" s="20" t="str">
        <f>IF(B205="","",Administrations!$M16&amp;"")</f>
        <v/>
      </c>
      <c r="T205" s="20" t="str">
        <f>IF(B205="","",Administrations!$V16&amp;"")</f>
        <v/>
      </c>
      <c r="U205" s="20" t="str">
        <f>IF(B205="","","Administrations row "&amp;ROW(Administrations!$A16)&amp;", Administration")</f>
        <v/>
      </c>
      <c r="V205" s="20">
        <f>IF(A205="",0,COUNTIF(nTP_Key,A205))</f>
        <v>0</v>
      </c>
      <c r="W205" s="20">
        <f t="shared" si="31"/>
        <v>0</v>
      </c>
      <c r="X205" s="20">
        <f t="shared" si="32"/>
        <v>0</v>
      </c>
      <c r="Y205" s="20">
        <f t="shared" si="33"/>
        <v>0</v>
      </c>
      <c r="Z205" s="20">
        <f t="shared" si="34"/>
        <v>0</v>
      </c>
    </row>
    <row r="206" spans="1:26" x14ac:dyDescent="0.2">
      <c r="A206" s="20" t="str">
        <f t="shared" si="28"/>
        <v/>
      </c>
      <c r="B206" s="20" t="str">
        <f>IF(AND(Administrations!$C17&lt;&gt;"",COUNTA(Administrations!$N17:$U17)&gt;0),Administrations!$C17&amp;"","")</f>
        <v/>
      </c>
      <c r="C206" s="20" t="str">
        <f t="shared" si="27"/>
        <v/>
      </c>
      <c r="D206" s="20" t="str">
        <f>IF(B206="","",Administrations!$A17&amp;"")</f>
        <v/>
      </c>
      <c r="E206" s="20" t="str">
        <f>IF(B206="","",Administrations!$B17&amp;"")</f>
        <v/>
      </c>
      <c r="F206" s="20" t="str">
        <f t="shared" si="29"/>
        <v/>
      </c>
      <c r="G206" s="20" t="str">
        <f>IF(B206="","",Administrations!$D17&amp;"")</f>
        <v/>
      </c>
      <c r="H206" s="20" t="str">
        <f>IF(B206="","",Administrations!$N17&amp;"")</f>
        <v/>
      </c>
      <c r="I206" s="20" t="str">
        <f>IF(B206="","",Administrations!$Q17&amp;"")</f>
        <v/>
      </c>
      <c r="J206" s="20" t="str">
        <f>IF(B206="","",Administrations!$W17&amp;"")</f>
        <v/>
      </c>
      <c r="K206" s="20">
        <f>IF(B206="",0,Administrations!$X17)</f>
        <v>0</v>
      </c>
      <c r="L206" s="20">
        <f>IF(B206="",0,Administrations!$Y17)</f>
        <v>0</v>
      </c>
      <c r="M206" s="20" t="str">
        <f>IF(B206="","",Administrations!$AB17)</f>
        <v/>
      </c>
      <c r="N206" s="20" t="str">
        <f>IF(B206="","",Administrations!$AC17)</f>
        <v/>
      </c>
      <c r="O206" s="27" t="str">
        <f>IF(B206="","",Administrations!$Z17)</f>
        <v/>
      </c>
      <c r="P206" s="27" t="str">
        <f>IF(B206="","",Administrations!$AA17)</f>
        <v/>
      </c>
      <c r="Q206" s="20" t="str">
        <f t="shared" si="30"/>
        <v/>
      </c>
      <c r="R206" s="20" t="str">
        <f>IF(A206="","",IF(J206&lt;&gt;"",J206,IF(H206="TIMESTAMP",DAY(INT(M206/1440))&amp;" "&amp;INDEX(nLIST_Months,MONTH(INT(M206/1440)))&amp;" "&amp;YEAR(INT(M206/1440))&amp;" "&amp;RIGHT("0"&amp;INT(MOD(M206,1440)/60),2)&amp;":"&amp;RIGHT("0"&amp;MOD(M206,60),2)&amp;IF(L206=1," (UTC"&amp;I206&amp;")"," (offset unknown)"),IF(H206="DATE",DAY(O206)&amp;" "&amp;INDEX(nLIST_Months,MONTH(O206))&amp;" "&amp;YEAR(O206),IF(H206="MONTH",INDEX(nLIST_Months,MONTH(O206))&amp;" "&amp;YEAR(O206)&amp;" ("&amp;DAY(O206)&amp;" "&amp;INDEX(nLIST_Months,MONTH(O206))&amp;" "&amp;YEAR(O206)&amp;" to "&amp;DAY(P206)&amp;" "&amp;INDEX(nLIST_Months,MONTH(P206))&amp;" "&amp;YEAR(P206)&amp;")",IF(H206="YEAR",YEAR(O206)&amp;" (1 January to 31 December)",DAY(O206)&amp;" "&amp;INDEX(nLIST_Months,MONTH(O206))&amp;" "&amp;YEAR(O206)&amp;" to "&amp;DAY(P206)&amp;" "&amp;INDEX(nLIST_Months,MONTH(P206))&amp;" "&amp;YEAR(P206)))))))</f>
        <v/>
      </c>
      <c r="S206" s="20" t="str">
        <f>IF(B206="","",Administrations!$M17&amp;"")</f>
        <v/>
      </c>
      <c r="T206" s="20" t="str">
        <f>IF(B206="","",Administrations!$V17&amp;"")</f>
        <v/>
      </c>
      <c r="U206" s="20" t="str">
        <f>IF(B206="","","Administrations row "&amp;ROW(Administrations!$A17)&amp;", Administration")</f>
        <v/>
      </c>
      <c r="V206" s="20">
        <f>IF(A206="",0,COUNTIF(nTP_Key,A206))</f>
        <v>0</v>
      </c>
      <c r="W206" s="20">
        <f t="shared" si="31"/>
        <v>0</v>
      </c>
      <c r="X206" s="20">
        <f t="shared" si="32"/>
        <v>0</v>
      </c>
      <c r="Y206" s="20">
        <f t="shared" si="33"/>
        <v>0</v>
      </c>
      <c r="Z206" s="20">
        <f t="shared" si="34"/>
        <v>0</v>
      </c>
    </row>
    <row r="207" spans="1:26" x14ac:dyDescent="0.2">
      <c r="A207" s="20" t="str">
        <f t="shared" si="28"/>
        <v/>
      </c>
      <c r="B207" s="20" t="str">
        <f>IF(AND(Administrations!$C18&lt;&gt;"",COUNTA(Administrations!$N18:$U18)&gt;0),Administrations!$C18&amp;"","")</f>
        <v/>
      </c>
      <c r="C207" s="20" t="str">
        <f t="shared" si="27"/>
        <v/>
      </c>
      <c r="D207" s="20" t="str">
        <f>IF(B207="","",Administrations!$A18&amp;"")</f>
        <v/>
      </c>
      <c r="E207" s="20" t="str">
        <f>IF(B207="","",Administrations!$B18&amp;"")</f>
        <v/>
      </c>
      <c r="F207" s="20" t="str">
        <f t="shared" si="29"/>
        <v/>
      </c>
      <c r="G207" s="20" t="str">
        <f>IF(B207="","",Administrations!$D18&amp;"")</f>
        <v/>
      </c>
      <c r="H207" s="20" t="str">
        <f>IF(B207="","",Administrations!$N18&amp;"")</f>
        <v/>
      </c>
      <c r="I207" s="20" t="str">
        <f>IF(B207="","",Administrations!$Q18&amp;"")</f>
        <v/>
      </c>
      <c r="J207" s="20" t="str">
        <f>IF(B207="","",Administrations!$W18&amp;"")</f>
        <v/>
      </c>
      <c r="K207" s="20">
        <f>IF(B207="",0,Administrations!$X18)</f>
        <v>0</v>
      </c>
      <c r="L207" s="20">
        <f>IF(B207="",0,Administrations!$Y18)</f>
        <v>0</v>
      </c>
      <c r="M207" s="20" t="str">
        <f>IF(B207="","",Administrations!$AB18)</f>
        <v/>
      </c>
      <c r="N207" s="20" t="str">
        <f>IF(B207="","",Administrations!$AC18)</f>
        <v/>
      </c>
      <c r="O207" s="27" t="str">
        <f>IF(B207="","",Administrations!$Z18)</f>
        <v/>
      </c>
      <c r="P207" s="27" t="str">
        <f>IF(B207="","",Administrations!$AA18)</f>
        <v/>
      </c>
      <c r="Q207" s="20" t="str">
        <f t="shared" si="30"/>
        <v/>
      </c>
      <c r="R207" s="20" t="str">
        <f>IF(A207="","",IF(J207&lt;&gt;"",J207,IF(H207="TIMESTAMP",DAY(INT(M207/1440))&amp;" "&amp;INDEX(nLIST_Months,MONTH(INT(M207/1440)))&amp;" "&amp;YEAR(INT(M207/1440))&amp;" "&amp;RIGHT("0"&amp;INT(MOD(M207,1440)/60),2)&amp;":"&amp;RIGHT("0"&amp;MOD(M207,60),2)&amp;IF(L207=1," (UTC"&amp;I207&amp;")"," (offset unknown)"),IF(H207="DATE",DAY(O207)&amp;" "&amp;INDEX(nLIST_Months,MONTH(O207))&amp;" "&amp;YEAR(O207),IF(H207="MONTH",INDEX(nLIST_Months,MONTH(O207))&amp;" "&amp;YEAR(O207)&amp;" ("&amp;DAY(O207)&amp;" "&amp;INDEX(nLIST_Months,MONTH(O207))&amp;" "&amp;YEAR(O207)&amp;" to "&amp;DAY(P207)&amp;" "&amp;INDEX(nLIST_Months,MONTH(P207))&amp;" "&amp;YEAR(P207)&amp;")",IF(H207="YEAR",YEAR(O207)&amp;" (1 January to 31 December)",DAY(O207)&amp;" "&amp;INDEX(nLIST_Months,MONTH(O207))&amp;" "&amp;YEAR(O207)&amp;" to "&amp;DAY(P207)&amp;" "&amp;INDEX(nLIST_Months,MONTH(P207))&amp;" "&amp;YEAR(P207)))))))</f>
        <v/>
      </c>
      <c r="S207" s="20" t="str">
        <f>IF(B207="","",Administrations!$M18&amp;"")</f>
        <v/>
      </c>
      <c r="T207" s="20" t="str">
        <f>IF(B207="","",Administrations!$V18&amp;"")</f>
        <v/>
      </c>
      <c r="U207" s="20" t="str">
        <f>IF(B207="","","Administrations row "&amp;ROW(Administrations!$A18)&amp;", Administration")</f>
        <v/>
      </c>
      <c r="V207" s="20">
        <f>IF(A207="",0,COUNTIF(nTP_Key,A207))</f>
        <v>0</v>
      </c>
      <c r="W207" s="20">
        <f t="shared" si="31"/>
        <v>0</v>
      </c>
      <c r="X207" s="20">
        <f t="shared" si="32"/>
        <v>0</v>
      </c>
      <c r="Y207" s="20">
        <f t="shared" si="33"/>
        <v>0</v>
      </c>
      <c r="Z207" s="20">
        <f t="shared" si="34"/>
        <v>0</v>
      </c>
    </row>
    <row r="208" spans="1:26" x14ac:dyDescent="0.2">
      <c r="A208" s="20" t="str">
        <f t="shared" si="28"/>
        <v/>
      </c>
      <c r="B208" s="20" t="str">
        <f>IF(AND(Administrations!$C19&lt;&gt;"",COUNTA(Administrations!$N19:$U19)&gt;0),Administrations!$C19&amp;"","")</f>
        <v/>
      </c>
      <c r="C208" s="20" t="str">
        <f t="shared" si="27"/>
        <v/>
      </c>
      <c r="D208" s="20" t="str">
        <f>IF(B208="","",Administrations!$A19&amp;"")</f>
        <v/>
      </c>
      <c r="E208" s="20" t="str">
        <f>IF(B208="","",Administrations!$B19&amp;"")</f>
        <v/>
      </c>
      <c r="F208" s="20" t="str">
        <f t="shared" si="29"/>
        <v/>
      </c>
      <c r="G208" s="20" t="str">
        <f>IF(B208="","",Administrations!$D19&amp;"")</f>
        <v/>
      </c>
      <c r="H208" s="20" t="str">
        <f>IF(B208="","",Administrations!$N19&amp;"")</f>
        <v/>
      </c>
      <c r="I208" s="20" t="str">
        <f>IF(B208="","",Administrations!$Q19&amp;"")</f>
        <v/>
      </c>
      <c r="J208" s="20" t="str">
        <f>IF(B208="","",Administrations!$W19&amp;"")</f>
        <v/>
      </c>
      <c r="K208" s="20">
        <f>IF(B208="",0,Administrations!$X19)</f>
        <v>0</v>
      </c>
      <c r="L208" s="20">
        <f>IF(B208="",0,Administrations!$Y19)</f>
        <v>0</v>
      </c>
      <c r="M208" s="20" t="str">
        <f>IF(B208="","",Administrations!$AB19)</f>
        <v/>
      </c>
      <c r="N208" s="20" t="str">
        <f>IF(B208="","",Administrations!$AC19)</f>
        <v/>
      </c>
      <c r="O208" s="27" t="str">
        <f>IF(B208="","",Administrations!$Z19)</f>
        <v/>
      </c>
      <c r="P208" s="27" t="str">
        <f>IF(B208="","",Administrations!$AA19)</f>
        <v/>
      </c>
      <c r="Q208" s="20" t="str">
        <f t="shared" si="30"/>
        <v/>
      </c>
      <c r="R208" s="20" t="str">
        <f>IF(A208="","",IF(J208&lt;&gt;"",J208,IF(H208="TIMESTAMP",DAY(INT(M208/1440))&amp;" "&amp;INDEX(nLIST_Months,MONTH(INT(M208/1440)))&amp;" "&amp;YEAR(INT(M208/1440))&amp;" "&amp;RIGHT("0"&amp;INT(MOD(M208,1440)/60),2)&amp;":"&amp;RIGHT("0"&amp;MOD(M208,60),2)&amp;IF(L208=1," (UTC"&amp;I208&amp;")"," (offset unknown)"),IF(H208="DATE",DAY(O208)&amp;" "&amp;INDEX(nLIST_Months,MONTH(O208))&amp;" "&amp;YEAR(O208),IF(H208="MONTH",INDEX(nLIST_Months,MONTH(O208))&amp;" "&amp;YEAR(O208)&amp;" ("&amp;DAY(O208)&amp;" "&amp;INDEX(nLIST_Months,MONTH(O208))&amp;" "&amp;YEAR(O208)&amp;" to "&amp;DAY(P208)&amp;" "&amp;INDEX(nLIST_Months,MONTH(P208))&amp;" "&amp;YEAR(P208)&amp;")",IF(H208="YEAR",YEAR(O208)&amp;" (1 January to 31 December)",DAY(O208)&amp;" "&amp;INDEX(nLIST_Months,MONTH(O208))&amp;" "&amp;YEAR(O208)&amp;" to "&amp;DAY(P208)&amp;" "&amp;INDEX(nLIST_Months,MONTH(P208))&amp;" "&amp;YEAR(P208)))))))</f>
        <v/>
      </c>
      <c r="S208" s="20" t="str">
        <f>IF(B208="","",Administrations!$M19&amp;"")</f>
        <v/>
      </c>
      <c r="T208" s="20" t="str">
        <f>IF(B208="","",Administrations!$V19&amp;"")</f>
        <v/>
      </c>
      <c r="U208" s="20" t="str">
        <f>IF(B208="","","Administrations row "&amp;ROW(Administrations!$A19)&amp;", Administration")</f>
        <v/>
      </c>
      <c r="V208" s="20">
        <f>IF(A208="",0,COUNTIF(nTP_Key,A208))</f>
        <v>0</v>
      </c>
      <c r="W208" s="20">
        <f t="shared" si="31"/>
        <v>0</v>
      </c>
      <c r="X208" s="20">
        <f t="shared" si="32"/>
        <v>0</v>
      </c>
      <c r="Y208" s="20">
        <f t="shared" si="33"/>
        <v>0</v>
      </c>
      <c r="Z208" s="20">
        <f t="shared" si="34"/>
        <v>0</v>
      </c>
    </row>
    <row r="209" spans="1:26" x14ac:dyDescent="0.2">
      <c r="A209" s="20" t="str">
        <f t="shared" si="28"/>
        <v/>
      </c>
      <c r="B209" s="20" t="str">
        <f>IF(AND(Administrations!$C20&lt;&gt;"",COUNTA(Administrations!$N20:$U20)&gt;0),Administrations!$C20&amp;"","")</f>
        <v/>
      </c>
      <c r="C209" s="20" t="str">
        <f t="shared" si="27"/>
        <v/>
      </c>
      <c r="D209" s="20" t="str">
        <f>IF(B209="","",Administrations!$A20&amp;"")</f>
        <v/>
      </c>
      <c r="E209" s="20" t="str">
        <f>IF(B209="","",Administrations!$B20&amp;"")</f>
        <v/>
      </c>
      <c r="F209" s="20" t="str">
        <f t="shared" si="29"/>
        <v/>
      </c>
      <c r="G209" s="20" t="str">
        <f>IF(B209="","",Administrations!$D20&amp;"")</f>
        <v/>
      </c>
      <c r="H209" s="20" t="str">
        <f>IF(B209="","",Administrations!$N20&amp;"")</f>
        <v/>
      </c>
      <c r="I209" s="20" t="str">
        <f>IF(B209="","",Administrations!$Q20&amp;"")</f>
        <v/>
      </c>
      <c r="J209" s="20" t="str">
        <f>IF(B209="","",Administrations!$W20&amp;"")</f>
        <v/>
      </c>
      <c r="K209" s="20">
        <f>IF(B209="",0,Administrations!$X20)</f>
        <v>0</v>
      </c>
      <c r="L209" s="20">
        <f>IF(B209="",0,Administrations!$Y20)</f>
        <v>0</v>
      </c>
      <c r="M209" s="20" t="str">
        <f>IF(B209="","",Administrations!$AB20)</f>
        <v/>
      </c>
      <c r="N209" s="20" t="str">
        <f>IF(B209="","",Administrations!$AC20)</f>
        <v/>
      </c>
      <c r="O209" s="27" t="str">
        <f>IF(B209="","",Administrations!$Z20)</f>
        <v/>
      </c>
      <c r="P209" s="27" t="str">
        <f>IF(B209="","",Administrations!$AA20)</f>
        <v/>
      </c>
      <c r="Q209" s="20" t="str">
        <f t="shared" si="30"/>
        <v/>
      </c>
      <c r="R209" s="20" t="str">
        <f>IF(A209="","",IF(J209&lt;&gt;"",J209,IF(H209="TIMESTAMP",DAY(INT(M209/1440))&amp;" "&amp;INDEX(nLIST_Months,MONTH(INT(M209/1440)))&amp;" "&amp;YEAR(INT(M209/1440))&amp;" "&amp;RIGHT("0"&amp;INT(MOD(M209,1440)/60),2)&amp;":"&amp;RIGHT("0"&amp;MOD(M209,60),2)&amp;IF(L209=1," (UTC"&amp;I209&amp;")"," (offset unknown)"),IF(H209="DATE",DAY(O209)&amp;" "&amp;INDEX(nLIST_Months,MONTH(O209))&amp;" "&amp;YEAR(O209),IF(H209="MONTH",INDEX(nLIST_Months,MONTH(O209))&amp;" "&amp;YEAR(O209)&amp;" ("&amp;DAY(O209)&amp;" "&amp;INDEX(nLIST_Months,MONTH(O209))&amp;" "&amp;YEAR(O209)&amp;" to "&amp;DAY(P209)&amp;" "&amp;INDEX(nLIST_Months,MONTH(P209))&amp;" "&amp;YEAR(P209)&amp;")",IF(H209="YEAR",YEAR(O209)&amp;" (1 January to 31 December)",DAY(O209)&amp;" "&amp;INDEX(nLIST_Months,MONTH(O209))&amp;" "&amp;YEAR(O209)&amp;" to "&amp;DAY(P209)&amp;" "&amp;INDEX(nLIST_Months,MONTH(P209))&amp;" "&amp;YEAR(P209)))))))</f>
        <v/>
      </c>
      <c r="S209" s="20" t="str">
        <f>IF(B209="","",Administrations!$M20&amp;"")</f>
        <v/>
      </c>
      <c r="T209" s="20" t="str">
        <f>IF(B209="","",Administrations!$V20&amp;"")</f>
        <v/>
      </c>
      <c r="U209" s="20" t="str">
        <f>IF(B209="","","Administrations row "&amp;ROW(Administrations!$A20)&amp;", Administration")</f>
        <v/>
      </c>
      <c r="V209" s="20">
        <f>IF(A209="",0,COUNTIF(nTP_Key,A209))</f>
        <v>0</v>
      </c>
      <c r="W209" s="20">
        <f t="shared" si="31"/>
        <v>0</v>
      </c>
      <c r="X209" s="20">
        <f t="shared" si="32"/>
        <v>0</v>
      </c>
      <c r="Y209" s="20">
        <f t="shared" si="33"/>
        <v>0</v>
      </c>
      <c r="Z209" s="20">
        <f t="shared" si="34"/>
        <v>0</v>
      </c>
    </row>
    <row r="210" spans="1:26" x14ac:dyDescent="0.2">
      <c r="A210" s="20" t="str">
        <f t="shared" si="28"/>
        <v/>
      </c>
      <c r="B210" s="20" t="str">
        <f>IF(AND(Administrations!$C21&lt;&gt;"",COUNTA(Administrations!$N21:$U21)&gt;0),Administrations!$C21&amp;"","")</f>
        <v/>
      </c>
      <c r="C210" s="20" t="str">
        <f t="shared" si="27"/>
        <v/>
      </c>
      <c r="D210" s="20" t="str">
        <f>IF(B210="","",Administrations!$A21&amp;"")</f>
        <v/>
      </c>
      <c r="E210" s="20" t="str">
        <f>IF(B210="","",Administrations!$B21&amp;"")</f>
        <v/>
      </c>
      <c r="F210" s="20" t="str">
        <f t="shared" si="29"/>
        <v/>
      </c>
      <c r="G210" s="20" t="str">
        <f>IF(B210="","",Administrations!$D21&amp;"")</f>
        <v/>
      </c>
      <c r="H210" s="20" t="str">
        <f>IF(B210="","",Administrations!$N21&amp;"")</f>
        <v/>
      </c>
      <c r="I210" s="20" t="str">
        <f>IF(B210="","",Administrations!$Q21&amp;"")</f>
        <v/>
      </c>
      <c r="J210" s="20" t="str">
        <f>IF(B210="","",Administrations!$W21&amp;"")</f>
        <v/>
      </c>
      <c r="K210" s="20">
        <f>IF(B210="",0,Administrations!$X21)</f>
        <v>0</v>
      </c>
      <c r="L210" s="20">
        <f>IF(B210="",0,Administrations!$Y21)</f>
        <v>0</v>
      </c>
      <c r="M210" s="20" t="str">
        <f>IF(B210="","",Administrations!$AB21)</f>
        <v/>
      </c>
      <c r="N210" s="20" t="str">
        <f>IF(B210="","",Administrations!$AC21)</f>
        <v/>
      </c>
      <c r="O210" s="27" t="str">
        <f>IF(B210="","",Administrations!$Z21)</f>
        <v/>
      </c>
      <c r="P210" s="27" t="str">
        <f>IF(B210="","",Administrations!$AA21)</f>
        <v/>
      </c>
      <c r="Q210" s="20" t="str">
        <f t="shared" si="30"/>
        <v/>
      </c>
      <c r="R210" s="20" t="str">
        <f>IF(A210="","",IF(J210&lt;&gt;"",J210,IF(H210="TIMESTAMP",DAY(INT(M210/1440))&amp;" "&amp;INDEX(nLIST_Months,MONTH(INT(M210/1440)))&amp;" "&amp;YEAR(INT(M210/1440))&amp;" "&amp;RIGHT("0"&amp;INT(MOD(M210,1440)/60),2)&amp;":"&amp;RIGHT("0"&amp;MOD(M210,60),2)&amp;IF(L210=1," (UTC"&amp;I210&amp;")"," (offset unknown)"),IF(H210="DATE",DAY(O210)&amp;" "&amp;INDEX(nLIST_Months,MONTH(O210))&amp;" "&amp;YEAR(O210),IF(H210="MONTH",INDEX(nLIST_Months,MONTH(O210))&amp;" "&amp;YEAR(O210)&amp;" ("&amp;DAY(O210)&amp;" "&amp;INDEX(nLIST_Months,MONTH(O210))&amp;" "&amp;YEAR(O210)&amp;" to "&amp;DAY(P210)&amp;" "&amp;INDEX(nLIST_Months,MONTH(P210))&amp;" "&amp;YEAR(P210)&amp;")",IF(H210="YEAR",YEAR(O210)&amp;" (1 January to 31 December)",DAY(O210)&amp;" "&amp;INDEX(nLIST_Months,MONTH(O210))&amp;" "&amp;YEAR(O210)&amp;" to "&amp;DAY(P210)&amp;" "&amp;INDEX(nLIST_Months,MONTH(P210))&amp;" "&amp;YEAR(P210)))))))</f>
        <v/>
      </c>
      <c r="S210" s="20" t="str">
        <f>IF(B210="","",Administrations!$M21&amp;"")</f>
        <v/>
      </c>
      <c r="T210" s="20" t="str">
        <f>IF(B210="","",Administrations!$V21&amp;"")</f>
        <v/>
      </c>
      <c r="U210" s="20" t="str">
        <f>IF(B210="","","Administrations row "&amp;ROW(Administrations!$A21)&amp;", Administration")</f>
        <v/>
      </c>
      <c r="V210" s="20">
        <f>IF(A210="",0,COUNTIF(nTP_Key,A210))</f>
        <v>0</v>
      </c>
      <c r="W210" s="20">
        <f t="shared" si="31"/>
        <v>0</v>
      </c>
      <c r="X210" s="20">
        <f t="shared" si="32"/>
        <v>0</v>
      </c>
      <c r="Y210" s="20">
        <f t="shared" si="33"/>
        <v>0</v>
      </c>
      <c r="Z210" s="20">
        <f t="shared" si="34"/>
        <v>0</v>
      </c>
    </row>
    <row r="211" spans="1:26" x14ac:dyDescent="0.2">
      <c r="A211" s="20" t="str">
        <f t="shared" si="28"/>
        <v/>
      </c>
      <c r="B211" s="20" t="str">
        <f>IF(AND(Administrations!$C22&lt;&gt;"",COUNTA(Administrations!$N22:$U22)&gt;0),Administrations!$C22&amp;"","")</f>
        <v/>
      </c>
      <c r="C211" s="20" t="str">
        <f t="shared" si="27"/>
        <v/>
      </c>
      <c r="D211" s="20" t="str">
        <f>IF(B211="","",Administrations!$A22&amp;"")</f>
        <v/>
      </c>
      <c r="E211" s="20" t="str">
        <f>IF(B211="","",Administrations!$B22&amp;"")</f>
        <v/>
      </c>
      <c r="F211" s="20" t="str">
        <f t="shared" si="29"/>
        <v/>
      </c>
      <c r="G211" s="20" t="str">
        <f>IF(B211="","",Administrations!$D22&amp;"")</f>
        <v/>
      </c>
      <c r="H211" s="20" t="str">
        <f>IF(B211="","",Administrations!$N22&amp;"")</f>
        <v/>
      </c>
      <c r="I211" s="20" t="str">
        <f>IF(B211="","",Administrations!$Q22&amp;"")</f>
        <v/>
      </c>
      <c r="J211" s="20" t="str">
        <f>IF(B211="","",Administrations!$W22&amp;"")</f>
        <v/>
      </c>
      <c r="K211" s="20">
        <f>IF(B211="",0,Administrations!$X22)</f>
        <v>0</v>
      </c>
      <c r="L211" s="20">
        <f>IF(B211="",0,Administrations!$Y22)</f>
        <v>0</v>
      </c>
      <c r="M211" s="20" t="str">
        <f>IF(B211="","",Administrations!$AB22)</f>
        <v/>
      </c>
      <c r="N211" s="20" t="str">
        <f>IF(B211="","",Administrations!$AC22)</f>
        <v/>
      </c>
      <c r="O211" s="27" t="str">
        <f>IF(B211="","",Administrations!$Z22)</f>
        <v/>
      </c>
      <c r="P211" s="27" t="str">
        <f>IF(B211="","",Administrations!$AA22)</f>
        <v/>
      </c>
      <c r="Q211" s="20" t="str">
        <f t="shared" si="30"/>
        <v/>
      </c>
      <c r="R211" s="20" t="str">
        <f>IF(A211="","",IF(J211&lt;&gt;"",J211,IF(H211="TIMESTAMP",DAY(INT(M211/1440))&amp;" "&amp;INDEX(nLIST_Months,MONTH(INT(M211/1440)))&amp;" "&amp;YEAR(INT(M211/1440))&amp;" "&amp;RIGHT("0"&amp;INT(MOD(M211,1440)/60),2)&amp;":"&amp;RIGHT("0"&amp;MOD(M211,60),2)&amp;IF(L211=1," (UTC"&amp;I211&amp;")"," (offset unknown)"),IF(H211="DATE",DAY(O211)&amp;" "&amp;INDEX(nLIST_Months,MONTH(O211))&amp;" "&amp;YEAR(O211),IF(H211="MONTH",INDEX(nLIST_Months,MONTH(O211))&amp;" "&amp;YEAR(O211)&amp;" ("&amp;DAY(O211)&amp;" "&amp;INDEX(nLIST_Months,MONTH(O211))&amp;" "&amp;YEAR(O211)&amp;" to "&amp;DAY(P211)&amp;" "&amp;INDEX(nLIST_Months,MONTH(P211))&amp;" "&amp;YEAR(P211)&amp;")",IF(H211="YEAR",YEAR(O211)&amp;" (1 January to 31 December)",DAY(O211)&amp;" "&amp;INDEX(nLIST_Months,MONTH(O211))&amp;" "&amp;YEAR(O211)&amp;" to "&amp;DAY(P211)&amp;" "&amp;INDEX(nLIST_Months,MONTH(P211))&amp;" "&amp;YEAR(P211)))))))</f>
        <v/>
      </c>
      <c r="S211" s="20" t="str">
        <f>IF(B211="","",Administrations!$M22&amp;"")</f>
        <v/>
      </c>
      <c r="T211" s="20" t="str">
        <f>IF(B211="","",Administrations!$V22&amp;"")</f>
        <v/>
      </c>
      <c r="U211" s="20" t="str">
        <f>IF(B211="","","Administrations row "&amp;ROW(Administrations!$A22)&amp;", Administration")</f>
        <v/>
      </c>
      <c r="V211" s="20">
        <f>IF(A211="",0,COUNTIF(nTP_Key,A211))</f>
        <v>0</v>
      </c>
      <c r="W211" s="20">
        <f t="shared" si="31"/>
        <v>0</v>
      </c>
      <c r="X211" s="20">
        <f t="shared" si="32"/>
        <v>0</v>
      </c>
      <c r="Y211" s="20">
        <f t="shared" si="33"/>
        <v>0</v>
      </c>
      <c r="Z211" s="20">
        <f t="shared" si="34"/>
        <v>0</v>
      </c>
    </row>
    <row r="212" spans="1:26" x14ac:dyDescent="0.2">
      <c r="A212" s="20" t="str">
        <f t="shared" si="28"/>
        <v/>
      </c>
      <c r="B212" s="20" t="str">
        <f>IF(AND(Administrations!$C23&lt;&gt;"",COUNTA(Administrations!$N23:$U23)&gt;0),Administrations!$C23&amp;"","")</f>
        <v/>
      </c>
      <c r="C212" s="20" t="str">
        <f t="shared" si="27"/>
        <v/>
      </c>
      <c r="D212" s="20" t="str">
        <f>IF(B212="","",Administrations!$A23&amp;"")</f>
        <v/>
      </c>
      <c r="E212" s="20" t="str">
        <f>IF(B212="","",Administrations!$B23&amp;"")</f>
        <v/>
      </c>
      <c r="F212" s="20" t="str">
        <f t="shared" si="29"/>
        <v/>
      </c>
      <c r="G212" s="20" t="str">
        <f>IF(B212="","",Administrations!$D23&amp;"")</f>
        <v/>
      </c>
      <c r="H212" s="20" t="str">
        <f>IF(B212="","",Administrations!$N23&amp;"")</f>
        <v/>
      </c>
      <c r="I212" s="20" t="str">
        <f>IF(B212="","",Administrations!$Q23&amp;"")</f>
        <v/>
      </c>
      <c r="J212" s="20" t="str">
        <f>IF(B212="","",Administrations!$W23&amp;"")</f>
        <v/>
      </c>
      <c r="K212" s="20">
        <f>IF(B212="",0,Administrations!$X23)</f>
        <v>0</v>
      </c>
      <c r="L212" s="20">
        <f>IF(B212="",0,Administrations!$Y23)</f>
        <v>0</v>
      </c>
      <c r="M212" s="20" t="str">
        <f>IF(B212="","",Administrations!$AB23)</f>
        <v/>
      </c>
      <c r="N212" s="20" t="str">
        <f>IF(B212="","",Administrations!$AC23)</f>
        <v/>
      </c>
      <c r="O212" s="27" t="str">
        <f>IF(B212="","",Administrations!$Z23)</f>
        <v/>
      </c>
      <c r="P212" s="27" t="str">
        <f>IF(B212="","",Administrations!$AA23)</f>
        <v/>
      </c>
      <c r="Q212" s="20" t="str">
        <f t="shared" si="30"/>
        <v/>
      </c>
      <c r="R212" s="20" t="str">
        <f>IF(A212="","",IF(J212&lt;&gt;"",J212,IF(H212="TIMESTAMP",DAY(INT(M212/1440))&amp;" "&amp;INDEX(nLIST_Months,MONTH(INT(M212/1440)))&amp;" "&amp;YEAR(INT(M212/1440))&amp;" "&amp;RIGHT("0"&amp;INT(MOD(M212,1440)/60),2)&amp;":"&amp;RIGHT("0"&amp;MOD(M212,60),2)&amp;IF(L212=1," (UTC"&amp;I212&amp;")"," (offset unknown)"),IF(H212="DATE",DAY(O212)&amp;" "&amp;INDEX(nLIST_Months,MONTH(O212))&amp;" "&amp;YEAR(O212),IF(H212="MONTH",INDEX(nLIST_Months,MONTH(O212))&amp;" "&amp;YEAR(O212)&amp;" ("&amp;DAY(O212)&amp;" "&amp;INDEX(nLIST_Months,MONTH(O212))&amp;" "&amp;YEAR(O212)&amp;" to "&amp;DAY(P212)&amp;" "&amp;INDEX(nLIST_Months,MONTH(P212))&amp;" "&amp;YEAR(P212)&amp;")",IF(H212="YEAR",YEAR(O212)&amp;" (1 January to 31 December)",DAY(O212)&amp;" "&amp;INDEX(nLIST_Months,MONTH(O212))&amp;" "&amp;YEAR(O212)&amp;" to "&amp;DAY(P212)&amp;" "&amp;INDEX(nLIST_Months,MONTH(P212))&amp;" "&amp;YEAR(P212)))))))</f>
        <v/>
      </c>
      <c r="S212" s="20" t="str">
        <f>IF(B212="","",Administrations!$M23&amp;"")</f>
        <v/>
      </c>
      <c r="T212" s="20" t="str">
        <f>IF(B212="","",Administrations!$V23&amp;"")</f>
        <v/>
      </c>
      <c r="U212" s="20" t="str">
        <f>IF(B212="","","Administrations row "&amp;ROW(Administrations!$A23)&amp;", Administration")</f>
        <v/>
      </c>
      <c r="V212" s="20">
        <f>IF(A212="",0,COUNTIF(nTP_Key,A212))</f>
        <v>0</v>
      </c>
      <c r="W212" s="20">
        <f t="shared" si="31"/>
        <v>0</v>
      </c>
      <c r="X212" s="20">
        <f t="shared" si="32"/>
        <v>0</v>
      </c>
      <c r="Y212" s="20">
        <f t="shared" si="33"/>
        <v>0</v>
      </c>
      <c r="Z212" s="20">
        <f t="shared" si="34"/>
        <v>0</v>
      </c>
    </row>
    <row r="213" spans="1:26" x14ac:dyDescent="0.2">
      <c r="A213" s="20" t="str">
        <f t="shared" si="28"/>
        <v/>
      </c>
      <c r="B213" s="20" t="str">
        <f>IF(AND(Administrations!$C24&lt;&gt;"",COUNTA(Administrations!$N24:$U24)&gt;0),Administrations!$C24&amp;"","")</f>
        <v/>
      </c>
      <c r="C213" s="20" t="str">
        <f t="shared" si="27"/>
        <v/>
      </c>
      <c r="D213" s="20" t="str">
        <f>IF(B213="","",Administrations!$A24&amp;"")</f>
        <v/>
      </c>
      <c r="E213" s="20" t="str">
        <f>IF(B213="","",Administrations!$B24&amp;"")</f>
        <v/>
      </c>
      <c r="F213" s="20" t="str">
        <f t="shared" si="29"/>
        <v/>
      </c>
      <c r="G213" s="20" t="str">
        <f>IF(B213="","",Administrations!$D24&amp;"")</f>
        <v/>
      </c>
      <c r="H213" s="20" t="str">
        <f>IF(B213="","",Administrations!$N24&amp;"")</f>
        <v/>
      </c>
      <c r="I213" s="20" t="str">
        <f>IF(B213="","",Administrations!$Q24&amp;"")</f>
        <v/>
      </c>
      <c r="J213" s="20" t="str">
        <f>IF(B213="","",Administrations!$W24&amp;"")</f>
        <v/>
      </c>
      <c r="K213" s="20">
        <f>IF(B213="",0,Administrations!$X24)</f>
        <v>0</v>
      </c>
      <c r="L213" s="20">
        <f>IF(B213="",0,Administrations!$Y24)</f>
        <v>0</v>
      </c>
      <c r="M213" s="20" t="str">
        <f>IF(B213="","",Administrations!$AB24)</f>
        <v/>
      </c>
      <c r="N213" s="20" t="str">
        <f>IF(B213="","",Administrations!$AC24)</f>
        <v/>
      </c>
      <c r="O213" s="27" t="str">
        <f>IF(B213="","",Administrations!$Z24)</f>
        <v/>
      </c>
      <c r="P213" s="27" t="str">
        <f>IF(B213="","",Administrations!$AA24)</f>
        <v/>
      </c>
      <c r="Q213" s="20" t="str">
        <f t="shared" si="30"/>
        <v/>
      </c>
      <c r="R213" s="20" t="str">
        <f>IF(A213="","",IF(J213&lt;&gt;"",J213,IF(H213="TIMESTAMP",DAY(INT(M213/1440))&amp;" "&amp;INDEX(nLIST_Months,MONTH(INT(M213/1440)))&amp;" "&amp;YEAR(INT(M213/1440))&amp;" "&amp;RIGHT("0"&amp;INT(MOD(M213,1440)/60),2)&amp;":"&amp;RIGHT("0"&amp;MOD(M213,60),2)&amp;IF(L213=1," (UTC"&amp;I213&amp;")"," (offset unknown)"),IF(H213="DATE",DAY(O213)&amp;" "&amp;INDEX(nLIST_Months,MONTH(O213))&amp;" "&amp;YEAR(O213),IF(H213="MONTH",INDEX(nLIST_Months,MONTH(O213))&amp;" "&amp;YEAR(O213)&amp;" ("&amp;DAY(O213)&amp;" "&amp;INDEX(nLIST_Months,MONTH(O213))&amp;" "&amp;YEAR(O213)&amp;" to "&amp;DAY(P213)&amp;" "&amp;INDEX(nLIST_Months,MONTH(P213))&amp;" "&amp;YEAR(P213)&amp;")",IF(H213="YEAR",YEAR(O213)&amp;" (1 January to 31 December)",DAY(O213)&amp;" "&amp;INDEX(nLIST_Months,MONTH(O213))&amp;" "&amp;YEAR(O213)&amp;" to "&amp;DAY(P213)&amp;" "&amp;INDEX(nLIST_Months,MONTH(P213))&amp;" "&amp;YEAR(P213)))))))</f>
        <v/>
      </c>
      <c r="S213" s="20" t="str">
        <f>IF(B213="","",Administrations!$M24&amp;"")</f>
        <v/>
      </c>
      <c r="T213" s="20" t="str">
        <f>IF(B213="","",Administrations!$V24&amp;"")</f>
        <v/>
      </c>
      <c r="U213" s="20" t="str">
        <f>IF(B213="","","Administrations row "&amp;ROW(Administrations!$A24)&amp;", Administration")</f>
        <v/>
      </c>
      <c r="V213" s="20">
        <f>IF(A213="",0,COUNTIF(nTP_Key,A213))</f>
        <v>0</v>
      </c>
      <c r="W213" s="20">
        <f t="shared" si="31"/>
        <v>0</v>
      </c>
      <c r="X213" s="20">
        <f t="shared" si="32"/>
        <v>0</v>
      </c>
      <c r="Y213" s="20">
        <f t="shared" si="33"/>
        <v>0</v>
      </c>
      <c r="Z213" s="20">
        <f t="shared" si="34"/>
        <v>0</v>
      </c>
    </row>
    <row r="214" spans="1:26" x14ac:dyDescent="0.2">
      <c r="A214" s="20" t="str">
        <f t="shared" si="28"/>
        <v/>
      </c>
      <c r="B214" s="20" t="str">
        <f>IF(AND(Administrations!$C25&lt;&gt;"",COUNTA(Administrations!$N25:$U25)&gt;0),Administrations!$C25&amp;"","")</f>
        <v/>
      </c>
      <c r="C214" s="20" t="str">
        <f t="shared" si="27"/>
        <v/>
      </c>
      <c r="D214" s="20" t="str">
        <f>IF(B214="","",Administrations!$A25&amp;"")</f>
        <v/>
      </c>
      <c r="E214" s="20" t="str">
        <f>IF(B214="","",Administrations!$B25&amp;"")</f>
        <v/>
      </c>
      <c r="F214" s="20" t="str">
        <f t="shared" si="29"/>
        <v/>
      </c>
      <c r="G214" s="20" t="str">
        <f>IF(B214="","",Administrations!$D25&amp;"")</f>
        <v/>
      </c>
      <c r="H214" s="20" t="str">
        <f>IF(B214="","",Administrations!$N25&amp;"")</f>
        <v/>
      </c>
      <c r="I214" s="20" t="str">
        <f>IF(B214="","",Administrations!$Q25&amp;"")</f>
        <v/>
      </c>
      <c r="J214" s="20" t="str">
        <f>IF(B214="","",Administrations!$W25&amp;"")</f>
        <v/>
      </c>
      <c r="K214" s="20">
        <f>IF(B214="",0,Administrations!$X25)</f>
        <v>0</v>
      </c>
      <c r="L214" s="20">
        <f>IF(B214="",0,Administrations!$Y25)</f>
        <v>0</v>
      </c>
      <c r="M214" s="20" t="str">
        <f>IF(B214="","",Administrations!$AB25)</f>
        <v/>
      </c>
      <c r="N214" s="20" t="str">
        <f>IF(B214="","",Administrations!$AC25)</f>
        <v/>
      </c>
      <c r="O214" s="27" t="str">
        <f>IF(B214="","",Administrations!$Z25)</f>
        <v/>
      </c>
      <c r="P214" s="27" t="str">
        <f>IF(B214="","",Administrations!$AA25)</f>
        <v/>
      </c>
      <c r="Q214" s="20" t="str">
        <f t="shared" si="30"/>
        <v/>
      </c>
      <c r="R214" s="20" t="str">
        <f>IF(A214="","",IF(J214&lt;&gt;"",J214,IF(H214="TIMESTAMP",DAY(INT(M214/1440))&amp;" "&amp;INDEX(nLIST_Months,MONTH(INT(M214/1440)))&amp;" "&amp;YEAR(INT(M214/1440))&amp;" "&amp;RIGHT("0"&amp;INT(MOD(M214,1440)/60),2)&amp;":"&amp;RIGHT("0"&amp;MOD(M214,60),2)&amp;IF(L214=1," (UTC"&amp;I214&amp;")"," (offset unknown)"),IF(H214="DATE",DAY(O214)&amp;" "&amp;INDEX(nLIST_Months,MONTH(O214))&amp;" "&amp;YEAR(O214),IF(H214="MONTH",INDEX(nLIST_Months,MONTH(O214))&amp;" "&amp;YEAR(O214)&amp;" ("&amp;DAY(O214)&amp;" "&amp;INDEX(nLIST_Months,MONTH(O214))&amp;" "&amp;YEAR(O214)&amp;" to "&amp;DAY(P214)&amp;" "&amp;INDEX(nLIST_Months,MONTH(P214))&amp;" "&amp;YEAR(P214)&amp;")",IF(H214="YEAR",YEAR(O214)&amp;" (1 January to 31 December)",DAY(O214)&amp;" "&amp;INDEX(nLIST_Months,MONTH(O214))&amp;" "&amp;YEAR(O214)&amp;" to "&amp;DAY(P214)&amp;" "&amp;INDEX(nLIST_Months,MONTH(P214))&amp;" "&amp;YEAR(P214)))))))</f>
        <v/>
      </c>
      <c r="S214" s="20" t="str">
        <f>IF(B214="","",Administrations!$M25&amp;"")</f>
        <v/>
      </c>
      <c r="T214" s="20" t="str">
        <f>IF(B214="","",Administrations!$V25&amp;"")</f>
        <v/>
      </c>
      <c r="U214" s="20" t="str">
        <f>IF(B214="","","Administrations row "&amp;ROW(Administrations!$A25)&amp;", Administration")</f>
        <v/>
      </c>
      <c r="V214" s="20">
        <f>IF(A214="",0,COUNTIF(nTP_Key,A214))</f>
        <v>0</v>
      </c>
      <c r="W214" s="20">
        <f t="shared" si="31"/>
        <v>0</v>
      </c>
      <c r="X214" s="20">
        <f t="shared" si="32"/>
        <v>0</v>
      </c>
      <c r="Y214" s="20">
        <f t="shared" si="33"/>
        <v>0</v>
      </c>
      <c r="Z214" s="20">
        <f t="shared" si="34"/>
        <v>0</v>
      </c>
    </row>
    <row r="215" spans="1:26" x14ac:dyDescent="0.2">
      <c r="A215" s="20" t="str">
        <f t="shared" si="28"/>
        <v/>
      </c>
      <c r="B215" s="20" t="str">
        <f>IF(AND(Administrations!$C26&lt;&gt;"",COUNTA(Administrations!$N26:$U26)&gt;0),Administrations!$C26&amp;"","")</f>
        <v/>
      </c>
      <c r="C215" s="20" t="str">
        <f t="shared" si="27"/>
        <v/>
      </c>
      <c r="D215" s="20" t="str">
        <f>IF(B215="","",Administrations!$A26&amp;"")</f>
        <v/>
      </c>
      <c r="E215" s="20" t="str">
        <f>IF(B215="","",Administrations!$B26&amp;"")</f>
        <v/>
      </c>
      <c r="F215" s="20" t="str">
        <f t="shared" si="29"/>
        <v/>
      </c>
      <c r="G215" s="20" t="str">
        <f>IF(B215="","",Administrations!$D26&amp;"")</f>
        <v/>
      </c>
      <c r="H215" s="20" t="str">
        <f>IF(B215="","",Administrations!$N26&amp;"")</f>
        <v/>
      </c>
      <c r="I215" s="20" t="str">
        <f>IF(B215="","",Administrations!$Q26&amp;"")</f>
        <v/>
      </c>
      <c r="J215" s="20" t="str">
        <f>IF(B215="","",Administrations!$W26&amp;"")</f>
        <v/>
      </c>
      <c r="K215" s="20">
        <f>IF(B215="",0,Administrations!$X26)</f>
        <v>0</v>
      </c>
      <c r="L215" s="20">
        <f>IF(B215="",0,Administrations!$Y26)</f>
        <v>0</v>
      </c>
      <c r="M215" s="20" t="str">
        <f>IF(B215="","",Administrations!$AB26)</f>
        <v/>
      </c>
      <c r="N215" s="20" t="str">
        <f>IF(B215="","",Administrations!$AC26)</f>
        <v/>
      </c>
      <c r="O215" s="27" t="str">
        <f>IF(B215="","",Administrations!$Z26)</f>
        <v/>
      </c>
      <c r="P215" s="27" t="str">
        <f>IF(B215="","",Administrations!$AA26)</f>
        <v/>
      </c>
      <c r="Q215" s="20" t="str">
        <f t="shared" si="30"/>
        <v/>
      </c>
      <c r="R215" s="20" t="str">
        <f>IF(A215="","",IF(J215&lt;&gt;"",J215,IF(H215="TIMESTAMP",DAY(INT(M215/1440))&amp;" "&amp;INDEX(nLIST_Months,MONTH(INT(M215/1440)))&amp;" "&amp;YEAR(INT(M215/1440))&amp;" "&amp;RIGHT("0"&amp;INT(MOD(M215,1440)/60),2)&amp;":"&amp;RIGHT("0"&amp;MOD(M215,60),2)&amp;IF(L215=1," (UTC"&amp;I215&amp;")"," (offset unknown)"),IF(H215="DATE",DAY(O215)&amp;" "&amp;INDEX(nLIST_Months,MONTH(O215))&amp;" "&amp;YEAR(O215),IF(H215="MONTH",INDEX(nLIST_Months,MONTH(O215))&amp;" "&amp;YEAR(O215)&amp;" ("&amp;DAY(O215)&amp;" "&amp;INDEX(nLIST_Months,MONTH(O215))&amp;" "&amp;YEAR(O215)&amp;" to "&amp;DAY(P215)&amp;" "&amp;INDEX(nLIST_Months,MONTH(P215))&amp;" "&amp;YEAR(P215)&amp;")",IF(H215="YEAR",YEAR(O215)&amp;" (1 January to 31 December)",DAY(O215)&amp;" "&amp;INDEX(nLIST_Months,MONTH(O215))&amp;" "&amp;YEAR(O215)&amp;" to "&amp;DAY(P215)&amp;" "&amp;INDEX(nLIST_Months,MONTH(P215))&amp;" "&amp;YEAR(P215)))))))</f>
        <v/>
      </c>
      <c r="S215" s="20" t="str">
        <f>IF(B215="","",Administrations!$M26&amp;"")</f>
        <v/>
      </c>
      <c r="T215" s="20" t="str">
        <f>IF(B215="","",Administrations!$V26&amp;"")</f>
        <v/>
      </c>
      <c r="U215" s="20" t="str">
        <f>IF(B215="","","Administrations row "&amp;ROW(Administrations!$A26)&amp;", Administration")</f>
        <v/>
      </c>
      <c r="V215" s="20">
        <f>IF(A215="",0,COUNTIF(nTP_Key,A215))</f>
        <v>0</v>
      </c>
      <c r="W215" s="20">
        <f t="shared" si="31"/>
        <v>0</v>
      </c>
      <c r="X215" s="20">
        <f t="shared" si="32"/>
        <v>0</v>
      </c>
      <c r="Y215" s="20">
        <f t="shared" si="33"/>
        <v>0</v>
      </c>
      <c r="Z215" s="20">
        <f t="shared" si="34"/>
        <v>0</v>
      </c>
    </row>
    <row r="216" spans="1:26" x14ac:dyDescent="0.2">
      <c r="A216" s="20" t="str">
        <f t="shared" si="28"/>
        <v/>
      </c>
      <c r="B216" s="20" t="str">
        <f>IF(AND(Administrations!$C27&lt;&gt;"",COUNTA(Administrations!$N27:$U27)&gt;0),Administrations!$C27&amp;"","")</f>
        <v/>
      </c>
      <c r="C216" s="20" t="str">
        <f t="shared" si="27"/>
        <v/>
      </c>
      <c r="D216" s="20" t="str">
        <f>IF(B216="","",Administrations!$A27&amp;"")</f>
        <v/>
      </c>
      <c r="E216" s="20" t="str">
        <f>IF(B216="","",Administrations!$B27&amp;"")</f>
        <v/>
      </c>
      <c r="F216" s="20" t="str">
        <f t="shared" si="29"/>
        <v/>
      </c>
      <c r="G216" s="20" t="str">
        <f>IF(B216="","",Administrations!$D27&amp;"")</f>
        <v/>
      </c>
      <c r="H216" s="20" t="str">
        <f>IF(B216="","",Administrations!$N27&amp;"")</f>
        <v/>
      </c>
      <c r="I216" s="20" t="str">
        <f>IF(B216="","",Administrations!$Q27&amp;"")</f>
        <v/>
      </c>
      <c r="J216" s="20" t="str">
        <f>IF(B216="","",Administrations!$W27&amp;"")</f>
        <v/>
      </c>
      <c r="K216" s="20">
        <f>IF(B216="",0,Administrations!$X27)</f>
        <v>0</v>
      </c>
      <c r="L216" s="20">
        <f>IF(B216="",0,Administrations!$Y27)</f>
        <v>0</v>
      </c>
      <c r="M216" s="20" t="str">
        <f>IF(B216="","",Administrations!$AB27)</f>
        <v/>
      </c>
      <c r="N216" s="20" t="str">
        <f>IF(B216="","",Administrations!$AC27)</f>
        <v/>
      </c>
      <c r="O216" s="27" t="str">
        <f>IF(B216="","",Administrations!$Z27)</f>
        <v/>
      </c>
      <c r="P216" s="27" t="str">
        <f>IF(B216="","",Administrations!$AA27)</f>
        <v/>
      </c>
      <c r="Q216" s="20" t="str">
        <f t="shared" si="30"/>
        <v/>
      </c>
      <c r="R216" s="20" t="str">
        <f>IF(A216="","",IF(J216&lt;&gt;"",J216,IF(H216="TIMESTAMP",DAY(INT(M216/1440))&amp;" "&amp;INDEX(nLIST_Months,MONTH(INT(M216/1440)))&amp;" "&amp;YEAR(INT(M216/1440))&amp;" "&amp;RIGHT("0"&amp;INT(MOD(M216,1440)/60),2)&amp;":"&amp;RIGHT("0"&amp;MOD(M216,60),2)&amp;IF(L216=1," (UTC"&amp;I216&amp;")"," (offset unknown)"),IF(H216="DATE",DAY(O216)&amp;" "&amp;INDEX(nLIST_Months,MONTH(O216))&amp;" "&amp;YEAR(O216),IF(H216="MONTH",INDEX(nLIST_Months,MONTH(O216))&amp;" "&amp;YEAR(O216)&amp;" ("&amp;DAY(O216)&amp;" "&amp;INDEX(nLIST_Months,MONTH(O216))&amp;" "&amp;YEAR(O216)&amp;" to "&amp;DAY(P216)&amp;" "&amp;INDEX(nLIST_Months,MONTH(P216))&amp;" "&amp;YEAR(P216)&amp;")",IF(H216="YEAR",YEAR(O216)&amp;" (1 January to 31 December)",DAY(O216)&amp;" "&amp;INDEX(nLIST_Months,MONTH(O216))&amp;" "&amp;YEAR(O216)&amp;" to "&amp;DAY(P216)&amp;" "&amp;INDEX(nLIST_Months,MONTH(P216))&amp;" "&amp;YEAR(P216)))))))</f>
        <v/>
      </c>
      <c r="S216" s="20" t="str">
        <f>IF(B216="","",Administrations!$M27&amp;"")</f>
        <v/>
      </c>
      <c r="T216" s="20" t="str">
        <f>IF(B216="","",Administrations!$V27&amp;"")</f>
        <v/>
      </c>
      <c r="U216" s="20" t="str">
        <f>IF(B216="","","Administrations row "&amp;ROW(Administrations!$A27)&amp;", Administration")</f>
        <v/>
      </c>
      <c r="V216" s="20">
        <f>IF(A216="",0,COUNTIF(nTP_Key,A216))</f>
        <v>0</v>
      </c>
      <c r="W216" s="20">
        <f t="shared" si="31"/>
        <v>0</v>
      </c>
      <c r="X216" s="20">
        <f t="shared" si="32"/>
        <v>0</v>
      </c>
      <c r="Y216" s="20">
        <f t="shared" si="33"/>
        <v>0</v>
      </c>
      <c r="Z216" s="20">
        <f t="shared" si="34"/>
        <v>0</v>
      </c>
    </row>
    <row r="217" spans="1:26" x14ac:dyDescent="0.2">
      <c r="A217" s="20" t="str">
        <f t="shared" si="28"/>
        <v/>
      </c>
      <c r="B217" s="20" t="str">
        <f>IF(AND(Administrations!$C28&lt;&gt;"",COUNTA(Administrations!$N28:$U28)&gt;0),Administrations!$C28&amp;"","")</f>
        <v/>
      </c>
      <c r="C217" s="20" t="str">
        <f t="shared" si="27"/>
        <v/>
      </c>
      <c r="D217" s="20" t="str">
        <f>IF(B217="","",Administrations!$A28&amp;"")</f>
        <v/>
      </c>
      <c r="E217" s="20" t="str">
        <f>IF(B217="","",Administrations!$B28&amp;"")</f>
        <v/>
      </c>
      <c r="F217" s="20" t="str">
        <f t="shared" si="29"/>
        <v/>
      </c>
      <c r="G217" s="20" t="str">
        <f>IF(B217="","",Administrations!$D28&amp;"")</f>
        <v/>
      </c>
      <c r="H217" s="20" t="str">
        <f>IF(B217="","",Administrations!$N28&amp;"")</f>
        <v/>
      </c>
      <c r="I217" s="20" t="str">
        <f>IF(B217="","",Administrations!$Q28&amp;"")</f>
        <v/>
      </c>
      <c r="J217" s="20" t="str">
        <f>IF(B217="","",Administrations!$W28&amp;"")</f>
        <v/>
      </c>
      <c r="K217" s="20">
        <f>IF(B217="",0,Administrations!$X28)</f>
        <v>0</v>
      </c>
      <c r="L217" s="20">
        <f>IF(B217="",0,Administrations!$Y28)</f>
        <v>0</v>
      </c>
      <c r="M217" s="20" t="str">
        <f>IF(B217="","",Administrations!$AB28)</f>
        <v/>
      </c>
      <c r="N217" s="20" t="str">
        <f>IF(B217="","",Administrations!$AC28)</f>
        <v/>
      </c>
      <c r="O217" s="27" t="str">
        <f>IF(B217="","",Administrations!$Z28)</f>
        <v/>
      </c>
      <c r="P217" s="27" t="str">
        <f>IF(B217="","",Administrations!$AA28)</f>
        <v/>
      </c>
      <c r="Q217" s="20" t="str">
        <f t="shared" si="30"/>
        <v/>
      </c>
      <c r="R217" s="20" t="str">
        <f>IF(A217="","",IF(J217&lt;&gt;"",J217,IF(H217="TIMESTAMP",DAY(INT(M217/1440))&amp;" "&amp;INDEX(nLIST_Months,MONTH(INT(M217/1440)))&amp;" "&amp;YEAR(INT(M217/1440))&amp;" "&amp;RIGHT("0"&amp;INT(MOD(M217,1440)/60),2)&amp;":"&amp;RIGHT("0"&amp;MOD(M217,60),2)&amp;IF(L217=1," (UTC"&amp;I217&amp;")"," (offset unknown)"),IF(H217="DATE",DAY(O217)&amp;" "&amp;INDEX(nLIST_Months,MONTH(O217))&amp;" "&amp;YEAR(O217),IF(H217="MONTH",INDEX(nLIST_Months,MONTH(O217))&amp;" "&amp;YEAR(O217)&amp;" ("&amp;DAY(O217)&amp;" "&amp;INDEX(nLIST_Months,MONTH(O217))&amp;" "&amp;YEAR(O217)&amp;" to "&amp;DAY(P217)&amp;" "&amp;INDEX(nLIST_Months,MONTH(P217))&amp;" "&amp;YEAR(P217)&amp;")",IF(H217="YEAR",YEAR(O217)&amp;" (1 January to 31 December)",DAY(O217)&amp;" "&amp;INDEX(nLIST_Months,MONTH(O217))&amp;" "&amp;YEAR(O217)&amp;" to "&amp;DAY(P217)&amp;" "&amp;INDEX(nLIST_Months,MONTH(P217))&amp;" "&amp;YEAR(P217)))))))</f>
        <v/>
      </c>
      <c r="S217" s="20" t="str">
        <f>IF(B217="","",Administrations!$M28&amp;"")</f>
        <v/>
      </c>
      <c r="T217" s="20" t="str">
        <f>IF(B217="","",Administrations!$V28&amp;"")</f>
        <v/>
      </c>
      <c r="U217" s="20" t="str">
        <f>IF(B217="","","Administrations row "&amp;ROW(Administrations!$A28)&amp;", Administration")</f>
        <v/>
      </c>
      <c r="V217" s="20">
        <f>IF(A217="",0,COUNTIF(nTP_Key,A217))</f>
        <v>0</v>
      </c>
      <c r="W217" s="20">
        <f t="shared" si="31"/>
        <v>0</v>
      </c>
      <c r="X217" s="20">
        <f t="shared" si="32"/>
        <v>0</v>
      </c>
      <c r="Y217" s="20">
        <f t="shared" si="33"/>
        <v>0</v>
      </c>
      <c r="Z217" s="20">
        <f t="shared" si="34"/>
        <v>0</v>
      </c>
    </row>
    <row r="218" spans="1:26" x14ac:dyDescent="0.2">
      <c r="A218" s="20" t="str">
        <f t="shared" si="28"/>
        <v/>
      </c>
      <c r="B218" s="20" t="str">
        <f>IF(AND(Administrations!$C29&lt;&gt;"",COUNTA(Administrations!$N29:$U29)&gt;0),Administrations!$C29&amp;"","")</f>
        <v/>
      </c>
      <c r="C218" s="20" t="str">
        <f t="shared" si="27"/>
        <v/>
      </c>
      <c r="D218" s="20" t="str">
        <f>IF(B218="","",Administrations!$A29&amp;"")</f>
        <v/>
      </c>
      <c r="E218" s="20" t="str">
        <f>IF(B218="","",Administrations!$B29&amp;"")</f>
        <v/>
      </c>
      <c r="F218" s="20" t="str">
        <f t="shared" si="29"/>
        <v/>
      </c>
      <c r="G218" s="20" t="str">
        <f>IF(B218="","",Administrations!$D29&amp;"")</f>
        <v/>
      </c>
      <c r="H218" s="20" t="str">
        <f>IF(B218="","",Administrations!$N29&amp;"")</f>
        <v/>
      </c>
      <c r="I218" s="20" t="str">
        <f>IF(B218="","",Administrations!$Q29&amp;"")</f>
        <v/>
      </c>
      <c r="J218" s="20" t="str">
        <f>IF(B218="","",Administrations!$W29&amp;"")</f>
        <v/>
      </c>
      <c r="K218" s="20">
        <f>IF(B218="",0,Administrations!$X29)</f>
        <v>0</v>
      </c>
      <c r="L218" s="20">
        <f>IF(B218="",0,Administrations!$Y29)</f>
        <v>0</v>
      </c>
      <c r="M218" s="20" t="str">
        <f>IF(B218="","",Administrations!$AB29)</f>
        <v/>
      </c>
      <c r="N218" s="20" t="str">
        <f>IF(B218="","",Administrations!$AC29)</f>
        <v/>
      </c>
      <c r="O218" s="27" t="str">
        <f>IF(B218="","",Administrations!$Z29)</f>
        <v/>
      </c>
      <c r="P218" s="27" t="str">
        <f>IF(B218="","",Administrations!$AA29)</f>
        <v/>
      </c>
      <c r="Q218" s="20" t="str">
        <f t="shared" si="30"/>
        <v/>
      </c>
      <c r="R218" s="20" t="str">
        <f>IF(A218="","",IF(J218&lt;&gt;"",J218,IF(H218="TIMESTAMP",DAY(INT(M218/1440))&amp;" "&amp;INDEX(nLIST_Months,MONTH(INT(M218/1440)))&amp;" "&amp;YEAR(INT(M218/1440))&amp;" "&amp;RIGHT("0"&amp;INT(MOD(M218,1440)/60),2)&amp;":"&amp;RIGHT("0"&amp;MOD(M218,60),2)&amp;IF(L218=1," (UTC"&amp;I218&amp;")"," (offset unknown)"),IF(H218="DATE",DAY(O218)&amp;" "&amp;INDEX(nLIST_Months,MONTH(O218))&amp;" "&amp;YEAR(O218),IF(H218="MONTH",INDEX(nLIST_Months,MONTH(O218))&amp;" "&amp;YEAR(O218)&amp;" ("&amp;DAY(O218)&amp;" "&amp;INDEX(nLIST_Months,MONTH(O218))&amp;" "&amp;YEAR(O218)&amp;" to "&amp;DAY(P218)&amp;" "&amp;INDEX(nLIST_Months,MONTH(P218))&amp;" "&amp;YEAR(P218)&amp;")",IF(H218="YEAR",YEAR(O218)&amp;" (1 January to 31 December)",DAY(O218)&amp;" "&amp;INDEX(nLIST_Months,MONTH(O218))&amp;" "&amp;YEAR(O218)&amp;" to "&amp;DAY(P218)&amp;" "&amp;INDEX(nLIST_Months,MONTH(P218))&amp;" "&amp;YEAR(P218)))))))</f>
        <v/>
      </c>
      <c r="S218" s="20" t="str">
        <f>IF(B218="","",Administrations!$M29&amp;"")</f>
        <v/>
      </c>
      <c r="T218" s="20" t="str">
        <f>IF(B218="","",Administrations!$V29&amp;"")</f>
        <v/>
      </c>
      <c r="U218" s="20" t="str">
        <f>IF(B218="","","Administrations row "&amp;ROW(Administrations!$A29)&amp;", Administration")</f>
        <v/>
      </c>
      <c r="V218" s="20">
        <f>IF(A218="",0,COUNTIF(nTP_Key,A218))</f>
        <v>0</v>
      </c>
      <c r="W218" s="20">
        <f t="shared" si="31"/>
        <v>0</v>
      </c>
      <c r="X218" s="20">
        <f t="shared" si="32"/>
        <v>0</v>
      </c>
      <c r="Y218" s="20">
        <f t="shared" si="33"/>
        <v>0</v>
      </c>
      <c r="Z218" s="20">
        <f t="shared" si="34"/>
        <v>0</v>
      </c>
    </row>
    <row r="219" spans="1:26" x14ac:dyDescent="0.2">
      <c r="A219" s="20" t="str">
        <f t="shared" si="28"/>
        <v/>
      </c>
      <c r="B219" s="20" t="str">
        <f>IF(AND(Administrations!$C30&lt;&gt;"",COUNTA(Administrations!$N30:$U30)&gt;0),Administrations!$C30&amp;"","")</f>
        <v/>
      </c>
      <c r="C219" s="20" t="str">
        <f t="shared" si="27"/>
        <v/>
      </c>
      <c r="D219" s="20" t="str">
        <f>IF(B219="","",Administrations!$A30&amp;"")</f>
        <v/>
      </c>
      <c r="E219" s="20" t="str">
        <f>IF(B219="","",Administrations!$B30&amp;"")</f>
        <v/>
      </c>
      <c r="F219" s="20" t="str">
        <f t="shared" si="29"/>
        <v/>
      </c>
      <c r="G219" s="20" t="str">
        <f>IF(B219="","",Administrations!$D30&amp;"")</f>
        <v/>
      </c>
      <c r="H219" s="20" t="str">
        <f>IF(B219="","",Administrations!$N30&amp;"")</f>
        <v/>
      </c>
      <c r="I219" s="20" t="str">
        <f>IF(B219="","",Administrations!$Q30&amp;"")</f>
        <v/>
      </c>
      <c r="J219" s="20" t="str">
        <f>IF(B219="","",Administrations!$W30&amp;"")</f>
        <v/>
      </c>
      <c r="K219" s="20">
        <f>IF(B219="",0,Administrations!$X30)</f>
        <v>0</v>
      </c>
      <c r="L219" s="20">
        <f>IF(B219="",0,Administrations!$Y30)</f>
        <v>0</v>
      </c>
      <c r="M219" s="20" t="str">
        <f>IF(B219="","",Administrations!$AB30)</f>
        <v/>
      </c>
      <c r="N219" s="20" t="str">
        <f>IF(B219="","",Administrations!$AC30)</f>
        <v/>
      </c>
      <c r="O219" s="27" t="str">
        <f>IF(B219="","",Administrations!$Z30)</f>
        <v/>
      </c>
      <c r="P219" s="27" t="str">
        <f>IF(B219="","",Administrations!$AA30)</f>
        <v/>
      </c>
      <c r="Q219" s="20" t="str">
        <f t="shared" si="30"/>
        <v/>
      </c>
      <c r="R219" s="20" t="str">
        <f>IF(A219="","",IF(J219&lt;&gt;"",J219,IF(H219="TIMESTAMP",DAY(INT(M219/1440))&amp;" "&amp;INDEX(nLIST_Months,MONTH(INT(M219/1440)))&amp;" "&amp;YEAR(INT(M219/1440))&amp;" "&amp;RIGHT("0"&amp;INT(MOD(M219,1440)/60),2)&amp;":"&amp;RIGHT("0"&amp;MOD(M219,60),2)&amp;IF(L219=1," (UTC"&amp;I219&amp;")"," (offset unknown)"),IF(H219="DATE",DAY(O219)&amp;" "&amp;INDEX(nLIST_Months,MONTH(O219))&amp;" "&amp;YEAR(O219),IF(H219="MONTH",INDEX(nLIST_Months,MONTH(O219))&amp;" "&amp;YEAR(O219)&amp;" ("&amp;DAY(O219)&amp;" "&amp;INDEX(nLIST_Months,MONTH(O219))&amp;" "&amp;YEAR(O219)&amp;" to "&amp;DAY(P219)&amp;" "&amp;INDEX(nLIST_Months,MONTH(P219))&amp;" "&amp;YEAR(P219)&amp;")",IF(H219="YEAR",YEAR(O219)&amp;" (1 January to 31 December)",DAY(O219)&amp;" "&amp;INDEX(nLIST_Months,MONTH(O219))&amp;" "&amp;YEAR(O219)&amp;" to "&amp;DAY(P219)&amp;" "&amp;INDEX(nLIST_Months,MONTH(P219))&amp;" "&amp;YEAR(P219)))))))</f>
        <v/>
      </c>
      <c r="S219" s="20" t="str">
        <f>IF(B219="","",Administrations!$M30&amp;"")</f>
        <v/>
      </c>
      <c r="T219" s="20" t="str">
        <f>IF(B219="","",Administrations!$V30&amp;"")</f>
        <v/>
      </c>
      <c r="U219" s="20" t="str">
        <f>IF(B219="","","Administrations row "&amp;ROW(Administrations!$A30)&amp;", Administration")</f>
        <v/>
      </c>
      <c r="V219" s="20">
        <f>IF(A219="",0,COUNTIF(nTP_Key,A219))</f>
        <v>0</v>
      </c>
      <c r="W219" s="20">
        <f t="shared" si="31"/>
        <v>0</v>
      </c>
      <c r="X219" s="20">
        <f t="shared" si="32"/>
        <v>0</v>
      </c>
      <c r="Y219" s="20">
        <f t="shared" si="33"/>
        <v>0</v>
      </c>
      <c r="Z219" s="20">
        <f t="shared" si="34"/>
        <v>0</v>
      </c>
    </row>
    <row r="220" spans="1:26" x14ac:dyDescent="0.2">
      <c r="A220" s="20" t="str">
        <f t="shared" si="28"/>
        <v/>
      </c>
      <c r="B220" s="20" t="str">
        <f>IF(AND(Administrations!$C31&lt;&gt;"",COUNTA(Administrations!$N31:$U31)&gt;0),Administrations!$C31&amp;"","")</f>
        <v/>
      </c>
      <c r="C220" s="20" t="str">
        <f t="shared" si="27"/>
        <v/>
      </c>
      <c r="D220" s="20" t="str">
        <f>IF(B220="","",Administrations!$A31&amp;"")</f>
        <v/>
      </c>
      <c r="E220" s="20" t="str">
        <f>IF(B220="","",Administrations!$B31&amp;"")</f>
        <v/>
      </c>
      <c r="F220" s="20" t="str">
        <f t="shared" si="29"/>
        <v/>
      </c>
      <c r="G220" s="20" t="str">
        <f>IF(B220="","",Administrations!$D31&amp;"")</f>
        <v/>
      </c>
      <c r="H220" s="20" t="str">
        <f>IF(B220="","",Administrations!$N31&amp;"")</f>
        <v/>
      </c>
      <c r="I220" s="20" t="str">
        <f>IF(B220="","",Administrations!$Q31&amp;"")</f>
        <v/>
      </c>
      <c r="J220" s="20" t="str">
        <f>IF(B220="","",Administrations!$W31&amp;"")</f>
        <v/>
      </c>
      <c r="K220" s="20">
        <f>IF(B220="",0,Administrations!$X31)</f>
        <v>0</v>
      </c>
      <c r="L220" s="20">
        <f>IF(B220="",0,Administrations!$Y31)</f>
        <v>0</v>
      </c>
      <c r="M220" s="20" t="str">
        <f>IF(B220="","",Administrations!$AB31)</f>
        <v/>
      </c>
      <c r="N220" s="20" t="str">
        <f>IF(B220="","",Administrations!$AC31)</f>
        <v/>
      </c>
      <c r="O220" s="27" t="str">
        <f>IF(B220="","",Administrations!$Z31)</f>
        <v/>
      </c>
      <c r="P220" s="27" t="str">
        <f>IF(B220="","",Administrations!$AA31)</f>
        <v/>
      </c>
      <c r="Q220" s="20" t="str">
        <f t="shared" si="30"/>
        <v/>
      </c>
      <c r="R220" s="20" t="str">
        <f>IF(A220="","",IF(J220&lt;&gt;"",J220,IF(H220="TIMESTAMP",DAY(INT(M220/1440))&amp;" "&amp;INDEX(nLIST_Months,MONTH(INT(M220/1440)))&amp;" "&amp;YEAR(INT(M220/1440))&amp;" "&amp;RIGHT("0"&amp;INT(MOD(M220,1440)/60),2)&amp;":"&amp;RIGHT("0"&amp;MOD(M220,60),2)&amp;IF(L220=1," (UTC"&amp;I220&amp;")"," (offset unknown)"),IF(H220="DATE",DAY(O220)&amp;" "&amp;INDEX(nLIST_Months,MONTH(O220))&amp;" "&amp;YEAR(O220),IF(H220="MONTH",INDEX(nLIST_Months,MONTH(O220))&amp;" "&amp;YEAR(O220)&amp;" ("&amp;DAY(O220)&amp;" "&amp;INDEX(nLIST_Months,MONTH(O220))&amp;" "&amp;YEAR(O220)&amp;" to "&amp;DAY(P220)&amp;" "&amp;INDEX(nLIST_Months,MONTH(P220))&amp;" "&amp;YEAR(P220)&amp;")",IF(H220="YEAR",YEAR(O220)&amp;" (1 January to 31 December)",DAY(O220)&amp;" "&amp;INDEX(nLIST_Months,MONTH(O220))&amp;" "&amp;YEAR(O220)&amp;" to "&amp;DAY(P220)&amp;" "&amp;INDEX(nLIST_Months,MONTH(P220))&amp;" "&amp;YEAR(P220)))))))</f>
        <v/>
      </c>
      <c r="S220" s="20" t="str">
        <f>IF(B220="","",Administrations!$M31&amp;"")</f>
        <v/>
      </c>
      <c r="T220" s="20" t="str">
        <f>IF(B220="","",Administrations!$V31&amp;"")</f>
        <v/>
      </c>
      <c r="U220" s="20" t="str">
        <f>IF(B220="","","Administrations row "&amp;ROW(Administrations!$A31)&amp;", Administration")</f>
        <v/>
      </c>
      <c r="V220" s="20">
        <f>IF(A220="",0,COUNTIF(nTP_Key,A220))</f>
        <v>0</v>
      </c>
      <c r="W220" s="20">
        <f t="shared" si="31"/>
        <v>0</v>
      </c>
      <c r="X220" s="20">
        <f t="shared" si="32"/>
        <v>0</v>
      </c>
      <c r="Y220" s="20">
        <f t="shared" si="33"/>
        <v>0</v>
      </c>
      <c r="Z220" s="20">
        <f t="shared" si="34"/>
        <v>0</v>
      </c>
    </row>
    <row r="221" spans="1:26" x14ac:dyDescent="0.2">
      <c r="A221" s="20" t="str">
        <f t="shared" si="28"/>
        <v/>
      </c>
      <c r="B221" s="20" t="str">
        <f>IF(AND(Administrations!$C32&lt;&gt;"",COUNTA(Administrations!$N32:$U32)&gt;0),Administrations!$C32&amp;"","")</f>
        <v/>
      </c>
      <c r="C221" s="20" t="str">
        <f t="shared" si="27"/>
        <v/>
      </c>
      <c r="D221" s="20" t="str">
        <f>IF(B221="","",Administrations!$A32&amp;"")</f>
        <v/>
      </c>
      <c r="E221" s="20" t="str">
        <f>IF(B221="","",Administrations!$B32&amp;"")</f>
        <v/>
      </c>
      <c r="F221" s="20" t="str">
        <f t="shared" si="29"/>
        <v/>
      </c>
      <c r="G221" s="20" t="str">
        <f>IF(B221="","",Administrations!$D32&amp;"")</f>
        <v/>
      </c>
      <c r="H221" s="20" t="str">
        <f>IF(B221="","",Administrations!$N32&amp;"")</f>
        <v/>
      </c>
      <c r="I221" s="20" t="str">
        <f>IF(B221="","",Administrations!$Q32&amp;"")</f>
        <v/>
      </c>
      <c r="J221" s="20" t="str">
        <f>IF(B221="","",Administrations!$W32&amp;"")</f>
        <v/>
      </c>
      <c r="K221" s="20">
        <f>IF(B221="",0,Administrations!$X32)</f>
        <v>0</v>
      </c>
      <c r="L221" s="20">
        <f>IF(B221="",0,Administrations!$Y32)</f>
        <v>0</v>
      </c>
      <c r="M221" s="20" t="str">
        <f>IF(B221="","",Administrations!$AB32)</f>
        <v/>
      </c>
      <c r="N221" s="20" t="str">
        <f>IF(B221="","",Administrations!$AC32)</f>
        <v/>
      </c>
      <c r="O221" s="27" t="str">
        <f>IF(B221="","",Administrations!$Z32)</f>
        <v/>
      </c>
      <c r="P221" s="27" t="str">
        <f>IF(B221="","",Administrations!$AA32)</f>
        <v/>
      </c>
      <c r="Q221" s="20" t="str">
        <f t="shared" si="30"/>
        <v/>
      </c>
      <c r="R221" s="20" t="str">
        <f>IF(A221="","",IF(J221&lt;&gt;"",J221,IF(H221="TIMESTAMP",DAY(INT(M221/1440))&amp;" "&amp;INDEX(nLIST_Months,MONTH(INT(M221/1440)))&amp;" "&amp;YEAR(INT(M221/1440))&amp;" "&amp;RIGHT("0"&amp;INT(MOD(M221,1440)/60),2)&amp;":"&amp;RIGHT("0"&amp;MOD(M221,60),2)&amp;IF(L221=1," (UTC"&amp;I221&amp;")"," (offset unknown)"),IF(H221="DATE",DAY(O221)&amp;" "&amp;INDEX(nLIST_Months,MONTH(O221))&amp;" "&amp;YEAR(O221),IF(H221="MONTH",INDEX(nLIST_Months,MONTH(O221))&amp;" "&amp;YEAR(O221)&amp;" ("&amp;DAY(O221)&amp;" "&amp;INDEX(nLIST_Months,MONTH(O221))&amp;" "&amp;YEAR(O221)&amp;" to "&amp;DAY(P221)&amp;" "&amp;INDEX(nLIST_Months,MONTH(P221))&amp;" "&amp;YEAR(P221)&amp;")",IF(H221="YEAR",YEAR(O221)&amp;" (1 January to 31 December)",DAY(O221)&amp;" "&amp;INDEX(nLIST_Months,MONTH(O221))&amp;" "&amp;YEAR(O221)&amp;" to "&amp;DAY(P221)&amp;" "&amp;INDEX(nLIST_Months,MONTH(P221))&amp;" "&amp;YEAR(P221)))))))</f>
        <v/>
      </c>
      <c r="S221" s="20" t="str">
        <f>IF(B221="","",Administrations!$M32&amp;"")</f>
        <v/>
      </c>
      <c r="T221" s="20" t="str">
        <f>IF(B221="","",Administrations!$V32&amp;"")</f>
        <v/>
      </c>
      <c r="U221" s="20" t="str">
        <f>IF(B221="","","Administrations row "&amp;ROW(Administrations!$A32)&amp;", Administration")</f>
        <v/>
      </c>
      <c r="V221" s="20">
        <f>IF(A221="",0,COUNTIF(nTP_Key,A221))</f>
        <v>0</v>
      </c>
      <c r="W221" s="20">
        <f t="shared" si="31"/>
        <v>0</v>
      </c>
      <c r="X221" s="20">
        <f t="shared" si="32"/>
        <v>0</v>
      </c>
      <c r="Y221" s="20">
        <f t="shared" si="33"/>
        <v>0</v>
      </c>
      <c r="Z221" s="20">
        <f t="shared" si="34"/>
        <v>0</v>
      </c>
    </row>
    <row r="222" spans="1:26" x14ac:dyDescent="0.2">
      <c r="A222" s="20" t="str">
        <f t="shared" si="28"/>
        <v/>
      </c>
      <c r="B222" s="20" t="str">
        <f>IF(AND(Administrations!$C33&lt;&gt;"",COUNTA(Administrations!$N33:$U33)&gt;0),Administrations!$C33&amp;"","")</f>
        <v/>
      </c>
      <c r="C222" s="20" t="str">
        <f t="shared" si="27"/>
        <v/>
      </c>
      <c r="D222" s="20" t="str">
        <f>IF(B222="","",Administrations!$A33&amp;"")</f>
        <v/>
      </c>
      <c r="E222" s="20" t="str">
        <f>IF(B222="","",Administrations!$B33&amp;"")</f>
        <v/>
      </c>
      <c r="F222" s="20" t="str">
        <f t="shared" si="29"/>
        <v/>
      </c>
      <c r="G222" s="20" t="str">
        <f>IF(B222="","",Administrations!$D33&amp;"")</f>
        <v/>
      </c>
      <c r="H222" s="20" t="str">
        <f>IF(B222="","",Administrations!$N33&amp;"")</f>
        <v/>
      </c>
      <c r="I222" s="20" t="str">
        <f>IF(B222="","",Administrations!$Q33&amp;"")</f>
        <v/>
      </c>
      <c r="J222" s="20" t="str">
        <f>IF(B222="","",Administrations!$W33&amp;"")</f>
        <v/>
      </c>
      <c r="K222" s="20">
        <f>IF(B222="",0,Administrations!$X33)</f>
        <v>0</v>
      </c>
      <c r="L222" s="20">
        <f>IF(B222="",0,Administrations!$Y33)</f>
        <v>0</v>
      </c>
      <c r="M222" s="20" t="str">
        <f>IF(B222="","",Administrations!$AB33)</f>
        <v/>
      </c>
      <c r="N222" s="20" t="str">
        <f>IF(B222="","",Administrations!$AC33)</f>
        <v/>
      </c>
      <c r="O222" s="27" t="str">
        <f>IF(B222="","",Administrations!$Z33)</f>
        <v/>
      </c>
      <c r="P222" s="27" t="str">
        <f>IF(B222="","",Administrations!$AA33)</f>
        <v/>
      </c>
      <c r="Q222" s="20" t="str">
        <f t="shared" si="30"/>
        <v/>
      </c>
      <c r="R222" s="20" t="str">
        <f>IF(A222="","",IF(J222&lt;&gt;"",J222,IF(H222="TIMESTAMP",DAY(INT(M222/1440))&amp;" "&amp;INDEX(nLIST_Months,MONTH(INT(M222/1440)))&amp;" "&amp;YEAR(INT(M222/1440))&amp;" "&amp;RIGHT("0"&amp;INT(MOD(M222,1440)/60),2)&amp;":"&amp;RIGHT("0"&amp;MOD(M222,60),2)&amp;IF(L222=1," (UTC"&amp;I222&amp;")"," (offset unknown)"),IF(H222="DATE",DAY(O222)&amp;" "&amp;INDEX(nLIST_Months,MONTH(O222))&amp;" "&amp;YEAR(O222),IF(H222="MONTH",INDEX(nLIST_Months,MONTH(O222))&amp;" "&amp;YEAR(O222)&amp;" ("&amp;DAY(O222)&amp;" "&amp;INDEX(nLIST_Months,MONTH(O222))&amp;" "&amp;YEAR(O222)&amp;" to "&amp;DAY(P222)&amp;" "&amp;INDEX(nLIST_Months,MONTH(P222))&amp;" "&amp;YEAR(P222)&amp;")",IF(H222="YEAR",YEAR(O222)&amp;" (1 January to 31 December)",DAY(O222)&amp;" "&amp;INDEX(nLIST_Months,MONTH(O222))&amp;" "&amp;YEAR(O222)&amp;" to "&amp;DAY(P222)&amp;" "&amp;INDEX(nLIST_Months,MONTH(P222))&amp;" "&amp;YEAR(P222)))))))</f>
        <v/>
      </c>
      <c r="S222" s="20" t="str">
        <f>IF(B222="","",Administrations!$M33&amp;"")</f>
        <v/>
      </c>
      <c r="T222" s="20" t="str">
        <f>IF(B222="","",Administrations!$V33&amp;"")</f>
        <v/>
      </c>
      <c r="U222" s="20" t="str">
        <f>IF(B222="","","Administrations row "&amp;ROW(Administrations!$A33)&amp;", Administration")</f>
        <v/>
      </c>
      <c r="V222" s="20">
        <f>IF(A222="",0,COUNTIF(nTP_Key,A222))</f>
        <v>0</v>
      </c>
      <c r="W222" s="20">
        <f t="shared" si="31"/>
        <v>0</v>
      </c>
      <c r="X222" s="20">
        <f t="shared" si="32"/>
        <v>0</v>
      </c>
      <c r="Y222" s="20">
        <f t="shared" si="33"/>
        <v>0</v>
      </c>
      <c r="Z222" s="20">
        <f t="shared" si="34"/>
        <v>0</v>
      </c>
    </row>
    <row r="223" spans="1:26" x14ac:dyDescent="0.2">
      <c r="A223" s="20" t="str">
        <f t="shared" si="28"/>
        <v/>
      </c>
      <c r="B223" s="20" t="str">
        <f>IF(AND(Administrations!$C34&lt;&gt;"",COUNTA(Administrations!$N34:$U34)&gt;0),Administrations!$C34&amp;"","")</f>
        <v/>
      </c>
      <c r="C223" s="20" t="str">
        <f t="shared" si="27"/>
        <v/>
      </c>
      <c r="D223" s="20" t="str">
        <f>IF(B223="","",Administrations!$A34&amp;"")</f>
        <v/>
      </c>
      <c r="E223" s="20" t="str">
        <f>IF(B223="","",Administrations!$B34&amp;"")</f>
        <v/>
      </c>
      <c r="F223" s="20" t="str">
        <f t="shared" si="29"/>
        <v/>
      </c>
      <c r="G223" s="20" t="str">
        <f>IF(B223="","",Administrations!$D34&amp;"")</f>
        <v/>
      </c>
      <c r="H223" s="20" t="str">
        <f>IF(B223="","",Administrations!$N34&amp;"")</f>
        <v/>
      </c>
      <c r="I223" s="20" t="str">
        <f>IF(B223="","",Administrations!$Q34&amp;"")</f>
        <v/>
      </c>
      <c r="J223" s="20" t="str">
        <f>IF(B223="","",Administrations!$W34&amp;"")</f>
        <v/>
      </c>
      <c r="K223" s="20">
        <f>IF(B223="",0,Administrations!$X34)</f>
        <v>0</v>
      </c>
      <c r="L223" s="20">
        <f>IF(B223="",0,Administrations!$Y34)</f>
        <v>0</v>
      </c>
      <c r="M223" s="20" t="str">
        <f>IF(B223="","",Administrations!$AB34)</f>
        <v/>
      </c>
      <c r="N223" s="20" t="str">
        <f>IF(B223="","",Administrations!$AC34)</f>
        <v/>
      </c>
      <c r="O223" s="27" t="str">
        <f>IF(B223="","",Administrations!$Z34)</f>
        <v/>
      </c>
      <c r="P223" s="27" t="str">
        <f>IF(B223="","",Administrations!$AA34)</f>
        <v/>
      </c>
      <c r="Q223" s="20" t="str">
        <f t="shared" si="30"/>
        <v/>
      </c>
      <c r="R223" s="20" t="str">
        <f>IF(A223="","",IF(J223&lt;&gt;"",J223,IF(H223="TIMESTAMP",DAY(INT(M223/1440))&amp;" "&amp;INDEX(nLIST_Months,MONTH(INT(M223/1440)))&amp;" "&amp;YEAR(INT(M223/1440))&amp;" "&amp;RIGHT("0"&amp;INT(MOD(M223,1440)/60),2)&amp;":"&amp;RIGHT("0"&amp;MOD(M223,60),2)&amp;IF(L223=1," (UTC"&amp;I223&amp;")"," (offset unknown)"),IF(H223="DATE",DAY(O223)&amp;" "&amp;INDEX(nLIST_Months,MONTH(O223))&amp;" "&amp;YEAR(O223),IF(H223="MONTH",INDEX(nLIST_Months,MONTH(O223))&amp;" "&amp;YEAR(O223)&amp;" ("&amp;DAY(O223)&amp;" "&amp;INDEX(nLIST_Months,MONTH(O223))&amp;" "&amp;YEAR(O223)&amp;" to "&amp;DAY(P223)&amp;" "&amp;INDEX(nLIST_Months,MONTH(P223))&amp;" "&amp;YEAR(P223)&amp;")",IF(H223="YEAR",YEAR(O223)&amp;" (1 January to 31 December)",DAY(O223)&amp;" "&amp;INDEX(nLIST_Months,MONTH(O223))&amp;" "&amp;YEAR(O223)&amp;" to "&amp;DAY(P223)&amp;" "&amp;INDEX(nLIST_Months,MONTH(P223))&amp;" "&amp;YEAR(P223)))))))</f>
        <v/>
      </c>
      <c r="S223" s="20" t="str">
        <f>IF(B223="","",Administrations!$M34&amp;"")</f>
        <v/>
      </c>
      <c r="T223" s="20" t="str">
        <f>IF(B223="","",Administrations!$V34&amp;"")</f>
        <v/>
      </c>
      <c r="U223" s="20" t="str">
        <f>IF(B223="","","Administrations row "&amp;ROW(Administrations!$A34)&amp;", Administration")</f>
        <v/>
      </c>
      <c r="V223" s="20">
        <f>IF(A223="",0,COUNTIF(nTP_Key,A223))</f>
        <v>0</v>
      </c>
      <c r="W223" s="20">
        <f t="shared" si="31"/>
        <v>0</v>
      </c>
      <c r="X223" s="20">
        <f t="shared" si="32"/>
        <v>0</v>
      </c>
      <c r="Y223" s="20">
        <f t="shared" si="33"/>
        <v>0</v>
      </c>
      <c r="Z223" s="20">
        <f t="shared" si="34"/>
        <v>0</v>
      </c>
    </row>
    <row r="224" spans="1:26" x14ac:dyDescent="0.2">
      <c r="A224" s="20" t="str">
        <f t="shared" si="28"/>
        <v/>
      </c>
      <c r="B224" s="20" t="str">
        <f>IF(AND(Administrations!$C35&lt;&gt;"",COUNTA(Administrations!$N35:$U35)&gt;0),Administrations!$C35&amp;"","")</f>
        <v/>
      </c>
      <c r="C224" s="20" t="str">
        <f t="shared" si="27"/>
        <v/>
      </c>
      <c r="D224" s="20" t="str">
        <f>IF(B224="","",Administrations!$A35&amp;"")</f>
        <v/>
      </c>
      <c r="E224" s="20" t="str">
        <f>IF(B224="","",Administrations!$B35&amp;"")</f>
        <v/>
      </c>
      <c r="F224" s="20" t="str">
        <f t="shared" si="29"/>
        <v/>
      </c>
      <c r="G224" s="20" t="str">
        <f>IF(B224="","",Administrations!$D35&amp;"")</f>
        <v/>
      </c>
      <c r="H224" s="20" t="str">
        <f>IF(B224="","",Administrations!$N35&amp;"")</f>
        <v/>
      </c>
      <c r="I224" s="20" t="str">
        <f>IF(B224="","",Administrations!$Q35&amp;"")</f>
        <v/>
      </c>
      <c r="J224" s="20" t="str">
        <f>IF(B224="","",Administrations!$W35&amp;"")</f>
        <v/>
      </c>
      <c r="K224" s="20">
        <f>IF(B224="",0,Administrations!$X35)</f>
        <v>0</v>
      </c>
      <c r="L224" s="20">
        <f>IF(B224="",0,Administrations!$Y35)</f>
        <v>0</v>
      </c>
      <c r="M224" s="20" t="str">
        <f>IF(B224="","",Administrations!$AB35)</f>
        <v/>
      </c>
      <c r="N224" s="20" t="str">
        <f>IF(B224="","",Administrations!$AC35)</f>
        <v/>
      </c>
      <c r="O224" s="27" t="str">
        <f>IF(B224="","",Administrations!$Z35)</f>
        <v/>
      </c>
      <c r="P224" s="27" t="str">
        <f>IF(B224="","",Administrations!$AA35)</f>
        <v/>
      </c>
      <c r="Q224" s="20" t="str">
        <f t="shared" si="30"/>
        <v/>
      </c>
      <c r="R224" s="20" t="str">
        <f>IF(A224="","",IF(J224&lt;&gt;"",J224,IF(H224="TIMESTAMP",DAY(INT(M224/1440))&amp;" "&amp;INDEX(nLIST_Months,MONTH(INT(M224/1440)))&amp;" "&amp;YEAR(INT(M224/1440))&amp;" "&amp;RIGHT("0"&amp;INT(MOD(M224,1440)/60),2)&amp;":"&amp;RIGHT("0"&amp;MOD(M224,60),2)&amp;IF(L224=1," (UTC"&amp;I224&amp;")"," (offset unknown)"),IF(H224="DATE",DAY(O224)&amp;" "&amp;INDEX(nLIST_Months,MONTH(O224))&amp;" "&amp;YEAR(O224),IF(H224="MONTH",INDEX(nLIST_Months,MONTH(O224))&amp;" "&amp;YEAR(O224)&amp;" ("&amp;DAY(O224)&amp;" "&amp;INDEX(nLIST_Months,MONTH(O224))&amp;" "&amp;YEAR(O224)&amp;" to "&amp;DAY(P224)&amp;" "&amp;INDEX(nLIST_Months,MONTH(P224))&amp;" "&amp;YEAR(P224)&amp;")",IF(H224="YEAR",YEAR(O224)&amp;" (1 January to 31 December)",DAY(O224)&amp;" "&amp;INDEX(nLIST_Months,MONTH(O224))&amp;" "&amp;YEAR(O224)&amp;" to "&amp;DAY(P224)&amp;" "&amp;INDEX(nLIST_Months,MONTH(P224))&amp;" "&amp;YEAR(P224)))))))</f>
        <v/>
      </c>
      <c r="S224" s="20" t="str">
        <f>IF(B224="","",Administrations!$M35&amp;"")</f>
        <v/>
      </c>
      <c r="T224" s="20" t="str">
        <f>IF(B224="","",Administrations!$V35&amp;"")</f>
        <v/>
      </c>
      <c r="U224" s="20" t="str">
        <f>IF(B224="","","Administrations row "&amp;ROW(Administrations!$A35)&amp;", Administration")</f>
        <v/>
      </c>
      <c r="V224" s="20">
        <f>IF(A224="",0,COUNTIF(nTP_Key,A224))</f>
        <v>0</v>
      </c>
      <c r="W224" s="20">
        <f t="shared" si="31"/>
        <v>0</v>
      </c>
      <c r="X224" s="20">
        <f t="shared" si="32"/>
        <v>0</v>
      </c>
      <c r="Y224" s="20">
        <f t="shared" si="33"/>
        <v>0</v>
      </c>
      <c r="Z224" s="20">
        <f t="shared" si="34"/>
        <v>0</v>
      </c>
    </row>
    <row r="225" spans="1:26" x14ac:dyDescent="0.2">
      <c r="A225" s="20" t="str">
        <f t="shared" si="28"/>
        <v/>
      </c>
      <c r="B225" s="20" t="str">
        <f>IF(AND(Administrations!$C36&lt;&gt;"",COUNTA(Administrations!$N36:$U36)&gt;0),Administrations!$C36&amp;"","")</f>
        <v/>
      </c>
      <c r="C225" s="20" t="str">
        <f t="shared" si="27"/>
        <v/>
      </c>
      <c r="D225" s="20" t="str">
        <f>IF(B225="","",Administrations!$A36&amp;"")</f>
        <v/>
      </c>
      <c r="E225" s="20" t="str">
        <f>IF(B225="","",Administrations!$B36&amp;"")</f>
        <v/>
      </c>
      <c r="F225" s="20" t="str">
        <f t="shared" si="29"/>
        <v/>
      </c>
      <c r="G225" s="20" t="str">
        <f>IF(B225="","",Administrations!$D36&amp;"")</f>
        <v/>
      </c>
      <c r="H225" s="20" t="str">
        <f>IF(B225="","",Administrations!$N36&amp;"")</f>
        <v/>
      </c>
      <c r="I225" s="20" t="str">
        <f>IF(B225="","",Administrations!$Q36&amp;"")</f>
        <v/>
      </c>
      <c r="J225" s="20" t="str">
        <f>IF(B225="","",Administrations!$W36&amp;"")</f>
        <v/>
      </c>
      <c r="K225" s="20">
        <f>IF(B225="",0,Administrations!$X36)</f>
        <v>0</v>
      </c>
      <c r="L225" s="20">
        <f>IF(B225="",0,Administrations!$Y36)</f>
        <v>0</v>
      </c>
      <c r="M225" s="20" t="str">
        <f>IF(B225="","",Administrations!$AB36)</f>
        <v/>
      </c>
      <c r="N225" s="20" t="str">
        <f>IF(B225="","",Administrations!$AC36)</f>
        <v/>
      </c>
      <c r="O225" s="27" t="str">
        <f>IF(B225="","",Administrations!$Z36)</f>
        <v/>
      </c>
      <c r="P225" s="27" t="str">
        <f>IF(B225="","",Administrations!$AA36)</f>
        <v/>
      </c>
      <c r="Q225" s="20" t="str">
        <f t="shared" si="30"/>
        <v/>
      </c>
      <c r="R225" s="20" t="str">
        <f>IF(A225="","",IF(J225&lt;&gt;"",J225,IF(H225="TIMESTAMP",DAY(INT(M225/1440))&amp;" "&amp;INDEX(nLIST_Months,MONTH(INT(M225/1440)))&amp;" "&amp;YEAR(INT(M225/1440))&amp;" "&amp;RIGHT("0"&amp;INT(MOD(M225,1440)/60),2)&amp;":"&amp;RIGHT("0"&amp;MOD(M225,60),2)&amp;IF(L225=1," (UTC"&amp;I225&amp;")"," (offset unknown)"),IF(H225="DATE",DAY(O225)&amp;" "&amp;INDEX(nLIST_Months,MONTH(O225))&amp;" "&amp;YEAR(O225),IF(H225="MONTH",INDEX(nLIST_Months,MONTH(O225))&amp;" "&amp;YEAR(O225)&amp;" ("&amp;DAY(O225)&amp;" "&amp;INDEX(nLIST_Months,MONTH(O225))&amp;" "&amp;YEAR(O225)&amp;" to "&amp;DAY(P225)&amp;" "&amp;INDEX(nLIST_Months,MONTH(P225))&amp;" "&amp;YEAR(P225)&amp;")",IF(H225="YEAR",YEAR(O225)&amp;" (1 January to 31 December)",DAY(O225)&amp;" "&amp;INDEX(nLIST_Months,MONTH(O225))&amp;" "&amp;YEAR(O225)&amp;" to "&amp;DAY(P225)&amp;" "&amp;INDEX(nLIST_Months,MONTH(P225))&amp;" "&amp;YEAR(P225)))))))</f>
        <v/>
      </c>
      <c r="S225" s="20" t="str">
        <f>IF(B225="","",Administrations!$M36&amp;"")</f>
        <v/>
      </c>
      <c r="T225" s="20" t="str">
        <f>IF(B225="","",Administrations!$V36&amp;"")</f>
        <v/>
      </c>
      <c r="U225" s="20" t="str">
        <f>IF(B225="","","Administrations row "&amp;ROW(Administrations!$A36)&amp;", Administration")</f>
        <v/>
      </c>
      <c r="V225" s="20">
        <f>IF(A225="",0,COUNTIF(nTP_Key,A225))</f>
        <v>0</v>
      </c>
      <c r="W225" s="20">
        <f t="shared" si="31"/>
        <v>0</v>
      </c>
      <c r="X225" s="20">
        <f t="shared" si="32"/>
        <v>0</v>
      </c>
      <c r="Y225" s="20">
        <f t="shared" si="33"/>
        <v>0</v>
      </c>
      <c r="Z225" s="20">
        <f t="shared" si="34"/>
        <v>0</v>
      </c>
    </row>
    <row r="226" spans="1:26" x14ac:dyDescent="0.2">
      <c r="A226" s="20" t="str">
        <f t="shared" si="28"/>
        <v/>
      </c>
      <c r="B226" s="20" t="str">
        <f>IF(AND(Administrations!$C37&lt;&gt;"",COUNTA(Administrations!$N37:$U37)&gt;0),Administrations!$C37&amp;"","")</f>
        <v/>
      </c>
      <c r="C226" s="20" t="str">
        <f t="shared" ref="C226:C257" si="35">IF(B226="","","ADMINISTRATION")</f>
        <v/>
      </c>
      <c r="D226" s="20" t="str">
        <f>IF(B226="","",Administrations!$A37&amp;"")</f>
        <v/>
      </c>
      <c r="E226" s="20" t="str">
        <f>IF(B226="","",Administrations!$B37&amp;"")</f>
        <v/>
      </c>
      <c r="F226" s="20" t="str">
        <f t="shared" si="29"/>
        <v/>
      </c>
      <c r="G226" s="20" t="str">
        <f>IF(B226="","",Administrations!$D37&amp;"")</f>
        <v/>
      </c>
      <c r="H226" s="20" t="str">
        <f>IF(B226="","",Administrations!$N37&amp;"")</f>
        <v/>
      </c>
      <c r="I226" s="20" t="str">
        <f>IF(B226="","",Administrations!$Q37&amp;"")</f>
        <v/>
      </c>
      <c r="J226" s="20" t="str">
        <f>IF(B226="","",Administrations!$W37&amp;"")</f>
        <v/>
      </c>
      <c r="K226" s="20">
        <f>IF(B226="",0,Administrations!$X37)</f>
        <v>0</v>
      </c>
      <c r="L226" s="20">
        <f>IF(B226="",0,Administrations!$Y37)</f>
        <v>0</v>
      </c>
      <c r="M226" s="20" t="str">
        <f>IF(B226="","",Administrations!$AB37)</f>
        <v/>
      </c>
      <c r="N226" s="20" t="str">
        <f>IF(B226="","",Administrations!$AC37)</f>
        <v/>
      </c>
      <c r="O226" s="27" t="str">
        <f>IF(B226="","",Administrations!$Z37)</f>
        <v/>
      </c>
      <c r="P226" s="27" t="str">
        <f>IF(B226="","",Administrations!$AA37)</f>
        <v/>
      </c>
      <c r="Q226" s="20" t="str">
        <f t="shared" si="30"/>
        <v/>
      </c>
      <c r="R226" s="20" t="str">
        <f>IF(A226="","",IF(J226&lt;&gt;"",J226,IF(H226="TIMESTAMP",DAY(INT(M226/1440))&amp;" "&amp;INDEX(nLIST_Months,MONTH(INT(M226/1440)))&amp;" "&amp;YEAR(INT(M226/1440))&amp;" "&amp;RIGHT("0"&amp;INT(MOD(M226,1440)/60),2)&amp;":"&amp;RIGHT("0"&amp;MOD(M226,60),2)&amp;IF(L226=1," (UTC"&amp;I226&amp;")"," (offset unknown)"),IF(H226="DATE",DAY(O226)&amp;" "&amp;INDEX(nLIST_Months,MONTH(O226))&amp;" "&amp;YEAR(O226),IF(H226="MONTH",INDEX(nLIST_Months,MONTH(O226))&amp;" "&amp;YEAR(O226)&amp;" ("&amp;DAY(O226)&amp;" "&amp;INDEX(nLIST_Months,MONTH(O226))&amp;" "&amp;YEAR(O226)&amp;" to "&amp;DAY(P226)&amp;" "&amp;INDEX(nLIST_Months,MONTH(P226))&amp;" "&amp;YEAR(P226)&amp;")",IF(H226="YEAR",YEAR(O226)&amp;" (1 January to 31 December)",DAY(O226)&amp;" "&amp;INDEX(nLIST_Months,MONTH(O226))&amp;" "&amp;YEAR(O226)&amp;" to "&amp;DAY(P226)&amp;" "&amp;INDEX(nLIST_Months,MONTH(P226))&amp;" "&amp;YEAR(P226)))))))</f>
        <v/>
      </c>
      <c r="S226" s="20" t="str">
        <f>IF(B226="","",Administrations!$M37&amp;"")</f>
        <v/>
      </c>
      <c r="T226" s="20" t="str">
        <f>IF(B226="","",Administrations!$V37&amp;"")</f>
        <v/>
      </c>
      <c r="U226" s="20" t="str">
        <f>IF(B226="","","Administrations row "&amp;ROW(Administrations!$A37)&amp;", Administration")</f>
        <v/>
      </c>
      <c r="V226" s="20">
        <f>IF(A226="",0,COUNTIF(nTP_Key,A226))</f>
        <v>0</v>
      </c>
      <c r="W226" s="20">
        <f t="shared" si="31"/>
        <v>0</v>
      </c>
      <c r="X226" s="20">
        <f t="shared" si="32"/>
        <v>0</v>
      </c>
      <c r="Y226" s="20">
        <f t="shared" si="33"/>
        <v>0</v>
      </c>
      <c r="Z226" s="20">
        <f t="shared" si="34"/>
        <v>0</v>
      </c>
    </row>
    <row r="227" spans="1:26" x14ac:dyDescent="0.2">
      <c r="A227" s="20" t="str">
        <f t="shared" si="28"/>
        <v/>
      </c>
      <c r="B227" s="20" t="str">
        <f>IF(AND(Administrations!$C38&lt;&gt;"",COUNTA(Administrations!$N38:$U38)&gt;0),Administrations!$C38&amp;"","")</f>
        <v/>
      </c>
      <c r="C227" s="20" t="str">
        <f t="shared" si="35"/>
        <v/>
      </c>
      <c r="D227" s="20" t="str">
        <f>IF(B227="","",Administrations!$A38&amp;"")</f>
        <v/>
      </c>
      <c r="E227" s="20" t="str">
        <f>IF(B227="","",Administrations!$B38&amp;"")</f>
        <v/>
      </c>
      <c r="F227" s="20" t="str">
        <f t="shared" si="29"/>
        <v/>
      </c>
      <c r="G227" s="20" t="str">
        <f>IF(B227="","",Administrations!$D38&amp;"")</f>
        <v/>
      </c>
      <c r="H227" s="20" t="str">
        <f>IF(B227="","",Administrations!$N38&amp;"")</f>
        <v/>
      </c>
      <c r="I227" s="20" t="str">
        <f>IF(B227="","",Administrations!$Q38&amp;"")</f>
        <v/>
      </c>
      <c r="J227" s="20" t="str">
        <f>IF(B227="","",Administrations!$W38&amp;"")</f>
        <v/>
      </c>
      <c r="K227" s="20">
        <f>IF(B227="",0,Administrations!$X38)</f>
        <v>0</v>
      </c>
      <c r="L227" s="20">
        <f>IF(B227="",0,Administrations!$Y38)</f>
        <v>0</v>
      </c>
      <c r="M227" s="20" t="str">
        <f>IF(B227="","",Administrations!$AB38)</f>
        <v/>
      </c>
      <c r="N227" s="20" t="str">
        <f>IF(B227="","",Administrations!$AC38)</f>
        <v/>
      </c>
      <c r="O227" s="27" t="str">
        <f>IF(B227="","",Administrations!$Z38)</f>
        <v/>
      </c>
      <c r="P227" s="27" t="str">
        <f>IF(B227="","",Administrations!$AA38)</f>
        <v/>
      </c>
      <c r="Q227" s="20" t="str">
        <f t="shared" si="30"/>
        <v/>
      </c>
      <c r="R227" s="20" t="str">
        <f>IF(A227="","",IF(J227&lt;&gt;"",J227,IF(H227="TIMESTAMP",DAY(INT(M227/1440))&amp;" "&amp;INDEX(nLIST_Months,MONTH(INT(M227/1440)))&amp;" "&amp;YEAR(INT(M227/1440))&amp;" "&amp;RIGHT("0"&amp;INT(MOD(M227,1440)/60),2)&amp;":"&amp;RIGHT("0"&amp;MOD(M227,60),2)&amp;IF(L227=1," (UTC"&amp;I227&amp;")"," (offset unknown)"),IF(H227="DATE",DAY(O227)&amp;" "&amp;INDEX(nLIST_Months,MONTH(O227))&amp;" "&amp;YEAR(O227),IF(H227="MONTH",INDEX(nLIST_Months,MONTH(O227))&amp;" "&amp;YEAR(O227)&amp;" ("&amp;DAY(O227)&amp;" "&amp;INDEX(nLIST_Months,MONTH(O227))&amp;" "&amp;YEAR(O227)&amp;" to "&amp;DAY(P227)&amp;" "&amp;INDEX(nLIST_Months,MONTH(P227))&amp;" "&amp;YEAR(P227)&amp;")",IF(H227="YEAR",YEAR(O227)&amp;" (1 January to 31 December)",DAY(O227)&amp;" "&amp;INDEX(nLIST_Months,MONTH(O227))&amp;" "&amp;YEAR(O227)&amp;" to "&amp;DAY(P227)&amp;" "&amp;INDEX(nLIST_Months,MONTH(P227))&amp;" "&amp;YEAR(P227)))))))</f>
        <v/>
      </c>
      <c r="S227" s="20" t="str">
        <f>IF(B227="","",Administrations!$M38&amp;"")</f>
        <v/>
      </c>
      <c r="T227" s="20" t="str">
        <f>IF(B227="","",Administrations!$V38&amp;"")</f>
        <v/>
      </c>
      <c r="U227" s="20" t="str">
        <f>IF(B227="","","Administrations row "&amp;ROW(Administrations!$A38)&amp;", Administration")</f>
        <v/>
      </c>
      <c r="V227" s="20">
        <f>IF(A227="",0,COUNTIF(nTP_Key,A227))</f>
        <v>0</v>
      </c>
      <c r="W227" s="20">
        <f t="shared" si="31"/>
        <v>0</v>
      </c>
      <c r="X227" s="20">
        <f t="shared" si="32"/>
        <v>0</v>
      </c>
      <c r="Y227" s="20">
        <f t="shared" si="33"/>
        <v>0</v>
      </c>
      <c r="Z227" s="20">
        <f t="shared" si="34"/>
        <v>0</v>
      </c>
    </row>
    <row r="228" spans="1:26" x14ac:dyDescent="0.2">
      <c r="A228" s="20" t="str">
        <f t="shared" si="28"/>
        <v/>
      </c>
      <c r="B228" s="20" t="str">
        <f>IF(AND(Administrations!$C39&lt;&gt;"",COUNTA(Administrations!$N39:$U39)&gt;0),Administrations!$C39&amp;"","")</f>
        <v/>
      </c>
      <c r="C228" s="20" t="str">
        <f t="shared" si="35"/>
        <v/>
      </c>
      <c r="D228" s="20" t="str">
        <f>IF(B228="","",Administrations!$A39&amp;"")</f>
        <v/>
      </c>
      <c r="E228" s="20" t="str">
        <f>IF(B228="","",Administrations!$B39&amp;"")</f>
        <v/>
      </c>
      <c r="F228" s="20" t="str">
        <f t="shared" si="29"/>
        <v/>
      </c>
      <c r="G228" s="20" t="str">
        <f>IF(B228="","",Administrations!$D39&amp;"")</f>
        <v/>
      </c>
      <c r="H228" s="20" t="str">
        <f>IF(B228="","",Administrations!$N39&amp;"")</f>
        <v/>
      </c>
      <c r="I228" s="20" t="str">
        <f>IF(B228="","",Administrations!$Q39&amp;"")</f>
        <v/>
      </c>
      <c r="J228" s="20" t="str">
        <f>IF(B228="","",Administrations!$W39&amp;"")</f>
        <v/>
      </c>
      <c r="K228" s="20">
        <f>IF(B228="",0,Administrations!$X39)</f>
        <v>0</v>
      </c>
      <c r="L228" s="20">
        <f>IF(B228="",0,Administrations!$Y39)</f>
        <v>0</v>
      </c>
      <c r="M228" s="20" t="str">
        <f>IF(B228="","",Administrations!$AB39)</f>
        <v/>
      </c>
      <c r="N228" s="20" t="str">
        <f>IF(B228="","",Administrations!$AC39)</f>
        <v/>
      </c>
      <c r="O228" s="27" t="str">
        <f>IF(B228="","",Administrations!$Z39)</f>
        <v/>
      </c>
      <c r="P228" s="27" t="str">
        <f>IF(B228="","",Administrations!$AA39)</f>
        <v/>
      </c>
      <c r="Q228" s="20" t="str">
        <f t="shared" si="30"/>
        <v/>
      </c>
      <c r="R228" s="20" t="str">
        <f>IF(A228="","",IF(J228&lt;&gt;"",J228,IF(H228="TIMESTAMP",DAY(INT(M228/1440))&amp;" "&amp;INDEX(nLIST_Months,MONTH(INT(M228/1440)))&amp;" "&amp;YEAR(INT(M228/1440))&amp;" "&amp;RIGHT("0"&amp;INT(MOD(M228,1440)/60),2)&amp;":"&amp;RIGHT("0"&amp;MOD(M228,60),2)&amp;IF(L228=1," (UTC"&amp;I228&amp;")"," (offset unknown)"),IF(H228="DATE",DAY(O228)&amp;" "&amp;INDEX(nLIST_Months,MONTH(O228))&amp;" "&amp;YEAR(O228),IF(H228="MONTH",INDEX(nLIST_Months,MONTH(O228))&amp;" "&amp;YEAR(O228)&amp;" ("&amp;DAY(O228)&amp;" "&amp;INDEX(nLIST_Months,MONTH(O228))&amp;" "&amp;YEAR(O228)&amp;" to "&amp;DAY(P228)&amp;" "&amp;INDEX(nLIST_Months,MONTH(P228))&amp;" "&amp;YEAR(P228)&amp;")",IF(H228="YEAR",YEAR(O228)&amp;" (1 January to 31 December)",DAY(O228)&amp;" "&amp;INDEX(nLIST_Months,MONTH(O228))&amp;" "&amp;YEAR(O228)&amp;" to "&amp;DAY(P228)&amp;" "&amp;INDEX(nLIST_Months,MONTH(P228))&amp;" "&amp;YEAR(P228)))))))</f>
        <v/>
      </c>
      <c r="S228" s="20" t="str">
        <f>IF(B228="","",Administrations!$M39&amp;"")</f>
        <v/>
      </c>
      <c r="T228" s="20" t="str">
        <f>IF(B228="","",Administrations!$V39&amp;"")</f>
        <v/>
      </c>
      <c r="U228" s="20" t="str">
        <f>IF(B228="","","Administrations row "&amp;ROW(Administrations!$A39)&amp;", Administration")</f>
        <v/>
      </c>
      <c r="V228" s="20">
        <f>IF(A228="",0,COUNTIF(nTP_Key,A228))</f>
        <v>0</v>
      </c>
      <c r="W228" s="20">
        <f t="shared" si="31"/>
        <v>0</v>
      </c>
      <c r="X228" s="20">
        <f t="shared" si="32"/>
        <v>0</v>
      </c>
      <c r="Y228" s="20">
        <f t="shared" si="33"/>
        <v>0</v>
      </c>
      <c r="Z228" s="20">
        <f t="shared" si="34"/>
        <v>0</v>
      </c>
    </row>
    <row r="229" spans="1:26" x14ac:dyDescent="0.2">
      <c r="A229" s="20" t="str">
        <f t="shared" si="28"/>
        <v/>
      </c>
      <c r="B229" s="20" t="str">
        <f>IF(AND(Administrations!$C40&lt;&gt;"",COUNTA(Administrations!$N40:$U40)&gt;0),Administrations!$C40&amp;"","")</f>
        <v/>
      </c>
      <c r="C229" s="20" t="str">
        <f t="shared" si="35"/>
        <v/>
      </c>
      <c r="D229" s="20" t="str">
        <f>IF(B229="","",Administrations!$A40&amp;"")</f>
        <v/>
      </c>
      <c r="E229" s="20" t="str">
        <f>IF(B229="","",Administrations!$B40&amp;"")</f>
        <v/>
      </c>
      <c r="F229" s="20" t="str">
        <f t="shared" si="29"/>
        <v/>
      </c>
      <c r="G229" s="20" t="str">
        <f>IF(B229="","",Administrations!$D40&amp;"")</f>
        <v/>
      </c>
      <c r="H229" s="20" t="str">
        <f>IF(B229="","",Administrations!$N40&amp;"")</f>
        <v/>
      </c>
      <c r="I229" s="20" t="str">
        <f>IF(B229="","",Administrations!$Q40&amp;"")</f>
        <v/>
      </c>
      <c r="J229" s="20" t="str">
        <f>IF(B229="","",Administrations!$W40&amp;"")</f>
        <v/>
      </c>
      <c r="K229" s="20">
        <f>IF(B229="",0,Administrations!$X40)</f>
        <v>0</v>
      </c>
      <c r="L229" s="20">
        <f>IF(B229="",0,Administrations!$Y40)</f>
        <v>0</v>
      </c>
      <c r="M229" s="20" t="str">
        <f>IF(B229="","",Administrations!$AB40)</f>
        <v/>
      </c>
      <c r="N229" s="20" t="str">
        <f>IF(B229="","",Administrations!$AC40)</f>
        <v/>
      </c>
      <c r="O229" s="27" t="str">
        <f>IF(B229="","",Administrations!$Z40)</f>
        <v/>
      </c>
      <c r="P229" s="27" t="str">
        <f>IF(B229="","",Administrations!$AA40)</f>
        <v/>
      </c>
      <c r="Q229" s="20" t="str">
        <f t="shared" si="30"/>
        <v/>
      </c>
      <c r="R229" s="20" t="str">
        <f>IF(A229="","",IF(J229&lt;&gt;"",J229,IF(H229="TIMESTAMP",DAY(INT(M229/1440))&amp;" "&amp;INDEX(nLIST_Months,MONTH(INT(M229/1440)))&amp;" "&amp;YEAR(INT(M229/1440))&amp;" "&amp;RIGHT("0"&amp;INT(MOD(M229,1440)/60),2)&amp;":"&amp;RIGHT("0"&amp;MOD(M229,60),2)&amp;IF(L229=1," (UTC"&amp;I229&amp;")"," (offset unknown)"),IF(H229="DATE",DAY(O229)&amp;" "&amp;INDEX(nLIST_Months,MONTH(O229))&amp;" "&amp;YEAR(O229),IF(H229="MONTH",INDEX(nLIST_Months,MONTH(O229))&amp;" "&amp;YEAR(O229)&amp;" ("&amp;DAY(O229)&amp;" "&amp;INDEX(nLIST_Months,MONTH(O229))&amp;" "&amp;YEAR(O229)&amp;" to "&amp;DAY(P229)&amp;" "&amp;INDEX(nLIST_Months,MONTH(P229))&amp;" "&amp;YEAR(P229)&amp;")",IF(H229="YEAR",YEAR(O229)&amp;" (1 January to 31 December)",DAY(O229)&amp;" "&amp;INDEX(nLIST_Months,MONTH(O229))&amp;" "&amp;YEAR(O229)&amp;" to "&amp;DAY(P229)&amp;" "&amp;INDEX(nLIST_Months,MONTH(P229))&amp;" "&amp;YEAR(P229)))))))</f>
        <v/>
      </c>
      <c r="S229" s="20" t="str">
        <f>IF(B229="","",Administrations!$M40&amp;"")</f>
        <v/>
      </c>
      <c r="T229" s="20" t="str">
        <f>IF(B229="","",Administrations!$V40&amp;"")</f>
        <v/>
      </c>
      <c r="U229" s="20" t="str">
        <f>IF(B229="","","Administrations row "&amp;ROW(Administrations!$A40)&amp;", Administration")</f>
        <v/>
      </c>
      <c r="V229" s="20">
        <f>IF(A229="",0,COUNTIF(nTP_Key,A229))</f>
        <v>0</v>
      </c>
      <c r="W229" s="20">
        <f t="shared" si="31"/>
        <v>0</v>
      </c>
      <c r="X229" s="20">
        <f t="shared" si="32"/>
        <v>0</v>
      </c>
      <c r="Y229" s="20">
        <f t="shared" si="33"/>
        <v>0</v>
      </c>
      <c r="Z229" s="20">
        <f t="shared" si="34"/>
        <v>0</v>
      </c>
    </row>
    <row r="230" spans="1:26" x14ac:dyDescent="0.2">
      <c r="A230" s="20" t="str">
        <f t="shared" si="28"/>
        <v/>
      </c>
      <c r="B230" s="20" t="str">
        <f>IF(AND(Administrations!$C41&lt;&gt;"",COUNTA(Administrations!$N41:$U41)&gt;0),Administrations!$C41&amp;"","")</f>
        <v/>
      </c>
      <c r="C230" s="20" t="str">
        <f t="shared" si="35"/>
        <v/>
      </c>
      <c r="D230" s="20" t="str">
        <f>IF(B230="","",Administrations!$A41&amp;"")</f>
        <v/>
      </c>
      <c r="E230" s="20" t="str">
        <f>IF(B230="","",Administrations!$B41&amp;"")</f>
        <v/>
      </c>
      <c r="F230" s="20" t="str">
        <f t="shared" si="29"/>
        <v/>
      </c>
      <c r="G230" s="20" t="str">
        <f>IF(B230="","",Administrations!$D41&amp;"")</f>
        <v/>
      </c>
      <c r="H230" s="20" t="str">
        <f>IF(B230="","",Administrations!$N41&amp;"")</f>
        <v/>
      </c>
      <c r="I230" s="20" t="str">
        <f>IF(B230="","",Administrations!$Q41&amp;"")</f>
        <v/>
      </c>
      <c r="J230" s="20" t="str">
        <f>IF(B230="","",Administrations!$W41&amp;"")</f>
        <v/>
      </c>
      <c r="K230" s="20">
        <f>IF(B230="",0,Administrations!$X41)</f>
        <v>0</v>
      </c>
      <c r="L230" s="20">
        <f>IF(B230="",0,Administrations!$Y41)</f>
        <v>0</v>
      </c>
      <c r="M230" s="20" t="str">
        <f>IF(B230="","",Administrations!$AB41)</f>
        <v/>
      </c>
      <c r="N230" s="20" t="str">
        <f>IF(B230="","",Administrations!$AC41)</f>
        <v/>
      </c>
      <c r="O230" s="27" t="str">
        <f>IF(B230="","",Administrations!$Z41)</f>
        <v/>
      </c>
      <c r="P230" s="27" t="str">
        <f>IF(B230="","",Administrations!$AA41)</f>
        <v/>
      </c>
      <c r="Q230" s="20" t="str">
        <f t="shared" si="30"/>
        <v/>
      </c>
      <c r="R230" s="20" t="str">
        <f>IF(A230="","",IF(J230&lt;&gt;"",J230,IF(H230="TIMESTAMP",DAY(INT(M230/1440))&amp;" "&amp;INDEX(nLIST_Months,MONTH(INT(M230/1440)))&amp;" "&amp;YEAR(INT(M230/1440))&amp;" "&amp;RIGHT("0"&amp;INT(MOD(M230,1440)/60),2)&amp;":"&amp;RIGHT("0"&amp;MOD(M230,60),2)&amp;IF(L230=1," (UTC"&amp;I230&amp;")"," (offset unknown)"),IF(H230="DATE",DAY(O230)&amp;" "&amp;INDEX(nLIST_Months,MONTH(O230))&amp;" "&amp;YEAR(O230),IF(H230="MONTH",INDEX(nLIST_Months,MONTH(O230))&amp;" "&amp;YEAR(O230)&amp;" ("&amp;DAY(O230)&amp;" "&amp;INDEX(nLIST_Months,MONTH(O230))&amp;" "&amp;YEAR(O230)&amp;" to "&amp;DAY(P230)&amp;" "&amp;INDEX(nLIST_Months,MONTH(P230))&amp;" "&amp;YEAR(P230)&amp;")",IF(H230="YEAR",YEAR(O230)&amp;" (1 January to 31 December)",DAY(O230)&amp;" "&amp;INDEX(nLIST_Months,MONTH(O230))&amp;" "&amp;YEAR(O230)&amp;" to "&amp;DAY(P230)&amp;" "&amp;INDEX(nLIST_Months,MONTH(P230))&amp;" "&amp;YEAR(P230)))))))</f>
        <v/>
      </c>
      <c r="S230" s="20" t="str">
        <f>IF(B230="","",Administrations!$M41&amp;"")</f>
        <v/>
      </c>
      <c r="T230" s="20" t="str">
        <f>IF(B230="","",Administrations!$V41&amp;"")</f>
        <v/>
      </c>
      <c r="U230" s="20" t="str">
        <f>IF(B230="","","Administrations row "&amp;ROW(Administrations!$A41)&amp;", Administration")</f>
        <v/>
      </c>
      <c r="V230" s="20">
        <f>IF(A230="",0,COUNTIF(nTP_Key,A230))</f>
        <v>0</v>
      </c>
      <c r="W230" s="20">
        <f t="shared" si="31"/>
        <v>0</v>
      </c>
      <c r="X230" s="20">
        <f t="shared" si="32"/>
        <v>0</v>
      </c>
      <c r="Y230" s="20">
        <f t="shared" si="33"/>
        <v>0</v>
      </c>
      <c r="Z230" s="20">
        <f t="shared" si="34"/>
        <v>0</v>
      </c>
    </row>
    <row r="231" spans="1:26" x14ac:dyDescent="0.2">
      <c r="A231" s="20" t="str">
        <f t="shared" si="28"/>
        <v/>
      </c>
      <c r="B231" s="20" t="str">
        <f>IF(AND(Administrations!$C42&lt;&gt;"",COUNTA(Administrations!$N42:$U42)&gt;0),Administrations!$C42&amp;"","")</f>
        <v/>
      </c>
      <c r="C231" s="20" t="str">
        <f t="shared" si="35"/>
        <v/>
      </c>
      <c r="D231" s="20" t="str">
        <f>IF(B231="","",Administrations!$A42&amp;"")</f>
        <v/>
      </c>
      <c r="E231" s="20" t="str">
        <f>IF(B231="","",Administrations!$B42&amp;"")</f>
        <v/>
      </c>
      <c r="F231" s="20" t="str">
        <f t="shared" si="29"/>
        <v/>
      </c>
      <c r="G231" s="20" t="str">
        <f>IF(B231="","",Administrations!$D42&amp;"")</f>
        <v/>
      </c>
      <c r="H231" s="20" t="str">
        <f>IF(B231="","",Administrations!$N42&amp;"")</f>
        <v/>
      </c>
      <c r="I231" s="20" t="str">
        <f>IF(B231="","",Administrations!$Q42&amp;"")</f>
        <v/>
      </c>
      <c r="J231" s="20" t="str">
        <f>IF(B231="","",Administrations!$W42&amp;"")</f>
        <v/>
      </c>
      <c r="K231" s="20">
        <f>IF(B231="",0,Administrations!$X42)</f>
        <v>0</v>
      </c>
      <c r="L231" s="20">
        <f>IF(B231="",0,Administrations!$Y42)</f>
        <v>0</v>
      </c>
      <c r="M231" s="20" t="str">
        <f>IF(B231="","",Administrations!$AB42)</f>
        <v/>
      </c>
      <c r="N231" s="20" t="str">
        <f>IF(B231="","",Administrations!$AC42)</f>
        <v/>
      </c>
      <c r="O231" s="27" t="str">
        <f>IF(B231="","",Administrations!$Z42)</f>
        <v/>
      </c>
      <c r="P231" s="27" t="str">
        <f>IF(B231="","",Administrations!$AA42)</f>
        <v/>
      </c>
      <c r="Q231" s="20" t="str">
        <f t="shared" si="30"/>
        <v/>
      </c>
      <c r="R231" s="20" t="str">
        <f>IF(A231="","",IF(J231&lt;&gt;"",J231,IF(H231="TIMESTAMP",DAY(INT(M231/1440))&amp;" "&amp;INDEX(nLIST_Months,MONTH(INT(M231/1440)))&amp;" "&amp;YEAR(INT(M231/1440))&amp;" "&amp;RIGHT("0"&amp;INT(MOD(M231,1440)/60),2)&amp;":"&amp;RIGHT("0"&amp;MOD(M231,60),2)&amp;IF(L231=1," (UTC"&amp;I231&amp;")"," (offset unknown)"),IF(H231="DATE",DAY(O231)&amp;" "&amp;INDEX(nLIST_Months,MONTH(O231))&amp;" "&amp;YEAR(O231),IF(H231="MONTH",INDEX(nLIST_Months,MONTH(O231))&amp;" "&amp;YEAR(O231)&amp;" ("&amp;DAY(O231)&amp;" "&amp;INDEX(nLIST_Months,MONTH(O231))&amp;" "&amp;YEAR(O231)&amp;" to "&amp;DAY(P231)&amp;" "&amp;INDEX(nLIST_Months,MONTH(P231))&amp;" "&amp;YEAR(P231)&amp;")",IF(H231="YEAR",YEAR(O231)&amp;" (1 January to 31 December)",DAY(O231)&amp;" "&amp;INDEX(nLIST_Months,MONTH(O231))&amp;" "&amp;YEAR(O231)&amp;" to "&amp;DAY(P231)&amp;" "&amp;INDEX(nLIST_Months,MONTH(P231))&amp;" "&amp;YEAR(P231)))))))</f>
        <v/>
      </c>
      <c r="S231" s="20" t="str">
        <f>IF(B231="","",Administrations!$M42&amp;"")</f>
        <v/>
      </c>
      <c r="T231" s="20" t="str">
        <f>IF(B231="","",Administrations!$V42&amp;"")</f>
        <v/>
      </c>
      <c r="U231" s="20" t="str">
        <f>IF(B231="","","Administrations row "&amp;ROW(Administrations!$A42)&amp;", Administration")</f>
        <v/>
      </c>
      <c r="V231" s="20">
        <f>IF(A231="",0,COUNTIF(nTP_Key,A231))</f>
        <v>0</v>
      </c>
      <c r="W231" s="20">
        <f t="shared" si="31"/>
        <v>0</v>
      </c>
      <c r="X231" s="20">
        <f t="shared" si="32"/>
        <v>0</v>
      </c>
      <c r="Y231" s="20">
        <f t="shared" si="33"/>
        <v>0</v>
      </c>
      <c r="Z231" s="20">
        <f t="shared" si="34"/>
        <v>0</v>
      </c>
    </row>
    <row r="232" spans="1:26" x14ac:dyDescent="0.2">
      <c r="A232" s="20" t="str">
        <f t="shared" si="28"/>
        <v/>
      </c>
      <c r="B232" s="20" t="str">
        <f>IF(AND(Administrations!$C43&lt;&gt;"",COUNTA(Administrations!$N43:$U43)&gt;0),Administrations!$C43&amp;"","")</f>
        <v/>
      </c>
      <c r="C232" s="20" t="str">
        <f t="shared" si="35"/>
        <v/>
      </c>
      <c r="D232" s="20" t="str">
        <f>IF(B232="","",Administrations!$A43&amp;"")</f>
        <v/>
      </c>
      <c r="E232" s="20" t="str">
        <f>IF(B232="","",Administrations!$B43&amp;"")</f>
        <v/>
      </c>
      <c r="F232" s="20" t="str">
        <f t="shared" si="29"/>
        <v/>
      </c>
      <c r="G232" s="20" t="str">
        <f>IF(B232="","",Administrations!$D43&amp;"")</f>
        <v/>
      </c>
      <c r="H232" s="20" t="str">
        <f>IF(B232="","",Administrations!$N43&amp;"")</f>
        <v/>
      </c>
      <c r="I232" s="20" t="str">
        <f>IF(B232="","",Administrations!$Q43&amp;"")</f>
        <v/>
      </c>
      <c r="J232" s="20" t="str">
        <f>IF(B232="","",Administrations!$W43&amp;"")</f>
        <v/>
      </c>
      <c r="K232" s="20">
        <f>IF(B232="",0,Administrations!$X43)</f>
        <v>0</v>
      </c>
      <c r="L232" s="20">
        <f>IF(B232="",0,Administrations!$Y43)</f>
        <v>0</v>
      </c>
      <c r="M232" s="20" t="str">
        <f>IF(B232="","",Administrations!$AB43)</f>
        <v/>
      </c>
      <c r="N232" s="20" t="str">
        <f>IF(B232="","",Administrations!$AC43)</f>
        <v/>
      </c>
      <c r="O232" s="27" t="str">
        <f>IF(B232="","",Administrations!$Z43)</f>
        <v/>
      </c>
      <c r="P232" s="27" t="str">
        <f>IF(B232="","",Administrations!$AA43)</f>
        <v/>
      </c>
      <c r="Q232" s="20" t="str">
        <f t="shared" si="30"/>
        <v/>
      </c>
      <c r="R232" s="20" t="str">
        <f>IF(A232="","",IF(J232&lt;&gt;"",J232,IF(H232="TIMESTAMP",DAY(INT(M232/1440))&amp;" "&amp;INDEX(nLIST_Months,MONTH(INT(M232/1440)))&amp;" "&amp;YEAR(INT(M232/1440))&amp;" "&amp;RIGHT("0"&amp;INT(MOD(M232,1440)/60),2)&amp;":"&amp;RIGHT("0"&amp;MOD(M232,60),2)&amp;IF(L232=1," (UTC"&amp;I232&amp;")"," (offset unknown)"),IF(H232="DATE",DAY(O232)&amp;" "&amp;INDEX(nLIST_Months,MONTH(O232))&amp;" "&amp;YEAR(O232),IF(H232="MONTH",INDEX(nLIST_Months,MONTH(O232))&amp;" "&amp;YEAR(O232)&amp;" ("&amp;DAY(O232)&amp;" "&amp;INDEX(nLIST_Months,MONTH(O232))&amp;" "&amp;YEAR(O232)&amp;" to "&amp;DAY(P232)&amp;" "&amp;INDEX(nLIST_Months,MONTH(P232))&amp;" "&amp;YEAR(P232)&amp;")",IF(H232="YEAR",YEAR(O232)&amp;" (1 January to 31 December)",DAY(O232)&amp;" "&amp;INDEX(nLIST_Months,MONTH(O232))&amp;" "&amp;YEAR(O232)&amp;" to "&amp;DAY(P232)&amp;" "&amp;INDEX(nLIST_Months,MONTH(P232))&amp;" "&amp;YEAR(P232)))))))</f>
        <v/>
      </c>
      <c r="S232" s="20" t="str">
        <f>IF(B232="","",Administrations!$M43&amp;"")</f>
        <v/>
      </c>
      <c r="T232" s="20" t="str">
        <f>IF(B232="","",Administrations!$V43&amp;"")</f>
        <v/>
      </c>
      <c r="U232" s="20" t="str">
        <f>IF(B232="","","Administrations row "&amp;ROW(Administrations!$A43)&amp;", Administration")</f>
        <v/>
      </c>
      <c r="V232" s="20">
        <f>IF(A232="",0,COUNTIF(nTP_Key,A232))</f>
        <v>0</v>
      </c>
      <c r="W232" s="20">
        <f t="shared" si="31"/>
        <v>0</v>
      </c>
      <c r="X232" s="20">
        <f t="shared" si="32"/>
        <v>0</v>
      </c>
      <c r="Y232" s="20">
        <f t="shared" si="33"/>
        <v>0</v>
      </c>
      <c r="Z232" s="20">
        <f t="shared" si="34"/>
        <v>0</v>
      </c>
    </row>
    <row r="233" spans="1:26" x14ac:dyDescent="0.2">
      <c r="A233" s="20" t="str">
        <f t="shared" si="28"/>
        <v/>
      </c>
      <c r="B233" s="20" t="str">
        <f>IF(AND(Administrations!$C44&lt;&gt;"",COUNTA(Administrations!$N44:$U44)&gt;0),Administrations!$C44&amp;"","")</f>
        <v/>
      </c>
      <c r="C233" s="20" t="str">
        <f t="shared" si="35"/>
        <v/>
      </c>
      <c r="D233" s="20" t="str">
        <f>IF(B233="","",Administrations!$A44&amp;"")</f>
        <v/>
      </c>
      <c r="E233" s="20" t="str">
        <f>IF(B233="","",Administrations!$B44&amp;"")</f>
        <v/>
      </c>
      <c r="F233" s="20" t="str">
        <f t="shared" si="29"/>
        <v/>
      </c>
      <c r="G233" s="20" t="str">
        <f>IF(B233="","",Administrations!$D44&amp;"")</f>
        <v/>
      </c>
      <c r="H233" s="20" t="str">
        <f>IF(B233="","",Administrations!$N44&amp;"")</f>
        <v/>
      </c>
      <c r="I233" s="20" t="str">
        <f>IF(B233="","",Administrations!$Q44&amp;"")</f>
        <v/>
      </c>
      <c r="J233" s="20" t="str">
        <f>IF(B233="","",Administrations!$W44&amp;"")</f>
        <v/>
      </c>
      <c r="K233" s="20">
        <f>IF(B233="",0,Administrations!$X44)</f>
        <v>0</v>
      </c>
      <c r="L233" s="20">
        <f>IF(B233="",0,Administrations!$Y44)</f>
        <v>0</v>
      </c>
      <c r="M233" s="20" t="str">
        <f>IF(B233="","",Administrations!$AB44)</f>
        <v/>
      </c>
      <c r="N233" s="20" t="str">
        <f>IF(B233="","",Administrations!$AC44)</f>
        <v/>
      </c>
      <c r="O233" s="27" t="str">
        <f>IF(B233="","",Administrations!$Z44)</f>
        <v/>
      </c>
      <c r="P233" s="27" t="str">
        <f>IF(B233="","",Administrations!$AA44)</f>
        <v/>
      </c>
      <c r="Q233" s="20" t="str">
        <f t="shared" si="30"/>
        <v/>
      </c>
      <c r="R233" s="20" t="str">
        <f>IF(A233="","",IF(J233&lt;&gt;"",J233,IF(H233="TIMESTAMP",DAY(INT(M233/1440))&amp;" "&amp;INDEX(nLIST_Months,MONTH(INT(M233/1440)))&amp;" "&amp;YEAR(INT(M233/1440))&amp;" "&amp;RIGHT("0"&amp;INT(MOD(M233,1440)/60),2)&amp;":"&amp;RIGHT("0"&amp;MOD(M233,60),2)&amp;IF(L233=1," (UTC"&amp;I233&amp;")"," (offset unknown)"),IF(H233="DATE",DAY(O233)&amp;" "&amp;INDEX(nLIST_Months,MONTH(O233))&amp;" "&amp;YEAR(O233),IF(H233="MONTH",INDEX(nLIST_Months,MONTH(O233))&amp;" "&amp;YEAR(O233)&amp;" ("&amp;DAY(O233)&amp;" "&amp;INDEX(nLIST_Months,MONTH(O233))&amp;" "&amp;YEAR(O233)&amp;" to "&amp;DAY(P233)&amp;" "&amp;INDEX(nLIST_Months,MONTH(P233))&amp;" "&amp;YEAR(P233)&amp;")",IF(H233="YEAR",YEAR(O233)&amp;" (1 January to 31 December)",DAY(O233)&amp;" "&amp;INDEX(nLIST_Months,MONTH(O233))&amp;" "&amp;YEAR(O233)&amp;" to "&amp;DAY(P233)&amp;" "&amp;INDEX(nLIST_Months,MONTH(P233))&amp;" "&amp;YEAR(P233)))))))</f>
        <v/>
      </c>
      <c r="S233" s="20" t="str">
        <f>IF(B233="","",Administrations!$M44&amp;"")</f>
        <v/>
      </c>
      <c r="T233" s="20" t="str">
        <f>IF(B233="","",Administrations!$V44&amp;"")</f>
        <v/>
      </c>
      <c r="U233" s="20" t="str">
        <f>IF(B233="","","Administrations row "&amp;ROW(Administrations!$A44)&amp;", Administration")</f>
        <v/>
      </c>
      <c r="V233" s="20">
        <f>IF(A233="",0,COUNTIF(nTP_Key,A233))</f>
        <v>0</v>
      </c>
      <c r="W233" s="20">
        <f t="shared" si="31"/>
        <v>0</v>
      </c>
      <c r="X233" s="20">
        <f t="shared" si="32"/>
        <v>0</v>
      </c>
      <c r="Y233" s="20">
        <f t="shared" si="33"/>
        <v>0</v>
      </c>
      <c r="Z233" s="20">
        <f t="shared" si="34"/>
        <v>0</v>
      </c>
    </row>
    <row r="234" spans="1:26" x14ac:dyDescent="0.2">
      <c r="A234" s="20" t="str">
        <f t="shared" si="28"/>
        <v/>
      </c>
      <c r="B234" s="20" t="str">
        <f>IF(AND(Administrations!$C45&lt;&gt;"",COUNTA(Administrations!$N45:$U45)&gt;0),Administrations!$C45&amp;"","")</f>
        <v/>
      </c>
      <c r="C234" s="20" t="str">
        <f t="shared" si="35"/>
        <v/>
      </c>
      <c r="D234" s="20" t="str">
        <f>IF(B234="","",Administrations!$A45&amp;"")</f>
        <v/>
      </c>
      <c r="E234" s="20" t="str">
        <f>IF(B234="","",Administrations!$B45&amp;"")</f>
        <v/>
      </c>
      <c r="F234" s="20" t="str">
        <f t="shared" si="29"/>
        <v/>
      </c>
      <c r="G234" s="20" t="str">
        <f>IF(B234="","",Administrations!$D45&amp;"")</f>
        <v/>
      </c>
      <c r="H234" s="20" t="str">
        <f>IF(B234="","",Administrations!$N45&amp;"")</f>
        <v/>
      </c>
      <c r="I234" s="20" t="str">
        <f>IF(B234="","",Administrations!$Q45&amp;"")</f>
        <v/>
      </c>
      <c r="J234" s="20" t="str">
        <f>IF(B234="","",Administrations!$W45&amp;"")</f>
        <v/>
      </c>
      <c r="K234" s="20">
        <f>IF(B234="",0,Administrations!$X45)</f>
        <v>0</v>
      </c>
      <c r="L234" s="20">
        <f>IF(B234="",0,Administrations!$Y45)</f>
        <v>0</v>
      </c>
      <c r="M234" s="20" t="str">
        <f>IF(B234="","",Administrations!$AB45)</f>
        <v/>
      </c>
      <c r="N234" s="20" t="str">
        <f>IF(B234="","",Administrations!$AC45)</f>
        <v/>
      </c>
      <c r="O234" s="27" t="str">
        <f>IF(B234="","",Administrations!$Z45)</f>
        <v/>
      </c>
      <c r="P234" s="27" t="str">
        <f>IF(B234="","",Administrations!$AA45)</f>
        <v/>
      </c>
      <c r="Q234" s="20" t="str">
        <f t="shared" si="30"/>
        <v/>
      </c>
      <c r="R234" s="20" t="str">
        <f>IF(A234="","",IF(J234&lt;&gt;"",J234,IF(H234="TIMESTAMP",DAY(INT(M234/1440))&amp;" "&amp;INDEX(nLIST_Months,MONTH(INT(M234/1440)))&amp;" "&amp;YEAR(INT(M234/1440))&amp;" "&amp;RIGHT("0"&amp;INT(MOD(M234,1440)/60),2)&amp;":"&amp;RIGHT("0"&amp;MOD(M234,60),2)&amp;IF(L234=1," (UTC"&amp;I234&amp;")"," (offset unknown)"),IF(H234="DATE",DAY(O234)&amp;" "&amp;INDEX(nLIST_Months,MONTH(O234))&amp;" "&amp;YEAR(O234),IF(H234="MONTH",INDEX(nLIST_Months,MONTH(O234))&amp;" "&amp;YEAR(O234)&amp;" ("&amp;DAY(O234)&amp;" "&amp;INDEX(nLIST_Months,MONTH(O234))&amp;" "&amp;YEAR(O234)&amp;" to "&amp;DAY(P234)&amp;" "&amp;INDEX(nLIST_Months,MONTH(P234))&amp;" "&amp;YEAR(P234)&amp;")",IF(H234="YEAR",YEAR(O234)&amp;" (1 January to 31 December)",DAY(O234)&amp;" "&amp;INDEX(nLIST_Months,MONTH(O234))&amp;" "&amp;YEAR(O234)&amp;" to "&amp;DAY(P234)&amp;" "&amp;INDEX(nLIST_Months,MONTH(P234))&amp;" "&amp;YEAR(P234)))))))</f>
        <v/>
      </c>
      <c r="S234" s="20" t="str">
        <f>IF(B234="","",Administrations!$M45&amp;"")</f>
        <v/>
      </c>
      <c r="T234" s="20" t="str">
        <f>IF(B234="","",Administrations!$V45&amp;"")</f>
        <v/>
      </c>
      <c r="U234" s="20" t="str">
        <f>IF(B234="","","Administrations row "&amp;ROW(Administrations!$A45)&amp;", Administration")</f>
        <v/>
      </c>
      <c r="V234" s="20">
        <f>IF(A234="",0,COUNTIF(nTP_Key,A234))</f>
        <v>0</v>
      </c>
      <c r="W234" s="20">
        <f t="shared" si="31"/>
        <v>0</v>
      </c>
      <c r="X234" s="20">
        <f t="shared" si="32"/>
        <v>0</v>
      </c>
      <c r="Y234" s="20">
        <f t="shared" si="33"/>
        <v>0</v>
      </c>
      <c r="Z234" s="20">
        <f t="shared" si="34"/>
        <v>0</v>
      </c>
    </row>
    <row r="235" spans="1:26" x14ac:dyDescent="0.2">
      <c r="A235" s="20" t="str">
        <f t="shared" si="28"/>
        <v/>
      </c>
      <c r="B235" s="20" t="str">
        <f>IF(AND(Administrations!$C46&lt;&gt;"",COUNTA(Administrations!$N46:$U46)&gt;0),Administrations!$C46&amp;"","")</f>
        <v/>
      </c>
      <c r="C235" s="20" t="str">
        <f t="shared" si="35"/>
        <v/>
      </c>
      <c r="D235" s="20" t="str">
        <f>IF(B235="","",Administrations!$A46&amp;"")</f>
        <v/>
      </c>
      <c r="E235" s="20" t="str">
        <f>IF(B235="","",Administrations!$B46&amp;"")</f>
        <v/>
      </c>
      <c r="F235" s="20" t="str">
        <f t="shared" si="29"/>
        <v/>
      </c>
      <c r="G235" s="20" t="str">
        <f>IF(B235="","",Administrations!$D46&amp;"")</f>
        <v/>
      </c>
      <c r="H235" s="20" t="str">
        <f>IF(B235="","",Administrations!$N46&amp;"")</f>
        <v/>
      </c>
      <c r="I235" s="20" t="str">
        <f>IF(B235="","",Administrations!$Q46&amp;"")</f>
        <v/>
      </c>
      <c r="J235" s="20" t="str">
        <f>IF(B235="","",Administrations!$W46&amp;"")</f>
        <v/>
      </c>
      <c r="K235" s="20">
        <f>IF(B235="",0,Administrations!$X46)</f>
        <v>0</v>
      </c>
      <c r="L235" s="20">
        <f>IF(B235="",0,Administrations!$Y46)</f>
        <v>0</v>
      </c>
      <c r="M235" s="20" t="str">
        <f>IF(B235="","",Administrations!$AB46)</f>
        <v/>
      </c>
      <c r="N235" s="20" t="str">
        <f>IF(B235="","",Administrations!$AC46)</f>
        <v/>
      </c>
      <c r="O235" s="27" t="str">
        <f>IF(B235="","",Administrations!$Z46)</f>
        <v/>
      </c>
      <c r="P235" s="27" t="str">
        <f>IF(B235="","",Administrations!$AA46)</f>
        <v/>
      </c>
      <c r="Q235" s="20" t="str">
        <f t="shared" si="30"/>
        <v/>
      </c>
      <c r="R235" s="20" t="str">
        <f>IF(A235="","",IF(J235&lt;&gt;"",J235,IF(H235="TIMESTAMP",DAY(INT(M235/1440))&amp;" "&amp;INDEX(nLIST_Months,MONTH(INT(M235/1440)))&amp;" "&amp;YEAR(INT(M235/1440))&amp;" "&amp;RIGHT("0"&amp;INT(MOD(M235,1440)/60),2)&amp;":"&amp;RIGHT("0"&amp;MOD(M235,60),2)&amp;IF(L235=1," (UTC"&amp;I235&amp;")"," (offset unknown)"),IF(H235="DATE",DAY(O235)&amp;" "&amp;INDEX(nLIST_Months,MONTH(O235))&amp;" "&amp;YEAR(O235),IF(H235="MONTH",INDEX(nLIST_Months,MONTH(O235))&amp;" "&amp;YEAR(O235)&amp;" ("&amp;DAY(O235)&amp;" "&amp;INDEX(nLIST_Months,MONTH(O235))&amp;" "&amp;YEAR(O235)&amp;" to "&amp;DAY(P235)&amp;" "&amp;INDEX(nLIST_Months,MONTH(P235))&amp;" "&amp;YEAR(P235)&amp;")",IF(H235="YEAR",YEAR(O235)&amp;" (1 January to 31 December)",DAY(O235)&amp;" "&amp;INDEX(nLIST_Months,MONTH(O235))&amp;" "&amp;YEAR(O235)&amp;" to "&amp;DAY(P235)&amp;" "&amp;INDEX(nLIST_Months,MONTH(P235))&amp;" "&amp;YEAR(P235)))))))</f>
        <v/>
      </c>
      <c r="S235" s="20" t="str">
        <f>IF(B235="","",Administrations!$M46&amp;"")</f>
        <v/>
      </c>
      <c r="T235" s="20" t="str">
        <f>IF(B235="","",Administrations!$V46&amp;"")</f>
        <v/>
      </c>
      <c r="U235" s="20" t="str">
        <f>IF(B235="","","Administrations row "&amp;ROW(Administrations!$A46)&amp;", Administration")</f>
        <v/>
      </c>
      <c r="V235" s="20">
        <f>IF(A235="",0,COUNTIF(nTP_Key,A235))</f>
        <v>0</v>
      </c>
      <c r="W235" s="20">
        <f t="shared" si="31"/>
        <v>0</v>
      </c>
      <c r="X235" s="20">
        <f t="shared" si="32"/>
        <v>0</v>
      </c>
      <c r="Y235" s="20">
        <f t="shared" si="33"/>
        <v>0</v>
      </c>
      <c r="Z235" s="20">
        <f t="shared" si="34"/>
        <v>0</v>
      </c>
    </row>
    <row r="236" spans="1:26" x14ac:dyDescent="0.2">
      <c r="A236" s="20" t="str">
        <f t="shared" si="28"/>
        <v/>
      </c>
      <c r="B236" s="20" t="str">
        <f>IF(AND(Administrations!$C47&lt;&gt;"",COUNTA(Administrations!$N47:$U47)&gt;0),Administrations!$C47&amp;"","")</f>
        <v/>
      </c>
      <c r="C236" s="20" t="str">
        <f t="shared" si="35"/>
        <v/>
      </c>
      <c r="D236" s="20" t="str">
        <f>IF(B236="","",Administrations!$A47&amp;"")</f>
        <v/>
      </c>
      <c r="E236" s="20" t="str">
        <f>IF(B236="","",Administrations!$B47&amp;"")</f>
        <v/>
      </c>
      <c r="F236" s="20" t="str">
        <f t="shared" si="29"/>
        <v/>
      </c>
      <c r="G236" s="20" t="str">
        <f>IF(B236="","",Administrations!$D47&amp;"")</f>
        <v/>
      </c>
      <c r="H236" s="20" t="str">
        <f>IF(B236="","",Administrations!$N47&amp;"")</f>
        <v/>
      </c>
      <c r="I236" s="20" t="str">
        <f>IF(B236="","",Administrations!$Q47&amp;"")</f>
        <v/>
      </c>
      <c r="J236" s="20" t="str">
        <f>IF(B236="","",Administrations!$W47&amp;"")</f>
        <v/>
      </c>
      <c r="K236" s="20">
        <f>IF(B236="",0,Administrations!$X47)</f>
        <v>0</v>
      </c>
      <c r="L236" s="20">
        <f>IF(B236="",0,Administrations!$Y47)</f>
        <v>0</v>
      </c>
      <c r="M236" s="20" t="str">
        <f>IF(B236="","",Administrations!$AB47)</f>
        <v/>
      </c>
      <c r="N236" s="20" t="str">
        <f>IF(B236="","",Administrations!$AC47)</f>
        <v/>
      </c>
      <c r="O236" s="27" t="str">
        <f>IF(B236="","",Administrations!$Z47)</f>
        <v/>
      </c>
      <c r="P236" s="27" t="str">
        <f>IF(B236="","",Administrations!$AA47)</f>
        <v/>
      </c>
      <c r="Q236" s="20" t="str">
        <f t="shared" si="30"/>
        <v/>
      </c>
      <c r="R236" s="20" t="str">
        <f>IF(A236="","",IF(J236&lt;&gt;"",J236,IF(H236="TIMESTAMP",DAY(INT(M236/1440))&amp;" "&amp;INDEX(nLIST_Months,MONTH(INT(M236/1440)))&amp;" "&amp;YEAR(INT(M236/1440))&amp;" "&amp;RIGHT("0"&amp;INT(MOD(M236,1440)/60),2)&amp;":"&amp;RIGHT("0"&amp;MOD(M236,60),2)&amp;IF(L236=1," (UTC"&amp;I236&amp;")"," (offset unknown)"),IF(H236="DATE",DAY(O236)&amp;" "&amp;INDEX(nLIST_Months,MONTH(O236))&amp;" "&amp;YEAR(O236),IF(H236="MONTH",INDEX(nLIST_Months,MONTH(O236))&amp;" "&amp;YEAR(O236)&amp;" ("&amp;DAY(O236)&amp;" "&amp;INDEX(nLIST_Months,MONTH(O236))&amp;" "&amp;YEAR(O236)&amp;" to "&amp;DAY(P236)&amp;" "&amp;INDEX(nLIST_Months,MONTH(P236))&amp;" "&amp;YEAR(P236)&amp;")",IF(H236="YEAR",YEAR(O236)&amp;" (1 January to 31 December)",DAY(O236)&amp;" "&amp;INDEX(nLIST_Months,MONTH(O236))&amp;" "&amp;YEAR(O236)&amp;" to "&amp;DAY(P236)&amp;" "&amp;INDEX(nLIST_Months,MONTH(P236))&amp;" "&amp;YEAR(P236)))))))</f>
        <v/>
      </c>
      <c r="S236" s="20" t="str">
        <f>IF(B236="","",Administrations!$M47&amp;"")</f>
        <v/>
      </c>
      <c r="T236" s="20" t="str">
        <f>IF(B236="","",Administrations!$V47&amp;"")</f>
        <v/>
      </c>
      <c r="U236" s="20" t="str">
        <f>IF(B236="","","Administrations row "&amp;ROW(Administrations!$A47)&amp;", Administration")</f>
        <v/>
      </c>
      <c r="V236" s="20">
        <f>IF(A236="",0,COUNTIF(nTP_Key,A236))</f>
        <v>0</v>
      </c>
      <c r="W236" s="20">
        <f t="shared" si="31"/>
        <v>0</v>
      </c>
      <c r="X236" s="20">
        <f t="shared" si="32"/>
        <v>0</v>
      </c>
      <c r="Y236" s="20">
        <f t="shared" si="33"/>
        <v>0</v>
      </c>
      <c r="Z236" s="20">
        <f t="shared" si="34"/>
        <v>0</v>
      </c>
    </row>
    <row r="237" spans="1:26" x14ac:dyDescent="0.2">
      <c r="A237" s="20" t="str">
        <f t="shared" si="28"/>
        <v/>
      </c>
      <c r="B237" s="20" t="str">
        <f>IF(AND(Administrations!$C48&lt;&gt;"",COUNTA(Administrations!$N48:$U48)&gt;0),Administrations!$C48&amp;"","")</f>
        <v/>
      </c>
      <c r="C237" s="20" t="str">
        <f t="shared" si="35"/>
        <v/>
      </c>
      <c r="D237" s="20" t="str">
        <f>IF(B237="","",Administrations!$A48&amp;"")</f>
        <v/>
      </c>
      <c r="E237" s="20" t="str">
        <f>IF(B237="","",Administrations!$B48&amp;"")</f>
        <v/>
      </c>
      <c r="F237" s="20" t="str">
        <f t="shared" si="29"/>
        <v/>
      </c>
      <c r="G237" s="20" t="str">
        <f>IF(B237="","",Administrations!$D48&amp;"")</f>
        <v/>
      </c>
      <c r="H237" s="20" t="str">
        <f>IF(B237="","",Administrations!$N48&amp;"")</f>
        <v/>
      </c>
      <c r="I237" s="20" t="str">
        <f>IF(B237="","",Administrations!$Q48&amp;"")</f>
        <v/>
      </c>
      <c r="J237" s="20" t="str">
        <f>IF(B237="","",Administrations!$W48&amp;"")</f>
        <v/>
      </c>
      <c r="K237" s="20">
        <f>IF(B237="",0,Administrations!$X48)</f>
        <v>0</v>
      </c>
      <c r="L237" s="20">
        <f>IF(B237="",0,Administrations!$Y48)</f>
        <v>0</v>
      </c>
      <c r="M237" s="20" t="str">
        <f>IF(B237="","",Administrations!$AB48)</f>
        <v/>
      </c>
      <c r="N237" s="20" t="str">
        <f>IF(B237="","",Administrations!$AC48)</f>
        <v/>
      </c>
      <c r="O237" s="27" t="str">
        <f>IF(B237="","",Administrations!$Z48)</f>
        <v/>
      </c>
      <c r="P237" s="27" t="str">
        <f>IF(B237="","",Administrations!$AA48)</f>
        <v/>
      </c>
      <c r="Q237" s="20" t="str">
        <f t="shared" si="30"/>
        <v/>
      </c>
      <c r="R237" s="20" t="str">
        <f>IF(A237="","",IF(J237&lt;&gt;"",J237,IF(H237="TIMESTAMP",DAY(INT(M237/1440))&amp;" "&amp;INDEX(nLIST_Months,MONTH(INT(M237/1440)))&amp;" "&amp;YEAR(INT(M237/1440))&amp;" "&amp;RIGHT("0"&amp;INT(MOD(M237,1440)/60),2)&amp;":"&amp;RIGHT("0"&amp;MOD(M237,60),2)&amp;IF(L237=1," (UTC"&amp;I237&amp;")"," (offset unknown)"),IF(H237="DATE",DAY(O237)&amp;" "&amp;INDEX(nLIST_Months,MONTH(O237))&amp;" "&amp;YEAR(O237),IF(H237="MONTH",INDEX(nLIST_Months,MONTH(O237))&amp;" "&amp;YEAR(O237)&amp;" ("&amp;DAY(O237)&amp;" "&amp;INDEX(nLIST_Months,MONTH(O237))&amp;" "&amp;YEAR(O237)&amp;" to "&amp;DAY(P237)&amp;" "&amp;INDEX(nLIST_Months,MONTH(P237))&amp;" "&amp;YEAR(P237)&amp;")",IF(H237="YEAR",YEAR(O237)&amp;" (1 January to 31 December)",DAY(O237)&amp;" "&amp;INDEX(nLIST_Months,MONTH(O237))&amp;" "&amp;YEAR(O237)&amp;" to "&amp;DAY(P237)&amp;" "&amp;INDEX(nLIST_Months,MONTH(P237))&amp;" "&amp;YEAR(P237)))))))</f>
        <v/>
      </c>
      <c r="S237" s="20" t="str">
        <f>IF(B237="","",Administrations!$M48&amp;"")</f>
        <v/>
      </c>
      <c r="T237" s="20" t="str">
        <f>IF(B237="","",Administrations!$V48&amp;"")</f>
        <v/>
      </c>
      <c r="U237" s="20" t="str">
        <f>IF(B237="","","Administrations row "&amp;ROW(Administrations!$A48)&amp;", Administration")</f>
        <v/>
      </c>
      <c r="V237" s="20">
        <f>IF(A237="",0,COUNTIF(nTP_Key,A237))</f>
        <v>0</v>
      </c>
      <c r="W237" s="20">
        <f t="shared" si="31"/>
        <v>0</v>
      </c>
      <c r="X237" s="20">
        <f t="shared" si="32"/>
        <v>0</v>
      </c>
      <c r="Y237" s="20">
        <f t="shared" si="33"/>
        <v>0</v>
      </c>
      <c r="Z237" s="20">
        <f t="shared" si="34"/>
        <v>0</v>
      </c>
    </row>
    <row r="238" spans="1:26" x14ac:dyDescent="0.2">
      <c r="A238" s="20" t="str">
        <f t="shared" si="28"/>
        <v/>
      </c>
      <c r="B238" s="20" t="str">
        <f>IF(AND(Administrations!$C49&lt;&gt;"",COUNTA(Administrations!$N49:$U49)&gt;0),Administrations!$C49&amp;"","")</f>
        <v/>
      </c>
      <c r="C238" s="20" t="str">
        <f t="shared" si="35"/>
        <v/>
      </c>
      <c r="D238" s="20" t="str">
        <f>IF(B238="","",Administrations!$A49&amp;"")</f>
        <v/>
      </c>
      <c r="E238" s="20" t="str">
        <f>IF(B238="","",Administrations!$B49&amp;"")</f>
        <v/>
      </c>
      <c r="F238" s="20" t="str">
        <f t="shared" si="29"/>
        <v/>
      </c>
      <c r="G238" s="20" t="str">
        <f>IF(B238="","",Administrations!$D49&amp;"")</f>
        <v/>
      </c>
      <c r="H238" s="20" t="str">
        <f>IF(B238="","",Administrations!$N49&amp;"")</f>
        <v/>
      </c>
      <c r="I238" s="20" t="str">
        <f>IF(B238="","",Administrations!$Q49&amp;"")</f>
        <v/>
      </c>
      <c r="J238" s="20" t="str">
        <f>IF(B238="","",Administrations!$W49&amp;"")</f>
        <v/>
      </c>
      <c r="K238" s="20">
        <f>IF(B238="",0,Administrations!$X49)</f>
        <v>0</v>
      </c>
      <c r="L238" s="20">
        <f>IF(B238="",0,Administrations!$Y49)</f>
        <v>0</v>
      </c>
      <c r="M238" s="20" t="str">
        <f>IF(B238="","",Administrations!$AB49)</f>
        <v/>
      </c>
      <c r="N238" s="20" t="str">
        <f>IF(B238="","",Administrations!$AC49)</f>
        <v/>
      </c>
      <c r="O238" s="27" t="str">
        <f>IF(B238="","",Administrations!$Z49)</f>
        <v/>
      </c>
      <c r="P238" s="27" t="str">
        <f>IF(B238="","",Administrations!$AA49)</f>
        <v/>
      </c>
      <c r="Q238" s="20" t="str">
        <f t="shared" si="30"/>
        <v/>
      </c>
      <c r="R238" s="20" t="str">
        <f>IF(A238="","",IF(J238&lt;&gt;"",J238,IF(H238="TIMESTAMP",DAY(INT(M238/1440))&amp;" "&amp;INDEX(nLIST_Months,MONTH(INT(M238/1440)))&amp;" "&amp;YEAR(INT(M238/1440))&amp;" "&amp;RIGHT("0"&amp;INT(MOD(M238,1440)/60),2)&amp;":"&amp;RIGHT("0"&amp;MOD(M238,60),2)&amp;IF(L238=1," (UTC"&amp;I238&amp;")"," (offset unknown)"),IF(H238="DATE",DAY(O238)&amp;" "&amp;INDEX(nLIST_Months,MONTH(O238))&amp;" "&amp;YEAR(O238),IF(H238="MONTH",INDEX(nLIST_Months,MONTH(O238))&amp;" "&amp;YEAR(O238)&amp;" ("&amp;DAY(O238)&amp;" "&amp;INDEX(nLIST_Months,MONTH(O238))&amp;" "&amp;YEAR(O238)&amp;" to "&amp;DAY(P238)&amp;" "&amp;INDEX(nLIST_Months,MONTH(P238))&amp;" "&amp;YEAR(P238)&amp;")",IF(H238="YEAR",YEAR(O238)&amp;" (1 January to 31 December)",DAY(O238)&amp;" "&amp;INDEX(nLIST_Months,MONTH(O238))&amp;" "&amp;YEAR(O238)&amp;" to "&amp;DAY(P238)&amp;" "&amp;INDEX(nLIST_Months,MONTH(P238))&amp;" "&amp;YEAR(P238)))))))</f>
        <v/>
      </c>
      <c r="S238" s="20" t="str">
        <f>IF(B238="","",Administrations!$M49&amp;"")</f>
        <v/>
      </c>
      <c r="T238" s="20" t="str">
        <f>IF(B238="","",Administrations!$V49&amp;"")</f>
        <v/>
      </c>
      <c r="U238" s="20" t="str">
        <f>IF(B238="","","Administrations row "&amp;ROW(Administrations!$A49)&amp;", Administration")</f>
        <v/>
      </c>
      <c r="V238" s="20">
        <f>IF(A238="",0,COUNTIF(nTP_Key,A238))</f>
        <v>0</v>
      </c>
      <c r="W238" s="20">
        <f t="shared" si="31"/>
        <v>0</v>
      </c>
      <c r="X238" s="20">
        <f t="shared" si="32"/>
        <v>0</v>
      </c>
      <c r="Y238" s="20">
        <f t="shared" si="33"/>
        <v>0</v>
      </c>
      <c r="Z238" s="20">
        <f t="shared" si="34"/>
        <v>0</v>
      </c>
    </row>
    <row r="239" spans="1:26" x14ac:dyDescent="0.2">
      <c r="A239" s="20" t="str">
        <f t="shared" si="28"/>
        <v/>
      </c>
      <c r="B239" s="20" t="str">
        <f>IF(AND(Administrations!$C50&lt;&gt;"",COUNTA(Administrations!$N50:$U50)&gt;0),Administrations!$C50&amp;"","")</f>
        <v/>
      </c>
      <c r="C239" s="20" t="str">
        <f t="shared" si="35"/>
        <v/>
      </c>
      <c r="D239" s="20" t="str">
        <f>IF(B239="","",Administrations!$A50&amp;"")</f>
        <v/>
      </c>
      <c r="E239" s="20" t="str">
        <f>IF(B239="","",Administrations!$B50&amp;"")</f>
        <v/>
      </c>
      <c r="F239" s="20" t="str">
        <f t="shared" si="29"/>
        <v/>
      </c>
      <c r="G239" s="20" t="str">
        <f>IF(B239="","",Administrations!$D50&amp;"")</f>
        <v/>
      </c>
      <c r="H239" s="20" t="str">
        <f>IF(B239="","",Administrations!$N50&amp;"")</f>
        <v/>
      </c>
      <c r="I239" s="20" t="str">
        <f>IF(B239="","",Administrations!$Q50&amp;"")</f>
        <v/>
      </c>
      <c r="J239" s="20" t="str">
        <f>IF(B239="","",Administrations!$W50&amp;"")</f>
        <v/>
      </c>
      <c r="K239" s="20">
        <f>IF(B239="",0,Administrations!$X50)</f>
        <v>0</v>
      </c>
      <c r="L239" s="20">
        <f>IF(B239="",0,Administrations!$Y50)</f>
        <v>0</v>
      </c>
      <c r="M239" s="20" t="str">
        <f>IF(B239="","",Administrations!$AB50)</f>
        <v/>
      </c>
      <c r="N239" s="20" t="str">
        <f>IF(B239="","",Administrations!$AC50)</f>
        <v/>
      </c>
      <c r="O239" s="27" t="str">
        <f>IF(B239="","",Administrations!$Z50)</f>
        <v/>
      </c>
      <c r="P239" s="27" t="str">
        <f>IF(B239="","",Administrations!$AA50)</f>
        <v/>
      </c>
      <c r="Q239" s="20" t="str">
        <f t="shared" si="30"/>
        <v/>
      </c>
      <c r="R239" s="20" t="str">
        <f>IF(A239="","",IF(J239&lt;&gt;"",J239,IF(H239="TIMESTAMP",DAY(INT(M239/1440))&amp;" "&amp;INDEX(nLIST_Months,MONTH(INT(M239/1440)))&amp;" "&amp;YEAR(INT(M239/1440))&amp;" "&amp;RIGHT("0"&amp;INT(MOD(M239,1440)/60),2)&amp;":"&amp;RIGHT("0"&amp;MOD(M239,60),2)&amp;IF(L239=1," (UTC"&amp;I239&amp;")"," (offset unknown)"),IF(H239="DATE",DAY(O239)&amp;" "&amp;INDEX(nLIST_Months,MONTH(O239))&amp;" "&amp;YEAR(O239),IF(H239="MONTH",INDEX(nLIST_Months,MONTH(O239))&amp;" "&amp;YEAR(O239)&amp;" ("&amp;DAY(O239)&amp;" "&amp;INDEX(nLIST_Months,MONTH(O239))&amp;" "&amp;YEAR(O239)&amp;" to "&amp;DAY(P239)&amp;" "&amp;INDEX(nLIST_Months,MONTH(P239))&amp;" "&amp;YEAR(P239)&amp;")",IF(H239="YEAR",YEAR(O239)&amp;" (1 January to 31 December)",DAY(O239)&amp;" "&amp;INDEX(nLIST_Months,MONTH(O239))&amp;" "&amp;YEAR(O239)&amp;" to "&amp;DAY(P239)&amp;" "&amp;INDEX(nLIST_Months,MONTH(P239))&amp;" "&amp;YEAR(P239)))))))</f>
        <v/>
      </c>
      <c r="S239" s="20" t="str">
        <f>IF(B239="","",Administrations!$M50&amp;"")</f>
        <v/>
      </c>
      <c r="T239" s="20" t="str">
        <f>IF(B239="","",Administrations!$V50&amp;"")</f>
        <v/>
      </c>
      <c r="U239" s="20" t="str">
        <f>IF(B239="","","Administrations row "&amp;ROW(Administrations!$A50)&amp;", Administration")</f>
        <v/>
      </c>
      <c r="V239" s="20">
        <f>IF(A239="",0,COUNTIF(nTP_Key,A239))</f>
        <v>0</v>
      </c>
      <c r="W239" s="20">
        <f t="shared" si="31"/>
        <v>0</v>
      </c>
      <c r="X239" s="20">
        <f t="shared" si="32"/>
        <v>0</v>
      </c>
      <c r="Y239" s="20">
        <f t="shared" si="33"/>
        <v>0</v>
      </c>
      <c r="Z239" s="20">
        <f t="shared" si="34"/>
        <v>0</v>
      </c>
    </row>
    <row r="240" spans="1:26" x14ac:dyDescent="0.2">
      <c r="A240" s="20" t="str">
        <f t="shared" si="28"/>
        <v/>
      </c>
      <c r="B240" s="20" t="str">
        <f>IF(AND(Administrations!$C51&lt;&gt;"",COUNTA(Administrations!$N51:$U51)&gt;0),Administrations!$C51&amp;"","")</f>
        <v/>
      </c>
      <c r="C240" s="20" t="str">
        <f t="shared" si="35"/>
        <v/>
      </c>
      <c r="D240" s="20" t="str">
        <f>IF(B240="","",Administrations!$A51&amp;"")</f>
        <v/>
      </c>
      <c r="E240" s="20" t="str">
        <f>IF(B240="","",Administrations!$B51&amp;"")</f>
        <v/>
      </c>
      <c r="F240" s="20" t="str">
        <f t="shared" si="29"/>
        <v/>
      </c>
      <c r="G240" s="20" t="str">
        <f>IF(B240="","",Administrations!$D51&amp;"")</f>
        <v/>
      </c>
      <c r="H240" s="20" t="str">
        <f>IF(B240="","",Administrations!$N51&amp;"")</f>
        <v/>
      </c>
      <c r="I240" s="20" t="str">
        <f>IF(B240="","",Administrations!$Q51&amp;"")</f>
        <v/>
      </c>
      <c r="J240" s="20" t="str">
        <f>IF(B240="","",Administrations!$W51&amp;"")</f>
        <v/>
      </c>
      <c r="K240" s="20">
        <f>IF(B240="",0,Administrations!$X51)</f>
        <v>0</v>
      </c>
      <c r="L240" s="20">
        <f>IF(B240="",0,Administrations!$Y51)</f>
        <v>0</v>
      </c>
      <c r="M240" s="20" t="str">
        <f>IF(B240="","",Administrations!$AB51)</f>
        <v/>
      </c>
      <c r="N240" s="20" t="str">
        <f>IF(B240="","",Administrations!$AC51)</f>
        <v/>
      </c>
      <c r="O240" s="27" t="str">
        <f>IF(B240="","",Administrations!$Z51)</f>
        <v/>
      </c>
      <c r="P240" s="27" t="str">
        <f>IF(B240="","",Administrations!$AA51)</f>
        <v/>
      </c>
      <c r="Q240" s="20" t="str">
        <f t="shared" si="30"/>
        <v/>
      </c>
      <c r="R240" s="20" t="str">
        <f>IF(A240="","",IF(J240&lt;&gt;"",J240,IF(H240="TIMESTAMP",DAY(INT(M240/1440))&amp;" "&amp;INDEX(nLIST_Months,MONTH(INT(M240/1440)))&amp;" "&amp;YEAR(INT(M240/1440))&amp;" "&amp;RIGHT("0"&amp;INT(MOD(M240,1440)/60),2)&amp;":"&amp;RIGHT("0"&amp;MOD(M240,60),2)&amp;IF(L240=1," (UTC"&amp;I240&amp;")"," (offset unknown)"),IF(H240="DATE",DAY(O240)&amp;" "&amp;INDEX(nLIST_Months,MONTH(O240))&amp;" "&amp;YEAR(O240),IF(H240="MONTH",INDEX(nLIST_Months,MONTH(O240))&amp;" "&amp;YEAR(O240)&amp;" ("&amp;DAY(O240)&amp;" "&amp;INDEX(nLIST_Months,MONTH(O240))&amp;" "&amp;YEAR(O240)&amp;" to "&amp;DAY(P240)&amp;" "&amp;INDEX(nLIST_Months,MONTH(P240))&amp;" "&amp;YEAR(P240)&amp;")",IF(H240="YEAR",YEAR(O240)&amp;" (1 January to 31 December)",DAY(O240)&amp;" "&amp;INDEX(nLIST_Months,MONTH(O240))&amp;" "&amp;YEAR(O240)&amp;" to "&amp;DAY(P240)&amp;" "&amp;INDEX(nLIST_Months,MONTH(P240))&amp;" "&amp;YEAR(P240)))))))</f>
        <v/>
      </c>
      <c r="S240" s="20" t="str">
        <f>IF(B240="","",Administrations!$M51&amp;"")</f>
        <v/>
      </c>
      <c r="T240" s="20" t="str">
        <f>IF(B240="","",Administrations!$V51&amp;"")</f>
        <v/>
      </c>
      <c r="U240" s="20" t="str">
        <f>IF(B240="","","Administrations row "&amp;ROW(Administrations!$A51)&amp;", Administration")</f>
        <v/>
      </c>
      <c r="V240" s="20">
        <f>IF(A240="",0,COUNTIF(nTP_Key,A240))</f>
        <v>0</v>
      </c>
      <c r="W240" s="20">
        <f t="shared" si="31"/>
        <v>0</v>
      </c>
      <c r="X240" s="20">
        <f t="shared" si="32"/>
        <v>0</v>
      </c>
      <c r="Y240" s="20">
        <f t="shared" si="33"/>
        <v>0</v>
      </c>
      <c r="Z240" s="20">
        <f t="shared" si="34"/>
        <v>0</v>
      </c>
    </row>
    <row r="241" spans="1:26" x14ac:dyDescent="0.2">
      <c r="A241" s="20" t="str">
        <f t="shared" si="28"/>
        <v/>
      </c>
      <c r="B241" s="20" t="str">
        <f>IF(AND(Administrations!$C52&lt;&gt;"",COUNTA(Administrations!$N52:$U52)&gt;0),Administrations!$C52&amp;"","")</f>
        <v/>
      </c>
      <c r="C241" s="20" t="str">
        <f t="shared" si="35"/>
        <v/>
      </c>
      <c r="D241" s="20" t="str">
        <f>IF(B241="","",Administrations!$A52&amp;"")</f>
        <v/>
      </c>
      <c r="E241" s="20" t="str">
        <f>IF(B241="","",Administrations!$B52&amp;"")</f>
        <v/>
      </c>
      <c r="F241" s="20" t="str">
        <f t="shared" si="29"/>
        <v/>
      </c>
      <c r="G241" s="20" t="str">
        <f>IF(B241="","",Administrations!$D52&amp;"")</f>
        <v/>
      </c>
      <c r="H241" s="20" t="str">
        <f>IF(B241="","",Administrations!$N52&amp;"")</f>
        <v/>
      </c>
      <c r="I241" s="20" t="str">
        <f>IF(B241="","",Administrations!$Q52&amp;"")</f>
        <v/>
      </c>
      <c r="J241" s="20" t="str">
        <f>IF(B241="","",Administrations!$W52&amp;"")</f>
        <v/>
      </c>
      <c r="K241" s="20">
        <f>IF(B241="",0,Administrations!$X52)</f>
        <v>0</v>
      </c>
      <c r="L241" s="20">
        <f>IF(B241="",0,Administrations!$Y52)</f>
        <v>0</v>
      </c>
      <c r="M241" s="20" t="str">
        <f>IF(B241="","",Administrations!$AB52)</f>
        <v/>
      </c>
      <c r="N241" s="20" t="str">
        <f>IF(B241="","",Administrations!$AC52)</f>
        <v/>
      </c>
      <c r="O241" s="27" t="str">
        <f>IF(B241="","",Administrations!$Z52)</f>
        <v/>
      </c>
      <c r="P241" s="27" t="str">
        <f>IF(B241="","",Administrations!$AA52)</f>
        <v/>
      </c>
      <c r="Q241" s="20" t="str">
        <f t="shared" si="30"/>
        <v/>
      </c>
      <c r="R241" s="20" t="str">
        <f>IF(A241="","",IF(J241&lt;&gt;"",J241,IF(H241="TIMESTAMP",DAY(INT(M241/1440))&amp;" "&amp;INDEX(nLIST_Months,MONTH(INT(M241/1440)))&amp;" "&amp;YEAR(INT(M241/1440))&amp;" "&amp;RIGHT("0"&amp;INT(MOD(M241,1440)/60),2)&amp;":"&amp;RIGHT("0"&amp;MOD(M241,60),2)&amp;IF(L241=1," (UTC"&amp;I241&amp;")"," (offset unknown)"),IF(H241="DATE",DAY(O241)&amp;" "&amp;INDEX(nLIST_Months,MONTH(O241))&amp;" "&amp;YEAR(O241),IF(H241="MONTH",INDEX(nLIST_Months,MONTH(O241))&amp;" "&amp;YEAR(O241)&amp;" ("&amp;DAY(O241)&amp;" "&amp;INDEX(nLIST_Months,MONTH(O241))&amp;" "&amp;YEAR(O241)&amp;" to "&amp;DAY(P241)&amp;" "&amp;INDEX(nLIST_Months,MONTH(P241))&amp;" "&amp;YEAR(P241)&amp;")",IF(H241="YEAR",YEAR(O241)&amp;" (1 January to 31 December)",DAY(O241)&amp;" "&amp;INDEX(nLIST_Months,MONTH(O241))&amp;" "&amp;YEAR(O241)&amp;" to "&amp;DAY(P241)&amp;" "&amp;INDEX(nLIST_Months,MONTH(P241))&amp;" "&amp;YEAR(P241)))))))</f>
        <v/>
      </c>
      <c r="S241" s="20" t="str">
        <f>IF(B241="","",Administrations!$M52&amp;"")</f>
        <v/>
      </c>
      <c r="T241" s="20" t="str">
        <f>IF(B241="","",Administrations!$V52&amp;"")</f>
        <v/>
      </c>
      <c r="U241" s="20" t="str">
        <f>IF(B241="","","Administrations row "&amp;ROW(Administrations!$A52)&amp;", Administration")</f>
        <v/>
      </c>
      <c r="V241" s="20">
        <f>IF(A241="",0,COUNTIF(nTP_Key,A241))</f>
        <v>0</v>
      </c>
      <c r="W241" s="20">
        <f t="shared" si="31"/>
        <v>0</v>
      </c>
      <c r="X241" s="20">
        <f t="shared" si="32"/>
        <v>0</v>
      </c>
      <c r="Y241" s="20">
        <f t="shared" si="33"/>
        <v>0</v>
      </c>
      <c r="Z241" s="20">
        <f t="shared" si="34"/>
        <v>0</v>
      </c>
    </row>
    <row r="242" spans="1:26" x14ac:dyDescent="0.2">
      <c r="A242" s="20" t="str">
        <f t="shared" si="28"/>
        <v/>
      </c>
      <c r="B242" s="20" t="str">
        <f>IF(AND(Administrations!$C53&lt;&gt;"",COUNTA(Administrations!$N53:$U53)&gt;0),Administrations!$C53&amp;"","")</f>
        <v/>
      </c>
      <c r="C242" s="20" t="str">
        <f t="shared" si="35"/>
        <v/>
      </c>
      <c r="D242" s="20" t="str">
        <f>IF(B242="","",Administrations!$A53&amp;"")</f>
        <v/>
      </c>
      <c r="E242" s="20" t="str">
        <f>IF(B242="","",Administrations!$B53&amp;"")</f>
        <v/>
      </c>
      <c r="F242" s="20" t="str">
        <f t="shared" si="29"/>
        <v/>
      </c>
      <c r="G242" s="20" t="str">
        <f>IF(B242="","",Administrations!$D53&amp;"")</f>
        <v/>
      </c>
      <c r="H242" s="20" t="str">
        <f>IF(B242="","",Administrations!$N53&amp;"")</f>
        <v/>
      </c>
      <c r="I242" s="20" t="str">
        <f>IF(B242="","",Administrations!$Q53&amp;"")</f>
        <v/>
      </c>
      <c r="J242" s="20" t="str">
        <f>IF(B242="","",Administrations!$W53&amp;"")</f>
        <v/>
      </c>
      <c r="K242" s="20">
        <f>IF(B242="",0,Administrations!$X53)</f>
        <v>0</v>
      </c>
      <c r="L242" s="20">
        <f>IF(B242="",0,Administrations!$Y53)</f>
        <v>0</v>
      </c>
      <c r="M242" s="20" t="str">
        <f>IF(B242="","",Administrations!$AB53)</f>
        <v/>
      </c>
      <c r="N242" s="20" t="str">
        <f>IF(B242="","",Administrations!$AC53)</f>
        <v/>
      </c>
      <c r="O242" s="27" t="str">
        <f>IF(B242="","",Administrations!$Z53)</f>
        <v/>
      </c>
      <c r="P242" s="27" t="str">
        <f>IF(B242="","",Administrations!$AA53)</f>
        <v/>
      </c>
      <c r="Q242" s="20" t="str">
        <f t="shared" si="30"/>
        <v/>
      </c>
      <c r="R242" s="20" t="str">
        <f>IF(A242="","",IF(J242&lt;&gt;"",J242,IF(H242="TIMESTAMP",DAY(INT(M242/1440))&amp;" "&amp;INDEX(nLIST_Months,MONTH(INT(M242/1440)))&amp;" "&amp;YEAR(INT(M242/1440))&amp;" "&amp;RIGHT("0"&amp;INT(MOD(M242,1440)/60),2)&amp;":"&amp;RIGHT("0"&amp;MOD(M242,60),2)&amp;IF(L242=1," (UTC"&amp;I242&amp;")"," (offset unknown)"),IF(H242="DATE",DAY(O242)&amp;" "&amp;INDEX(nLIST_Months,MONTH(O242))&amp;" "&amp;YEAR(O242),IF(H242="MONTH",INDEX(nLIST_Months,MONTH(O242))&amp;" "&amp;YEAR(O242)&amp;" ("&amp;DAY(O242)&amp;" "&amp;INDEX(nLIST_Months,MONTH(O242))&amp;" "&amp;YEAR(O242)&amp;" to "&amp;DAY(P242)&amp;" "&amp;INDEX(nLIST_Months,MONTH(P242))&amp;" "&amp;YEAR(P242)&amp;")",IF(H242="YEAR",YEAR(O242)&amp;" (1 January to 31 December)",DAY(O242)&amp;" "&amp;INDEX(nLIST_Months,MONTH(O242))&amp;" "&amp;YEAR(O242)&amp;" to "&amp;DAY(P242)&amp;" "&amp;INDEX(nLIST_Months,MONTH(P242))&amp;" "&amp;YEAR(P242)))))))</f>
        <v/>
      </c>
      <c r="S242" s="20" t="str">
        <f>IF(B242="","",Administrations!$M53&amp;"")</f>
        <v/>
      </c>
      <c r="T242" s="20" t="str">
        <f>IF(B242="","",Administrations!$V53&amp;"")</f>
        <v/>
      </c>
      <c r="U242" s="20" t="str">
        <f>IF(B242="","","Administrations row "&amp;ROW(Administrations!$A53)&amp;", Administration")</f>
        <v/>
      </c>
      <c r="V242" s="20">
        <f>IF(A242="",0,COUNTIF(nTP_Key,A242))</f>
        <v>0</v>
      </c>
      <c r="W242" s="20">
        <f t="shared" si="31"/>
        <v>0</v>
      </c>
      <c r="X242" s="20">
        <f t="shared" si="32"/>
        <v>0</v>
      </c>
      <c r="Y242" s="20">
        <f t="shared" si="33"/>
        <v>0</v>
      </c>
      <c r="Z242" s="20">
        <f t="shared" si="34"/>
        <v>0</v>
      </c>
    </row>
    <row r="243" spans="1:26" x14ac:dyDescent="0.2">
      <c r="A243" s="20" t="str">
        <f t="shared" si="28"/>
        <v/>
      </c>
      <c r="B243" s="20" t="str">
        <f>IF(AND(Administrations!$C54&lt;&gt;"",COUNTA(Administrations!$N54:$U54)&gt;0),Administrations!$C54&amp;"","")</f>
        <v/>
      </c>
      <c r="C243" s="20" t="str">
        <f t="shared" si="35"/>
        <v/>
      </c>
      <c r="D243" s="20" t="str">
        <f>IF(B243="","",Administrations!$A54&amp;"")</f>
        <v/>
      </c>
      <c r="E243" s="20" t="str">
        <f>IF(B243="","",Administrations!$B54&amp;"")</f>
        <v/>
      </c>
      <c r="F243" s="20" t="str">
        <f t="shared" si="29"/>
        <v/>
      </c>
      <c r="G243" s="20" t="str">
        <f>IF(B243="","",Administrations!$D54&amp;"")</f>
        <v/>
      </c>
      <c r="H243" s="20" t="str">
        <f>IF(B243="","",Administrations!$N54&amp;"")</f>
        <v/>
      </c>
      <c r="I243" s="20" t="str">
        <f>IF(B243="","",Administrations!$Q54&amp;"")</f>
        <v/>
      </c>
      <c r="J243" s="20" t="str">
        <f>IF(B243="","",Administrations!$W54&amp;"")</f>
        <v/>
      </c>
      <c r="K243" s="20">
        <f>IF(B243="",0,Administrations!$X54)</f>
        <v>0</v>
      </c>
      <c r="L243" s="20">
        <f>IF(B243="",0,Administrations!$Y54)</f>
        <v>0</v>
      </c>
      <c r="M243" s="20" t="str">
        <f>IF(B243="","",Administrations!$AB54)</f>
        <v/>
      </c>
      <c r="N243" s="20" t="str">
        <f>IF(B243="","",Administrations!$AC54)</f>
        <v/>
      </c>
      <c r="O243" s="27" t="str">
        <f>IF(B243="","",Administrations!$Z54)</f>
        <v/>
      </c>
      <c r="P243" s="27" t="str">
        <f>IF(B243="","",Administrations!$AA54)</f>
        <v/>
      </c>
      <c r="Q243" s="20" t="str">
        <f t="shared" si="30"/>
        <v/>
      </c>
      <c r="R243" s="20" t="str">
        <f>IF(A243="","",IF(J243&lt;&gt;"",J243,IF(H243="TIMESTAMP",DAY(INT(M243/1440))&amp;" "&amp;INDEX(nLIST_Months,MONTH(INT(M243/1440)))&amp;" "&amp;YEAR(INT(M243/1440))&amp;" "&amp;RIGHT("0"&amp;INT(MOD(M243,1440)/60),2)&amp;":"&amp;RIGHT("0"&amp;MOD(M243,60),2)&amp;IF(L243=1," (UTC"&amp;I243&amp;")"," (offset unknown)"),IF(H243="DATE",DAY(O243)&amp;" "&amp;INDEX(nLIST_Months,MONTH(O243))&amp;" "&amp;YEAR(O243),IF(H243="MONTH",INDEX(nLIST_Months,MONTH(O243))&amp;" "&amp;YEAR(O243)&amp;" ("&amp;DAY(O243)&amp;" "&amp;INDEX(nLIST_Months,MONTH(O243))&amp;" "&amp;YEAR(O243)&amp;" to "&amp;DAY(P243)&amp;" "&amp;INDEX(nLIST_Months,MONTH(P243))&amp;" "&amp;YEAR(P243)&amp;")",IF(H243="YEAR",YEAR(O243)&amp;" (1 January to 31 December)",DAY(O243)&amp;" "&amp;INDEX(nLIST_Months,MONTH(O243))&amp;" "&amp;YEAR(O243)&amp;" to "&amp;DAY(P243)&amp;" "&amp;INDEX(nLIST_Months,MONTH(P243))&amp;" "&amp;YEAR(P243)))))))</f>
        <v/>
      </c>
      <c r="S243" s="20" t="str">
        <f>IF(B243="","",Administrations!$M54&amp;"")</f>
        <v/>
      </c>
      <c r="T243" s="20" t="str">
        <f>IF(B243="","",Administrations!$V54&amp;"")</f>
        <v/>
      </c>
      <c r="U243" s="20" t="str">
        <f>IF(B243="","","Administrations row "&amp;ROW(Administrations!$A54)&amp;", Administration")</f>
        <v/>
      </c>
      <c r="V243" s="20">
        <f>IF(A243="",0,COUNTIF(nTP_Key,A243))</f>
        <v>0</v>
      </c>
      <c r="W243" s="20">
        <f t="shared" si="31"/>
        <v>0</v>
      </c>
      <c r="X243" s="20">
        <f t="shared" si="32"/>
        <v>0</v>
      </c>
      <c r="Y243" s="20">
        <f t="shared" si="33"/>
        <v>0</v>
      </c>
      <c r="Z243" s="20">
        <f t="shared" si="34"/>
        <v>0</v>
      </c>
    </row>
    <row r="244" spans="1:26" x14ac:dyDescent="0.2">
      <c r="A244" s="20" t="str">
        <f t="shared" si="28"/>
        <v/>
      </c>
      <c r="B244" s="20" t="str">
        <f>IF(AND(Administrations!$C55&lt;&gt;"",COUNTA(Administrations!$N55:$U55)&gt;0),Administrations!$C55&amp;"","")</f>
        <v/>
      </c>
      <c r="C244" s="20" t="str">
        <f t="shared" si="35"/>
        <v/>
      </c>
      <c r="D244" s="20" t="str">
        <f>IF(B244="","",Administrations!$A55&amp;"")</f>
        <v/>
      </c>
      <c r="E244" s="20" t="str">
        <f>IF(B244="","",Administrations!$B55&amp;"")</f>
        <v/>
      </c>
      <c r="F244" s="20" t="str">
        <f t="shared" si="29"/>
        <v/>
      </c>
      <c r="G244" s="20" t="str">
        <f>IF(B244="","",Administrations!$D55&amp;"")</f>
        <v/>
      </c>
      <c r="H244" s="20" t="str">
        <f>IF(B244="","",Administrations!$N55&amp;"")</f>
        <v/>
      </c>
      <c r="I244" s="20" t="str">
        <f>IF(B244="","",Administrations!$Q55&amp;"")</f>
        <v/>
      </c>
      <c r="J244" s="20" t="str">
        <f>IF(B244="","",Administrations!$W55&amp;"")</f>
        <v/>
      </c>
      <c r="K244" s="20">
        <f>IF(B244="",0,Administrations!$X55)</f>
        <v>0</v>
      </c>
      <c r="L244" s="20">
        <f>IF(B244="",0,Administrations!$Y55)</f>
        <v>0</v>
      </c>
      <c r="M244" s="20" t="str">
        <f>IF(B244="","",Administrations!$AB55)</f>
        <v/>
      </c>
      <c r="N244" s="20" t="str">
        <f>IF(B244="","",Administrations!$AC55)</f>
        <v/>
      </c>
      <c r="O244" s="27" t="str">
        <f>IF(B244="","",Administrations!$Z55)</f>
        <v/>
      </c>
      <c r="P244" s="27" t="str">
        <f>IF(B244="","",Administrations!$AA55)</f>
        <v/>
      </c>
      <c r="Q244" s="20" t="str">
        <f t="shared" si="30"/>
        <v/>
      </c>
      <c r="R244" s="20" t="str">
        <f>IF(A244="","",IF(J244&lt;&gt;"",J244,IF(H244="TIMESTAMP",DAY(INT(M244/1440))&amp;" "&amp;INDEX(nLIST_Months,MONTH(INT(M244/1440)))&amp;" "&amp;YEAR(INT(M244/1440))&amp;" "&amp;RIGHT("0"&amp;INT(MOD(M244,1440)/60),2)&amp;":"&amp;RIGHT("0"&amp;MOD(M244,60),2)&amp;IF(L244=1," (UTC"&amp;I244&amp;")"," (offset unknown)"),IF(H244="DATE",DAY(O244)&amp;" "&amp;INDEX(nLIST_Months,MONTH(O244))&amp;" "&amp;YEAR(O244),IF(H244="MONTH",INDEX(nLIST_Months,MONTH(O244))&amp;" "&amp;YEAR(O244)&amp;" ("&amp;DAY(O244)&amp;" "&amp;INDEX(nLIST_Months,MONTH(O244))&amp;" "&amp;YEAR(O244)&amp;" to "&amp;DAY(P244)&amp;" "&amp;INDEX(nLIST_Months,MONTH(P244))&amp;" "&amp;YEAR(P244)&amp;")",IF(H244="YEAR",YEAR(O244)&amp;" (1 January to 31 December)",DAY(O244)&amp;" "&amp;INDEX(nLIST_Months,MONTH(O244))&amp;" "&amp;YEAR(O244)&amp;" to "&amp;DAY(P244)&amp;" "&amp;INDEX(nLIST_Months,MONTH(P244))&amp;" "&amp;YEAR(P244)))))))</f>
        <v/>
      </c>
      <c r="S244" s="20" t="str">
        <f>IF(B244="","",Administrations!$M55&amp;"")</f>
        <v/>
      </c>
      <c r="T244" s="20" t="str">
        <f>IF(B244="","",Administrations!$V55&amp;"")</f>
        <v/>
      </c>
      <c r="U244" s="20" t="str">
        <f>IF(B244="","","Administrations row "&amp;ROW(Administrations!$A55)&amp;", Administration")</f>
        <v/>
      </c>
      <c r="V244" s="20">
        <f>IF(A244="",0,COUNTIF(nTP_Key,A244))</f>
        <v>0</v>
      </c>
      <c r="W244" s="20">
        <f t="shared" si="31"/>
        <v>0</v>
      </c>
      <c r="X244" s="20">
        <f t="shared" si="32"/>
        <v>0</v>
      </c>
      <c r="Y244" s="20">
        <f t="shared" si="33"/>
        <v>0</v>
      </c>
      <c r="Z244" s="20">
        <f t="shared" si="34"/>
        <v>0</v>
      </c>
    </row>
    <row r="245" spans="1:26" x14ac:dyDescent="0.2">
      <c r="A245" s="20" t="str">
        <f t="shared" si="28"/>
        <v/>
      </c>
      <c r="B245" s="20" t="str">
        <f>IF(AND(Administrations!$C56&lt;&gt;"",COUNTA(Administrations!$N56:$U56)&gt;0),Administrations!$C56&amp;"","")</f>
        <v/>
      </c>
      <c r="C245" s="20" t="str">
        <f t="shared" si="35"/>
        <v/>
      </c>
      <c r="D245" s="20" t="str">
        <f>IF(B245="","",Administrations!$A56&amp;"")</f>
        <v/>
      </c>
      <c r="E245" s="20" t="str">
        <f>IF(B245="","",Administrations!$B56&amp;"")</f>
        <v/>
      </c>
      <c r="F245" s="20" t="str">
        <f t="shared" si="29"/>
        <v/>
      </c>
      <c r="G245" s="20" t="str">
        <f>IF(B245="","",Administrations!$D56&amp;"")</f>
        <v/>
      </c>
      <c r="H245" s="20" t="str">
        <f>IF(B245="","",Administrations!$N56&amp;"")</f>
        <v/>
      </c>
      <c r="I245" s="20" t="str">
        <f>IF(B245="","",Administrations!$Q56&amp;"")</f>
        <v/>
      </c>
      <c r="J245" s="20" t="str">
        <f>IF(B245="","",Administrations!$W56&amp;"")</f>
        <v/>
      </c>
      <c r="K245" s="20">
        <f>IF(B245="",0,Administrations!$X56)</f>
        <v>0</v>
      </c>
      <c r="L245" s="20">
        <f>IF(B245="",0,Administrations!$Y56)</f>
        <v>0</v>
      </c>
      <c r="M245" s="20" t="str">
        <f>IF(B245="","",Administrations!$AB56)</f>
        <v/>
      </c>
      <c r="N245" s="20" t="str">
        <f>IF(B245="","",Administrations!$AC56)</f>
        <v/>
      </c>
      <c r="O245" s="27" t="str">
        <f>IF(B245="","",Administrations!$Z56)</f>
        <v/>
      </c>
      <c r="P245" s="27" t="str">
        <f>IF(B245="","",Administrations!$AA56)</f>
        <v/>
      </c>
      <c r="Q245" s="20" t="str">
        <f t="shared" si="30"/>
        <v/>
      </c>
      <c r="R245" s="20" t="str">
        <f>IF(A245="","",IF(J245&lt;&gt;"",J245,IF(H245="TIMESTAMP",DAY(INT(M245/1440))&amp;" "&amp;INDEX(nLIST_Months,MONTH(INT(M245/1440)))&amp;" "&amp;YEAR(INT(M245/1440))&amp;" "&amp;RIGHT("0"&amp;INT(MOD(M245,1440)/60),2)&amp;":"&amp;RIGHT("0"&amp;MOD(M245,60),2)&amp;IF(L245=1," (UTC"&amp;I245&amp;")"," (offset unknown)"),IF(H245="DATE",DAY(O245)&amp;" "&amp;INDEX(nLIST_Months,MONTH(O245))&amp;" "&amp;YEAR(O245),IF(H245="MONTH",INDEX(nLIST_Months,MONTH(O245))&amp;" "&amp;YEAR(O245)&amp;" ("&amp;DAY(O245)&amp;" "&amp;INDEX(nLIST_Months,MONTH(O245))&amp;" "&amp;YEAR(O245)&amp;" to "&amp;DAY(P245)&amp;" "&amp;INDEX(nLIST_Months,MONTH(P245))&amp;" "&amp;YEAR(P245)&amp;")",IF(H245="YEAR",YEAR(O245)&amp;" (1 January to 31 December)",DAY(O245)&amp;" "&amp;INDEX(nLIST_Months,MONTH(O245))&amp;" "&amp;YEAR(O245)&amp;" to "&amp;DAY(P245)&amp;" "&amp;INDEX(nLIST_Months,MONTH(P245))&amp;" "&amp;YEAR(P245)))))))</f>
        <v/>
      </c>
      <c r="S245" s="20" t="str">
        <f>IF(B245="","",Administrations!$M56&amp;"")</f>
        <v/>
      </c>
      <c r="T245" s="20" t="str">
        <f>IF(B245="","",Administrations!$V56&amp;"")</f>
        <v/>
      </c>
      <c r="U245" s="20" t="str">
        <f>IF(B245="","","Administrations row "&amp;ROW(Administrations!$A56)&amp;", Administration")</f>
        <v/>
      </c>
      <c r="V245" s="20">
        <f>IF(A245="",0,COUNTIF(nTP_Key,A245))</f>
        <v>0</v>
      </c>
      <c r="W245" s="20">
        <f t="shared" si="31"/>
        <v>0</v>
      </c>
      <c r="X245" s="20">
        <f t="shared" si="32"/>
        <v>0</v>
      </c>
      <c r="Y245" s="20">
        <f t="shared" si="33"/>
        <v>0</v>
      </c>
      <c r="Z245" s="20">
        <f t="shared" si="34"/>
        <v>0</v>
      </c>
    </row>
    <row r="246" spans="1:26" x14ac:dyDescent="0.2">
      <c r="A246" s="20" t="str">
        <f t="shared" si="28"/>
        <v/>
      </c>
      <c r="B246" s="20" t="str">
        <f>IF(AND(Administrations!$C57&lt;&gt;"",COUNTA(Administrations!$N57:$U57)&gt;0),Administrations!$C57&amp;"","")</f>
        <v/>
      </c>
      <c r="C246" s="20" t="str">
        <f t="shared" si="35"/>
        <v/>
      </c>
      <c r="D246" s="20" t="str">
        <f>IF(B246="","",Administrations!$A57&amp;"")</f>
        <v/>
      </c>
      <c r="E246" s="20" t="str">
        <f>IF(B246="","",Administrations!$B57&amp;"")</f>
        <v/>
      </c>
      <c r="F246" s="20" t="str">
        <f t="shared" si="29"/>
        <v/>
      </c>
      <c r="G246" s="20" t="str">
        <f>IF(B246="","",Administrations!$D57&amp;"")</f>
        <v/>
      </c>
      <c r="H246" s="20" t="str">
        <f>IF(B246="","",Administrations!$N57&amp;"")</f>
        <v/>
      </c>
      <c r="I246" s="20" t="str">
        <f>IF(B246="","",Administrations!$Q57&amp;"")</f>
        <v/>
      </c>
      <c r="J246" s="20" t="str">
        <f>IF(B246="","",Administrations!$W57&amp;"")</f>
        <v/>
      </c>
      <c r="K246" s="20">
        <f>IF(B246="",0,Administrations!$X57)</f>
        <v>0</v>
      </c>
      <c r="L246" s="20">
        <f>IF(B246="",0,Administrations!$Y57)</f>
        <v>0</v>
      </c>
      <c r="M246" s="20" t="str">
        <f>IF(B246="","",Administrations!$AB57)</f>
        <v/>
      </c>
      <c r="N246" s="20" t="str">
        <f>IF(B246="","",Administrations!$AC57)</f>
        <v/>
      </c>
      <c r="O246" s="27" t="str">
        <f>IF(B246="","",Administrations!$Z57)</f>
        <v/>
      </c>
      <c r="P246" s="27" t="str">
        <f>IF(B246="","",Administrations!$AA57)</f>
        <v/>
      </c>
      <c r="Q246" s="20" t="str">
        <f t="shared" si="30"/>
        <v/>
      </c>
      <c r="R246" s="20" t="str">
        <f>IF(A246="","",IF(J246&lt;&gt;"",J246,IF(H246="TIMESTAMP",DAY(INT(M246/1440))&amp;" "&amp;INDEX(nLIST_Months,MONTH(INT(M246/1440)))&amp;" "&amp;YEAR(INT(M246/1440))&amp;" "&amp;RIGHT("0"&amp;INT(MOD(M246,1440)/60),2)&amp;":"&amp;RIGHT("0"&amp;MOD(M246,60),2)&amp;IF(L246=1," (UTC"&amp;I246&amp;")"," (offset unknown)"),IF(H246="DATE",DAY(O246)&amp;" "&amp;INDEX(nLIST_Months,MONTH(O246))&amp;" "&amp;YEAR(O246),IF(H246="MONTH",INDEX(nLIST_Months,MONTH(O246))&amp;" "&amp;YEAR(O246)&amp;" ("&amp;DAY(O246)&amp;" "&amp;INDEX(nLIST_Months,MONTH(O246))&amp;" "&amp;YEAR(O246)&amp;" to "&amp;DAY(P246)&amp;" "&amp;INDEX(nLIST_Months,MONTH(P246))&amp;" "&amp;YEAR(P246)&amp;")",IF(H246="YEAR",YEAR(O246)&amp;" (1 January to 31 December)",DAY(O246)&amp;" "&amp;INDEX(nLIST_Months,MONTH(O246))&amp;" "&amp;YEAR(O246)&amp;" to "&amp;DAY(P246)&amp;" "&amp;INDEX(nLIST_Months,MONTH(P246))&amp;" "&amp;YEAR(P246)))))))</f>
        <v/>
      </c>
      <c r="S246" s="20" t="str">
        <f>IF(B246="","",Administrations!$M57&amp;"")</f>
        <v/>
      </c>
      <c r="T246" s="20" t="str">
        <f>IF(B246="","",Administrations!$V57&amp;"")</f>
        <v/>
      </c>
      <c r="U246" s="20" t="str">
        <f>IF(B246="","","Administrations row "&amp;ROW(Administrations!$A57)&amp;", Administration")</f>
        <v/>
      </c>
      <c r="V246" s="20">
        <f>IF(A246="",0,COUNTIF(nTP_Key,A246))</f>
        <v>0</v>
      </c>
      <c r="W246" s="20">
        <f t="shared" si="31"/>
        <v>0</v>
      </c>
      <c r="X246" s="20">
        <f t="shared" si="32"/>
        <v>0</v>
      </c>
      <c r="Y246" s="20">
        <f t="shared" si="33"/>
        <v>0</v>
      </c>
      <c r="Z246" s="20">
        <f t="shared" si="34"/>
        <v>0</v>
      </c>
    </row>
    <row r="247" spans="1:26" x14ac:dyDescent="0.2">
      <c r="A247" s="20" t="str">
        <f t="shared" si="28"/>
        <v/>
      </c>
      <c r="B247" s="20" t="str">
        <f>IF(AND(Administrations!$C58&lt;&gt;"",COUNTA(Administrations!$N58:$U58)&gt;0),Administrations!$C58&amp;"","")</f>
        <v/>
      </c>
      <c r="C247" s="20" t="str">
        <f t="shared" si="35"/>
        <v/>
      </c>
      <c r="D247" s="20" t="str">
        <f>IF(B247="","",Administrations!$A58&amp;"")</f>
        <v/>
      </c>
      <c r="E247" s="20" t="str">
        <f>IF(B247="","",Administrations!$B58&amp;"")</f>
        <v/>
      </c>
      <c r="F247" s="20" t="str">
        <f t="shared" si="29"/>
        <v/>
      </c>
      <c r="G247" s="20" t="str">
        <f>IF(B247="","",Administrations!$D58&amp;"")</f>
        <v/>
      </c>
      <c r="H247" s="20" t="str">
        <f>IF(B247="","",Administrations!$N58&amp;"")</f>
        <v/>
      </c>
      <c r="I247" s="20" t="str">
        <f>IF(B247="","",Administrations!$Q58&amp;"")</f>
        <v/>
      </c>
      <c r="J247" s="20" t="str">
        <f>IF(B247="","",Administrations!$W58&amp;"")</f>
        <v/>
      </c>
      <c r="K247" s="20">
        <f>IF(B247="",0,Administrations!$X58)</f>
        <v>0</v>
      </c>
      <c r="L247" s="20">
        <f>IF(B247="",0,Administrations!$Y58)</f>
        <v>0</v>
      </c>
      <c r="M247" s="20" t="str">
        <f>IF(B247="","",Administrations!$AB58)</f>
        <v/>
      </c>
      <c r="N247" s="20" t="str">
        <f>IF(B247="","",Administrations!$AC58)</f>
        <v/>
      </c>
      <c r="O247" s="27" t="str">
        <f>IF(B247="","",Administrations!$Z58)</f>
        <v/>
      </c>
      <c r="P247" s="27" t="str">
        <f>IF(B247="","",Administrations!$AA58)</f>
        <v/>
      </c>
      <c r="Q247" s="20" t="str">
        <f t="shared" si="30"/>
        <v/>
      </c>
      <c r="R247" s="20" t="str">
        <f>IF(A247="","",IF(J247&lt;&gt;"",J247,IF(H247="TIMESTAMP",DAY(INT(M247/1440))&amp;" "&amp;INDEX(nLIST_Months,MONTH(INT(M247/1440)))&amp;" "&amp;YEAR(INT(M247/1440))&amp;" "&amp;RIGHT("0"&amp;INT(MOD(M247,1440)/60),2)&amp;":"&amp;RIGHT("0"&amp;MOD(M247,60),2)&amp;IF(L247=1," (UTC"&amp;I247&amp;")"," (offset unknown)"),IF(H247="DATE",DAY(O247)&amp;" "&amp;INDEX(nLIST_Months,MONTH(O247))&amp;" "&amp;YEAR(O247),IF(H247="MONTH",INDEX(nLIST_Months,MONTH(O247))&amp;" "&amp;YEAR(O247)&amp;" ("&amp;DAY(O247)&amp;" "&amp;INDEX(nLIST_Months,MONTH(O247))&amp;" "&amp;YEAR(O247)&amp;" to "&amp;DAY(P247)&amp;" "&amp;INDEX(nLIST_Months,MONTH(P247))&amp;" "&amp;YEAR(P247)&amp;")",IF(H247="YEAR",YEAR(O247)&amp;" (1 January to 31 December)",DAY(O247)&amp;" "&amp;INDEX(nLIST_Months,MONTH(O247))&amp;" "&amp;YEAR(O247)&amp;" to "&amp;DAY(P247)&amp;" "&amp;INDEX(nLIST_Months,MONTH(P247))&amp;" "&amp;YEAR(P247)))))))</f>
        <v/>
      </c>
      <c r="S247" s="20" t="str">
        <f>IF(B247="","",Administrations!$M58&amp;"")</f>
        <v/>
      </c>
      <c r="T247" s="20" t="str">
        <f>IF(B247="","",Administrations!$V58&amp;"")</f>
        <v/>
      </c>
      <c r="U247" s="20" t="str">
        <f>IF(B247="","","Administrations row "&amp;ROW(Administrations!$A58)&amp;", Administration")</f>
        <v/>
      </c>
      <c r="V247" s="20">
        <f>IF(A247="",0,COUNTIF(nTP_Key,A247))</f>
        <v>0</v>
      </c>
      <c r="W247" s="20">
        <f t="shared" si="31"/>
        <v>0</v>
      </c>
      <c r="X247" s="20">
        <f t="shared" si="32"/>
        <v>0</v>
      </c>
      <c r="Y247" s="20">
        <f t="shared" si="33"/>
        <v>0</v>
      </c>
      <c r="Z247" s="20">
        <f t="shared" si="34"/>
        <v>0</v>
      </c>
    </row>
    <row r="248" spans="1:26" x14ac:dyDescent="0.2">
      <c r="A248" s="20" t="str">
        <f t="shared" si="28"/>
        <v/>
      </c>
      <c r="B248" s="20" t="str">
        <f>IF(AND(Administrations!$C59&lt;&gt;"",COUNTA(Administrations!$N59:$U59)&gt;0),Administrations!$C59&amp;"","")</f>
        <v/>
      </c>
      <c r="C248" s="20" t="str">
        <f t="shared" si="35"/>
        <v/>
      </c>
      <c r="D248" s="20" t="str">
        <f>IF(B248="","",Administrations!$A59&amp;"")</f>
        <v/>
      </c>
      <c r="E248" s="20" t="str">
        <f>IF(B248="","",Administrations!$B59&amp;"")</f>
        <v/>
      </c>
      <c r="F248" s="20" t="str">
        <f t="shared" si="29"/>
        <v/>
      </c>
      <c r="G248" s="20" t="str">
        <f>IF(B248="","",Administrations!$D59&amp;"")</f>
        <v/>
      </c>
      <c r="H248" s="20" t="str">
        <f>IF(B248="","",Administrations!$N59&amp;"")</f>
        <v/>
      </c>
      <c r="I248" s="20" t="str">
        <f>IF(B248="","",Administrations!$Q59&amp;"")</f>
        <v/>
      </c>
      <c r="J248" s="20" t="str">
        <f>IF(B248="","",Administrations!$W59&amp;"")</f>
        <v/>
      </c>
      <c r="K248" s="20">
        <f>IF(B248="",0,Administrations!$X59)</f>
        <v>0</v>
      </c>
      <c r="L248" s="20">
        <f>IF(B248="",0,Administrations!$Y59)</f>
        <v>0</v>
      </c>
      <c r="M248" s="20" t="str">
        <f>IF(B248="","",Administrations!$AB59)</f>
        <v/>
      </c>
      <c r="N248" s="20" t="str">
        <f>IF(B248="","",Administrations!$AC59)</f>
        <v/>
      </c>
      <c r="O248" s="27" t="str">
        <f>IF(B248="","",Administrations!$Z59)</f>
        <v/>
      </c>
      <c r="P248" s="27" t="str">
        <f>IF(B248="","",Administrations!$AA59)</f>
        <v/>
      </c>
      <c r="Q248" s="20" t="str">
        <f t="shared" si="30"/>
        <v/>
      </c>
      <c r="R248" s="20" t="str">
        <f>IF(A248="","",IF(J248&lt;&gt;"",J248,IF(H248="TIMESTAMP",DAY(INT(M248/1440))&amp;" "&amp;INDEX(nLIST_Months,MONTH(INT(M248/1440)))&amp;" "&amp;YEAR(INT(M248/1440))&amp;" "&amp;RIGHT("0"&amp;INT(MOD(M248,1440)/60),2)&amp;":"&amp;RIGHT("0"&amp;MOD(M248,60),2)&amp;IF(L248=1," (UTC"&amp;I248&amp;")"," (offset unknown)"),IF(H248="DATE",DAY(O248)&amp;" "&amp;INDEX(nLIST_Months,MONTH(O248))&amp;" "&amp;YEAR(O248),IF(H248="MONTH",INDEX(nLIST_Months,MONTH(O248))&amp;" "&amp;YEAR(O248)&amp;" ("&amp;DAY(O248)&amp;" "&amp;INDEX(nLIST_Months,MONTH(O248))&amp;" "&amp;YEAR(O248)&amp;" to "&amp;DAY(P248)&amp;" "&amp;INDEX(nLIST_Months,MONTH(P248))&amp;" "&amp;YEAR(P248)&amp;")",IF(H248="YEAR",YEAR(O248)&amp;" (1 January to 31 December)",DAY(O248)&amp;" "&amp;INDEX(nLIST_Months,MONTH(O248))&amp;" "&amp;YEAR(O248)&amp;" to "&amp;DAY(P248)&amp;" "&amp;INDEX(nLIST_Months,MONTH(P248))&amp;" "&amp;YEAR(P248)))))))</f>
        <v/>
      </c>
      <c r="S248" s="20" t="str">
        <f>IF(B248="","",Administrations!$M59&amp;"")</f>
        <v/>
      </c>
      <c r="T248" s="20" t="str">
        <f>IF(B248="","",Administrations!$V59&amp;"")</f>
        <v/>
      </c>
      <c r="U248" s="20" t="str">
        <f>IF(B248="","","Administrations row "&amp;ROW(Administrations!$A59)&amp;", Administration")</f>
        <v/>
      </c>
      <c r="V248" s="20">
        <f>IF(A248="",0,COUNTIF(nTP_Key,A248))</f>
        <v>0</v>
      </c>
      <c r="W248" s="20">
        <f t="shared" si="31"/>
        <v>0</v>
      </c>
      <c r="X248" s="20">
        <f t="shared" si="32"/>
        <v>0</v>
      </c>
      <c r="Y248" s="20">
        <f t="shared" si="33"/>
        <v>0</v>
      </c>
      <c r="Z248" s="20">
        <f t="shared" si="34"/>
        <v>0</v>
      </c>
    </row>
    <row r="249" spans="1:26" x14ac:dyDescent="0.2">
      <c r="A249" s="20" t="str">
        <f t="shared" si="28"/>
        <v/>
      </c>
      <c r="B249" s="20" t="str">
        <f>IF(AND(Administrations!$C60&lt;&gt;"",COUNTA(Administrations!$N60:$U60)&gt;0),Administrations!$C60&amp;"","")</f>
        <v/>
      </c>
      <c r="C249" s="20" t="str">
        <f t="shared" si="35"/>
        <v/>
      </c>
      <c r="D249" s="20" t="str">
        <f>IF(B249="","",Administrations!$A60&amp;"")</f>
        <v/>
      </c>
      <c r="E249" s="20" t="str">
        <f>IF(B249="","",Administrations!$B60&amp;"")</f>
        <v/>
      </c>
      <c r="F249" s="20" t="str">
        <f t="shared" si="29"/>
        <v/>
      </c>
      <c r="G249" s="20" t="str">
        <f>IF(B249="","",Administrations!$D60&amp;"")</f>
        <v/>
      </c>
      <c r="H249" s="20" t="str">
        <f>IF(B249="","",Administrations!$N60&amp;"")</f>
        <v/>
      </c>
      <c r="I249" s="20" t="str">
        <f>IF(B249="","",Administrations!$Q60&amp;"")</f>
        <v/>
      </c>
      <c r="J249" s="20" t="str">
        <f>IF(B249="","",Administrations!$W60&amp;"")</f>
        <v/>
      </c>
      <c r="K249" s="20">
        <f>IF(B249="",0,Administrations!$X60)</f>
        <v>0</v>
      </c>
      <c r="L249" s="20">
        <f>IF(B249="",0,Administrations!$Y60)</f>
        <v>0</v>
      </c>
      <c r="M249" s="20" t="str">
        <f>IF(B249="","",Administrations!$AB60)</f>
        <v/>
      </c>
      <c r="N249" s="20" t="str">
        <f>IF(B249="","",Administrations!$AC60)</f>
        <v/>
      </c>
      <c r="O249" s="27" t="str">
        <f>IF(B249="","",Administrations!$Z60)</f>
        <v/>
      </c>
      <c r="P249" s="27" t="str">
        <f>IF(B249="","",Administrations!$AA60)</f>
        <v/>
      </c>
      <c r="Q249" s="20" t="str">
        <f t="shared" si="30"/>
        <v/>
      </c>
      <c r="R249" s="20" t="str">
        <f>IF(A249="","",IF(J249&lt;&gt;"",J249,IF(H249="TIMESTAMP",DAY(INT(M249/1440))&amp;" "&amp;INDEX(nLIST_Months,MONTH(INT(M249/1440)))&amp;" "&amp;YEAR(INT(M249/1440))&amp;" "&amp;RIGHT("0"&amp;INT(MOD(M249,1440)/60),2)&amp;":"&amp;RIGHT("0"&amp;MOD(M249,60),2)&amp;IF(L249=1," (UTC"&amp;I249&amp;")"," (offset unknown)"),IF(H249="DATE",DAY(O249)&amp;" "&amp;INDEX(nLIST_Months,MONTH(O249))&amp;" "&amp;YEAR(O249),IF(H249="MONTH",INDEX(nLIST_Months,MONTH(O249))&amp;" "&amp;YEAR(O249)&amp;" ("&amp;DAY(O249)&amp;" "&amp;INDEX(nLIST_Months,MONTH(O249))&amp;" "&amp;YEAR(O249)&amp;" to "&amp;DAY(P249)&amp;" "&amp;INDEX(nLIST_Months,MONTH(P249))&amp;" "&amp;YEAR(P249)&amp;")",IF(H249="YEAR",YEAR(O249)&amp;" (1 January to 31 December)",DAY(O249)&amp;" "&amp;INDEX(nLIST_Months,MONTH(O249))&amp;" "&amp;YEAR(O249)&amp;" to "&amp;DAY(P249)&amp;" "&amp;INDEX(nLIST_Months,MONTH(P249))&amp;" "&amp;YEAR(P249)))))))</f>
        <v/>
      </c>
      <c r="S249" s="20" t="str">
        <f>IF(B249="","",Administrations!$M60&amp;"")</f>
        <v/>
      </c>
      <c r="T249" s="20" t="str">
        <f>IF(B249="","",Administrations!$V60&amp;"")</f>
        <v/>
      </c>
      <c r="U249" s="20" t="str">
        <f>IF(B249="","","Administrations row "&amp;ROW(Administrations!$A60)&amp;", Administration")</f>
        <v/>
      </c>
      <c r="V249" s="20">
        <f>IF(A249="",0,COUNTIF(nTP_Key,A249))</f>
        <v>0</v>
      </c>
      <c r="W249" s="20">
        <f t="shared" si="31"/>
        <v>0</v>
      </c>
      <c r="X249" s="20">
        <f t="shared" si="32"/>
        <v>0</v>
      </c>
      <c r="Y249" s="20">
        <f t="shared" si="33"/>
        <v>0</v>
      </c>
      <c r="Z249" s="20">
        <f t="shared" si="34"/>
        <v>0</v>
      </c>
    </row>
    <row r="250" spans="1:26" x14ac:dyDescent="0.2">
      <c r="A250" s="20" t="str">
        <f t="shared" si="28"/>
        <v/>
      </c>
      <c r="B250" s="20" t="str">
        <f>IF(AND(Administrations!$C61&lt;&gt;"",COUNTA(Administrations!$N61:$U61)&gt;0),Administrations!$C61&amp;"","")</f>
        <v/>
      </c>
      <c r="C250" s="20" t="str">
        <f t="shared" si="35"/>
        <v/>
      </c>
      <c r="D250" s="20" t="str">
        <f>IF(B250="","",Administrations!$A61&amp;"")</f>
        <v/>
      </c>
      <c r="E250" s="20" t="str">
        <f>IF(B250="","",Administrations!$B61&amp;"")</f>
        <v/>
      </c>
      <c r="F250" s="20" t="str">
        <f t="shared" si="29"/>
        <v/>
      </c>
      <c r="G250" s="20" t="str">
        <f>IF(B250="","",Administrations!$D61&amp;"")</f>
        <v/>
      </c>
      <c r="H250" s="20" t="str">
        <f>IF(B250="","",Administrations!$N61&amp;"")</f>
        <v/>
      </c>
      <c r="I250" s="20" t="str">
        <f>IF(B250="","",Administrations!$Q61&amp;"")</f>
        <v/>
      </c>
      <c r="J250" s="20" t="str">
        <f>IF(B250="","",Administrations!$W61&amp;"")</f>
        <v/>
      </c>
      <c r="K250" s="20">
        <f>IF(B250="",0,Administrations!$X61)</f>
        <v>0</v>
      </c>
      <c r="L250" s="20">
        <f>IF(B250="",0,Administrations!$Y61)</f>
        <v>0</v>
      </c>
      <c r="M250" s="20" t="str">
        <f>IF(B250="","",Administrations!$AB61)</f>
        <v/>
      </c>
      <c r="N250" s="20" t="str">
        <f>IF(B250="","",Administrations!$AC61)</f>
        <v/>
      </c>
      <c r="O250" s="27" t="str">
        <f>IF(B250="","",Administrations!$Z61)</f>
        <v/>
      </c>
      <c r="P250" s="27" t="str">
        <f>IF(B250="","",Administrations!$AA61)</f>
        <v/>
      </c>
      <c r="Q250" s="20" t="str">
        <f t="shared" si="30"/>
        <v/>
      </c>
      <c r="R250" s="20" t="str">
        <f>IF(A250="","",IF(J250&lt;&gt;"",J250,IF(H250="TIMESTAMP",DAY(INT(M250/1440))&amp;" "&amp;INDEX(nLIST_Months,MONTH(INT(M250/1440)))&amp;" "&amp;YEAR(INT(M250/1440))&amp;" "&amp;RIGHT("0"&amp;INT(MOD(M250,1440)/60),2)&amp;":"&amp;RIGHT("0"&amp;MOD(M250,60),2)&amp;IF(L250=1," (UTC"&amp;I250&amp;")"," (offset unknown)"),IF(H250="DATE",DAY(O250)&amp;" "&amp;INDEX(nLIST_Months,MONTH(O250))&amp;" "&amp;YEAR(O250),IF(H250="MONTH",INDEX(nLIST_Months,MONTH(O250))&amp;" "&amp;YEAR(O250)&amp;" ("&amp;DAY(O250)&amp;" "&amp;INDEX(nLIST_Months,MONTH(O250))&amp;" "&amp;YEAR(O250)&amp;" to "&amp;DAY(P250)&amp;" "&amp;INDEX(nLIST_Months,MONTH(P250))&amp;" "&amp;YEAR(P250)&amp;")",IF(H250="YEAR",YEAR(O250)&amp;" (1 January to 31 December)",DAY(O250)&amp;" "&amp;INDEX(nLIST_Months,MONTH(O250))&amp;" "&amp;YEAR(O250)&amp;" to "&amp;DAY(P250)&amp;" "&amp;INDEX(nLIST_Months,MONTH(P250))&amp;" "&amp;YEAR(P250)))))))</f>
        <v/>
      </c>
      <c r="S250" s="20" t="str">
        <f>IF(B250="","",Administrations!$M61&amp;"")</f>
        <v/>
      </c>
      <c r="T250" s="20" t="str">
        <f>IF(B250="","",Administrations!$V61&amp;"")</f>
        <v/>
      </c>
      <c r="U250" s="20" t="str">
        <f>IF(B250="","","Administrations row "&amp;ROW(Administrations!$A61)&amp;", Administration")</f>
        <v/>
      </c>
      <c r="V250" s="20">
        <f>IF(A250="",0,COUNTIF(nTP_Key,A250))</f>
        <v>0</v>
      </c>
      <c r="W250" s="20">
        <f t="shared" si="31"/>
        <v>0</v>
      </c>
      <c r="X250" s="20">
        <f t="shared" si="32"/>
        <v>0</v>
      </c>
      <c r="Y250" s="20">
        <f t="shared" si="33"/>
        <v>0</v>
      </c>
      <c r="Z250" s="20">
        <f t="shared" si="34"/>
        <v>0</v>
      </c>
    </row>
    <row r="251" spans="1:26" x14ac:dyDescent="0.2">
      <c r="A251" s="20" t="str">
        <f t="shared" si="28"/>
        <v/>
      </c>
      <c r="B251" s="20" t="str">
        <f>IF(AND(Administrations!$C62&lt;&gt;"",COUNTA(Administrations!$N62:$U62)&gt;0),Administrations!$C62&amp;"","")</f>
        <v/>
      </c>
      <c r="C251" s="20" t="str">
        <f t="shared" si="35"/>
        <v/>
      </c>
      <c r="D251" s="20" t="str">
        <f>IF(B251="","",Administrations!$A62&amp;"")</f>
        <v/>
      </c>
      <c r="E251" s="20" t="str">
        <f>IF(B251="","",Administrations!$B62&amp;"")</f>
        <v/>
      </c>
      <c r="F251" s="20" t="str">
        <f t="shared" si="29"/>
        <v/>
      </c>
      <c r="G251" s="20" t="str">
        <f>IF(B251="","",Administrations!$D62&amp;"")</f>
        <v/>
      </c>
      <c r="H251" s="20" t="str">
        <f>IF(B251="","",Administrations!$N62&amp;"")</f>
        <v/>
      </c>
      <c r="I251" s="20" t="str">
        <f>IF(B251="","",Administrations!$Q62&amp;"")</f>
        <v/>
      </c>
      <c r="J251" s="20" t="str">
        <f>IF(B251="","",Administrations!$W62&amp;"")</f>
        <v/>
      </c>
      <c r="K251" s="20">
        <f>IF(B251="",0,Administrations!$X62)</f>
        <v>0</v>
      </c>
      <c r="L251" s="20">
        <f>IF(B251="",0,Administrations!$Y62)</f>
        <v>0</v>
      </c>
      <c r="M251" s="20" t="str">
        <f>IF(B251="","",Administrations!$AB62)</f>
        <v/>
      </c>
      <c r="N251" s="20" t="str">
        <f>IF(B251="","",Administrations!$AC62)</f>
        <v/>
      </c>
      <c r="O251" s="27" t="str">
        <f>IF(B251="","",Administrations!$Z62)</f>
        <v/>
      </c>
      <c r="P251" s="27" t="str">
        <f>IF(B251="","",Administrations!$AA62)</f>
        <v/>
      </c>
      <c r="Q251" s="20" t="str">
        <f t="shared" si="30"/>
        <v/>
      </c>
      <c r="R251" s="20" t="str">
        <f>IF(A251="","",IF(J251&lt;&gt;"",J251,IF(H251="TIMESTAMP",DAY(INT(M251/1440))&amp;" "&amp;INDEX(nLIST_Months,MONTH(INT(M251/1440)))&amp;" "&amp;YEAR(INT(M251/1440))&amp;" "&amp;RIGHT("0"&amp;INT(MOD(M251,1440)/60),2)&amp;":"&amp;RIGHT("0"&amp;MOD(M251,60),2)&amp;IF(L251=1," (UTC"&amp;I251&amp;")"," (offset unknown)"),IF(H251="DATE",DAY(O251)&amp;" "&amp;INDEX(nLIST_Months,MONTH(O251))&amp;" "&amp;YEAR(O251),IF(H251="MONTH",INDEX(nLIST_Months,MONTH(O251))&amp;" "&amp;YEAR(O251)&amp;" ("&amp;DAY(O251)&amp;" "&amp;INDEX(nLIST_Months,MONTH(O251))&amp;" "&amp;YEAR(O251)&amp;" to "&amp;DAY(P251)&amp;" "&amp;INDEX(nLIST_Months,MONTH(P251))&amp;" "&amp;YEAR(P251)&amp;")",IF(H251="YEAR",YEAR(O251)&amp;" (1 January to 31 December)",DAY(O251)&amp;" "&amp;INDEX(nLIST_Months,MONTH(O251))&amp;" "&amp;YEAR(O251)&amp;" to "&amp;DAY(P251)&amp;" "&amp;INDEX(nLIST_Months,MONTH(P251))&amp;" "&amp;YEAR(P251)))))))</f>
        <v/>
      </c>
      <c r="S251" s="20" t="str">
        <f>IF(B251="","",Administrations!$M62&amp;"")</f>
        <v/>
      </c>
      <c r="T251" s="20" t="str">
        <f>IF(B251="","",Administrations!$V62&amp;"")</f>
        <v/>
      </c>
      <c r="U251" s="20" t="str">
        <f>IF(B251="","","Administrations row "&amp;ROW(Administrations!$A62)&amp;", Administration")</f>
        <v/>
      </c>
      <c r="V251" s="20">
        <f>IF(A251="",0,COUNTIF(nTP_Key,A251))</f>
        <v>0</v>
      </c>
      <c r="W251" s="20">
        <f t="shared" si="31"/>
        <v>0</v>
      </c>
      <c r="X251" s="20">
        <f t="shared" si="32"/>
        <v>0</v>
      </c>
      <c r="Y251" s="20">
        <f t="shared" si="33"/>
        <v>0</v>
      </c>
      <c r="Z251" s="20">
        <f t="shared" si="34"/>
        <v>0</v>
      </c>
    </row>
    <row r="252" spans="1:26" x14ac:dyDescent="0.2">
      <c r="A252" s="20" t="str">
        <f t="shared" si="28"/>
        <v/>
      </c>
      <c r="B252" s="20" t="str">
        <f>IF(AND(Administrations!$C63&lt;&gt;"",COUNTA(Administrations!$N63:$U63)&gt;0),Administrations!$C63&amp;"","")</f>
        <v/>
      </c>
      <c r="C252" s="20" t="str">
        <f t="shared" si="35"/>
        <v/>
      </c>
      <c r="D252" s="20" t="str">
        <f>IF(B252="","",Administrations!$A63&amp;"")</f>
        <v/>
      </c>
      <c r="E252" s="20" t="str">
        <f>IF(B252="","",Administrations!$B63&amp;"")</f>
        <v/>
      </c>
      <c r="F252" s="20" t="str">
        <f t="shared" si="29"/>
        <v/>
      </c>
      <c r="G252" s="20" t="str">
        <f>IF(B252="","",Administrations!$D63&amp;"")</f>
        <v/>
      </c>
      <c r="H252" s="20" t="str">
        <f>IF(B252="","",Administrations!$N63&amp;"")</f>
        <v/>
      </c>
      <c r="I252" s="20" t="str">
        <f>IF(B252="","",Administrations!$Q63&amp;"")</f>
        <v/>
      </c>
      <c r="J252" s="20" t="str">
        <f>IF(B252="","",Administrations!$W63&amp;"")</f>
        <v/>
      </c>
      <c r="K252" s="20">
        <f>IF(B252="",0,Administrations!$X63)</f>
        <v>0</v>
      </c>
      <c r="L252" s="20">
        <f>IF(B252="",0,Administrations!$Y63)</f>
        <v>0</v>
      </c>
      <c r="M252" s="20" t="str">
        <f>IF(B252="","",Administrations!$AB63)</f>
        <v/>
      </c>
      <c r="N252" s="20" t="str">
        <f>IF(B252="","",Administrations!$AC63)</f>
        <v/>
      </c>
      <c r="O252" s="27" t="str">
        <f>IF(B252="","",Administrations!$Z63)</f>
        <v/>
      </c>
      <c r="P252" s="27" t="str">
        <f>IF(B252="","",Administrations!$AA63)</f>
        <v/>
      </c>
      <c r="Q252" s="20" t="str">
        <f t="shared" si="30"/>
        <v/>
      </c>
      <c r="R252" s="20" t="str">
        <f>IF(A252="","",IF(J252&lt;&gt;"",J252,IF(H252="TIMESTAMP",DAY(INT(M252/1440))&amp;" "&amp;INDEX(nLIST_Months,MONTH(INT(M252/1440)))&amp;" "&amp;YEAR(INT(M252/1440))&amp;" "&amp;RIGHT("0"&amp;INT(MOD(M252,1440)/60),2)&amp;":"&amp;RIGHT("0"&amp;MOD(M252,60),2)&amp;IF(L252=1," (UTC"&amp;I252&amp;")"," (offset unknown)"),IF(H252="DATE",DAY(O252)&amp;" "&amp;INDEX(nLIST_Months,MONTH(O252))&amp;" "&amp;YEAR(O252),IF(H252="MONTH",INDEX(nLIST_Months,MONTH(O252))&amp;" "&amp;YEAR(O252)&amp;" ("&amp;DAY(O252)&amp;" "&amp;INDEX(nLIST_Months,MONTH(O252))&amp;" "&amp;YEAR(O252)&amp;" to "&amp;DAY(P252)&amp;" "&amp;INDEX(nLIST_Months,MONTH(P252))&amp;" "&amp;YEAR(P252)&amp;")",IF(H252="YEAR",YEAR(O252)&amp;" (1 January to 31 December)",DAY(O252)&amp;" "&amp;INDEX(nLIST_Months,MONTH(O252))&amp;" "&amp;YEAR(O252)&amp;" to "&amp;DAY(P252)&amp;" "&amp;INDEX(nLIST_Months,MONTH(P252))&amp;" "&amp;YEAR(P252)))))))</f>
        <v/>
      </c>
      <c r="S252" s="20" t="str">
        <f>IF(B252="","",Administrations!$M63&amp;"")</f>
        <v/>
      </c>
      <c r="T252" s="20" t="str">
        <f>IF(B252="","",Administrations!$V63&amp;"")</f>
        <v/>
      </c>
      <c r="U252" s="20" t="str">
        <f>IF(B252="","","Administrations row "&amp;ROW(Administrations!$A63)&amp;", Administration")</f>
        <v/>
      </c>
      <c r="V252" s="20">
        <f>IF(A252="",0,COUNTIF(nTP_Key,A252))</f>
        <v>0</v>
      </c>
      <c r="W252" s="20">
        <f t="shared" si="31"/>
        <v>0</v>
      </c>
      <c r="X252" s="20">
        <f t="shared" si="32"/>
        <v>0</v>
      </c>
      <c r="Y252" s="20">
        <f t="shared" si="33"/>
        <v>0</v>
      </c>
      <c r="Z252" s="20">
        <f t="shared" si="34"/>
        <v>0</v>
      </c>
    </row>
    <row r="253" spans="1:26" x14ac:dyDescent="0.2">
      <c r="A253" s="20" t="str">
        <f t="shared" si="28"/>
        <v/>
      </c>
      <c r="B253" s="20" t="str">
        <f>IF(AND(Administrations!$C64&lt;&gt;"",COUNTA(Administrations!$N64:$U64)&gt;0),Administrations!$C64&amp;"","")</f>
        <v/>
      </c>
      <c r="C253" s="20" t="str">
        <f t="shared" si="35"/>
        <v/>
      </c>
      <c r="D253" s="20" t="str">
        <f>IF(B253="","",Administrations!$A64&amp;"")</f>
        <v/>
      </c>
      <c r="E253" s="20" t="str">
        <f>IF(B253="","",Administrations!$B64&amp;"")</f>
        <v/>
      </c>
      <c r="F253" s="20" t="str">
        <f t="shared" si="29"/>
        <v/>
      </c>
      <c r="G253" s="20" t="str">
        <f>IF(B253="","",Administrations!$D64&amp;"")</f>
        <v/>
      </c>
      <c r="H253" s="20" t="str">
        <f>IF(B253="","",Administrations!$N64&amp;"")</f>
        <v/>
      </c>
      <c r="I253" s="20" t="str">
        <f>IF(B253="","",Administrations!$Q64&amp;"")</f>
        <v/>
      </c>
      <c r="J253" s="20" t="str">
        <f>IF(B253="","",Administrations!$W64&amp;"")</f>
        <v/>
      </c>
      <c r="K253" s="20">
        <f>IF(B253="",0,Administrations!$X64)</f>
        <v>0</v>
      </c>
      <c r="L253" s="20">
        <f>IF(B253="",0,Administrations!$Y64)</f>
        <v>0</v>
      </c>
      <c r="M253" s="20" t="str">
        <f>IF(B253="","",Administrations!$AB64)</f>
        <v/>
      </c>
      <c r="N253" s="20" t="str">
        <f>IF(B253="","",Administrations!$AC64)</f>
        <v/>
      </c>
      <c r="O253" s="27" t="str">
        <f>IF(B253="","",Administrations!$Z64)</f>
        <v/>
      </c>
      <c r="P253" s="27" t="str">
        <f>IF(B253="","",Administrations!$AA64)</f>
        <v/>
      </c>
      <c r="Q253" s="20" t="str">
        <f t="shared" si="30"/>
        <v/>
      </c>
      <c r="R253" s="20" t="str">
        <f>IF(A253="","",IF(J253&lt;&gt;"",J253,IF(H253="TIMESTAMP",DAY(INT(M253/1440))&amp;" "&amp;INDEX(nLIST_Months,MONTH(INT(M253/1440)))&amp;" "&amp;YEAR(INT(M253/1440))&amp;" "&amp;RIGHT("0"&amp;INT(MOD(M253,1440)/60),2)&amp;":"&amp;RIGHT("0"&amp;MOD(M253,60),2)&amp;IF(L253=1," (UTC"&amp;I253&amp;")"," (offset unknown)"),IF(H253="DATE",DAY(O253)&amp;" "&amp;INDEX(nLIST_Months,MONTH(O253))&amp;" "&amp;YEAR(O253),IF(H253="MONTH",INDEX(nLIST_Months,MONTH(O253))&amp;" "&amp;YEAR(O253)&amp;" ("&amp;DAY(O253)&amp;" "&amp;INDEX(nLIST_Months,MONTH(O253))&amp;" "&amp;YEAR(O253)&amp;" to "&amp;DAY(P253)&amp;" "&amp;INDEX(nLIST_Months,MONTH(P253))&amp;" "&amp;YEAR(P253)&amp;")",IF(H253="YEAR",YEAR(O253)&amp;" (1 January to 31 December)",DAY(O253)&amp;" "&amp;INDEX(nLIST_Months,MONTH(O253))&amp;" "&amp;YEAR(O253)&amp;" to "&amp;DAY(P253)&amp;" "&amp;INDEX(nLIST_Months,MONTH(P253))&amp;" "&amp;YEAR(P253)))))))</f>
        <v/>
      </c>
      <c r="S253" s="20" t="str">
        <f>IF(B253="","",Administrations!$M64&amp;"")</f>
        <v/>
      </c>
      <c r="T253" s="20" t="str">
        <f>IF(B253="","",Administrations!$V64&amp;"")</f>
        <v/>
      </c>
      <c r="U253" s="20" t="str">
        <f>IF(B253="","","Administrations row "&amp;ROW(Administrations!$A64)&amp;", Administration")</f>
        <v/>
      </c>
      <c r="V253" s="20">
        <f>IF(A253="",0,COUNTIF(nTP_Key,A253))</f>
        <v>0</v>
      </c>
      <c r="W253" s="20">
        <f t="shared" si="31"/>
        <v>0</v>
      </c>
      <c r="X253" s="20">
        <f t="shared" si="32"/>
        <v>0</v>
      </c>
      <c r="Y253" s="20">
        <f t="shared" si="33"/>
        <v>0</v>
      </c>
      <c r="Z253" s="20">
        <f t="shared" si="34"/>
        <v>0</v>
      </c>
    </row>
    <row r="254" spans="1:26" x14ac:dyDescent="0.2">
      <c r="A254" s="20" t="str">
        <f t="shared" si="28"/>
        <v/>
      </c>
      <c r="B254" s="20" t="str">
        <f>IF(AND(Administrations!$C65&lt;&gt;"",COUNTA(Administrations!$N65:$U65)&gt;0),Administrations!$C65&amp;"","")</f>
        <v/>
      </c>
      <c r="C254" s="20" t="str">
        <f t="shared" si="35"/>
        <v/>
      </c>
      <c r="D254" s="20" t="str">
        <f>IF(B254="","",Administrations!$A65&amp;"")</f>
        <v/>
      </c>
      <c r="E254" s="20" t="str">
        <f>IF(B254="","",Administrations!$B65&amp;"")</f>
        <v/>
      </c>
      <c r="F254" s="20" t="str">
        <f t="shared" si="29"/>
        <v/>
      </c>
      <c r="G254" s="20" t="str">
        <f>IF(B254="","",Administrations!$D65&amp;"")</f>
        <v/>
      </c>
      <c r="H254" s="20" t="str">
        <f>IF(B254="","",Administrations!$N65&amp;"")</f>
        <v/>
      </c>
      <c r="I254" s="20" t="str">
        <f>IF(B254="","",Administrations!$Q65&amp;"")</f>
        <v/>
      </c>
      <c r="J254" s="20" t="str">
        <f>IF(B254="","",Administrations!$W65&amp;"")</f>
        <v/>
      </c>
      <c r="K254" s="20">
        <f>IF(B254="",0,Administrations!$X65)</f>
        <v>0</v>
      </c>
      <c r="L254" s="20">
        <f>IF(B254="",0,Administrations!$Y65)</f>
        <v>0</v>
      </c>
      <c r="M254" s="20" t="str">
        <f>IF(B254="","",Administrations!$AB65)</f>
        <v/>
      </c>
      <c r="N254" s="20" t="str">
        <f>IF(B254="","",Administrations!$AC65)</f>
        <v/>
      </c>
      <c r="O254" s="27" t="str">
        <f>IF(B254="","",Administrations!$Z65)</f>
        <v/>
      </c>
      <c r="P254" s="27" t="str">
        <f>IF(B254="","",Administrations!$AA65)</f>
        <v/>
      </c>
      <c r="Q254" s="20" t="str">
        <f t="shared" si="30"/>
        <v/>
      </c>
      <c r="R254" s="20" t="str">
        <f>IF(A254="","",IF(J254&lt;&gt;"",J254,IF(H254="TIMESTAMP",DAY(INT(M254/1440))&amp;" "&amp;INDEX(nLIST_Months,MONTH(INT(M254/1440)))&amp;" "&amp;YEAR(INT(M254/1440))&amp;" "&amp;RIGHT("0"&amp;INT(MOD(M254,1440)/60),2)&amp;":"&amp;RIGHT("0"&amp;MOD(M254,60),2)&amp;IF(L254=1," (UTC"&amp;I254&amp;")"," (offset unknown)"),IF(H254="DATE",DAY(O254)&amp;" "&amp;INDEX(nLIST_Months,MONTH(O254))&amp;" "&amp;YEAR(O254),IF(H254="MONTH",INDEX(nLIST_Months,MONTH(O254))&amp;" "&amp;YEAR(O254)&amp;" ("&amp;DAY(O254)&amp;" "&amp;INDEX(nLIST_Months,MONTH(O254))&amp;" "&amp;YEAR(O254)&amp;" to "&amp;DAY(P254)&amp;" "&amp;INDEX(nLIST_Months,MONTH(P254))&amp;" "&amp;YEAR(P254)&amp;")",IF(H254="YEAR",YEAR(O254)&amp;" (1 January to 31 December)",DAY(O254)&amp;" "&amp;INDEX(nLIST_Months,MONTH(O254))&amp;" "&amp;YEAR(O254)&amp;" to "&amp;DAY(P254)&amp;" "&amp;INDEX(nLIST_Months,MONTH(P254))&amp;" "&amp;YEAR(P254)))))))</f>
        <v/>
      </c>
      <c r="S254" s="20" t="str">
        <f>IF(B254="","",Administrations!$M65&amp;"")</f>
        <v/>
      </c>
      <c r="T254" s="20" t="str">
        <f>IF(B254="","",Administrations!$V65&amp;"")</f>
        <v/>
      </c>
      <c r="U254" s="20" t="str">
        <f>IF(B254="","","Administrations row "&amp;ROW(Administrations!$A65)&amp;", Administration")</f>
        <v/>
      </c>
      <c r="V254" s="20">
        <f>IF(A254="",0,COUNTIF(nTP_Key,A254))</f>
        <v>0</v>
      </c>
      <c r="W254" s="20">
        <f t="shared" si="31"/>
        <v>0</v>
      </c>
      <c r="X254" s="20">
        <f t="shared" si="32"/>
        <v>0</v>
      </c>
      <c r="Y254" s="20">
        <f t="shared" si="33"/>
        <v>0</v>
      </c>
      <c r="Z254" s="20">
        <f t="shared" si="34"/>
        <v>0</v>
      </c>
    </row>
    <row r="255" spans="1:26" x14ac:dyDescent="0.2">
      <c r="A255" s="20" t="str">
        <f t="shared" si="28"/>
        <v>EX-C01|2|ADM-A1</v>
      </c>
      <c r="B255" s="20" t="str">
        <f>IF(AND(Administrations!$C66&lt;&gt;"",COUNTA(Administrations!$N66:$U66)&gt;0),Administrations!$C66&amp;"","")</f>
        <v>ADM-A1</v>
      </c>
      <c r="C255" s="20" t="str">
        <f t="shared" si="35"/>
        <v>ADMINISTRATION</v>
      </c>
      <c r="D255" s="20" t="str">
        <f>IF(B255="","",Administrations!$A66&amp;"")</f>
        <v>EX-C01</v>
      </c>
      <c r="E255" s="20" t="str">
        <f>IF(B255="","",Administrations!$B66&amp;"")</f>
        <v>2</v>
      </c>
      <c r="F255" s="20" t="str">
        <f t="shared" si="29"/>
        <v>EX-C01|2</v>
      </c>
      <c r="G255" s="20" t="str">
        <f>IF(B255="","",Administrations!$D66&amp;"")</f>
        <v>EX-A</v>
      </c>
      <c r="H255" s="20" t="str">
        <f>IF(B255="","",Administrations!$N66&amp;"")</f>
        <v>TIMESTAMP</v>
      </c>
      <c r="I255" s="20" t="str">
        <f>IF(B255="","",Administrations!$Q66&amp;"")</f>
        <v>-05:00</v>
      </c>
      <c r="J255" s="20" t="str">
        <f>IF(B255="","",Administrations!$W66&amp;"")</f>
        <v/>
      </c>
      <c r="K255" s="20">
        <f>IF(B255="",0,Administrations!$X66)</f>
        <v>1</v>
      </c>
      <c r="L255" s="20">
        <f>IF(B255="",0,Administrations!$Y66)</f>
        <v>1</v>
      </c>
      <c r="M255" s="20">
        <f>IF(B255="","",Administrations!$AB66)</f>
        <v>66286620</v>
      </c>
      <c r="N255" s="20">
        <f>IF(B255="","",Administrations!$AC66)</f>
        <v>66286920</v>
      </c>
      <c r="O255" s="27">
        <f>IF(B255="","",Administrations!$Z66)</f>
        <v>46032</v>
      </c>
      <c r="P255" s="27">
        <f>IF(B255="","",Administrations!$AA66)</f>
        <v>46032</v>
      </c>
      <c r="Q255" s="20" t="str">
        <f t="shared" si="30"/>
        <v>2026-01-10T09:00-05:00</v>
      </c>
      <c r="R255" s="20" t="str">
        <f>IF(A255="","",IF(J255&lt;&gt;"",J255,IF(H255="TIMESTAMP",DAY(INT(M255/1440))&amp;" "&amp;INDEX(nLIST_Months,MONTH(INT(M255/1440)))&amp;" "&amp;YEAR(INT(M255/1440))&amp;" "&amp;RIGHT("0"&amp;INT(MOD(M255,1440)/60),2)&amp;":"&amp;RIGHT("0"&amp;MOD(M255,60),2)&amp;IF(L255=1," (UTC"&amp;I255&amp;")"," (offset unknown)"),IF(H255="DATE",DAY(O255)&amp;" "&amp;INDEX(nLIST_Months,MONTH(O255))&amp;" "&amp;YEAR(O255),IF(H255="MONTH",INDEX(nLIST_Months,MONTH(O255))&amp;" "&amp;YEAR(O255)&amp;" ("&amp;DAY(O255)&amp;" "&amp;INDEX(nLIST_Months,MONTH(O255))&amp;" "&amp;YEAR(O255)&amp;" to "&amp;DAY(P255)&amp;" "&amp;INDEX(nLIST_Months,MONTH(P255))&amp;" "&amp;YEAR(P255)&amp;")",IF(H255="YEAR",YEAR(O255)&amp;" (1 January to 31 December)",DAY(O255)&amp;" "&amp;INDEX(nLIST_Months,MONTH(O255))&amp;" "&amp;YEAR(O255)&amp;" to "&amp;DAY(P255)&amp;" "&amp;INDEX(nLIST_Months,MONTH(P255))&amp;" "&amp;YEAR(P255)))))))</f>
        <v>10 January 2026 09:00 (UTC-05:00)</v>
      </c>
      <c r="S255" s="20" t="str">
        <f>IF(B255="","",Administrations!$M66&amp;"")</f>
        <v>Drug A IV, started 09:00</v>
      </c>
      <c r="T255" s="20" t="str">
        <f>IF(B255="","",Administrations!$V66&amp;"")</f>
        <v>Medication administration record</v>
      </c>
      <c r="U255" s="20" t="str">
        <f>IF(B255="","","Administrations row "&amp;ROW(Administrations!$A66)&amp;", Administration")</f>
        <v>Administrations row 66, Administration</v>
      </c>
      <c r="V255" s="20">
        <f>IF(A255="",0,COUNTIF(nTP_Key,A255))</f>
        <v>1</v>
      </c>
      <c r="W255" s="20">
        <f t="shared" si="31"/>
        <v>66286620</v>
      </c>
      <c r="X255" s="20">
        <f t="shared" si="32"/>
        <v>66286920</v>
      </c>
      <c r="Y255" s="20">
        <f t="shared" si="33"/>
        <v>46032</v>
      </c>
      <c r="Z255" s="20">
        <f t="shared" si="34"/>
        <v>46032</v>
      </c>
    </row>
    <row r="256" spans="1:26" x14ac:dyDescent="0.2">
      <c r="A256" s="20" t="str">
        <f t="shared" si="28"/>
        <v>EX-C04|2|ADM-DIG-LAST</v>
      </c>
      <c r="B256" s="20" t="str">
        <f>IF(AND(Administrations!$C67&lt;&gt;"",COUNTA(Administrations!$N67:$U67)&gt;0),Administrations!$C67&amp;"","")</f>
        <v>ADM-DIG-LAST</v>
      </c>
      <c r="C256" s="20" t="str">
        <f t="shared" si="35"/>
        <v>ADMINISTRATION</v>
      </c>
      <c r="D256" s="20" t="str">
        <f>IF(B256="","",Administrations!$A67&amp;"")</f>
        <v>EX-C04</v>
      </c>
      <c r="E256" s="20" t="str">
        <f>IF(B256="","",Administrations!$B67&amp;"")</f>
        <v>2</v>
      </c>
      <c r="F256" s="20" t="str">
        <f t="shared" si="29"/>
        <v>EX-C04|2</v>
      </c>
      <c r="G256" s="20" t="str">
        <f>IF(B256="","",Administrations!$D67&amp;"")</f>
        <v>EX-DIG</v>
      </c>
      <c r="H256" s="20" t="str">
        <f>IF(B256="","",Administrations!$N67&amp;"")</f>
        <v>TIMESTAMP</v>
      </c>
      <c r="I256" s="20" t="str">
        <f>IF(B256="","",Administrations!$Q67&amp;"")</f>
        <v>unknown</v>
      </c>
      <c r="J256" s="20" t="str">
        <f>IF(B256="","",Administrations!$W67&amp;"")</f>
        <v/>
      </c>
      <c r="K256" s="20">
        <f>IF(B256="",0,Administrations!$X67)</f>
        <v>1</v>
      </c>
      <c r="L256" s="20">
        <f>IF(B256="",0,Administrations!$Y67)</f>
        <v>0</v>
      </c>
      <c r="M256" s="20">
        <f>IF(B256="","",Administrations!$AB67)</f>
        <v>66538560</v>
      </c>
      <c r="N256" s="20" t="str">
        <f>IF(B256="","",Administrations!$AC67)</f>
        <v/>
      </c>
      <c r="O256" s="27">
        <f>IF(B256="","",Administrations!$Z67)</f>
        <v>46207</v>
      </c>
      <c r="P256" s="27">
        <f>IF(B256="","",Administrations!$AA67)</f>
        <v>46207</v>
      </c>
      <c r="Q256" s="20" t="str">
        <f t="shared" si="30"/>
        <v>2026-07-04T08:00</v>
      </c>
      <c r="R256" s="20" t="str">
        <f>IF(A256="","",IF(J256&lt;&gt;"",J256,IF(H256="TIMESTAMP",DAY(INT(M256/1440))&amp;" "&amp;INDEX(nLIST_Months,MONTH(INT(M256/1440)))&amp;" "&amp;YEAR(INT(M256/1440))&amp;" "&amp;RIGHT("0"&amp;INT(MOD(M256,1440)/60),2)&amp;":"&amp;RIGHT("0"&amp;MOD(M256,60),2)&amp;IF(L256=1," (UTC"&amp;I256&amp;")"," (offset unknown)"),IF(H256="DATE",DAY(O256)&amp;" "&amp;INDEX(nLIST_Months,MONTH(O256))&amp;" "&amp;YEAR(O256),IF(H256="MONTH",INDEX(nLIST_Months,MONTH(O256))&amp;" "&amp;YEAR(O256)&amp;" ("&amp;DAY(O256)&amp;" "&amp;INDEX(nLIST_Months,MONTH(O256))&amp;" "&amp;YEAR(O256)&amp;" to "&amp;DAY(P256)&amp;" "&amp;INDEX(nLIST_Months,MONTH(P256))&amp;" "&amp;YEAR(P256)&amp;")",IF(H256="YEAR",YEAR(O256)&amp;" (1 January to 31 December)",DAY(O256)&amp;" "&amp;INDEX(nLIST_Months,MONTH(O256))&amp;" "&amp;YEAR(O256)&amp;" to "&amp;DAY(P256)&amp;" "&amp;INDEX(nLIST_Months,MONTH(P256))&amp;" "&amp;YEAR(P256)))))))</f>
        <v>4 July 2026 08:00 (offset unknown)</v>
      </c>
      <c r="S256" s="20" t="str">
        <f>IF(B256="","",Administrations!$M67&amp;"")</f>
        <v>Took last digoxin yesterday morning, about 08:00</v>
      </c>
      <c r="T256" s="20" t="str">
        <f>IF(B256="","",Administrations!$V67&amp;"")</f>
        <v>Emergency department note, 5 July 2026</v>
      </c>
      <c r="U256" s="20" t="str">
        <f>IF(B256="","","Administrations row "&amp;ROW(Administrations!$A67)&amp;", Administration")</f>
        <v>Administrations row 67, Administration</v>
      </c>
      <c r="V256" s="20">
        <f>IF(A256="",0,COUNTIF(nTP_Key,A256))</f>
        <v>1</v>
      </c>
      <c r="W256" s="20">
        <f t="shared" si="31"/>
        <v>66538560</v>
      </c>
      <c r="X256" s="20">
        <f t="shared" si="32"/>
        <v>0</v>
      </c>
      <c r="Y256" s="20">
        <f t="shared" si="33"/>
        <v>46207</v>
      </c>
      <c r="Z256" s="20">
        <f t="shared" si="34"/>
        <v>46207</v>
      </c>
    </row>
    <row r="257" spans="1:26" x14ac:dyDescent="0.2">
      <c r="A257" s="20" t="str">
        <f t="shared" si="28"/>
        <v>EX-C28|2|ADM-RTX-1</v>
      </c>
      <c r="B257" s="20" t="str">
        <f>IF(AND(Administrations!$C68&lt;&gt;"",COUNTA(Administrations!$N68:$U68)&gt;0),Administrations!$C68&amp;"","")</f>
        <v>ADM-RTX-1</v>
      </c>
      <c r="C257" s="20" t="str">
        <f t="shared" si="35"/>
        <v>ADMINISTRATION</v>
      </c>
      <c r="D257" s="20" t="str">
        <f>IF(B257="","",Administrations!$A68&amp;"")</f>
        <v>EX-C28</v>
      </c>
      <c r="E257" s="20" t="str">
        <f>IF(B257="","",Administrations!$B68&amp;"")</f>
        <v>2</v>
      </c>
      <c r="F257" s="20" t="str">
        <f t="shared" si="29"/>
        <v>EX-C28|2</v>
      </c>
      <c r="G257" s="20" t="str">
        <f>IF(B257="","",Administrations!$D68&amp;"")</f>
        <v>EX-RTX</v>
      </c>
      <c r="H257" s="20" t="str">
        <f>IF(B257="","",Administrations!$N68&amp;"")</f>
        <v>DATE</v>
      </c>
      <c r="I257" s="20" t="str">
        <f>IF(B257="","",Administrations!$Q68&amp;"")</f>
        <v/>
      </c>
      <c r="J257" s="20" t="str">
        <f>IF(B257="","",Administrations!$W68&amp;"")</f>
        <v/>
      </c>
      <c r="K257" s="20">
        <f>IF(B257="",0,Administrations!$X68)</f>
        <v>0</v>
      </c>
      <c r="L257" s="20">
        <f>IF(B257="",0,Administrations!$Y68)</f>
        <v>0</v>
      </c>
      <c r="M257" s="20" t="str">
        <f>IF(B257="","",Administrations!$AB68)</f>
        <v/>
      </c>
      <c r="N257" s="20" t="str">
        <f>IF(B257="","",Administrations!$AC68)</f>
        <v/>
      </c>
      <c r="O257" s="27">
        <f>IF(B257="","",Administrations!$Z68)</f>
        <v>45614</v>
      </c>
      <c r="P257" s="27">
        <f>IF(B257="","",Administrations!$AA68)</f>
        <v>45614</v>
      </c>
      <c r="Q257" s="20" t="str">
        <f t="shared" si="30"/>
        <v>2024-11-18</v>
      </c>
      <c r="R257" s="20" t="str">
        <f>IF(A257="","",IF(J257&lt;&gt;"",J257,IF(H257="TIMESTAMP",DAY(INT(M257/1440))&amp;" "&amp;INDEX(nLIST_Months,MONTH(INT(M257/1440)))&amp;" "&amp;YEAR(INT(M257/1440))&amp;" "&amp;RIGHT("0"&amp;INT(MOD(M257,1440)/60),2)&amp;":"&amp;RIGHT("0"&amp;MOD(M257,60),2)&amp;IF(L257=1," (UTC"&amp;I257&amp;")"," (offset unknown)"),IF(H257="DATE",DAY(O257)&amp;" "&amp;INDEX(nLIST_Months,MONTH(O257))&amp;" "&amp;YEAR(O257),IF(H257="MONTH",INDEX(nLIST_Months,MONTH(O257))&amp;" "&amp;YEAR(O257)&amp;" ("&amp;DAY(O257)&amp;" "&amp;INDEX(nLIST_Months,MONTH(O257))&amp;" "&amp;YEAR(O257)&amp;" to "&amp;DAY(P257)&amp;" "&amp;INDEX(nLIST_Months,MONTH(P257))&amp;" "&amp;YEAR(P257)&amp;")",IF(H257="YEAR",YEAR(O257)&amp;" (1 January to 31 December)",DAY(O257)&amp;" "&amp;INDEX(nLIST_Months,MONTH(O257))&amp;" "&amp;YEAR(O257)&amp;" to "&amp;DAY(P257)&amp;" "&amp;INDEX(nLIST_Months,MONTH(P257))&amp;" "&amp;YEAR(P257)))))))</f>
        <v>18 November 2024</v>
      </c>
      <c r="S257" s="20" t="str">
        <f>IF(B257="","",Administrations!$M68&amp;"")</f>
        <v>first infusion 18/11/2024</v>
      </c>
      <c r="T257" s="20" t="str">
        <f>IF(B257="","",Administrations!$V68&amp;"")</f>
        <v>Hematology summary</v>
      </c>
      <c r="U257" s="20" t="str">
        <f>IF(B257="","","Administrations row "&amp;ROW(Administrations!$A68)&amp;", Administration")</f>
        <v>Administrations row 68, Administration</v>
      </c>
      <c r="V257" s="20">
        <f>IF(A257="",0,COUNTIF(nTP_Key,A257))</f>
        <v>1</v>
      </c>
      <c r="W257" s="20">
        <f t="shared" si="31"/>
        <v>0</v>
      </c>
      <c r="X257" s="20">
        <f t="shared" si="32"/>
        <v>0</v>
      </c>
      <c r="Y257" s="20">
        <f t="shared" si="33"/>
        <v>45614</v>
      </c>
      <c r="Z257" s="20">
        <f t="shared" si="34"/>
        <v>45614</v>
      </c>
    </row>
    <row r="258" spans="1:26" x14ac:dyDescent="0.2">
      <c r="A258" s="20" t="str">
        <f t="shared" si="28"/>
        <v>EX-C28|2|ADM-RTX-6</v>
      </c>
      <c r="B258" s="20" t="str">
        <f>IF(AND(Administrations!$C69&lt;&gt;"",COUNTA(Administrations!$N69:$U69)&gt;0),Administrations!$C69&amp;"","")</f>
        <v>ADM-RTX-6</v>
      </c>
      <c r="C258" s="20" t="str">
        <f t="shared" ref="C258:C289" si="36">IF(B258="","","ADMINISTRATION")</f>
        <v>ADMINISTRATION</v>
      </c>
      <c r="D258" s="20" t="str">
        <f>IF(B258="","",Administrations!$A69&amp;"")</f>
        <v>EX-C28</v>
      </c>
      <c r="E258" s="20" t="str">
        <f>IF(B258="","",Administrations!$B69&amp;"")</f>
        <v>2</v>
      </c>
      <c r="F258" s="20" t="str">
        <f t="shared" si="29"/>
        <v>EX-C28|2</v>
      </c>
      <c r="G258" s="20" t="str">
        <f>IF(B258="","",Administrations!$D69&amp;"")</f>
        <v>EX-RTX</v>
      </c>
      <c r="H258" s="20" t="str">
        <f>IF(B258="","",Administrations!$N69&amp;"")</f>
        <v>DATE</v>
      </c>
      <c r="I258" s="20" t="str">
        <f>IF(B258="","",Administrations!$Q69&amp;"")</f>
        <v/>
      </c>
      <c r="J258" s="20" t="str">
        <f>IF(B258="","",Administrations!$W69&amp;"")</f>
        <v/>
      </c>
      <c r="K258" s="20">
        <f>IF(B258="",0,Administrations!$X69)</f>
        <v>0</v>
      </c>
      <c r="L258" s="20">
        <f>IF(B258="",0,Administrations!$Y69)</f>
        <v>0</v>
      </c>
      <c r="M258" s="20" t="str">
        <f>IF(B258="","",Administrations!$AB69)</f>
        <v/>
      </c>
      <c r="N258" s="20" t="str">
        <f>IF(B258="","",Administrations!$AC69)</f>
        <v/>
      </c>
      <c r="O258" s="27">
        <f>IF(B258="","",Administrations!$Z69)</f>
        <v>45719</v>
      </c>
      <c r="P258" s="27">
        <f>IF(B258="","",Administrations!$AA69)</f>
        <v>45719</v>
      </c>
      <c r="Q258" s="20" t="str">
        <f t="shared" si="30"/>
        <v>2025-03-03</v>
      </c>
      <c r="R258" s="20" t="str">
        <f>IF(A258="","",IF(J258&lt;&gt;"",J258,IF(H258="TIMESTAMP",DAY(INT(M258/1440))&amp;" "&amp;INDEX(nLIST_Months,MONTH(INT(M258/1440)))&amp;" "&amp;YEAR(INT(M258/1440))&amp;" "&amp;RIGHT("0"&amp;INT(MOD(M258,1440)/60),2)&amp;":"&amp;RIGHT("0"&amp;MOD(M258,60),2)&amp;IF(L258=1," (UTC"&amp;I258&amp;")"," (offset unknown)"),IF(H258="DATE",DAY(O258)&amp;" "&amp;INDEX(nLIST_Months,MONTH(O258))&amp;" "&amp;YEAR(O258),IF(H258="MONTH",INDEX(nLIST_Months,MONTH(O258))&amp;" "&amp;YEAR(O258)&amp;" ("&amp;DAY(O258)&amp;" "&amp;INDEX(nLIST_Months,MONTH(O258))&amp;" "&amp;YEAR(O258)&amp;" to "&amp;DAY(P258)&amp;" "&amp;INDEX(nLIST_Months,MONTH(P258))&amp;" "&amp;YEAR(P258)&amp;")",IF(H258="YEAR",YEAR(O258)&amp;" (1 January to 31 December)",DAY(O258)&amp;" "&amp;INDEX(nLIST_Months,MONTH(O258))&amp;" "&amp;YEAR(O258)&amp;" to "&amp;DAY(P258)&amp;" "&amp;INDEX(nLIST_Months,MONTH(P258))&amp;" "&amp;YEAR(P258)))))))</f>
        <v>3 March 2025</v>
      </c>
      <c r="S258" s="20" t="str">
        <f>IF(B258="","",Administrations!$M69&amp;"")</f>
        <v>last infusion 03/03/2025</v>
      </c>
      <c r="T258" s="20" t="str">
        <f>IF(B258="","",Administrations!$V69&amp;"")</f>
        <v>Hematology summary</v>
      </c>
      <c r="U258" s="20" t="str">
        <f>IF(B258="","","Administrations row "&amp;ROW(Administrations!$A69)&amp;", Administration")</f>
        <v>Administrations row 69, Administration</v>
      </c>
      <c r="V258" s="20">
        <f>IF(A258="",0,COUNTIF(nTP_Key,A258))</f>
        <v>1</v>
      </c>
      <c r="W258" s="20">
        <f t="shared" si="31"/>
        <v>0</v>
      </c>
      <c r="X258" s="20">
        <f t="shared" si="32"/>
        <v>0</v>
      </c>
      <c r="Y258" s="20">
        <f t="shared" si="33"/>
        <v>45719</v>
      </c>
      <c r="Z258" s="20">
        <f t="shared" si="34"/>
        <v>45719</v>
      </c>
    </row>
    <row r="259" spans="1:26" x14ac:dyDescent="0.2">
      <c r="A259" s="20" t="str">
        <f t="shared" si="28"/>
        <v/>
      </c>
      <c r="B259" s="20" t="str">
        <f>IF(AND(Administrations!$C70&lt;&gt;"",COUNTA(Administrations!$N70:$U70)&gt;0),Administrations!$C70&amp;"","")</f>
        <v/>
      </c>
      <c r="C259" s="20" t="str">
        <f t="shared" si="36"/>
        <v/>
      </c>
      <c r="D259" s="20" t="str">
        <f>IF(B259="","",Administrations!$A70&amp;"")</f>
        <v/>
      </c>
      <c r="E259" s="20" t="str">
        <f>IF(B259="","",Administrations!$B70&amp;"")</f>
        <v/>
      </c>
      <c r="F259" s="20" t="str">
        <f t="shared" si="29"/>
        <v/>
      </c>
      <c r="G259" s="20" t="str">
        <f>IF(B259="","",Administrations!$D70&amp;"")</f>
        <v/>
      </c>
      <c r="H259" s="20" t="str">
        <f>IF(B259="","",Administrations!$N70&amp;"")</f>
        <v/>
      </c>
      <c r="I259" s="20" t="str">
        <f>IF(B259="","",Administrations!$Q70&amp;"")</f>
        <v/>
      </c>
      <c r="J259" s="20" t="str">
        <f>IF(B259="","",Administrations!$W70&amp;"")</f>
        <v/>
      </c>
      <c r="K259" s="20">
        <f>IF(B259="",0,Administrations!$X70)</f>
        <v>0</v>
      </c>
      <c r="L259" s="20">
        <f>IF(B259="",0,Administrations!$Y70)</f>
        <v>0</v>
      </c>
      <c r="M259" s="20" t="str">
        <f>IF(B259="","",Administrations!$AB70)</f>
        <v/>
      </c>
      <c r="N259" s="20" t="str">
        <f>IF(B259="","",Administrations!$AC70)</f>
        <v/>
      </c>
      <c r="O259" s="27" t="str">
        <f>IF(B259="","",Administrations!$Z70)</f>
        <v/>
      </c>
      <c r="P259" s="27" t="str">
        <f>IF(B259="","",Administrations!$AA70)</f>
        <v/>
      </c>
      <c r="Q259" s="20" t="str">
        <f t="shared" si="30"/>
        <v/>
      </c>
      <c r="R259" s="20" t="str">
        <f>IF(A259="","",IF(J259&lt;&gt;"",J259,IF(H259="TIMESTAMP",DAY(INT(M259/1440))&amp;" "&amp;INDEX(nLIST_Months,MONTH(INT(M259/1440)))&amp;" "&amp;YEAR(INT(M259/1440))&amp;" "&amp;RIGHT("0"&amp;INT(MOD(M259,1440)/60),2)&amp;":"&amp;RIGHT("0"&amp;MOD(M259,60),2)&amp;IF(L259=1," (UTC"&amp;I259&amp;")"," (offset unknown)"),IF(H259="DATE",DAY(O259)&amp;" "&amp;INDEX(nLIST_Months,MONTH(O259))&amp;" "&amp;YEAR(O259),IF(H259="MONTH",INDEX(nLIST_Months,MONTH(O259))&amp;" "&amp;YEAR(O259)&amp;" ("&amp;DAY(O259)&amp;" "&amp;INDEX(nLIST_Months,MONTH(O259))&amp;" "&amp;YEAR(O259)&amp;" to "&amp;DAY(P259)&amp;" "&amp;INDEX(nLIST_Months,MONTH(P259))&amp;" "&amp;YEAR(P259)&amp;")",IF(H259="YEAR",YEAR(O259)&amp;" (1 January to 31 December)",DAY(O259)&amp;" "&amp;INDEX(nLIST_Months,MONTH(O259))&amp;" "&amp;YEAR(O259)&amp;" to "&amp;DAY(P259)&amp;" "&amp;INDEX(nLIST_Months,MONTH(P259))&amp;" "&amp;YEAR(P259)))))))</f>
        <v/>
      </c>
      <c r="S259" s="20" t="str">
        <f>IF(B259="","",Administrations!$M70&amp;"")</f>
        <v/>
      </c>
      <c r="T259" s="20" t="str">
        <f>IF(B259="","",Administrations!$V70&amp;"")</f>
        <v/>
      </c>
      <c r="U259" s="20" t="str">
        <f>IF(B259="","","Administrations row "&amp;ROW(Administrations!$A70)&amp;", Administration")</f>
        <v/>
      </c>
      <c r="V259" s="20">
        <f>IF(A259="",0,COUNTIF(nTP_Key,A259))</f>
        <v>0</v>
      </c>
      <c r="W259" s="20">
        <f t="shared" si="31"/>
        <v>0</v>
      </c>
      <c r="X259" s="20">
        <f t="shared" si="32"/>
        <v>0</v>
      </c>
      <c r="Y259" s="20">
        <f t="shared" si="33"/>
        <v>0</v>
      </c>
      <c r="Z259" s="20">
        <f t="shared" si="34"/>
        <v>0</v>
      </c>
    </row>
    <row r="260" spans="1:26" x14ac:dyDescent="0.2">
      <c r="A260" s="20" t="str">
        <f t="shared" si="28"/>
        <v>VEC-V07|1|A1</v>
      </c>
      <c r="B260" s="20" t="str">
        <f>IF(AND(Administrations!$C71&lt;&gt;"",COUNTA(Administrations!$N71:$U71)&gt;0),Administrations!$C71&amp;"","")</f>
        <v>A1</v>
      </c>
      <c r="C260" s="20" t="str">
        <f t="shared" si="36"/>
        <v>ADMINISTRATION</v>
      </c>
      <c r="D260" s="20" t="str">
        <f>IF(B260="","",Administrations!$A71&amp;"")</f>
        <v>VEC-V07</v>
      </c>
      <c r="E260" s="20" t="str">
        <f>IF(B260="","",Administrations!$B71&amp;"")</f>
        <v>1</v>
      </c>
      <c r="F260" s="20" t="str">
        <f t="shared" si="29"/>
        <v>VEC-V07|1</v>
      </c>
      <c r="G260" s="20" t="str">
        <f>IF(B260="","",Administrations!$D71&amp;"")</f>
        <v>EX1</v>
      </c>
      <c r="H260" s="20" t="str">
        <f>IF(B260="","",Administrations!$N71&amp;"")</f>
        <v>TIMESTAMP</v>
      </c>
      <c r="I260" s="20" t="str">
        <f>IF(B260="","",Administrations!$Q71&amp;"")</f>
        <v>-05:00</v>
      </c>
      <c r="J260" s="20" t="str">
        <f>IF(B260="","",Administrations!$W71&amp;"")</f>
        <v/>
      </c>
      <c r="K260" s="20">
        <f>IF(B260="",0,Administrations!$X71)</f>
        <v>1</v>
      </c>
      <c r="L260" s="20">
        <f>IF(B260="",0,Administrations!$Y71)</f>
        <v>1</v>
      </c>
      <c r="M260" s="20">
        <f>IF(B260="","",Administrations!$AB71)</f>
        <v>66358560</v>
      </c>
      <c r="N260" s="20">
        <f>IF(B260="","",Administrations!$AC71)</f>
        <v>66358860</v>
      </c>
      <c r="O260" s="27">
        <f>IF(B260="","",Administrations!$Z71)</f>
        <v>46082</v>
      </c>
      <c r="P260" s="27">
        <f>IF(B260="","",Administrations!$AA71)</f>
        <v>46082</v>
      </c>
      <c r="Q260" s="20" t="str">
        <f t="shared" si="30"/>
        <v>2026-03-01T08:00-05:00</v>
      </c>
      <c r="R260" s="20" t="str">
        <f>IF(A260="","",IF(J260&lt;&gt;"",J260,IF(H260="TIMESTAMP",DAY(INT(M260/1440))&amp;" "&amp;INDEX(nLIST_Months,MONTH(INT(M260/1440)))&amp;" "&amp;YEAR(INT(M260/1440))&amp;" "&amp;RIGHT("0"&amp;INT(MOD(M260,1440)/60),2)&amp;":"&amp;RIGHT("0"&amp;MOD(M260,60),2)&amp;IF(L260=1," (UTC"&amp;I260&amp;")"," (offset unknown)"),IF(H260="DATE",DAY(O260)&amp;" "&amp;INDEX(nLIST_Months,MONTH(O260))&amp;" "&amp;YEAR(O260),IF(H260="MONTH",INDEX(nLIST_Months,MONTH(O260))&amp;" "&amp;YEAR(O260)&amp;" ("&amp;DAY(O260)&amp;" "&amp;INDEX(nLIST_Months,MONTH(O260))&amp;" "&amp;YEAR(O260)&amp;" to "&amp;DAY(P260)&amp;" "&amp;INDEX(nLIST_Months,MONTH(P260))&amp;" "&amp;YEAR(P260)&amp;")",IF(H260="YEAR",YEAR(O260)&amp;" (1 January to 31 December)",DAY(O260)&amp;" "&amp;INDEX(nLIST_Months,MONTH(O260))&amp;" "&amp;YEAR(O260)&amp;" to "&amp;DAY(P260)&amp;" "&amp;INDEX(nLIST_Months,MONTH(P260))&amp;" "&amp;YEAR(P260)))))))</f>
        <v>1 March 2026 08:00 (UTC-05:00)</v>
      </c>
      <c r="S260" s="20" t="str">
        <f>IF(B260="","",Administrations!$M71&amp;"")</f>
        <v>2026-03-01T08:00-05:00</v>
      </c>
      <c r="T260" s="20" t="str">
        <f>IF(B260="","",Administrations!$V71&amp;"")</f>
        <v>tto_calc_test_vectors_v1.0.json V07</v>
      </c>
      <c r="U260" s="20" t="str">
        <f>IF(B260="","","Administrations row "&amp;ROW(Administrations!$A71)&amp;", Administration")</f>
        <v>Administrations row 71, Administration</v>
      </c>
      <c r="V260" s="20">
        <f>IF(A260="",0,COUNTIF(nTP_Key,A260))</f>
        <v>1</v>
      </c>
      <c r="W260" s="20">
        <f t="shared" si="31"/>
        <v>66358560</v>
      </c>
      <c r="X260" s="20">
        <f t="shared" si="32"/>
        <v>66358860</v>
      </c>
      <c r="Y260" s="20">
        <f t="shared" si="33"/>
        <v>46082</v>
      </c>
      <c r="Z260" s="20">
        <f t="shared" si="34"/>
        <v>46082</v>
      </c>
    </row>
    <row r="261" spans="1:26" x14ac:dyDescent="0.2">
      <c r="A261" s="20" t="str">
        <f t="shared" ref="A261:A324" si="37">IF(B261="","",F261&amp;"|"&amp;B261)</f>
        <v>VEC-V07|1|A2</v>
      </c>
      <c r="B261" s="20" t="str">
        <f>IF(AND(Administrations!$C72&lt;&gt;"",COUNTA(Administrations!$N72:$U72)&gt;0),Administrations!$C72&amp;"","")</f>
        <v>A2</v>
      </c>
      <c r="C261" s="20" t="str">
        <f t="shared" si="36"/>
        <v>ADMINISTRATION</v>
      </c>
      <c r="D261" s="20" t="str">
        <f>IF(B261="","",Administrations!$A72&amp;"")</f>
        <v>VEC-V07</v>
      </c>
      <c r="E261" s="20" t="str">
        <f>IF(B261="","",Administrations!$B72&amp;"")</f>
        <v>1</v>
      </c>
      <c r="F261" s="20" t="str">
        <f t="shared" ref="F261:F324" si="38">IF(B261="","",D261&amp;"|"&amp;E261)</f>
        <v>VEC-V07|1</v>
      </c>
      <c r="G261" s="20" t="str">
        <f>IF(B261="","",Administrations!$D72&amp;"")</f>
        <v>EX1</v>
      </c>
      <c r="H261" s="20" t="str">
        <f>IF(B261="","",Administrations!$N72&amp;"")</f>
        <v>TIMESTAMP</v>
      </c>
      <c r="I261" s="20" t="str">
        <f>IF(B261="","",Administrations!$Q72&amp;"")</f>
        <v>-05:00</v>
      </c>
      <c r="J261" s="20" t="str">
        <f>IF(B261="","",Administrations!$W72&amp;"")</f>
        <v/>
      </c>
      <c r="K261" s="20">
        <f>IF(B261="",0,Administrations!$X72)</f>
        <v>1</v>
      </c>
      <c r="L261" s="20">
        <f>IF(B261="",0,Administrations!$Y72)</f>
        <v>1</v>
      </c>
      <c r="M261" s="20">
        <f>IF(B261="","",Administrations!$AB72)</f>
        <v>66360000</v>
      </c>
      <c r="N261" s="20">
        <f>IF(B261="","",Administrations!$AC72)</f>
        <v>66360300</v>
      </c>
      <c r="O261" s="27">
        <f>IF(B261="","",Administrations!$Z72)</f>
        <v>46083</v>
      </c>
      <c r="P261" s="27">
        <f>IF(B261="","",Administrations!$AA72)</f>
        <v>46083</v>
      </c>
      <c r="Q261" s="20" t="str">
        <f t="shared" ref="Q261:Q324" si="39">IF(OR(A261="",J261&lt;&gt;""),"",IF(H261="TIMESTAMP",YEAR(INT(M261/1440))&amp;"-"&amp;RIGHT("0"&amp;MONTH(INT(M261/1440)),2)&amp;"-"&amp;RIGHT("0"&amp;DAY(INT(M261/1440)),2)&amp;"T"&amp;RIGHT("0"&amp;INT(MOD(M261,1440)/60),2)&amp;":"&amp;RIGHT("0"&amp;MOD(M261,60),2)&amp;IF(L261=1,I261,""),IF(H261="DATE",YEAR(O261)&amp;"-"&amp;RIGHT("0"&amp;MONTH(O261),2)&amp;"-"&amp;RIGHT("0"&amp;DAY(O261),2),IF(H261="MONTH",YEAR(O261)&amp;"-"&amp;RIGHT("0"&amp;MONTH(O261),2),IF(H261="YEAR",YEAR(O261)&amp;"",YEAR(O261)&amp;"-"&amp;RIGHT("0"&amp;MONTH(O261),2)&amp;"-"&amp;RIGHT("0"&amp;DAY(O261),2)&amp;"/"&amp;YEAR(P261)&amp;"-"&amp;RIGHT("0"&amp;MONTH(P261),2)&amp;"-"&amp;RIGHT("0"&amp;DAY(P261),2))))))</f>
        <v>2026-03-02T08:00-05:00</v>
      </c>
      <c r="R261" s="20" t="str">
        <f>IF(A261="","",IF(J261&lt;&gt;"",J261,IF(H261="TIMESTAMP",DAY(INT(M261/1440))&amp;" "&amp;INDEX(nLIST_Months,MONTH(INT(M261/1440)))&amp;" "&amp;YEAR(INT(M261/1440))&amp;" "&amp;RIGHT("0"&amp;INT(MOD(M261,1440)/60),2)&amp;":"&amp;RIGHT("0"&amp;MOD(M261,60),2)&amp;IF(L261=1," (UTC"&amp;I261&amp;")"," (offset unknown)"),IF(H261="DATE",DAY(O261)&amp;" "&amp;INDEX(nLIST_Months,MONTH(O261))&amp;" "&amp;YEAR(O261),IF(H261="MONTH",INDEX(nLIST_Months,MONTH(O261))&amp;" "&amp;YEAR(O261)&amp;" ("&amp;DAY(O261)&amp;" "&amp;INDEX(nLIST_Months,MONTH(O261))&amp;" "&amp;YEAR(O261)&amp;" to "&amp;DAY(P261)&amp;" "&amp;INDEX(nLIST_Months,MONTH(P261))&amp;" "&amp;YEAR(P261)&amp;")",IF(H261="YEAR",YEAR(O261)&amp;" (1 January to 31 December)",DAY(O261)&amp;" "&amp;INDEX(nLIST_Months,MONTH(O261))&amp;" "&amp;YEAR(O261)&amp;" to "&amp;DAY(P261)&amp;" "&amp;INDEX(nLIST_Months,MONTH(P261))&amp;" "&amp;YEAR(P261)))))))</f>
        <v>2 March 2026 08:00 (UTC-05:00)</v>
      </c>
      <c r="S261" s="20" t="str">
        <f>IF(B261="","",Administrations!$M72&amp;"")</f>
        <v>2026-03-02T08:00-05:00</v>
      </c>
      <c r="T261" s="20" t="str">
        <f>IF(B261="","",Administrations!$V72&amp;"")</f>
        <v>tto_calc_test_vectors_v1.0.json V07</v>
      </c>
      <c r="U261" s="20" t="str">
        <f>IF(B261="","","Administrations row "&amp;ROW(Administrations!$A72)&amp;", Administration")</f>
        <v>Administrations row 72, Administration</v>
      </c>
      <c r="V261" s="20">
        <f>IF(A261="",0,COUNTIF(nTP_Key,A261))</f>
        <v>1</v>
      </c>
      <c r="W261" s="20">
        <f t="shared" ref="W261:W324" si="40">IF(M261="",0,M261)</f>
        <v>66360000</v>
      </c>
      <c r="X261" s="20">
        <f t="shared" ref="X261:X324" si="41">IF(N261="",0,N261)</f>
        <v>66360300</v>
      </c>
      <c r="Y261" s="20">
        <f t="shared" ref="Y261:Y324" si="42">IF(O261="",0,O261)</f>
        <v>46083</v>
      </c>
      <c r="Z261" s="20">
        <f t="shared" ref="Z261:Z324" si="43">IF(P261="",0,P261)</f>
        <v>46083</v>
      </c>
    </row>
    <row r="262" spans="1:26" x14ac:dyDescent="0.2">
      <c r="A262" s="20" t="str">
        <f t="shared" si="37"/>
        <v>VEC-V07|1|A3</v>
      </c>
      <c r="B262" s="20" t="str">
        <f>IF(AND(Administrations!$C73&lt;&gt;"",COUNTA(Administrations!$N73:$U73)&gt;0),Administrations!$C73&amp;"","")</f>
        <v>A3</v>
      </c>
      <c r="C262" s="20" t="str">
        <f t="shared" si="36"/>
        <v>ADMINISTRATION</v>
      </c>
      <c r="D262" s="20" t="str">
        <f>IF(B262="","",Administrations!$A73&amp;"")</f>
        <v>VEC-V07</v>
      </c>
      <c r="E262" s="20" t="str">
        <f>IF(B262="","",Administrations!$B73&amp;"")</f>
        <v>1</v>
      </c>
      <c r="F262" s="20" t="str">
        <f t="shared" si="38"/>
        <v>VEC-V07|1</v>
      </c>
      <c r="G262" s="20" t="str">
        <f>IF(B262="","",Administrations!$D73&amp;"")</f>
        <v>EX1</v>
      </c>
      <c r="H262" s="20" t="str">
        <f>IF(B262="","",Administrations!$N73&amp;"")</f>
        <v>TIMESTAMP</v>
      </c>
      <c r="I262" s="20" t="str">
        <f>IF(B262="","",Administrations!$Q73&amp;"")</f>
        <v>-05:00</v>
      </c>
      <c r="J262" s="20" t="str">
        <f>IF(B262="","",Administrations!$W73&amp;"")</f>
        <v/>
      </c>
      <c r="K262" s="20">
        <f>IF(B262="",0,Administrations!$X73)</f>
        <v>1</v>
      </c>
      <c r="L262" s="20">
        <f>IF(B262="",0,Administrations!$Y73)</f>
        <v>1</v>
      </c>
      <c r="M262" s="20">
        <f>IF(B262="","",Administrations!$AB73)</f>
        <v>66361440</v>
      </c>
      <c r="N262" s="20">
        <f>IF(B262="","",Administrations!$AC73)</f>
        <v>66361740</v>
      </c>
      <c r="O262" s="27">
        <f>IF(B262="","",Administrations!$Z73)</f>
        <v>46084</v>
      </c>
      <c r="P262" s="27">
        <f>IF(B262="","",Administrations!$AA73)</f>
        <v>46084</v>
      </c>
      <c r="Q262" s="20" t="str">
        <f t="shared" si="39"/>
        <v>2026-03-03T08:00-05:00</v>
      </c>
      <c r="R262" s="20" t="str">
        <f>IF(A262="","",IF(J262&lt;&gt;"",J262,IF(H262="TIMESTAMP",DAY(INT(M262/1440))&amp;" "&amp;INDEX(nLIST_Months,MONTH(INT(M262/1440)))&amp;" "&amp;YEAR(INT(M262/1440))&amp;" "&amp;RIGHT("0"&amp;INT(MOD(M262,1440)/60),2)&amp;":"&amp;RIGHT("0"&amp;MOD(M262,60),2)&amp;IF(L262=1," (UTC"&amp;I262&amp;")"," (offset unknown)"),IF(H262="DATE",DAY(O262)&amp;" "&amp;INDEX(nLIST_Months,MONTH(O262))&amp;" "&amp;YEAR(O262),IF(H262="MONTH",INDEX(nLIST_Months,MONTH(O262))&amp;" "&amp;YEAR(O262)&amp;" ("&amp;DAY(O262)&amp;" "&amp;INDEX(nLIST_Months,MONTH(O262))&amp;" "&amp;YEAR(O262)&amp;" to "&amp;DAY(P262)&amp;" "&amp;INDEX(nLIST_Months,MONTH(P262))&amp;" "&amp;YEAR(P262)&amp;")",IF(H262="YEAR",YEAR(O262)&amp;" (1 January to 31 December)",DAY(O262)&amp;" "&amp;INDEX(nLIST_Months,MONTH(O262))&amp;" "&amp;YEAR(O262)&amp;" to "&amp;DAY(P262)&amp;" "&amp;INDEX(nLIST_Months,MONTH(P262))&amp;" "&amp;YEAR(P262)))))))</f>
        <v>3 March 2026 08:00 (UTC-05:00)</v>
      </c>
      <c r="S262" s="20" t="str">
        <f>IF(B262="","",Administrations!$M73&amp;"")</f>
        <v>2026-03-03T08:00-05:00</v>
      </c>
      <c r="T262" s="20" t="str">
        <f>IF(B262="","",Administrations!$V73&amp;"")</f>
        <v>tto_calc_test_vectors_v1.0.json V07</v>
      </c>
      <c r="U262" s="20" t="str">
        <f>IF(B262="","","Administrations row "&amp;ROW(Administrations!$A73)&amp;", Administration")</f>
        <v>Administrations row 73, Administration</v>
      </c>
      <c r="V262" s="20">
        <f>IF(A262="",0,COUNTIF(nTP_Key,A262))</f>
        <v>1</v>
      </c>
      <c r="W262" s="20">
        <f t="shared" si="40"/>
        <v>66361440</v>
      </c>
      <c r="X262" s="20">
        <f t="shared" si="41"/>
        <v>66361740</v>
      </c>
      <c r="Y262" s="20">
        <f t="shared" si="42"/>
        <v>46084</v>
      </c>
      <c r="Z262" s="20">
        <f t="shared" si="43"/>
        <v>46084</v>
      </c>
    </row>
    <row r="263" spans="1:26" x14ac:dyDescent="0.2">
      <c r="A263" s="20" t="str">
        <f t="shared" si="37"/>
        <v>VEC-V25|1|S1</v>
      </c>
      <c r="B263" s="20" t="str">
        <f>IF(AND(Administrations!$C74&lt;&gt;"",COUNTA(Administrations!$N74:$U74)&gt;0),Administrations!$C74&amp;"","")</f>
        <v>S1</v>
      </c>
      <c r="C263" s="20" t="str">
        <f t="shared" si="36"/>
        <v>ADMINISTRATION</v>
      </c>
      <c r="D263" s="20" t="str">
        <f>IF(B263="","",Administrations!$A74&amp;"")</f>
        <v>VEC-V25</v>
      </c>
      <c r="E263" s="20" t="str">
        <f>IF(B263="","",Administrations!$B74&amp;"")</f>
        <v>1</v>
      </c>
      <c r="F263" s="20" t="str">
        <f t="shared" si="38"/>
        <v>VEC-V25|1</v>
      </c>
      <c r="G263" s="20" t="str">
        <f>IF(B263="","",Administrations!$D74&amp;"")</f>
        <v>EX1</v>
      </c>
      <c r="H263" s="20" t="str">
        <f>IF(B263="","",Administrations!$N74&amp;"")</f>
        <v>TIMESTAMP</v>
      </c>
      <c r="I263" s="20" t="str">
        <f>IF(B263="","",Administrations!$Q74&amp;"")</f>
        <v>-05:00</v>
      </c>
      <c r="J263" s="20" t="str">
        <f>IF(B263="","",Administrations!$W74&amp;"")</f>
        <v/>
      </c>
      <c r="K263" s="20">
        <f>IF(B263="",0,Administrations!$X74)</f>
        <v>1</v>
      </c>
      <c r="L263" s="20">
        <f>IF(B263="",0,Administrations!$Y74)</f>
        <v>1</v>
      </c>
      <c r="M263" s="20">
        <f>IF(B263="","",Administrations!$AB74)</f>
        <v>66286620</v>
      </c>
      <c r="N263" s="20">
        <f>IF(B263="","",Administrations!$AC74)</f>
        <v>66286920</v>
      </c>
      <c r="O263" s="27">
        <f>IF(B263="","",Administrations!$Z74)</f>
        <v>46032</v>
      </c>
      <c r="P263" s="27">
        <f>IF(B263="","",Administrations!$AA74)</f>
        <v>46032</v>
      </c>
      <c r="Q263" s="20" t="str">
        <f t="shared" si="39"/>
        <v>2026-01-10T09:00-05:00</v>
      </c>
      <c r="R263" s="20" t="str">
        <f>IF(A263="","",IF(J263&lt;&gt;"",J263,IF(H263="TIMESTAMP",DAY(INT(M263/1440))&amp;" "&amp;INDEX(nLIST_Months,MONTH(INT(M263/1440)))&amp;" "&amp;YEAR(INT(M263/1440))&amp;" "&amp;RIGHT("0"&amp;INT(MOD(M263,1440)/60),2)&amp;":"&amp;RIGHT("0"&amp;MOD(M263,60),2)&amp;IF(L263=1," (UTC"&amp;I263&amp;")"," (offset unknown)"),IF(H263="DATE",DAY(O263)&amp;" "&amp;INDEX(nLIST_Months,MONTH(O263))&amp;" "&amp;YEAR(O263),IF(H263="MONTH",INDEX(nLIST_Months,MONTH(O263))&amp;" "&amp;YEAR(O263)&amp;" ("&amp;DAY(O263)&amp;" "&amp;INDEX(nLIST_Months,MONTH(O263))&amp;" "&amp;YEAR(O263)&amp;" to "&amp;DAY(P263)&amp;" "&amp;INDEX(nLIST_Months,MONTH(P263))&amp;" "&amp;YEAR(P263)&amp;")",IF(H263="YEAR",YEAR(O263)&amp;" (1 January to 31 December)",DAY(O263)&amp;" "&amp;INDEX(nLIST_Months,MONTH(O263))&amp;" "&amp;YEAR(O263)&amp;" to "&amp;DAY(P263)&amp;" "&amp;INDEX(nLIST_Months,MONTH(P263))&amp;" "&amp;YEAR(P263)))))))</f>
        <v>10 January 2026 09:00 (UTC-05:00)</v>
      </c>
      <c r="S263" s="20" t="str">
        <f>IF(B263="","",Administrations!$M74&amp;"")</f>
        <v>segment 1 start</v>
      </c>
      <c r="T263" s="20" t="str">
        <f>IF(B263="","",Administrations!$V74&amp;"")</f>
        <v>tto_calc_test_vectors_v1.0.json V25</v>
      </c>
      <c r="U263" s="20" t="str">
        <f>IF(B263="","","Administrations row "&amp;ROW(Administrations!$A74)&amp;", Administration")</f>
        <v>Administrations row 74, Administration</v>
      </c>
      <c r="V263" s="20">
        <f>IF(A263="",0,COUNTIF(nTP_Key,A263))</f>
        <v>1</v>
      </c>
      <c r="W263" s="20">
        <f t="shared" si="40"/>
        <v>66286620</v>
      </c>
      <c r="X263" s="20">
        <f t="shared" si="41"/>
        <v>66286920</v>
      </c>
      <c r="Y263" s="20">
        <f t="shared" si="42"/>
        <v>46032</v>
      </c>
      <c r="Z263" s="20">
        <f t="shared" si="43"/>
        <v>46032</v>
      </c>
    </row>
    <row r="264" spans="1:26" x14ac:dyDescent="0.2">
      <c r="A264" s="20" t="str">
        <f t="shared" si="37"/>
        <v>VEC-V25|1|S2</v>
      </c>
      <c r="B264" s="20" t="str">
        <f>IF(AND(Administrations!$C75&lt;&gt;"",COUNTA(Administrations!$N75:$U75)&gt;0),Administrations!$C75&amp;"","")</f>
        <v>S2</v>
      </c>
      <c r="C264" s="20" t="str">
        <f t="shared" si="36"/>
        <v>ADMINISTRATION</v>
      </c>
      <c r="D264" s="20" t="str">
        <f>IF(B264="","",Administrations!$A75&amp;"")</f>
        <v>VEC-V25</v>
      </c>
      <c r="E264" s="20" t="str">
        <f>IF(B264="","",Administrations!$B75&amp;"")</f>
        <v>1</v>
      </c>
      <c r="F264" s="20" t="str">
        <f t="shared" si="38"/>
        <v>VEC-V25|1</v>
      </c>
      <c r="G264" s="20" t="str">
        <f>IF(B264="","",Administrations!$D75&amp;"")</f>
        <v>EX1</v>
      </c>
      <c r="H264" s="20" t="str">
        <f>IF(B264="","",Administrations!$N75&amp;"")</f>
        <v>TIMESTAMP</v>
      </c>
      <c r="I264" s="20" t="str">
        <f>IF(B264="","",Administrations!$Q75&amp;"")</f>
        <v>-05:00</v>
      </c>
      <c r="J264" s="20" t="str">
        <f>IF(B264="","",Administrations!$W75&amp;"")</f>
        <v/>
      </c>
      <c r="K264" s="20">
        <f>IF(B264="",0,Administrations!$X75)</f>
        <v>1</v>
      </c>
      <c r="L264" s="20">
        <f>IF(B264="",0,Administrations!$Y75)</f>
        <v>1</v>
      </c>
      <c r="M264" s="20">
        <f>IF(B264="","",Administrations!$AB75)</f>
        <v>66286650</v>
      </c>
      <c r="N264" s="20">
        <f>IF(B264="","",Administrations!$AC75)</f>
        <v>66286950</v>
      </c>
      <c r="O264" s="27">
        <f>IF(B264="","",Administrations!$Z75)</f>
        <v>46032</v>
      </c>
      <c r="P264" s="27">
        <f>IF(B264="","",Administrations!$AA75)</f>
        <v>46032</v>
      </c>
      <c r="Q264" s="20" t="str">
        <f t="shared" si="39"/>
        <v>2026-01-10T09:30-05:00</v>
      </c>
      <c r="R264" s="20" t="str">
        <f>IF(A264="","",IF(J264&lt;&gt;"",J264,IF(H264="TIMESTAMP",DAY(INT(M264/1440))&amp;" "&amp;INDEX(nLIST_Months,MONTH(INT(M264/1440)))&amp;" "&amp;YEAR(INT(M264/1440))&amp;" "&amp;RIGHT("0"&amp;INT(MOD(M264,1440)/60),2)&amp;":"&amp;RIGHT("0"&amp;MOD(M264,60),2)&amp;IF(L264=1," (UTC"&amp;I264&amp;")"," (offset unknown)"),IF(H264="DATE",DAY(O264)&amp;" "&amp;INDEX(nLIST_Months,MONTH(O264))&amp;" "&amp;YEAR(O264),IF(H264="MONTH",INDEX(nLIST_Months,MONTH(O264))&amp;" "&amp;YEAR(O264)&amp;" ("&amp;DAY(O264)&amp;" "&amp;INDEX(nLIST_Months,MONTH(O264))&amp;" "&amp;YEAR(O264)&amp;" to "&amp;DAY(P264)&amp;" "&amp;INDEX(nLIST_Months,MONTH(P264))&amp;" "&amp;YEAR(P264)&amp;")",IF(H264="YEAR",YEAR(O264)&amp;" (1 January to 31 December)",DAY(O264)&amp;" "&amp;INDEX(nLIST_Months,MONTH(O264))&amp;" "&amp;YEAR(O264)&amp;" to "&amp;DAY(P264)&amp;" "&amp;INDEX(nLIST_Months,MONTH(P264))&amp;" "&amp;YEAR(P264)))))))</f>
        <v>10 January 2026 09:30 (UTC-05:00)</v>
      </c>
      <c r="S264" s="20" t="str">
        <f>IF(B264="","",Administrations!$M75&amp;"")</f>
        <v>segment 2 start</v>
      </c>
      <c r="T264" s="20" t="str">
        <f>IF(B264="","",Administrations!$V75&amp;"")</f>
        <v>tto_calc_test_vectors_v1.0.json V25</v>
      </c>
      <c r="U264" s="20" t="str">
        <f>IF(B264="","","Administrations row "&amp;ROW(Administrations!$A75)&amp;", Administration")</f>
        <v>Administrations row 75, Administration</v>
      </c>
      <c r="V264" s="20">
        <f>IF(A264="",0,COUNTIF(nTP_Key,A264))</f>
        <v>1</v>
      </c>
      <c r="W264" s="20">
        <f t="shared" si="40"/>
        <v>66286650</v>
      </c>
      <c r="X264" s="20">
        <f t="shared" si="41"/>
        <v>66286950</v>
      </c>
      <c r="Y264" s="20">
        <f t="shared" si="42"/>
        <v>46032</v>
      </c>
      <c r="Z264" s="20">
        <f t="shared" si="43"/>
        <v>46032</v>
      </c>
    </row>
    <row r="265" spans="1:26" x14ac:dyDescent="0.2">
      <c r="A265" s="20" t="str">
        <f t="shared" si="37"/>
        <v/>
      </c>
      <c r="B265" s="20" t="str">
        <f>IF(AND(Administrations!$C76&lt;&gt;"",COUNTA(Administrations!$N76:$U76)&gt;0),Administrations!$C76&amp;"","")</f>
        <v/>
      </c>
      <c r="C265" s="20" t="str">
        <f t="shared" si="36"/>
        <v/>
      </c>
      <c r="D265" s="20" t="str">
        <f>IF(B265="","",Administrations!$A76&amp;"")</f>
        <v/>
      </c>
      <c r="E265" s="20" t="str">
        <f>IF(B265="","",Administrations!$B76&amp;"")</f>
        <v/>
      </c>
      <c r="F265" s="20" t="str">
        <f t="shared" si="38"/>
        <v/>
      </c>
      <c r="G265" s="20" t="str">
        <f>IF(B265="","",Administrations!$D76&amp;"")</f>
        <v/>
      </c>
      <c r="H265" s="20" t="str">
        <f>IF(B265="","",Administrations!$N76&amp;"")</f>
        <v/>
      </c>
      <c r="I265" s="20" t="str">
        <f>IF(B265="","",Administrations!$Q76&amp;"")</f>
        <v/>
      </c>
      <c r="J265" s="20" t="str">
        <f>IF(B265="","",Administrations!$W76&amp;"")</f>
        <v/>
      </c>
      <c r="K265" s="20">
        <f>IF(B265="",0,Administrations!$X76)</f>
        <v>0</v>
      </c>
      <c r="L265" s="20">
        <f>IF(B265="",0,Administrations!$Y76)</f>
        <v>0</v>
      </c>
      <c r="M265" s="20" t="str">
        <f>IF(B265="","",Administrations!$AB76)</f>
        <v/>
      </c>
      <c r="N265" s="20" t="str">
        <f>IF(B265="","",Administrations!$AC76)</f>
        <v/>
      </c>
      <c r="O265" s="27" t="str">
        <f>IF(B265="","",Administrations!$Z76)</f>
        <v/>
      </c>
      <c r="P265" s="27" t="str">
        <f>IF(B265="","",Administrations!$AA76)</f>
        <v/>
      </c>
      <c r="Q265" s="20" t="str">
        <f t="shared" si="39"/>
        <v/>
      </c>
      <c r="R265" s="20" t="str">
        <f>IF(A265="","",IF(J265&lt;&gt;"",J265,IF(H265="TIMESTAMP",DAY(INT(M265/1440))&amp;" "&amp;INDEX(nLIST_Months,MONTH(INT(M265/1440)))&amp;" "&amp;YEAR(INT(M265/1440))&amp;" "&amp;RIGHT("0"&amp;INT(MOD(M265,1440)/60),2)&amp;":"&amp;RIGHT("0"&amp;MOD(M265,60),2)&amp;IF(L265=1," (UTC"&amp;I265&amp;")"," (offset unknown)"),IF(H265="DATE",DAY(O265)&amp;" "&amp;INDEX(nLIST_Months,MONTH(O265))&amp;" "&amp;YEAR(O265),IF(H265="MONTH",INDEX(nLIST_Months,MONTH(O265))&amp;" "&amp;YEAR(O265)&amp;" ("&amp;DAY(O265)&amp;" "&amp;INDEX(nLIST_Months,MONTH(O265))&amp;" "&amp;YEAR(O265)&amp;" to "&amp;DAY(P265)&amp;" "&amp;INDEX(nLIST_Months,MONTH(P265))&amp;" "&amp;YEAR(P265)&amp;")",IF(H265="YEAR",YEAR(O265)&amp;" (1 January to 31 December)",DAY(O265)&amp;" "&amp;INDEX(nLIST_Months,MONTH(O265))&amp;" "&amp;YEAR(O265)&amp;" to "&amp;DAY(P265)&amp;" "&amp;INDEX(nLIST_Months,MONTH(P265))&amp;" "&amp;YEAR(P265)))))))</f>
        <v/>
      </c>
      <c r="S265" s="20" t="str">
        <f>IF(B265="","",Administrations!$M76&amp;"")</f>
        <v/>
      </c>
      <c r="T265" s="20" t="str">
        <f>IF(B265="","",Administrations!$V76&amp;"")</f>
        <v/>
      </c>
      <c r="U265" s="20" t="str">
        <f>IF(B265="","","Administrations row "&amp;ROW(Administrations!$A76)&amp;", Administration")</f>
        <v/>
      </c>
      <c r="V265" s="20">
        <f>IF(A265="",0,COUNTIF(nTP_Key,A265))</f>
        <v>0</v>
      </c>
      <c r="W265" s="20">
        <f t="shared" si="40"/>
        <v>0</v>
      </c>
      <c r="X265" s="20">
        <f t="shared" si="41"/>
        <v>0</v>
      </c>
      <c r="Y265" s="20">
        <f t="shared" si="42"/>
        <v>0</v>
      </c>
      <c r="Z265" s="20">
        <f t="shared" si="43"/>
        <v>0</v>
      </c>
    </row>
    <row r="266" spans="1:26" x14ac:dyDescent="0.2">
      <c r="A266" s="20" t="str">
        <f t="shared" si="37"/>
        <v/>
      </c>
      <c r="B266" s="20" t="str">
        <f>IF(AND(Administrations!$C77&lt;&gt;"",COUNTA(Administrations!$N77:$U77)&gt;0),Administrations!$C77&amp;"","")</f>
        <v/>
      </c>
      <c r="C266" s="20" t="str">
        <f t="shared" si="36"/>
        <v/>
      </c>
      <c r="D266" s="20" t="str">
        <f>IF(B266="","",Administrations!$A77&amp;"")</f>
        <v/>
      </c>
      <c r="E266" s="20" t="str">
        <f>IF(B266="","",Administrations!$B77&amp;"")</f>
        <v/>
      </c>
      <c r="F266" s="20" t="str">
        <f t="shared" si="38"/>
        <v/>
      </c>
      <c r="G266" s="20" t="str">
        <f>IF(B266="","",Administrations!$D77&amp;"")</f>
        <v/>
      </c>
      <c r="H266" s="20" t="str">
        <f>IF(B266="","",Administrations!$N77&amp;"")</f>
        <v/>
      </c>
      <c r="I266" s="20" t="str">
        <f>IF(B266="","",Administrations!$Q77&amp;"")</f>
        <v/>
      </c>
      <c r="J266" s="20" t="str">
        <f>IF(B266="","",Administrations!$W77&amp;"")</f>
        <v/>
      </c>
      <c r="K266" s="20">
        <f>IF(B266="",0,Administrations!$X77)</f>
        <v>0</v>
      </c>
      <c r="L266" s="20">
        <f>IF(B266="",0,Administrations!$Y77)</f>
        <v>0</v>
      </c>
      <c r="M266" s="20" t="str">
        <f>IF(B266="","",Administrations!$AB77)</f>
        <v/>
      </c>
      <c r="N266" s="20" t="str">
        <f>IF(B266="","",Administrations!$AC77)</f>
        <v/>
      </c>
      <c r="O266" s="27" t="str">
        <f>IF(B266="","",Administrations!$Z77)</f>
        <v/>
      </c>
      <c r="P266" s="27" t="str">
        <f>IF(B266="","",Administrations!$AA77)</f>
        <v/>
      </c>
      <c r="Q266" s="20" t="str">
        <f t="shared" si="39"/>
        <v/>
      </c>
      <c r="R266" s="20" t="str">
        <f>IF(A266="","",IF(J266&lt;&gt;"",J266,IF(H266="TIMESTAMP",DAY(INT(M266/1440))&amp;" "&amp;INDEX(nLIST_Months,MONTH(INT(M266/1440)))&amp;" "&amp;YEAR(INT(M266/1440))&amp;" "&amp;RIGHT("0"&amp;INT(MOD(M266,1440)/60),2)&amp;":"&amp;RIGHT("0"&amp;MOD(M266,60),2)&amp;IF(L266=1," (UTC"&amp;I266&amp;")"," (offset unknown)"),IF(H266="DATE",DAY(O266)&amp;" "&amp;INDEX(nLIST_Months,MONTH(O266))&amp;" "&amp;YEAR(O266),IF(H266="MONTH",INDEX(nLIST_Months,MONTH(O266))&amp;" "&amp;YEAR(O266)&amp;" ("&amp;DAY(O266)&amp;" "&amp;INDEX(nLIST_Months,MONTH(O266))&amp;" "&amp;YEAR(O266)&amp;" to "&amp;DAY(P266)&amp;" "&amp;INDEX(nLIST_Months,MONTH(P266))&amp;" "&amp;YEAR(P266)&amp;")",IF(H266="YEAR",YEAR(O266)&amp;" (1 January to 31 December)",DAY(O266)&amp;" "&amp;INDEX(nLIST_Months,MONTH(O266))&amp;" "&amp;YEAR(O266)&amp;" to "&amp;DAY(P266)&amp;" "&amp;INDEX(nLIST_Months,MONTH(P266))&amp;" "&amp;YEAR(P266)))))))</f>
        <v/>
      </c>
      <c r="S266" s="20" t="str">
        <f>IF(B266="","",Administrations!$M77&amp;"")</f>
        <v/>
      </c>
      <c r="T266" s="20" t="str">
        <f>IF(B266="","",Administrations!$V77&amp;"")</f>
        <v/>
      </c>
      <c r="U266" s="20" t="str">
        <f>IF(B266="","","Administrations row "&amp;ROW(Administrations!$A77)&amp;", Administration")</f>
        <v/>
      </c>
      <c r="V266" s="20">
        <f>IF(A266="",0,COUNTIF(nTP_Key,A266))</f>
        <v>0</v>
      </c>
      <c r="W266" s="20">
        <f t="shared" si="40"/>
        <v>0</v>
      </c>
      <c r="X266" s="20">
        <f t="shared" si="41"/>
        <v>0</v>
      </c>
      <c r="Y266" s="20">
        <f t="shared" si="42"/>
        <v>0</v>
      </c>
      <c r="Z266" s="20">
        <f t="shared" si="43"/>
        <v>0</v>
      </c>
    </row>
    <row r="267" spans="1:26" x14ac:dyDescent="0.2">
      <c r="A267" s="20" t="str">
        <f t="shared" si="37"/>
        <v/>
      </c>
      <c r="B267" s="20" t="str">
        <f>IF(AND(Administrations!$C78&lt;&gt;"",COUNTA(Administrations!$N78:$U78)&gt;0),Administrations!$C78&amp;"","")</f>
        <v/>
      </c>
      <c r="C267" s="20" t="str">
        <f t="shared" si="36"/>
        <v/>
      </c>
      <c r="D267" s="20" t="str">
        <f>IF(B267="","",Administrations!$A78&amp;"")</f>
        <v/>
      </c>
      <c r="E267" s="20" t="str">
        <f>IF(B267="","",Administrations!$B78&amp;"")</f>
        <v/>
      </c>
      <c r="F267" s="20" t="str">
        <f t="shared" si="38"/>
        <v/>
      </c>
      <c r="G267" s="20" t="str">
        <f>IF(B267="","",Administrations!$D78&amp;"")</f>
        <v/>
      </c>
      <c r="H267" s="20" t="str">
        <f>IF(B267="","",Administrations!$N78&amp;"")</f>
        <v/>
      </c>
      <c r="I267" s="20" t="str">
        <f>IF(B267="","",Administrations!$Q78&amp;"")</f>
        <v/>
      </c>
      <c r="J267" s="20" t="str">
        <f>IF(B267="","",Administrations!$W78&amp;"")</f>
        <v/>
      </c>
      <c r="K267" s="20">
        <f>IF(B267="",0,Administrations!$X78)</f>
        <v>0</v>
      </c>
      <c r="L267" s="20">
        <f>IF(B267="",0,Administrations!$Y78)</f>
        <v>0</v>
      </c>
      <c r="M267" s="20" t="str">
        <f>IF(B267="","",Administrations!$AB78)</f>
        <v/>
      </c>
      <c r="N267" s="20" t="str">
        <f>IF(B267="","",Administrations!$AC78)</f>
        <v/>
      </c>
      <c r="O267" s="27" t="str">
        <f>IF(B267="","",Administrations!$Z78)</f>
        <v/>
      </c>
      <c r="P267" s="27" t="str">
        <f>IF(B267="","",Administrations!$AA78)</f>
        <v/>
      </c>
      <c r="Q267" s="20" t="str">
        <f t="shared" si="39"/>
        <v/>
      </c>
      <c r="R267" s="20" t="str">
        <f>IF(A267="","",IF(J267&lt;&gt;"",J267,IF(H267="TIMESTAMP",DAY(INT(M267/1440))&amp;" "&amp;INDEX(nLIST_Months,MONTH(INT(M267/1440)))&amp;" "&amp;YEAR(INT(M267/1440))&amp;" "&amp;RIGHT("0"&amp;INT(MOD(M267,1440)/60),2)&amp;":"&amp;RIGHT("0"&amp;MOD(M267,60),2)&amp;IF(L267=1," (UTC"&amp;I267&amp;")"," (offset unknown)"),IF(H267="DATE",DAY(O267)&amp;" "&amp;INDEX(nLIST_Months,MONTH(O267))&amp;" "&amp;YEAR(O267),IF(H267="MONTH",INDEX(nLIST_Months,MONTH(O267))&amp;" "&amp;YEAR(O267)&amp;" ("&amp;DAY(O267)&amp;" "&amp;INDEX(nLIST_Months,MONTH(O267))&amp;" "&amp;YEAR(O267)&amp;" to "&amp;DAY(P267)&amp;" "&amp;INDEX(nLIST_Months,MONTH(P267))&amp;" "&amp;YEAR(P267)&amp;")",IF(H267="YEAR",YEAR(O267)&amp;" (1 January to 31 December)",DAY(O267)&amp;" "&amp;INDEX(nLIST_Months,MONTH(O267))&amp;" "&amp;YEAR(O267)&amp;" to "&amp;DAY(P267)&amp;" "&amp;INDEX(nLIST_Months,MONTH(P267))&amp;" "&amp;YEAR(P267)))))))</f>
        <v/>
      </c>
      <c r="S267" s="20" t="str">
        <f>IF(B267="","",Administrations!$M78&amp;"")</f>
        <v/>
      </c>
      <c r="T267" s="20" t="str">
        <f>IF(B267="","",Administrations!$V78&amp;"")</f>
        <v/>
      </c>
      <c r="U267" s="20" t="str">
        <f>IF(B267="","","Administrations row "&amp;ROW(Administrations!$A78)&amp;", Administration")</f>
        <v/>
      </c>
      <c r="V267" s="20">
        <f>IF(A267="",0,COUNTIF(nTP_Key,A267))</f>
        <v>0</v>
      </c>
      <c r="W267" s="20">
        <f t="shared" si="40"/>
        <v>0</v>
      </c>
      <c r="X267" s="20">
        <f t="shared" si="41"/>
        <v>0</v>
      </c>
      <c r="Y267" s="20">
        <f t="shared" si="42"/>
        <v>0</v>
      </c>
      <c r="Z267" s="20">
        <f t="shared" si="43"/>
        <v>0</v>
      </c>
    </row>
    <row r="268" spans="1:26" x14ac:dyDescent="0.2">
      <c r="A268" s="20" t="str">
        <f t="shared" si="37"/>
        <v/>
      </c>
      <c r="B268" s="20" t="str">
        <f>IF(AND(Events!$D5&lt;&gt;"",COUNTA(Events!$J5:$Q5)&gt;0),Events!$D5&amp;"/ONSET","")</f>
        <v/>
      </c>
      <c r="C268" s="20" t="str">
        <f t="shared" ref="C268:C304" si="44">IF(B268="","","EVENT_ONSET")</f>
        <v/>
      </c>
      <c r="D268" s="20" t="str">
        <f>IF(B268="","",Events!$A5&amp;"")</f>
        <v/>
      </c>
      <c r="E268" s="20" t="str">
        <f>IF(B268="","",Events!$B5&amp;"")</f>
        <v/>
      </c>
      <c r="F268" s="20" t="str">
        <f t="shared" si="38"/>
        <v/>
      </c>
      <c r="G268" s="20" t="str">
        <f>IF(B268="","",Events!$D5&amp;"")</f>
        <v/>
      </c>
      <c r="H268" s="20" t="str">
        <f>IF(B268="","",Events!$J5&amp;"")</f>
        <v/>
      </c>
      <c r="I268" s="20" t="str">
        <f>IF(B268="","",Events!$M5&amp;"")</f>
        <v/>
      </c>
      <c r="J268" s="20" t="str">
        <f>IF(B268="","",Events!$S5&amp;"")</f>
        <v/>
      </c>
      <c r="K268" s="20">
        <f>IF(B268="",0,Events!$T5)</f>
        <v>0</v>
      </c>
      <c r="L268" s="20">
        <f>IF(B268="",0,Events!$U5)</f>
        <v>0</v>
      </c>
      <c r="M268" s="20" t="str">
        <f>IF(B268="","",Events!$X5)</f>
        <v/>
      </c>
      <c r="N268" s="20" t="str">
        <f>IF(B268="","",Events!$Y5)</f>
        <v/>
      </c>
      <c r="O268" s="27" t="str">
        <f>IF(B268="","",Events!$V5)</f>
        <v/>
      </c>
      <c r="P268" s="27" t="str">
        <f>IF(B268="","",Events!$W5)</f>
        <v/>
      </c>
      <c r="Q268" s="20" t="str">
        <f t="shared" si="39"/>
        <v/>
      </c>
      <c r="R268" s="20" t="str">
        <f>IF(A268="","",IF(J268&lt;&gt;"",J268,IF(H268="TIMESTAMP",DAY(INT(M268/1440))&amp;" "&amp;INDEX(nLIST_Months,MONTH(INT(M268/1440)))&amp;" "&amp;YEAR(INT(M268/1440))&amp;" "&amp;RIGHT("0"&amp;INT(MOD(M268,1440)/60),2)&amp;":"&amp;RIGHT("0"&amp;MOD(M268,60),2)&amp;IF(L268=1," (UTC"&amp;I268&amp;")"," (offset unknown)"),IF(H268="DATE",DAY(O268)&amp;" "&amp;INDEX(nLIST_Months,MONTH(O268))&amp;" "&amp;YEAR(O268),IF(H268="MONTH",INDEX(nLIST_Months,MONTH(O268))&amp;" "&amp;YEAR(O268)&amp;" ("&amp;DAY(O268)&amp;" "&amp;INDEX(nLIST_Months,MONTH(O268))&amp;" "&amp;YEAR(O268)&amp;" to "&amp;DAY(P268)&amp;" "&amp;INDEX(nLIST_Months,MONTH(P268))&amp;" "&amp;YEAR(P268)&amp;")",IF(H268="YEAR",YEAR(O268)&amp;" (1 January to 31 December)",DAY(O268)&amp;" "&amp;INDEX(nLIST_Months,MONTH(O268))&amp;" "&amp;YEAR(O268)&amp;" to "&amp;DAY(P268)&amp;" "&amp;INDEX(nLIST_Months,MONTH(P268))&amp;" "&amp;YEAR(P268)))))))</f>
        <v/>
      </c>
      <c r="S268" s="20" t="str">
        <f>IF(B268="","",Events!$I5&amp;"")</f>
        <v/>
      </c>
      <c r="T268" s="20" t="str">
        <f>IF(B268="","",Events!$R5&amp;"")</f>
        <v/>
      </c>
      <c r="U268" s="20" t="str">
        <f>IF(B268="","","Events row "&amp;ROW(Events!$A5)&amp;", Onset")</f>
        <v/>
      </c>
      <c r="V268" s="20">
        <f>IF(A268="",0,COUNTIF(nTP_Key,A268))</f>
        <v>0</v>
      </c>
      <c r="W268" s="20">
        <f t="shared" si="40"/>
        <v>0</v>
      </c>
      <c r="X268" s="20">
        <f t="shared" si="41"/>
        <v>0</v>
      </c>
      <c r="Y268" s="20">
        <f t="shared" si="42"/>
        <v>0</v>
      </c>
      <c r="Z268" s="20">
        <f t="shared" si="43"/>
        <v>0</v>
      </c>
    </row>
    <row r="269" spans="1:26" x14ac:dyDescent="0.2">
      <c r="A269" s="20" t="str">
        <f t="shared" si="37"/>
        <v/>
      </c>
      <c r="B269" s="20" t="str">
        <f>IF(AND(Events!$D6&lt;&gt;"",COUNTA(Events!$J6:$Q6)&gt;0),Events!$D6&amp;"/ONSET","")</f>
        <v/>
      </c>
      <c r="C269" s="20" t="str">
        <f t="shared" si="44"/>
        <v/>
      </c>
      <c r="D269" s="20" t="str">
        <f>IF(B269="","",Events!$A6&amp;"")</f>
        <v/>
      </c>
      <c r="E269" s="20" t="str">
        <f>IF(B269="","",Events!$B6&amp;"")</f>
        <v/>
      </c>
      <c r="F269" s="20" t="str">
        <f t="shared" si="38"/>
        <v/>
      </c>
      <c r="G269" s="20" t="str">
        <f>IF(B269="","",Events!$D6&amp;"")</f>
        <v/>
      </c>
      <c r="H269" s="20" t="str">
        <f>IF(B269="","",Events!$J6&amp;"")</f>
        <v/>
      </c>
      <c r="I269" s="20" t="str">
        <f>IF(B269="","",Events!$M6&amp;"")</f>
        <v/>
      </c>
      <c r="J269" s="20" t="str">
        <f>IF(B269="","",Events!$S6&amp;"")</f>
        <v/>
      </c>
      <c r="K269" s="20">
        <f>IF(B269="",0,Events!$T6)</f>
        <v>0</v>
      </c>
      <c r="L269" s="20">
        <f>IF(B269="",0,Events!$U6)</f>
        <v>0</v>
      </c>
      <c r="M269" s="20" t="str">
        <f>IF(B269="","",Events!$X6)</f>
        <v/>
      </c>
      <c r="N269" s="20" t="str">
        <f>IF(B269="","",Events!$Y6)</f>
        <v/>
      </c>
      <c r="O269" s="27" t="str">
        <f>IF(B269="","",Events!$V6)</f>
        <v/>
      </c>
      <c r="P269" s="27" t="str">
        <f>IF(B269="","",Events!$W6)</f>
        <v/>
      </c>
      <c r="Q269" s="20" t="str">
        <f t="shared" si="39"/>
        <v/>
      </c>
      <c r="R269" s="20" t="str">
        <f>IF(A269="","",IF(J269&lt;&gt;"",J269,IF(H269="TIMESTAMP",DAY(INT(M269/1440))&amp;" "&amp;INDEX(nLIST_Months,MONTH(INT(M269/1440)))&amp;" "&amp;YEAR(INT(M269/1440))&amp;" "&amp;RIGHT("0"&amp;INT(MOD(M269,1440)/60),2)&amp;":"&amp;RIGHT("0"&amp;MOD(M269,60),2)&amp;IF(L269=1," (UTC"&amp;I269&amp;")"," (offset unknown)"),IF(H269="DATE",DAY(O269)&amp;" "&amp;INDEX(nLIST_Months,MONTH(O269))&amp;" "&amp;YEAR(O269),IF(H269="MONTH",INDEX(nLIST_Months,MONTH(O269))&amp;" "&amp;YEAR(O269)&amp;" ("&amp;DAY(O269)&amp;" "&amp;INDEX(nLIST_Months,MONTH(O269))&amp;" "&amp;YEAR(O269)&amp;" to "&amp;DAY(P269)&amp;" "&amp;INDEX(nLIST_Months,MONTH(P269))&amp;" "&amp;YEAR(P269)&amp;")",IF(H269="YEAR",YEAR(O269)&amp;" (1 January to 31 December)",DAY(O269)&amp;" "&amp;INDEX(nLIST_Months,MONTH(O269))&amp;" "&amp;YEAR(O269)&amp;" to "&amp;DAY(P269)&amp;" "&amp;INDEX(nLIST_Months,MONTH(P269))&amp;" "&amp;YEAR(P269)))))))</f>
        <v/>
      </c>
      <c r="S269" s="20" t="str">
        <f>IF(B269="","",Events!$I6&amp;"")</f>
        <v/>
      </c>
      <c r="T269" s="20" t="str">
        <f>IF(B269="","",Events!$R6&amp;"")</f>
        <v/>
      </c>
      <c r="U269" s="20" t="str">
        <f>IF(B269="","","Events row "&amp;ROW(Events!$A6)&amp;", Onset")</f>
        <v/>
      </c>
      <c r="V269" s="20">
        <f>IF(A269="",0,COUNTIF(nTP_Key,A269))</f>
        <v>0</v>
      </c>
      <c r="W269" s="20">
        <f t="shared" si="40"/>
        <v>0</v>
      </c>
      <c r="X269" s="20">
        <f t="shared" si="41"/>
        <v>0</v>
      </c>
      <c r="Y269" s="20">
        <f t="shared" si="42"/>
        <v>0</v>
      </c>
      <c r="Z269" s="20">
        <f t="shared" si="43"/>
        <v>0</v>
      </c>
    </row>
    <row r="270" spans="1:26" x14ac:dyDescent="0.2">
      <c r="A270" s="20" t="str">
        <f t="shared" si="37"/>
        <v/>
      </c>
      <c r="B270" s="20" t="str">
        <f>IF(AND(Events!$D7&lt;&gt;"",COUNTA(Events!$J7:$Q7)&gt;0),Events!$D7&amp;"/ONSET","")</f>
        <v/>
      </c>
      <c r="C270" s="20" t="str">
        <f t="shared" si="44"/>
        <v/>
      </c>
      <c r="D270" s="20" t="str">
        <f>IF(B270="","",Events!$A7&amp;"")</f>
        <v/>
      </c>
      <c r="E270" s="20" t="str">
        <f>IF(B270="","",Events!$B7&amp;"")</f>
        <v/>
      </c>
      <c r="F270" s="20" t="str">
        <f t="shared" si="38"/>
        <v/>
      </c>
      <c r="G270" s="20" t="str">
        <f>IF(B270="","",Events!$D7&amp;"")</f>
        <v/>
      </c>
      <c r="H270" s="20" t="str">
        <f>IF(B270="","",Events!$J7&amp;"")</f>
        <v/>
      </c>
      <c r="I270" s="20" t="str">
        <f>IF(B270="","",Events!$M7&amp;"")</f>
        <v/>
      </c>
      <c r="J270" s="20" t="str">
        <f>IF(B270="","",Events!$S7&amp;"")</f>
        <v/>
      </c>
      <c r="K270" s="20">
        <f>IF(B270="",0,Events!$T7)</f>
        <v>0</v>
      </c>
      <c r="L270" s="20">
        <f>IF(B270="",0,Events!$U7)</f>
        <v>0</v>
      </c>
      <c r="M270" s="20" t="str">
        <f>IF(B270="","",Events!$X7)</f>
        <v/>
      </c>
      <c r="N270" s="20" t="str">
        <f>IF(B270="","",Events!$Y7)</f>
        <v/>
      </c>
      <c r="O270" s="27" t="str">
        <f>IF(B270="","",Events!$V7)</f>
        <v/>
      </c>
      <c r="P270" s="27" t="str">
        <f>IF(B270="","",Events!$W7)</f>
        <v/>
      </c>
      <c r="Q270" s="20" t="str">
        <f t="shared" si="39"/>
        <v/>
      </c>
      <c r="R270" s="20" t="str">
        <f>IF(A270="","",IF(J270&lt;&gt;"",J270,IF(H270="TIMESTAMP",DAY(INT(M270/1440))&amp;" "&amp;INDEX(nLIST_Months,MONTH(INT(M270/1440)))&amp;" "&amp;YEAR(INT(M270/1440))&amp;" "&amp;RIGHT("0"&amp;INT(MOD(M270,1440)/60),2)&amp;":"&amp;RIGHT("0"&amp;MOD(M270,60),2)&amp;IF(L270=1," (UTC"&amp;I270&amp;")"," (offset unknown)"),IF(H270="DATE",DAY(O270)&amp;" "&amp;INDEX(nLIST_Months,MONTH(O270))&amp;" "&amp;YEAR(O270),IF(H270="MONTH",INDEX(nLIST_Months,MONTH(O270))&amp;" "&amp;YEAR(O270)&amp;" ("&amp;DAY(O270)&amp;" "&amp;INDEX(nLIST_Months,MONTH(O270))&amp;" "&amp;YEAR(O270)&amp;" to "&amp;DAY(P270)&amp;" "&amp;INDEX(nLIST_Months,MONTH(P270))&amp;" "&amp;YEAR(P270)&amp;")",IF(H270="YEAR",YEAR(O270)&amp;" (1 January to 31 December)",DAY(O270)&amp;" "&amp;INDEX(nLIST_Months,MONTH(O270))&amp;" "&amp;YEAR(O270)&amp;" to "&amp;DAY(P270)&amp;" "&amp;INDEX(nLIST_Months,MONTH(P270))&amp;" "&amp;YEAR(P270)))))))</f>
        <v/>
      </c>
      <c r="S270" s="20" t="str">
        <f>IF(B270="","",Events!$I7&amp;"")</f>
        <v/>
      </c>
      <c r="T270" s="20" t="str">
        <f>IF(B270="","",Events!$R7&amp;"")</f>
        <v/>
      </c>
      <c r="U270" s="20" t="str">
        <f>IF(B270="","","Events row "&amp;ROW(Events!$A7)&amp;", Onset")</f>
        <v/>
      </c>
      <c r="V270" s="20">
        <f>IF(A270="",0,COUNTIF(nTP_Key,A270))</f>
        <v>0</v>
      </c>
      <c r="W270" s="20">
        <f t="shared" si="40"/>
        <v>0</v>
      </c>
      <c r="X270" s="20">
        <f t="shared" si="41"/>
        <v>0</v>
      </c>
      <c r="Y270" s="20">
        <f t="shared" si="42"/>
        <v>0</v>
      </c>
      <c r="Z270" s="20">
        <f t="shared" si="43"/>
        <v>0</v>
      </c>
    </row>
    <row r="271" spans="1:26" x14ac:dyDescent="0.2">
      <c r="A271" s="20" t="str">
        <f t="shared" si="37"/>
        <v/>
      </c>
      <c r="B271" s="20" t="str">
        <f>IF(AND(Events!$D8&lt;&gt;"",COUNTA(Events!$J8:$Q8)&gt;0),Events!$D8&amp;"/ONSET","")</f>
        <v/>
      </c>
      <c r="C271" s="20" t="str">
        <f t="shared" si="44"/>
        <v/>
      </c>
      <c r="D271" s="20" t="str">
        <f>IF(B271="","",Events!$A8&amp;"")</f>
        <v/>
      </c>
      <c r="E271" s="20" t="str">
        <f>IF(B271="","",Events!$B8&amp;"")</f>
        <v/>
      </c>
      <c r="F271" s="20" t="str">
        <f t="shared" si="38"/>
        <v/>
      </c>
      <c r="G271" s="20" t="str">
        <f>IF(B271="","",Events!$D8&amp;"")</f>
        <v/>
      </c>
      <c r="H271" s="20" t="str">
        <f>IF(B271="","",Events!$J8&amp;"")</f>
        <v/>
      </c>
      <c r="I271" s="20" t="str">
        <f>IF(B271="","",Events!$M8&amp;"")</f>
        <v/>
      </c>
      <c r="J271" s="20" t="str">
        <f>IF(B271="","",Events!$S8&amp;"")</f>
        <v/>
      </c>
      <c r="K271" s="20">
        <f>IF(B271="",0,Events!$T8)</f>
        <v>0</v>
      </c>
      <c r="L271" s="20">
        <f>IF(B271="",0,Events!$U8)</f>
        <v>0</v>
      </c>
      <c r="M271" s="20" t="str">
        <f>IF(B271="","",Events!$X8)</f>
        <v/>
      </c>
      <c r="N271" s="20" t="str">
        <f>IF(B271="","",Events!$Y8)</f>
        <v/>
      </c>
      <c r="O271" s="27" t="str">
        <f>IF(B271="","",Events!$V8)</f>
        <v/>
      </c>
      <c r="P271" s="27" t="str">
        <f>IF(B271="","",Events!$W8)</f>
        <v/>
      </c>
      <c r="Q271" s="20" t="str">
        <f t="shared" si="39"/>
        <v/>
      </c>
      <c r="R271" s="20" t="str">
        <f>IF(A271="","",IF(J271&lt;&gt;"",J271,IF(H271="TIMESTAMP",DAY(INT(M271/1440))&amp;" "&amp;INDEX(nLIST_Months,MONTH(INT(M271/1440)))&amp;" "&amp;YEAR(INT(M271/1440))&amp;" "&amp;RIGHT("0"&amp;INT(MOD(M271,1440)/60),2)&amp;":"&amp;RIGHT("0"&amp;MOD(M271,60),2)&amp;IF(L271=1," (UTC"&amp;I271&amp;")"," (offset unknown)"),IF(H271="DATE",DAY(O271)&amp;" "&amp;INDEX(nLIST_Months,MONTH(O271))&amp;" "&amp;YEAR(O271),IF(H271="MONTH",INDEX(nLIST_Months,MONTH(O271))&amp;" "&amp;YEAR(O271)&amp;" ("&amp;DAY(O271)&amp;" "&amp;INDEX(nLIST_Months,MONTH(O271))&amp;" "&amp;YEAR(O271)&amp;" to "&amp;DAY(P271)&amp;" "&amp;INDEX(nLIST_Months,MONTH(P271))&amp;" "&amp;YEAR(P271)&amp;")",IF(H271="YEAR",YEAR(O271)&amp;" (1 January to 31 December)",DAY(O271)&amp;" "&amp;INDEX(nLIST_Months,MONTH(O271))&amp;" "&amp;YEAR(O271)&amp;" to "&amp;DAY(P271)&amp;" "&amp;INDEX(nLIST_Months,MONTH(P271))&amp;" "&amp;YEAR(P271)))))))</f>
        <v/>
      </c>
      <c r="S271" s="20" t="str">
        <f>IF(B271="","",Events!$I8&amp;"")</f>
        <v/>
      </c>
      <c r="T271" s="20" t="str">
        <f>IF(B271="","",Events!$R8&amp;"")</f>
        <v/>
      </c>
      <c r="U271" s="20" t="str">
        <f>IF(B271="","","Events row "&amp;ROW(Events!$A8)&amp;", Onset")</f>
        <v/>
      </c>
      <c r="V271" s="20">
        <f>IF(A271="",0,COUNTIF(nTP_Key,A271))</f>
        <v>0</v>
      </c>
      <c r="W271" s="20">
        <f t="shared" si="40"/>
        <v>0</v>
      </c>
      <c r="X271" s="20">
        <f t="shared" si="41"/>
        <v>0</v>
      </c>
      <c r="Y271" s="20">
        <f t="shared" si="42"/>
        <v>0</v>
      </c>
      <c r="Z271" s="20">
        <f t="shared" si="43"/>
        <v>0</v>
      </c>
    </row>
    <row r="272" spans="1:26" x14ac:dyDescent="0.2">
      <c r="A272" s="20" t="str">
        <f t="shared" si="37"/>
        <v/>
      </c>
      <c r="B272" s="20" t="str">
        <f>IF(AND(Events!$D9&lt;&gt;"",COUNTA(Events!$J9:$Q9)&gt;0),Events!$D9&amp;"/ONSET","")</f>
        <v/>
      </c>
      <c r="C272" s="20" t="str">
        <f t="shared" si="44"/>
        <v/>
      </c>
      <c r="D272" s="20" t="str">
        <f>IF(B272="","",Events!$A9&amp;"")</f>
        <v/>
      </c>
      <c r="E272" s="20" t="str">
        <f>IF(B272="","",Events!$B9&amp;"")</f>
        <v/>
      </c>
      <c r="F272" s="20" t="str">
        <f t="shared" si="38"/>
        <v/>
      </c>
      <c r="G272" s="20" t="str">
        <f>IF(B272="","",Events!$D9&amp;"")</f>
        <v/>
      </c>
      <c r="H272" s="20" t="str">
        <f>IF(B272="","",Events!$J9&amp;"")</f>
        <v/>
      </c>
      <c r="I272" s="20" t="str">
        <f>IF(B272="","",Events!$M9&amp;"")</f>
        <v/>
      </c>
      <c r="J272" s="20" t="str">
        <f>IF(B272="","",Events!$S9&amp;"")</f>
        <v/>
      </c>
      <c r="K272" s="20">
        <f>IF(B272="",0,Events!$T9)</f>
        <v>0</v>
      </c>
      <c r="L272" s="20">
        <f>IF(B272="",0,Events!$U9)</f>
        <v>0</v>
      </c>
      <c r="M272" s="20" t="str">
        <f>IF(B272="","",Events!$X9)</f>
        <v/>
      </c>
      <c r="N272" s="20" t="str">
        <f>IF(B272="","",Events!$Y9)</f>
        <v/>
      </c>
      <c r="O272" s="27" t="str">
        <f>IF(B272="","",Events!$V9)</f>
        <v/>
      </c>
      <c r="P272" s="27" t="str">
        <f>IF(B272="","",Events!$W9)</f>
        <v/>
      </c>
      <c r="Q272" s="20" t="str">
        <f t="shared" si="39"/>
        <v/>
      </c>
      <c r="R272" s="20" t="str">
        <f>IF(A272="","",IF(J272&lt;&gt;"",J272,IF(H272="TIMESTAMP",DAY(INT(M272/1440))&amp;" "&amp;INDEX(nLIST_Months,MONTH(INT(M272/1440)))&amp;" "&amp;YEAR(INT(M272/1440))&amp;" "&amp;RIGHT("0"&amp;INT(MOD(M272,1440)/60),2)&amp;":"&amp;RIGHT("0"&amp;MOD(M272,60),2)&amp;IF(L272=1," (UTC"&amp;I272&amp;")"," (offset unknown)"),IF(H272="DATE",DAY(O272)&amp;" "&amp;INDEX(nLIST_Months,MONTH(O272))&amp;" "&amp;YEAR(O272),IF(H272="MONTH",INDEX(nLIST_Months,MONTH(O272))&amp;" "&amp;YEAR(O272)&amp;" ("&amp;DAY(O272)&amp;" "&amp;INDEX(nLIST_Months,MONTH(O272))&amp;" "&amp;YEAR(O272)&amp;" to "&amp;DAY(P272)&amp;" "&amp;INDEX(nLIST_Months,MONTH(P272))&amp;" "&amp;YEAR(P272)&amp;")",IF(H272="YEAR",YEAR(O272)&amp;" (1 January to 31 December)",DAY(O272)&amp;" "&amp;INDEX(nLIST_Months,MONTH(O272))&amp;" "&amp;YEAR(O272)&amp;" to "&amp;DAY(P272)&amp;" "&amp;INDEX(nLIST_Months,MONTH(P272))&amp;" "&amp;YEAR(P272)))))))</f>
        <v/>
      </c>
      <c r="S272" s="20" t="str">
        <f>IF(B272="","",Events!$I9&amp;"")</f>
        <v/>
      </c>
      <c r="T272" s="20" t="str">
        <f>IF(B272="","",Events!$R9&amp;"")</f>
        <v/>
      </c>
      <c r="U272" s="20" t="str">
        <f>IF(B272="","","Events row "&amp;ROW(Events!$A9)&amp;", Onset")</f>
        <v/>
      </c>
      <c r="V272" s="20">
        <f>IF(A272="",0,COUNTIF(nTP_Key,A272))</f>
        <v>0</v>
      </c>
      <c r="W272" s="20">
        <f t="shared" si="40"/>
        <v>0</v>
      </c>
      <c r="X272" s="20">
        <f t="shared" si="41"/>
        <v>0</v>
      </c>
      <c r="Y272" s="20">
        <f t="shared" si="42"/>
        <v>0</v>
      </c>
      <c r="Z272" s="20">
        <f t="shared" si="43"/>
        <v>0</v>
      </c>
    </row>
    <row r="273" spans="1:26" x14ac:dyDescent="0.2">
      <c r="A273" s="20" t="str">
        <f t="shared" si="37"/>
        <v/>
      </c>
      <c r="B273" s="20" t="str">
        <f>IF(AND(Events!$D10&lt;&gt;"",COUNTA(Events!$J10:$Q10)&gt;0),Events!$D10&amp;"/ONSET","")</f>
        <v/>
      </c>
      <c r="C273" s="20" t="str">
        <f t="shared" si="44"/>
        <v/>
      </c>
      <c r="D273" s="20" t="str">
        <f>IF(B273="","",Events!$A10&amp;"")</f>
        <v/>
      </c>
      <c r="E273" s="20" t="str">
        <f>IF(B273="","",Events!$B10&amp;"")</f>
        <v/>
      </c>
      <c r="F273" s="20" t="str">
        <f t="shared" si="38"/>
        <v/>
      </c>
      <c r="G273" s="20" t="str">
        <f>IF(B273="","",Events!$D10&amp;"")</f>
        <v/>
      </c>
      <c r="H273" s="20" t="str">
        <f>IF(B273="","",Events!$J10&amp;"")</f>
        <v/>
      </c>
      <c r="I273" s="20" t="str">
        <f>IF(B273="","",Events!$M10&amp;"")</f>
        <v/>
      </c>
      <c r="J273" s="20" t="str">
        <f>IF(B273="","",Events!$S10&amp;"")</f>
        <v/>
      </c>
      <c r="K273" s="20">
        <f>IF(B273="",0,Events!$T10)</f>
        <v>0</v>
      </c>
      <c r="L273" s="20">
        <f>IF(B273="",0,Events!$U10)</f>
        <v>0</v>
      </c>
      <c r="M273" s="20" t="str">
        <f>IF(B273="","",Events!$X10)</f>
        <v/>
      </c>
      <c r="N273" s="20" t="str">
        <f>IF(B273="","",Events!$Y10)</f>
        <v/>
      </c>
      <c r="O273" s="27" t="str">
        <f>IF(B273="","",Events!$V10)</f>
        <v/>
      </c>
      <c r="P273" s="27" t="str">
        <f>IF(B273="","",Events!$W10)</f>
        <v/>
      </c>
      <c r="Q273" s="20" t="str">
        <f t="shared" si="39"/>
        <v/>
      </c>
      <c r="R273" s="20" t="str">
        <f>IF(A273="","",IF(J273&lt;&gt;"",J273,IF(H273="TIMESTAMP",DAY(INT(M273/1440))&amp;" "&amp;INDEX(nLIST_Months,MONTH(INT(M273/1440)))&amp;" "&amp;YEAR(INT(M273/1440))&amp;" "&amp;RIGHT("0"&amp;INT(MOD(M273,1440)/60),2)&amp;":"&amp;RIGHT("0"&amp;MOD(M273,60),2)&amp;IF(L273=1," (UTC"&amp;I273&amp;")"," (offset unknown)"),IF(H273="DATE",DAY(O273)&amp;" "&amp;INDEX(nLIST_Months,MONTH(O273))&amp;" "&amp;YEAR(O273),IF(H273="MONTH",INDEX(nLIST_Months,MONTH(O273))&amp;" "&amp;YEAR(O273)&amp;" ("&amp;DAY(O273)&amp;" "&amp;INDEX(nLIST_Months,MONTH(O273))&amp;" "&amp;YEAR(O273)&amp;" to "&amp;DAY(P273)&amp;" "&amp;INDEX(nLIST_Months,MONTH(P273))&amp;" "&amp;YEAR(P273)&amp;")",IF(H273="YEAR",YEAR(O273)&amp;" (1 January to 31 December)",DAY(O273)&amp;" "&amp;INDEX(nLIST_Months,MONTH(O273))&amp;" "&amp;YEAR(O273)&amp;" to "&amp;DAY(P273)&amp;" "&amp;INDEX(nLIST_Months,MONTH(P273))&amp;" "&amp;YEAR(P273)))))))</f>
        <v/>
      </c>
      <c r="S273" s="20" t="str">
        <f>IF(B273="","",Events!$I10&amp;"")</f>
        <v/>
      </c>
      <c r="T273" s="20" t="str">
        <f>IF(B273="","",Events!$R10&amp;"")</f>
        <v/>
      </c>
      <c r="U273" s="20" t="str">
        <f>IF(B273="","","Events row "&amp;ROW(Events!$A10)&amp;", Onset")</f>
        <v/>
      </c>
      <c r="V273" s="20">
        <f>IF(A273="",0,COUNTIF(nTP_Key,A273))</f>
        <v>0</v>
      </c>
      <c r="W273" s="20">
        <f t="shared" si="40"/>
        <v>0</v>
      </c>
      <c r="X273" s="20">
        <f t="shared" si="41"/>
        <v>0</v>
      </c>
      <c r="Y273" s="20">
        <f t="shared" si="42"/>
        <v>0</v>
      </c>
      <c r="Z273" s="20">
        <f t="shared" si="43"/>
        <v>0</v>
      </c>
    </row>
    <row r="274" spans="1:26" x14ac:dyDescent="0.2">
      <c r="A274" s="20" t="str">
        <f t="shared" si="37"/>
        <v/>
      </c>
      <c r="B274" s="20" t="str">
        <f>IF(AND(Events!$D11&lt;&gt;"",COUNTA(Events!$J11:$Q11)&gt;0),Events!$D11&amp;"/ONSET","")</f>
        <v/>
      </c>
      <c r="C274" s="20" t="str">
        <f t="shared" si="44"/>
        <v/>
      </c>
      <c r="D274" s="20" t="str">
        <f>IF(B274="","",Events!$A11&amp;"")</f>
        <v/>
      </c>
      <c r="E274" s="20" t="str">
        <f>IF(B274="","",Events!$B11&amp;"")</f>
        <v/>
      </c>
      <c r="F274" s="20" t="str">
        <f t="shared" si="38"/>
        <v/>
      </c>
      <c r="G274" s="20" t="str">
        <f>IF(B274="","",Events!$D11&amp;"")</f>
        <v/>
      </c>
      <c r="H274" s="20" t="str">
        <f>IF(B274="","",Events!$J11&amp;"")</f>
        <v/>
      </c>
      <c r="I274" s="20" t="str">
        <f>IF(B274="","",Events!$M11&amp;"")</f>
        <v/>
      </c>
      <c r="J274" s="20" t="str">
        <f>IF(B274="","",Events!$S11&amp;"")</f>
        <v/>
      </c>
      <c r="K274" s="20">
        <f>IF(B274="",0,Events!$T11)</f>
        <v>0</v>
      </c>
      <c r="L274" s="20">
        <f>IF(B274="",0,Events!$U11)</f>
        <v>0</v>
      </c>
      <c r="M274" s="20" t="str">
        <f>IF(B274="","",Events!$X11)</f>
        <v/>
      </c>
      <c r="N274" s="20" t="str">
        <f>IF(B274="","",Events!$Y11)</f>
        <v/>
      </c>
      <c r="O274" s="27" t="str">
        <f>IF(B274="","",Events!$V11)</f>
        <v/>
      </c>
      <c r="P274" s="27" t="str">
        <f>IF(B274="","",Events!$W11)</f>
        <v/>
      </c>
      <c r="Q274" s="20" t="str">
        <f t="shared" si="39"/>
        <v/>
      </c>
      <c r="R274" s="20" t="str">
        <f>IF(A274="","",IF(J274&lt;&gt;"",J274,IF(H274="TIMESTAMP",DAY(INT(M274/1440))&amp;" "&amp;INDEX(nLIST_Months,MONTH(INT(M274/1440)))&amp;" "&amp;YEAR(INT(M274/1440))&amp;" "&amp;RIGHT("0"&amp;INT(MOD(M274,1440)/60),2)&amp;":"&amp;RIGHT("0"&amp;MOD(M274,60),2)&amp;IF(L274=1," (UTC"&amp;I274&amp;")"," (offset unknown)"),IF(H274="DATE",DAY(O274)&amp;" "&amp;INDEX(nLIST_Months,MONTH(O274))&amp;" "&amp;YEAR(O274),IF(H274="MONTH",INDEX(nLIST_Months,MONTH(O274))&amp;" "&amp;YEAR(O274)&amp;" ("&amp;DAY(O274)&amp;" "&amp;INDEX(nLIST_Months,MONTH(O274))&amp;" "&amp;YEAR(O274)&amp;" to "&amp;DAY(P274)&amp;" "&amp;INDEX(nLIST_Months,MONTH(P274))&amp;" "&amp;YEAR(P274)&amp;")",IF(H274="YEAR",YEAR(O274)&amp;" (1 January to 31 December)",DAY(O274)&amp;" "&amp;INDEX(nLIST_Months,MONTH(O274))&amp;" "&amp;YEAR(O274)&amp;" to "&amp;DAY(P274)&amp;" "&amp;INDEX(nLIST_Months,MONTH(P274))&amp;" "&amp;YEAR(P274)))))))</f>
        <v/>
      </c>
      <c r="S274" s="20" t="str">
        <f>IF(B274="","",Events!$I11&amp;"")</f>
        <v/>
      </c>
      <c r="T274" s="20" t="str">
        <f>IF(B274="","",Events!$R11&amp;"")</f>
        <v/>
      </c>
      <c r="U274" s="20" t="str">
        <f>IF(B274="","","Events row "&amp;ROW(Events!$A11)&amp;", Onset")</f>
        <v/>
      </c>
      <c r="V274" s="20">
        <f>IF(A274="",0,COUNTIF(nTP_Key,A274))</f>
        <v>0</v>
      </c>
      <c r="W274" s="20">
        <f t="shared" si="40"/>
        <v>0</v>
      </c>
      <c r="X274" s="20">
        <f t="shared" si="41"/>
        <v>0</v>
      </c>
      <c r="Y274" s="20">
        <f t="shared" si="42"/>
        <v>0</v>
      </c>
      <c r="Z274" s="20">
        <f t="shared" si="43"/>
        <v>0</v>
      </c>
    </row>
    <row r="275" spans="1:26" x14ac:dyDescent="0.2">
      <c r="A275" s="20" t="str">
        <f t="shared" si="37"/>
        <v/>
      </c>
      <c r="B275" s="20" t="str">
        <f>IF(AND(Events!$D12&lt;&gt;"",COUNTA(Events!$J12:$Q12)&gt;0),Events!$D12&amp;"/ONSET","")</f>
        <v/>
      </c>
      <c r="C275" s="20" t="str">
        <f t="shared" si="44"/>
        <v/>
      </c>
      <c r="D275" s="20" t="str">
        <f>IF(B275="","",Events!$A12&amp;"")</f>
        <v/>
      </c>
      <c r="E275" s="20" t="str">
        <f>IF(B275="","",Events!$B12&amp;"")</f>
        <v/>
      </c>
      <c r="F275" s="20" t="str">
        <f t="shared" si="38"/>
        <v/>
      </c>
      <c r="G275" s="20" t="str">
        <f>IF(B275="","",Events!$D12&amp;"")</f>
        <v/>
      </c>
      <c r="H275" s="20" t="str">
        <f>IF(B275="","",Events!$J12&amp;"")</f>
        <v/>
      </c>
      <c r="I275" s="20" t="str">
        <f>IF(B275="","",Events!$M12&amp;"")</f>
        <v/>
      </c>
      <c r="J275" s="20" t="str">
        <f>IF(B275="","",Events!$S12&amp;"")</f>
        <v/>
      </c>
      <c r="K275" s="20">
        <f>IF(B275="",0,Events!$T12)</f>
        <v>0</v>
      </c>
      <c r="L275" s="20">
        <f>IF(B275="",0,Events!$U12)</f>
        <v>0</v>
      </c>
      <c r="M275" s="20" t="str">
        <f>IF(B275="","",Events!$X12)</f>
        <v/>
      </c>
      <c r="N275" s="20" t="str">
        <f>IF(B275="","",Events!$Y12)</f>
        <v/>
      </c>
      <c r="O275" s="27" t="str">
        <f>IF(B275="","",Events!$V12)</f>
        <v/>
      </c>
      <c r="P275" s="27" t="str">
        <f>IF(B275="","",Events!$W12)</f>
        <v/>
      </c>
      <c r="Q275" s="20" t="str">
        <f t="shared" si="39"/>
        <v/>
      </c>
      <c r="R275" s="20" t="str">
        <f>IF(A275="","",IF(J275&lt;&gt;"",J275,IF(H275="TIMESTAMP",DAY(INT(M275/1440))&amp;" "&amp;INDEX(nLIST_Months,MONTH(INT(M275/1440)))&amp;" "&amp;YEAR(INT(M275/1440))&amp;" "&amp;RIGHT("0"&amp;INT(MOD(M275,1440)/60),2)&amp;":"&amp;RIGHT("0"&amp;MOD(M275,60),2)&amp;IF(L275=1," (UTC"&amp;I275&amp;")"," (offset unknown)"),IF(H275="DATE",DAY(O275)&amp;" "&amp;INDEX(nLIST_Months,MONTH(O275))&amp;" "&amp;YEAR(O275),IF(H275="MONTH",INDEX(nLIST_Months,MONTH(O275))&amp;" "&amp;YEAR(O275)&amp;" ("&amp;DAY(O275)&amp;" "&amp;INDEX(nLIST_Months,MONTH(O275))&amp;" "&amp;YEAR(O275)&amp;" to "&amp;DAY(P275)&amp;" "&amp;INDEX(nLIST_Months,MONTH(P275))&amp;" "&amp;YEAR(P275)&amp;")",IF(H275="YEAR",YEAR(O275)&amp;" (1 January to 31 December)",DAY(O275)&amp;" "&amp;INDEX(nLIST_Months,MONTH(O275))&amp;" "&amp;YEAR(O275)&amp;" to "&amp;DAY(P275)&amp;" "&amp;INDEX(nLIST_Months,MONTH(P275))&amp;" "&amp;YEAR(P275)))))))</f>
        <v/>
      </c>
      <c r="S275" s="20" t="str">
        <f>IF(B275="","",Events!$I12&amp;"")</f>
        <v/>
      </c>
      <c r="T275" s="20" t="str">
        <f>IF(B275="","",Events!$R12&amp;"")</f>
        <v/>
      </c>
      <c r="U275" s="20" t="str">
        <f>IF(B275="","","Events row "&amp;ROW(Events!$A12)&amp;", Onset")</f>
        <v/>
      </c>
      <c r="V275" s="20">
        <f>IF(A275="",0,COUNTIF(nTP_Key,A275))</f>
        <v>0</v>
      </c>
      <c r="W275" s="20">
        <f t="shared" si="40"/>
        <v>0</v>
      </c>
      <c r="X275" s="20">
        <f t="shared" si="41"/>
        <v>0</v>
      </c>
      <c r="Y275" s="20">
        <f t="shared" si="42"/>
        <v>0</v>
      </c>
      <c r="Z275" s="20">
        <f t="shared" si="43"/>
        <v>0</v>
      </c>
    </row>
    <row r="276" spans="1:26" x14ac:dyDescent="0.2">
      <c r="A276" s="20" t="str">
        <f t="shared" si="37"/>
        <v/>
      </c>
      <c r="B276" s="20" t="str">
        <f>IF(AND(Events!$D13&lt;&gt;"",COUNTA(Events!$J13:$Q13)&gt;0),Events!$D13&amp;"/ONSET","")</f>
        <v/>
      </c>
      <c r="C276" s="20" t="str">
        <f t="shared" si="44"/>
        <v/>
      </c>
      <c r="D276" s="20" t="str">
        <f>IF(B276="","",Events!$A13&amp;"")</f>
        <v/>
      </c>
      <c r="E276" s="20" t="str">
        <f>IF(B276="","",Events!$B13&amp;"")</f>
        <v/>
      </c>
      <c r="F276" s="20" t="str">
        <f t="shared" si="38"/>
        <v/>
      </c>
      <c r="G276" s="20" t="str">
        <f>IF(B276="","",Events!$D13&amp;"")</f>
        <v/>
      </c>
      <c r="H276" s="20" t="str">
        <f>IF(B276="","",Events!$J13&amp;"")</f>
        <v/>
      </c>
      <c r="I276" s="20" t="str">
        <f>IF(B276="","",Events!$M13&amp;"")</f>
        <v/>
      </c>
      <c r="J276" s="20" t="str">
        <f>IF(B276="","",Events!$S13&amp;"")</f>
        <v/>
      </c>
      <c r="K276" s="20">
        <f>IF(B276="",0,Events!$T13)</f>
        <v>0</v>
      </c>
      <c r="L276" s="20">
        <f>IF(B276="",0,Events!$U13)</f>
        <v>0</v>
      </c>
      <c r="M276" s="20" t="str">
        <f>IF(B276="","",Events!$X13)</f>
        <v/>
      </c>
      <c r="N276" s="20" t="str">
        <f>IF(B276="","",Events!$Y13)</f>
        <v/>
      </c>
      <c r="O276" s="27" t="str">
        <f>IF(B276="","",Events!$V13)</f>
        <v/>
      </c>
      <c r="P276" s="27" t="str">
        <f>IF(B276="","",Events!$W13)</f>
        <v/>
      </c>
      <c r="Q276" s="20" t="str">
        <f t="shared" si="39"/>
        <v/>
      </c>
      <c r="R276" s="20" t="str">
        <f>IF(A276="","",IF(J276&lt;&gt;"",J276,IF(H276="TIMESTAMP",DAY(INT(M276/1440))&amp;" "&amp;INDEX(nLIST_Months,MONTH(INT(M276/1440)))&amp;" "&amp;YEAR(INT(M276/1440))&amp;" "&amp;RIGHT("0"&amp;INT(MOD(M276,1440)/60),2)&amp;":"&amp;RIGHT("0"&amp;MOD(M276,60),2)&amp;IF(L276=1," (UTC"&amp;I276&amp;")"," (offset unknown)"),IF(H276="DATE",DAY(O276)&amp;" "&amp;INDEX(nLIST_Months,MONTH(O276))&amp;" "&amp;YEAR(O276),IF(H276="MONTH",INDEX(nLIST_Months,MONTH(O276))&amp;" "&amp;YEAR(O276)&amp;" ("&amp;DAY(O276)&amp;" "&amp;INDEX(nLIST_Months,MONTH(O276))&amp;" "&amp;YEAR(O276)&amp;" to "&amp;DAY(P276)&amp;" "&amp;INDEX(nLIST_Months,MONTH(P276))&amp;" "&amp;YEAR(P276)&amp;")",IF(H276="YEAR",YEAR(O276)&amp;" (1 January to 31 December)",DAY(O276)&amp;" "&amp;INDEX(nLIST_Months,MONTH(O276))&amp;" "&amp;YEAR(O276)&amp;" to "&amp;DAY(P276)&amp;" "&amp;INDEX(nLIST_Months,MONTH(P276))&amp;" "&amp;YEAR(P276)))))))</f>
        <v/>
      </c>
      <c r="S276" s="20" t="str">
        <f>IF(B276="","",Events!$I13&amp;"")</f>
        <v/>
      </c>
      <c r="T276" s="20" t="str">
        <f>IF(B276="","",Events!$R13&amp;"")</f>
        <v/>
      </c>
      <c r="U276" s="20" t="str">
        <f>IF(B276="","","Events row "&amp;ROW(Events!$A13)&amp;", Onset")</f>
        <v/>
      </c>
      <c r="V276" s="20">
        <f>IF(A276="",0,COUNTIF(nTP_Key,A276))</f>
        <v>0</v>
      </c>
      <c r="W276" s="20">
        <f t="shared" si="40"/>
        <v>0</v>
      </c>
      <c r="X276" s="20">
        <f t="shared" si="41"/>
        <v>0</v>
      </c>
      <c r="Y276" s="20">
        <f t="shared" si="42"/>
        <v>0</v>
      </c>
      <c r="Z276" s="20">
        <f t="shared" si="43"/>
        <v>0</v>
      </c>
    </row>
    <row r="277" spans="1:26" x14ac:dyDescent="0.2">
      <c r="A277" s="20" t="str">
        <f t="shared" si="37"/>
        <v/>
      </c>
      <c r="B277" s="20" t="str">
        <f>IF(AND(Events!$D14&lt;&gt;"",COUNTA(Events!$J14:$Q14)&gt;0),Events!$D14&amp;"/ONSET","")</f>
        <v/>
      </c>
      <c r="C277" s="20" t="str">
        <f t="shared" si="44"/>
        <v/>
      </c>
      <c r="D277" s="20" t="str">
        <f>IF(B277="","",Events!$A14&amp;"")</f>
        <v/>
      </c>
      <c r="E277" s="20" t="str">
        <f>IF(B277="","",Events!$B14&amp;"")</f>
        <v/>
      </c>
      <c r="F277" s="20" t="str">
        <f t="shared" si="38"/>
        <v/>
      </c>
      <c r="G277" s="20" t="str">
        <f>IF(B277="","",Events!$D14&amp;"")</f>
        <v/>
      </c>
      <c r="H277" s="20" t="str">
        <f>IF(B277="","",Events!$J14&amp;"")</f>
        <v/>
      </c>
      <c r="I277" s="20" t="str">
        <f>IF(B277="","",Events!$M14&amp;"")</f>
        <v/>
      </c>
      <c r="J277" s="20" t="str">
        <f>IF(B277="","",Events!$S14&amp;"")</f>
        <v/>
      </c>
      <c r="K277" s="20">
        <f>IF(B277="",0,Events!$T14)</f>
        <v>0</v>
      </c>
      <c r="L277" s="20">
        <f>IF(B277="",0,Events!$U14)</f>
        <v>0</v>
      </c>
      <c r="M277" s="20" t="str">
        <f>IF(B277="","",Events!$X14)</f>
        <v/>
      </c>
      <c r="N277" s="20" t="str">
        <f>IF(B277="","",Events!$Y14)</f>
        <v/>
      </c>
      <c r="O277" s="27" t="str">
        <f>IF(B277="","",Events!$V14)</f>
        <v/>
      </c>
      <c r="P277" s="27" t="str">
        <f>IF(B277="","",Events!$W14)</f>
        <v/>
      </c>
      <c r="Q277" s="20" t="str">
        <f t="shared" si="39"/>
        <v/>
      </c>
      <c r="R277" s="20" t="str">
        <f>IF(A277="","",IF(J277&lt;&gt;"",J277,IF(H277="TIMESTAMP",DAY(INT(M277/1440))&amp;" "&amp;INDEX(nLIST_Months,MONTH(INT(M277/1440)))&amp;" "&amp;YEAR(INT(M277/1440))&amp;" "&amp;RIGHT("0"&amp;INT(MOD(M277,1440)/60),2)&amp;":"&amp;RIGHT("0"&amp;MOD(M277,60),2)&amp;IF(L277=1," (UTC"&amp;I277&amp;")"," (offset unknown)"),IF(H277="DATE",DAY(O277)&amp;" "&amp;INDEX(nLIST_Months,MONTH(O277))&amp;" "&amp;YEAR(O277),IF(H277="MONTH",INDEX(nLIST_Months,MONTH(O277))&amp;" "&amp;YEAR(O277)&amp;" ("&amp;DAY(O277)&amp;" "&amp;INDEX(nLIST_Months,MONTH(O277))&amp;" "&amp;YEAR(O277)&amp;" to "&amp;DAY(P277)&amp;" "&amp;INDEX(nLIST_Months,MONTH(P277))&amp;" "&amp;YEAR(P277)&amp;")",IF(H277="YEAR",YEAR(O277)&amp;" (1 January to 31 December)",DAY(O277)&amp;" "&amp;INDEX(nLIST_Months,MONTH(O277))&amp;" "&amp;YEAR(O277)&amp;" to "&amp;DAY(P277)&amp;" "&amp;INDEX(nLIST_Months,MONTH(P277))&amp;" "&amp;YEAR(P277)))))))</f>
        <v/>
      </c>
      <c r="S277" s="20" t="str">
        <f>IF(B277="","",Events!$I14&amp;"")</f>
        <v/>
      </c>
      <c r="T277" s="20" t="str">
        <f>IF(B277="","",Events!$R14&amp;"")</f>
        <v/>
      </c>
      <c r="U277" s="20" t="str">
        <f>IF(B277="","","Events row "&amp;ROW(Events!$A14)&amp;", Onset")</f>
        <v/>
      </c>
      <c r="V277" s="20">
        <f>IF(A277="",0,COUNTIF(nTP_Key,A277))</f>
        <v>0</v>
      </c>
      <c r="W277" s="20">
        <f t="shared" si="40"/>
        <v>0</v>
      </c>
      <c r="X277" s="20">
        <f t="shared" si="41"/>
        <v>0</v>
      </c>
      <c r="Y277" s="20">
        <f t="shared" si="42"/>
        <v>0</v>
      </c>
      <c r="Z277" s="20">
        <f t="shared" si="43"/>
        <v>0</v>
      </c>
    </row>
    <row r="278" spans="1:26" x14ac:dyDescent="0.2">
      <c r="A278" s="20" t="str">
        <f t="shared" si="37"/>
        <v/>
      </c>
      <c r="B278" s="20" t="str">
        <f>IF(AND(Events!$D15&lt;&gt;"",COUNTA(Events!$J15:$Q15)&gt;0),Events!$D15&amp;"/ONSET","")</f>
        <v/>
      </c>
      <c r="C278" s="20" t="str">
        <f t="shared" si="44"/>
        <v/>
      </c>
      <c r="D278" s="20" t="str">
        <f>IF(B278="","",Events!$A15&amp;"")</f>
        <v/>
      </c>
      <c r="E278" s="20" t="str">
        <f>IF(B278="","",Events!$B15&amp;"")</f>
        <v/>
      </c>
      <c r="F278" s="20" t="str">
        <f t="shared" si="38"/>
        <v/>
      </c>
      <c r="G278" s="20" t="str">
        <f>IF(B278="","",Events!$D15&amp;"")</f>
        <v/>
      </c>
      <c r="H278" s="20" t="str">
        <f>IF(B278="","",Events!$J15&amp;"")</f>
        <v/>
      </c>
      <c r="I278" s="20" t="str">
        <f>IF(B278="","",Events!$M15&amp;"")</f>
        <v/>
      </c>
      <c r="J278" s="20" t="str">
        <f>IF(B278="","",Events!$S15&amp;"")</f>
        <v/>
      </c>
      <c r="K278" s="20">
        <f>IF(B278="",0,Events!$T15)</f>
        <v>0</v>
      </c>
      <c r="L278" s="20">
        <f>IF(B278="",0,Events!$U15)</f>
        <v>0</v>
      </c>
      <c r="M278" s="20" t="str">
        <f>IF(B278="","",Events!$X15)</f>
        <v/>
      </c>
      <c r="N278" s="20" t="str">
        <f>IF(B278="","",Events!$Y15)</f>
        <v/>
      </c>
      <c r="O278" s="27" t="str">
        <f>IF(B278="","",Events!$V15)</f>
        <v/>
      </c>
      <c r="P278" s="27" t="str">
        <f>IF(B278="","",Events!$W15)</f>
        <v/>
      </c>
      <c r="Q278" s="20" t="str">
        <f t="shared" si="39"/>
        <v/>
      </c>
      <c r="R278" s="20" t="str">
        <f>IF(A278="","",IF(J278&lt;&gt;"",J278,IF(H278="TIMESTAMP",DAY(INT(M278/1440))&amp;" "&amp;INDEX(nLIST_Months,MONTH(INT(M278/1440)))&amp;" "&amp;YEAR(INT(M278/1440))&amp;" "&amp;RIGHT("0"&amp;INT(MOD(M278,1440)/60),2)&amp;":"&amp;RIGHT("0"&amp;MOD(M278,60),2)&amp;IF(L278=1," (UTC"&amp;I278&amp;")"," (offset unknown)"),IF(H278="DATE",DAY(O278)&amp;" "&amp;INDEX(nLIST_Months,MONTH(O278))&amp;" "&amp;YEAR(O278),IF(H278="MONTH",INDEX(nLIST_Months,MONTH(O278))&amp;" "&amp;YEAR(O278)&amp;" ("&amp;DAY(O278)&amp;" "&amp;INDEX(nLIST_Months,MONTH(O278))&amp;" "&amp;YEAR(O278)&amp;" to "&amp;DAY(P278)&amp;" "&amp;INDEX(nLIST_Months,MONTH(P278))&amp;" "&amp;YEAR(P278)&amp;")",IF(H278="YEAR",YEAR(O278)&amp;" (1 January to 31 December)",DAY(O278)&amp;" "&amp;INDEX(nLIST_Months,MONTH(O278))&amp;" "&amp;YEAR(O278)&amp;" to "&amp;DAY(P278)&amp;" "&amp;INDEX(nLIST_Months,MONTH(P278))&amp;" "&amp;YEAR(P278)))))))</f>
        <v/>
      </c>
      <c r="S278" s="20" t="str">
        <f>IF(B278="","",Events!$I15&amp;"")</f>
        <v/>
      </c>
      <c r="T278" s="20" t="str">
        <f>IF(B278="","",Events!$R15&amp;"")</f>
        <v/>
      </c>
      <c r="U278" s="20" t="str">
        <f>IF(B278="","","Events row "&amp;ROW(Events!$A15)&amp;", Onset")</f>
        <v/>
      </c>
      <c r="V278" s="20">
        <f>IF(A278="",0,COUNTIF(nTP_Key,A278))</f>
        <v>0</v>
      </c>
      <c r="W278" s="20">
        <f t="shared" si="40"/>
        <v>0</v>
      </c>
      <c r="X278" s="20">
        <f t="shared" si="41"/>
        <v>0</v>
      </c>
      <c r="Y278" s="20">
        <f t="shared" si="42"/>
        <v>0</v>
      </c>
      <c r="Z278" s="20">
        <f t="shared" si="43"/>
        <v>0</v>
      </c>
    </row>
    <row r="279" spans="1:26" x14ac:dyDescent="0.2">
      <c r="A279" s="20" t="str">
        <f t="shared" si="37"/>
        <v/>
      </c>
      <c r="B279" s="20" t="str">
        <f>IF(AND(Events!$D16&lt;&gt;"",COUNTA(Events!$J16:$Q16)&gt;0),Events!$D16&amp;"/ONSET","")</f>
        <v/>
      </c>
      <c r="C279" s="20" t="str">
        <f t="shared" si="44"/>
        <v/>
      </c>
      <c r="D279" s="20" t="str">
        <f>IF(B279="","",Events!$A16&amp;"")</f>
        <v/>
      </c>
      <c r="E279" s="20" t="str">
        <f>IF(B279="","",Events!$B16&amp;"")</f>
        <v/>
      </c>
      <c r="F279" s="20" t="str">
        <f t="shared" si="38"/>
        <v/>
      </c>
      <c r="G279" s="20" t="str">
        <f>IF(B279="","",Events!$D16&amp;"")</f>
        <v/>
      </c>
      <c r="H279" s="20" t="str">
        <f>IF(B279="","",Events!$J16&amp;"")</f>
        <v/>
      </c>
      <c r="I279" s="20" t="str">
        <f>IF(B279="","",Events!$M16&amp;"")</f>
        <v/>
      </c>
      <c r="J279" s="20" t="str">
        <f>IF(B279="","",Events!$S16&amp;"")</f>
        <v/>
      </c>
      <c r="K279" s="20">
        <f>IF(B279="",0,Events!$T16)</f>
        <v>0</v>
      </c>
      <c r="L279" s="20">
        <f>IF(B279="",0,Events!$U16)</f>
        <v>0</v>
      </c>
      <c r="M279" s="20" t="str">
        <f>IF(B279="","",Events!$X16)</f>
        <v/>
      </c>
      <c r="N279" s="20" t="str">
        <f>IF(B279="","",Events!$Y16)</f>
        <v/>
      </c>
      <c r="O279" s="27" t="str">
        <f>IF(B279="","",Events!$V16)</f>
        <v/>
      </c>
      <c r="P279" s="27" t="str">
        <f>IF(B279="","",Events!$W16)</f>
        <v/>
      </c>
      <c r="Q279" s="20" t="str">
        <f t="shared" si="39"/>
        <v/>
      </c>
      <c r="R279" s="20" t="str">
        <f>IF(A279="","",IF(J279&lt;&gt;"",J279,IF(H279="TIMESTAMP",DAY(INT(M279/1440))&amp;" "&amp;INDEX(nLIST_Months,MONTH(INT(M279/1440)))&amp;" "&amp;YEAR(INT(M279/1440))&amp;" "&amp;RIGHT("0"&amp;INT(MOD(M279,1440)/60),2)&amp;":"&amp;RIGHT("0"&amp;MOD(M279,60),2)&amp;IF(L279=1," (UTC"&amp;I279&amp;")"," (offset unknown)"),IF(H279="DATE",DAY(O279)&amp;" "&amp;INDEX(nLIST_Months,MONTH(O279))&amp;" "&amp;YEAR(O279),IF(H279="MONTH",INDEX(nLIST_Months,MONTH(O279))&amp;" "&amp;YEAR(O279)&amp;" ("&amp;DAY(O279)&amp;" "&amp;INDEX(nLIST_Months,MONTH(O279))&amp;" "&amp;YEAR(O279)&amp;" to "&amp;DAY(P279)&amp;" "&amp;INDEX(nLIST_Months,MONTH(P279))&amp;" "&amp;YEAR(P279)&amp;")",IF(H279="YEAR",YEAR(O279)&amp;" (1 January to 31 December)",DAY(O279)&amp;" "&amp;INDEX(nLIST_Months,MONTH(O279))&amp;" "&amp;YEAR(O279)&amp;" to "&amp;DAY(P279)&amp;" "&amp;INDEX(nLIST_Months,MONTH(P279))&amp;" "&amp;YEAR(P279)))))))</f>
        <v/>
      </c>
      <c r="S279" s="20" t="str">
        <f>IF(B279="","",Events!$I16&amp;"")</f>
        <v/>
      </c>
      <c r="T279" s="20" t="str">
        <f>IF(B279="","",Events!$R16&amp;"")</f>
        <v/>
      </c>
      <c r="U279" s="20" t="str">
        <f>IF(B279="","","Events row "&amp;ROW(Events!$A16)&amp;", Onset")</f>
        <v/>
      </c>
      <c r="V279" s="20">
        <f>IF(A279="",0,COUNTIF(nTP_Key,A279))</f>
        <v>0</v>
      </c>
      <c r="W279" s="20">
        <f t="shared" si="40"/>
        <v>0</v>
      </c>
      <c r="X279" s="20">
        <f t="shared" si="41"/>
        <v>0</v>
      </c>
      <c r="Y279" s="20">
        <f t="shared" si="42"/>
        <v>0</v>
      </c>
      <c r="Z279" s="20">
        <f t="shared" si="43"/>
        <v>0</v>
      </c>
    </row>
    <row r="280" spans="1:26" x14ac:dyDescent="0.2">
      <c r="A280" s="20" t="str">
        <f t="shared" si="37"/>
        <v/>
      </c>
      <c r="B280" s="20" t="str">
        <f>IF(AND(Events!$D17&lt;&gt;"",COUNTA(Events!$J17:$Q17)&gt;0),Events!$D17&amp;"/ONSET","")</f>
        <v/>
      </c>
      <c r="C280" s="20" t="str">
        <f t="shared" si="44"/>
        <v/>
      </c>
      <c r="D280" s="20" t="str">
        <f>IF(B280="","",Events!$A17&amp;"")</f>
        <v/>
      </c>
      <c r="E280" s="20" t="str">
        <f>IF(B280="","",Events!$B17&amp;"")</f>
        <v/>
      </c>
      <c r="F280" s="20" t="str">
        <f t="shared" si="38"/>
        <v/>
      </c>
      <c r="G280" s="20" t="str">
        <f>IF(B280="","",Events!$D17&amp;"")</f>
        <v/>
      </c>
      <c r="H280" s="20" t="str">
        <f>IF(B280="","",Events!$J17&amp;"")</f>
        <v/>
      </c>
      <c r="I280" s="20" t="str">
        <f>IF(B280="","",Events!$M17&amp;"")</f>
        <v/>
      </c>
      <c r="J280" s="20" t="str">
        <f>IF(B280="","",Events!$S17&amp;"")</f>
        <v/>
      </c>
      <c r="K280" s="20">
        <f>IF(B280="",0,Events!$T17)</f>
        <v>0</v>
      </c>
      <c r="L280" s="20">
        <f>IF(B280="",0,Events!$U17)</f>
        <v>0</v>
      </c>
      <c r="M280" s="20" t="str">
        <f>IF(B280="","",Events!$X17)</f>
        <v/>
      </c>
      <c r="N280" s="20" t="str">
        <f>IF(B280="","",Events!$Y17)</f>
        <v/>
      </c>
      <c r="O280" s="27" t="str">
        <f>IF(B280="","",Events!$V17)</f>
        <v/>
      </c>
      <c r="P280" s="27" t="str">
        <f>IF(B280="","",Events!$W17)</f>
        <v/>
      </c>
      <c r="Q280" s="20" t="str">
        <f t="shared" si="39"/>
        <v/>
      </c>
      <c r="R280" s="20" t="str">
        <f>IF(A280="","",IF(J280&lt;&gt;"",J280,IF(H280="TIMESTAMP",DAY(INT(M280/1440))&amp;" "&amp;INDEX(nLIST_Months,MONTH(INT(M280/1440)))&amp;" "&amp;YEAR(INT(M280/1440))&amp;" "&amp;RIGHT("0"&amp;INT(MOD(M280,1440)/60),2)&amp;":"&amp;RIGHT("0"&amp;MOD(M280,60),2)&amp;IF(L280=1," (UTC"&amp;I280&amp;")"," (offset unknown)"),IF(H280="DATE",DAY(O280)&amp;" "&amp;INDEX(nLIST_Months,MONTH(O280))&amp;" "&amp;YEAR(O280),IF(H280="MONTH",INDEX(nLIST_Months,MONTH(O280))&amp;" "&amp;YEAR(O280)&amp;" ("&amp;DAY(O280)&amp;" "&amp;INDEX(nLIST_Months,MONTH(O280))&amp;" "&amp;YEAR(O280)&amp;" to "&amp;DAY(P280)&amp;" "&amp;INDEX(nLIST_Months,MONTH(P280))&amp;" "&amp;YEAR(P280)&amp;")",IF(H280="YEAR",YEAR(O280)&amp;" (1 January to 31 December)",DAY(O280)&amp;" "&amp;INDEX(nLIST_Months,MONTH(O280))&amp;" "&amp;YEAR(O280)&amp;" to "&amp;DAY(P280)&amp;" "&amp;INDEX(nLIST_Months,MONTH(P280))&amp;" "&amp;YEAR(P280)))))))</f>
        <v/>
      </c>
      <c r="S280" s="20" t="str">
        <f>IF(B280="","",Events!$I17&amp;"")</f>
        <v/>
      </c>
      <c r="T280" s="20" t="str">
        <f>IF(B280="","",Events!$R17&amp;"")</f>
        <v/>
      </c>
      <c r="U280" s="20" t="str">
        <f>IF(B280="","","Events row "&amp;ROW(Events!$A17)&amp;", Onset")</f>
        <v/>
      </c>
      <c r="V280" s="20">
        <f>IF(A280="",0,COUNTIF(nTP_Key,A280))</f>
        <v>0</v>
      </c>
      <c r="W280" s="20">
        <f t="shared" si="40"/>
        <v>0</v>
      </c>
      <c r="X280" s="20">
        <f t="shared" si="41"/>
        <v>0</v>
      </c>
      <c r="Y280" s="20">
        <f t="shared" si="42"/>
        <v>0</v>
      </c>
      <c r="Z280" s="20">
        <f t="shared" si="43"/>
        <v>0</v>
      </c>
    </row>
    <row r="281" spans="1:26" x14ac:dyDescent="0.2">
      <c r="A281" s="20" t="str">
        <f t="shared" si="37"/>
        <v/>
      </c>
      <c r="B281" s="20" t="str">
        <f>IF(AND(Events!$D18&lt;&gt;"",COUNTA(Events!$J18:$Q18)&gt;0),Events!$D18&amp;"/ONSET","")</f>
        <v/>
      </c>
      <c r="C281" s="20" t="str">
        <f t="shared" si="44"/>
        <v/>
      </c>
      <c r="D281" s="20" t="str">
        <f>IF(B281="","",Events!$A18&amp;"")</f>
        <v/>
      </c>
      <c r="E281" s="20" t="str">
        <f>IF(B281="","",Events!$B18&amp;"")</f>
        <v/>
      </c>
      <c r="F281" s="20" t="str">
        <f t="shared" si="38"/>
        <v/>
      </c>
      <c r="G281" s="20" t="str">
        <f>IF(B281="","",Events!$D18&amp;"")</f>
        <v/>
      </c>
      <c r="H281" s="20" t="str">
        <f>IF(B281="","",Events!$J18&amp;"")</f>
        <v/>
      </c>
      <c r="I281" s="20" t="str">
        <f>IF(B281="","",Events!$M18&amp;"")</f>
        <v/>
      </c>
      <c r="J281" s="20" t="str">
        <f>IF(B281="","",Events!$S18&amp;"")</f>
        <v/>
      </c>
      <c r="K281" s="20">
        <f>IF(B281="",0,Events!$T18)</f>
        <v>0</v>
      </c>
      <c r="L281" s="20">
        <f>IF(B281="",0,Events!$U18)</f>
        <v>0</v>
      </c>
      <c r="M281" s="20" t="str">
        <f>IF(B281="","",Events!$X18)</f>
        <v/>
      </c>
      <c r="N281" s="20" t="str">
        <f>IF(B281="","",Events!$Y18)</f>
        <v/>
      </c>
      <c r="O281" s="27" t="str">
        <f>IF(B281="","",Events!$V18)</f>
        <v/>
      </c>
      <c r="P281" s="27" t="str">
        <f>IF(B281="","",Events!$W18)</f>
        <v/>
      </c>
      <c r="Q281" s="20" t="str">
        <f t="shared" si="39"/>
        <v/>
      </c>
      <c r="R281" s="20" t="str">
        <f>IF(A281="","",IF(J281&lt;&gt;"",J281,IF(H281="TIMESTAMP",DAY(INT(M281/1440))&amp;" "&amp;INDEX(nLIST_Months,MONTH(INT(M281/1440)))&amp;" "&amp;YEAR(INT(M281/1440))&amp;" "&amp;RIGHT("0"&amp;INT(MOD(M281,1440)/60),2)&amp;":"&amp;RIGHT("0"&amp;MOD(M281,60),2)&amp;IF(L281=1," (UTC"&amp;I281&amp;")"," (offset unknown)"),IF(H281="DATE",DAY(O281)&amp;" "&amp;INDEX(nLIST_Months,MONTH(O281))&amp;" "&amp;YEAR(O281),IF(H281="MONTH",INDEX(nLIST_Months,MONTH(O281))&amp;" "&amp;YEAR(O281)&amp;" ("&amp;DAY(O281)&amp;" "&amp;INDEX(nLIST_Months,MONTH(O281))&amp;" "&amp;YEAR(O281)&amp;" to "&amp;DAY(P281)&amp;" "&amp;INDEX(nLIST_Months,MONTH(P281))&amp;" "&amp;YEAR(P281)&amp;")",IF(H281="YEAR",YEAR(O281)&amp;" (1 January to 31 December)",DAY(O281)&amp;" "&amp;INDEX(nLIST_Months,MONTH(O281))&amp;" "&amp;YEAR(O281)&amp;" to "&amp;DAY(P281)&amp;" "&amp;INDEX(nLIST_Months,MONTH(P281))&amp;" "&amp;YEAR(P281)))))))</f>
        <v/>
      </c>
      <c r="S281" s="20" t="str">
        <f>IF(B281="","",Events!$I18&amp;"")</f>
        <v/>
      </c>
      <c r="T281" s="20" t="str">
        <f>IF(B281="","",Events!$R18&amp;"")</f>
        <v/>
      </c>
      <c r="U281" s="20" t="str">
        <f>IF(B281="","","Events row "&amp;ROW(Events!$A18)&amp;", Onset")</f>
        <v/>
      </c>
      <c r="V281" s="20">
        <f>IF(A281="",0,COUNTIF(nTP_Key,A281))</f>
        <v>0</v>
      </c>
      <c r="W281" s="20">
        <f t="shared" si="40"/>
        <v>0</v>
      </c>
      <c r="X281" s="20">
        <f t="shared" si="41"/>
        <v>0</v>
      </c>
      <c r="Y281" s="20">
        <f t="shared" si="42"/>
        <v>0</v>
      </c>
      <c r="Z281" s="20">
        <f t="shared" si="43"/>
        <v>0</v>
      </c>
    </row>
    <row r="282" spans="1:26" x14ac:dyDescent="0.2">
      <c r="A282" s="20" t="str">
        <f t="shared" si="37"/>
        <v/>
      </c>
      <c r="B282" s="20" t="str">
        <f>IF(AND(Events!$D19&lt;&gt;"",COUNTA(Events!$J19:$Q19)&gt;0),Events!$D19&amp;"/ONSET","")</f>
        <v/>
      </c>
      <c r="C282" s="20" t="str">
        <f t="shared" si="44"/>
        <v/>
      </c>
      <c r="D282" s="20" t="str">
        <f>IF(B282="","",Events!$A19&amp;"")</f>
        <v/>
      </c>
      <c r="E282" s="20" t="str">
        <f>IF(B282="","",Events!$B19&amp;"")</f>
        <v/>
      </c>
      <c r="F282" s="20" t="str">
        <f t="shared" si="38"/>
        <v/>
      </c>
      <c r="G282" s="20" t="str">
        <f>IF(B282="","",Events!$D19&amp;"")</f>
        <v/>
      </c>
      <c r="H282" s="20" t="str">
        <f>IF(B282="","",Events!$J19&amp;"")</f>
        <v/>
      </c>
      <c r="I282" s="20" t="str">
        <f>IF(B282="","",Events!$M19&amp;"")</f>
        <v/>
      </c>
      <c r="J282" s="20" t="str">
        <f>IF(B282="","",Events!$S19&amp;"")</f>
        <v/>
      </c>
      <c r="K282" s="20">
        <f>IF(B282="",0,Events!$T19)</f>
        <v>0</v>
      </c>
      <c r="L282" s="20">
        <f>IF(B282="",0,Events!$U19)</f>
        <v>0</v>
      </c>
      <c r="M282" s="20" t="str">
        <f>IF(B282="","",Events!$X19)</f>
        <v/>
      </c>
      <c r="N282" s="20" t="str">
        <f>IF(B282="","",Events!$Y19)</f>
        <v/>
      </c>
      <c r="O282" s="27" t="str">
        <f>IF(B282="","",Events!$V19)</f>
        <v/>
      </c>
      <c r="P282" s="27" t="str">
        <f>IF(B282="","",Events!$W19)</f>
        <v/>
      </c>
      <c r="Q282" s="20" t="str">
        <f t="shared" si="39"/>
        <v/>
      </c>
      <c r="R282" s="20" t="str">
        <f>IF(A282="","",IF(J282&lt;&gt;"",J282,IF(H282="TIMESTAMP",DAY(INT(M282/1440))&amp;" "&amp;INDEX(nLIST_Months,MONTH(INT(M282/1440)))&amp;" "&amp;YEAR(INT(M282/1440))&amp;" "&amp;RIGHT("0"&amp;INT(MOD(M282,1440)/60),2)&amp;":"&amp;RIGHT("0"&amp;MOD(M282,60),2)&amp;IF(L282=1," (UTC"&amp;I282&amp;")"," (offset unknown)"),IF(H282="DATE",DAY(O282)&amp;" "&amp;INDEX(nLIST_Months,MONTH(O282))&amp;" "&amp;YEAR(O282),IF(H282="MONTH",INDEX(nLIST_Months,MONTH(O282))&amp;" "&amp;YEAR(O282)&amp;" ("&amp;DAY(O282)&amp;" "&amp;INDEX(nLIST_Months,MONTH(O282))&amp;" "&amp;YEAR(O282)&amp;" to "&amp;DAY(P282)&amp;" "&amp;INDEX(nLIST_Months,MONTH(P282))&amp;" "&amp;YEAR(P282)&amp;")",IF(H282="YEAR",YEAR(O282)&amp;" (1 January to 31 December)",DAY(O282)&amp;" "&amp;INDEX(nLIST_Months,MONTH(O282))&amp;" "&amp;YEAR(O282)&amp;" to "&amp;DAY(P282)&amp;" "&amp;INDEX(nLIST_Months,MONTH(P282))&amp;" "&amp;YEAR(P282)))))))</f>
        <v/>
      </c>
      <c r="S282" s="20" t="str">
        <f>IF(B282="","",Events!$I19&amp;"")</f>
        <v/>
      </c>
      <c r="T282" s="20" t="str">
        <f>IF(B282="","",Events!$R19&amp;"")</f>
        <v/>
      </c>
      <c r="U282" s="20" t="str">
        <f>IF(B282="","","Events row "&amp;ROW(Events!$A19)&amp;", Onset")</f>
        <v/>
      </c>
      <c r="V282" s="20">
        <f>IF(A282="",0,COUNTIF(nTP_Key,A282))</f>
        <v>0</v>
      </c>
      <c r="W282" s="20">
        <f t="shared" si="40"/>
        <v>0</v>
      </c>
      <c r="X282" s="20">
        <f t="shared" si="41"/>
        <v>0</v>
      </c>
      <c r="Y282" s="20">
        <f t="shared" si="42"/>
        <v>0</v>
      </c>
      <c r="Z282" s="20">
        <f t="shared" si="43"/>
        <v>0</v>
      </c>
    </row>
    <row r="283" spans="1:26" x14ac:dyDescent="0.2">
      <c r="A283" s="20" t="str">
        <f t="shared" si="37"/>
        <v/>
      </c>
      <c r="B283" s="20" t="str">
        <f>IF(AND(Events!$D20&lt;&gt;"",COUNTA(Events!$J20:$Q20)&gt;0),Events!$D20&amp;"/ONSET","")</f>
        <v/>
      </c>
      <c r="C283" s="20" t="str">
        <f t="shared" si="44"/>
        <v/>
      </c>
      <c r="D283" s="20" t="str">
        <f>IF(B283="","",Events!$A20&amp;"")</f>
        <v/>
      </c>
      <c r="E283" s="20" t="str">
        <f>IF(B283="","",Events!$B20&amp;"")</f>
        <v/>
      </c>
      <c r="F283" s="20" t="str">
        <f t="shared" si="38"/>
        <v/>
      </c>
      <c r="G283" s="20" t="str">
        <f>IF(B283="","",Events!$D20&amp;"")</f>
        <v/>
      </c>
      <c r="H283" s="20" t="str">
        <f>IF(B283="","",Events!$J20&amp;"")</f>
        <v/>
      </c>
      <c r="I283" s="20" t="str">
        <f>IF(B283="","",Events!$M20&amp;"")</f>
        <v/>
      </c>
      <c r="J283" s="20" t="str">
        <f>IF(B283="","",Events!$S20&amp;"")</f>
        <v/>
      </c>
      <c r="K283" s="20">
        <f>IF(B283="",0,Events!$T20)</f>
        <v>0</v>
      </c>
      <c r="L283" s="20">
        <f>IF(B283="",0,Events!$U20)</f>
        <v>0</v>
      </c>
      <c r="M283" s="20" t="str">
        <f>IF(B283="","",Events!$X20)</f>
        <v/>
      </c>
      <c r="N283" s="20" t="str">
        <f>IF(B283="","",Events!$Y20)</f>
        <v/>
      </c>
      <c r="O283" s="27" t="str">
        <f>IF(B283="","",Events!$V20)</f>
        <v/>
      </c>
      <c r="P283" s="27" t="str">
        <f>IF(B283="","",Events!$W20)</f>
        <v/>
      </c>
      <c r="Q283" s="20" t="str">
        <f t="shared" si="39"/>
        <v/>
      </c>
      <c r="R283" s="20" t="str">
        <f>IF(A283="","",IF(J283&lt;&gt;"",J283,IF(H283="TIMESTAMP",DAY(INT(M283/1440))&amp;" "&amp;INDEX(nLIST_Months,MONTH(INT(M283/1440)))&amp;" "&amp;YEAR(INT(M283/1440))&amp;" "&amp;RIGHT("0"&amp;INT(MOD(M283,1440)/60),2)&amp;":"&amp;RIGHT("0"&amp;MOD(M283,60),2)&amp;IF(L283=1," (UTC"&amp;I283&amp;")"," (offset unknown)"),IF(H283="DATE",DAY(O283)&amp;" "&amp;INDEX(nLIST_Months,MONTH(O283))&amp;" "&amp;YEAR(O283),IF(H283="MONTH",INDEX(nLIST_Months,MONTH(O283))&amp;" "&amp;YEAR(O283)&amp;" ("&amp;DAY(O283)&amp;" "&amp;INDEX(nLIST_Months,MONTH(O283))&amp;" "&amp;YEAR(O283)&amp;" to "&amp;DAY(P283)&amp;" "&amp;INDEX(nLIST_Months,MONTH(P283))&amp;" "&amp;YEAR(P283)&amp;")",IF(H283="YEAR",YEAR(O283)&amp;" (1 January to 31 December)",DAY(O283)&amp;" "&amp;INDEX(nLIST_Months,MONTH(O283))&amp;" "&amp;YEAR(O283)&amp;" to "&amp;DAY(P283)&amp;" "&amp;INDEX(nLIST_Months,MONTH(P283))&amp;" "&amp;YEAR(P283)))))))</f>
        <v/>
      </c>
      <c r="S283" s="20" t="str">
        <f>IF(B283="","",Events!$I20&amp;"")</f>
        <v/>
      </c>
      <c r="T283" s="20" t="str">
        <f>IF(B283="","",Events!$R20&amp;"")</f>
        <v/>
      </c>
      <c r="U283" s="20" t="str">
        <f>IF(B283="","","Events row "&amp;ROW(Events!$A20)&amp;", Onset")</f>
        <v/>
      </c>
      <c r="V283" s="20">
        <f>IF(A283="",0,COUNTIF(nTP_Key,A283))</f>
        <v>0</v>
      </c>
      <c r="W283" s="20">
        <f t="shared" si="40"/>
        <v>0</v>
      </c>
      <c r="X283" s="20">
        <f t="shared" si="41"/>
        <v>0</v>
      </c>
      <c r="Y283" s="20">
        <f t="shared" si="42"/>
        <v>0</v>
      </c>
      <c r="Z283" s="20">
        <f t="shared" si="43"/>
        <v>0</v>
      </c>
    </row>
    <row r="284" spans="1:26" x14ac:dyDescent="0.2">
      <c r="A284" s="20" t="str">
        <f t="shared" si="37"/>
        <v>EX-C01|2|EV-1/ONSET</v>
      </c>
      <c r="B284" s="20" t="str">
        <f>IF(AND(Events!$D21&lt;&gt;"",COUNTA(Events!$J21:$Q21)&gt;0),Events!$D21&amp;"/ONSET","")</f>
        <v>EV-1/ONSET</v>
      </c>
      <c r="C284" s="20" t="str">
        <f t="shared" si="44"/>
        <v>EVENT_ONSET</v>
      </c>
      <c r="D284" s="20" t="str">
        <f>IF(B284="","",Events!$A21&amp;"")</f>
        <v>EX-C01</v>
      </c>
      <c r="E284" s="20" t="str">
        <f>IF(B284="","",Events!$B21&amp;"")</f>
        <v>2</v>
      </c>
      <c r="F284" s="20" t="str">
        <f t="shared" si="38"/>
        <v>EX-C01|2</v>
      </c>
      <c r="G284" s="20" t="str">
        <f>IF(B284="","",Events!$D21&amp;"")</f>
        <v>EV-1</v>
      </c>
      <c r="H284" s="20" t="str">
        <f>IF(B284="","",Events!$J21&amp;"")</f>
        <v>TIMESTAMP</v>
      </c>
      <c r="I284" s="20" t="str">
        <f>IF(B284="","",Events!$M21&amp;"")</f>
        <v>-05:00</v>
      </c>
      <c r="J284" s="20" t="str">
        <f>IF(B284="","",Events!$S21&amp;"")</f>
        <v/>
      </c>
      <c r="K284" s="20">
        <f>IF(B284="",0,Events!$T21)</f>
        <v>1</v>
      </c>
      <c r="L284" s="20">
        <f>IF(B284="",0,Events!$U21)</f>
        <v>1</v>
      </c>
      <c r="M284" s="20">
        <f>IF(B284="","",Events!$X21)</f>
        <v>66286635</v>
      </c>
      <c r="N284" s="20">
        <f>IF(B284="","",Events!$Y21)</f>
        <v>66286935</v>
      </c>
      <c r="O284" s="27">
        <f>IF(B284="","",Events!$V21)</f>
        <v>46032</v>
      </c>
      <c r="P284" s="27">
        <f>IF(B284="","",Events!$W21)</f>
        <v>46032</v>
      </c>
      <c r="Q284" s="20" t="str">
        <f t="shared" si="39"/>
        <v>2026-01-10T09:15-05:00</v>
      </c>
      <c r="R284" s="20" t="str">
        <f>IF(A284="","",IF(J284&lt;&gt;"",J284,IF(H284="TIMESTAMP",DAY(INT(M284/1440))&amp;" "&amp;INDEX(nLIST_Months,MONTH(INT(M284/1440)))&amp;" "&amp;YEAR(INT(M284/1440))&amp;" "&amp;RIGHT("0"&amp;INT(MOD(M284,1440)/60),2)&amp;":"&amp;RIGHT("0"&amp;MOD(M284,60),2)&amp;IF(L284=1," (UTC"&amp;I284&amp;")"," (offset unknown)"),IF(H284="DATE",DAY(O284)&amp;" "&amp;INDEX(nLIST_Months,MONTH(O284))&amp;" "&amp;YEAR(O284),IF(H284="MONTH",INDEX(nLIST_Months,MONTH(O284))&amp;" "&amp;YEAR(O284)&amp;" ("&amp;DAY(O284)&amp;" "&amp;INDEX(nLIST_Months,MONTH(O284))&amp;" "&amp;YEAR(O284)&amp;" to "&amp;DAY(P284)&amp;" "&amp;INDEX(nLIST_Months,MONTH(P284))&amp;" "&amp;YEAR(P284)&amp;")",IF(H284="YEAR",YEAR(O284)&amp;" (1 January to 31 December)",DAY(O284)&amp;" "&amp;INDEX(nLIST_Months,MONTH(O284))&amp;" "&amp;YEAR(O284)&amp;" to "&amp;DAY(P284)&amp;" "&amp;INDEX(nLIST_Months,MONTH(P284))&amp;" "&amp;YEAR(P284)))))))</f>
        <v>10 January 2026 09:15 (UTC-05:00)</v>
      </c>
      <c r="S284" s="20" t="str">
        <f>IF(B284="","",Events!$I21&amp;"")</f>
        <v>09:15 pt reports itching; urticaria chest and arms; audible wheeze; BP 84/52</v>
      </c>
      <c r="T284" s="20" t="str">
        <f>IF(B284="","",Events!$R21&amp;"")</f>
        <v>Nursing observation chart</v>
      </c>
      <c r="U284" s="20" t="str">
        <f>IF(B284="","","Events row "&amp;ROW(Events!$A21)&amp;", Onset")</f>
        <v>Events row 21, Onset</v>
      </c>
      <c r="V284" s="20">
        <f>IF(A284="",0,COUNTIF(nTP_Key,A284))</f>
        <v>1</v>
      </c>
      <c r="W284" s="20">
        <f t="shared" si="40"/>
        <v>66286635</v>
      </c>
      <c r="X284" s="20">
        <f t="shared" si="41"/>
        <v>66286935</v>
      </c>
      <c r="Y284" s="20">
        <f t="shared" si="42"/>
        <v>46032</v>
      </c>
      <c r="Z284" s="20">
        <f t="shared" si="43"/>
        <v>46032</v>
      </c>
    </row>
    <row r="285" spans="1:26" x14ac:dyDescent="0.2">
      <c r="A285" s="20" t="str">
        <f t="shared" si="37"/>
        <v>EX-C04|2|EV-1/ONSET</v>
      </c>
      <c r="B285" s="20" t="str">
        <f>IF(AND(Events!$D22&lt;&gt;"",COUNTA(Events!$J22:$Q22)&gt;0),Events!$D22&amp;"/ONSET","")</f>
        <v>EV-1/ONSET</v>
      </c>
      <c r="C285" s="20" t="str">
        <f t="shared" si="44"/>
        <v>EVENT_ONSET</v>
      </c>
      <c r="D285" s="20" t="str">
        <f>IF(B285="","",Events!$A22&amp;"")</f>
        <v>EX-C04</v>
      </c>
      <c r="E285" s="20" t="str">
        <f>IF(B285="","",Events!$B22&amp;"")</f>
        <v>2</v>
      </c>
      <c r="F285" s="20" t="str">
        <f t="shared" si="38"/>
        <v>EX-C04|2</v>
      </c>
      <c r="G285" s="20" t="str">
        <f>IF(B285="","",Events!$D22&amp;"")</f>
        <v>EV-1</v>
      </c>
      <c r="H285" s="20" t="str">
        <f>IF(B285="","",Events!$J22&amp;"")</f>
        <v>DATE</v>
      </c>
      <c r="I285" s="20" t="str">
        <f>IF(B285="","",Events!$M22&amp;"")</f>
        <v/>
      </c>
      <c r="J285" s="20" t="str">
        <f>IF(B285="","",Events!$S22&amp;"")</f>
        <v/>
      </c>
      <c r="K285" s="20">
        <f>IF(B285="",0,Events!$T22)</f>
        <v>0</v>
      </c>
      <c r="L285" s="20">
        <f>IF(B285="",0,Events!$U22)</f>
        <v>0</v>
      </c>
      <c r="M285" s="20" t="str">
        <f>IF(B285="","",Events!$X22)</f>
        <v/>
      </c>
      <c r="N285" s="20" t="str">
        <f>IF(B285="","",Events!$Y22)</f>
        <v/>
      </c>
      <c r="O285" s="27">
        <f>IF(B285="","",Events!$V22)</f>
        <v>46208</v>
      </c>
      <c r="P285" s="27">
        <f>IF(B285="","",Events!$W22)</f>
        <v>46208</v>
      </c>
      <c r="Q285" s="20" t="str">
        <f t="shared" si="39"/>
        <v>2026-07-05</v>
      </c>
      <c r="R285" s="20" t="str">
        <f>IF(A285="","",IF(J285&lt;&gt;"",J285,IF(H285="TIMESTAMP",DAY(INT(M285/1440))&amp;" "&amp;INDEX(nLIST_Months,MONTH(INT(M285/1440)))&amp;" "&amp;YEAR(INT(M285/1440))&amp;" "&amp;RIGHT("0"&amp;INT(MOD(M285,1440)/60),2)&amp;":"&amp;RIGHT("0"&amp;MOD(M285,60),2)&amp;IF(L285=1," (UTC"&amp;I285&amp;")"," (offset unknown)"),IF(H285="DATE",DAY(O285)&amp;" "&amp;INDEX(nLIST_Months,MONTH(O285))&amp;" "&amp;YEAR(O285),IF(H285="MONTH",INDEX(nLIST_Months,MONTH(O285))&amp;" "&amp;YEAR(O285)&amp;" ("&amp;DAY(O285)&amp;" "&amp;INDEX(nLIST_Months,MONTH(O285))&amp;" "&amp;YEAR(O285)&amp;" to "&amp;DAY(P285)&amp;" "&amp;INDEX(nLIST_Months,MONTH(P285))&amp;" "&amp;YEAR(P285)&amp;")",IF(H285="YEAR",YEAR(O285)&amp;" (1 January to 31 December)",DAY(O285)&amp;" "&amp;INDEX(nLIST_Months,MONTH(O285))&amp;" "&amp;YEAR(O285)&amp;" to "&amp;DAY(P285)&amp;" "&amp;INDEX(nLIST_Months,MONTH(P285))&amp;" "&amp;YEAR(P285)))))))</f>
        <v>5 July 2026</v>
      </c>
      <c r="S285" s="20" t="str">
        <f>IF(B285="","",Events!$I22&amp;"")</f>
        <v>Nausea since this morning, dizzy, pulse 38</v>
      </c>
      <c r="T285" s="20" t="str">
        <f>IF(B285="","",Events!$R22&amp;"")</f>
        <v>Emergency department note</v>
      </c>
      <c r="U285" s="20" t="str">
        <f>IF(B285="","","Events row "&amp;ROW(Events!$A22)&amp;", Onset")</f>
        <v>Events row 22, Onset</v>
      </c>
      <c r="V285" s="20">
        <f>IF(A285="",0,COUNTIF(nTP_Key,A285))</f>
        <v>1</v>
      </c>
      <c r="W285" s="20">
        <f t="shared" si="40"/>
        <v>0</v>
      </c>
      <c r="X285" s="20">
        <f t="shared" si="41"/>
        <v>0</v>
      </c>
      <c r="Y285" s="20">
        <f t="shared" si="42"/>
        <v>46208</v>
      </c>
      <c r="Z285" s="20">
        <f t="shared" si="43"/>
        <v>46208</v>
      </c>
    </row>
    <row r="286" spans="1:26" x14ac:dyDescent="0.2">
      <c r="A286" s="20" t="str">
        <f t="shared" si="37"/>
        <v>EX-C28|2|EV-HBV/ONSET</v>
      </c>
      <c r="B286" s="20" t="str">
        <f>IF(AND(Events!$D23&lt;&gt;"",COUNTA(Events!$J23:$Q23)&gt;0),Events!$D23&amp;"/ONSET","")</f>
        <v>EV-HBV/ONSET</v>
      </c>
      <c r="C286" s="20" t="str">
        <f t="shared" si="44"/>
        <v>EVENT_ONSET</v>
      </c>
      <c r="D286" s="20" t="str">
        <f>IF(B286="","",Events!$A23&amp;"")</f>
        <v>EX-C28</v>
      </c>
      <c r="E286" s="20" t="str">
        <f>IF(B286="","",Events!$B23&amp;"")</f>
        <v>2</v>
      </c>
      <c r="F286" s="20" t="str">
        <f t="shared" si="38"/>
        <v>EX-C28|2</v>
      </c>
      <c r="G286" s="20" t="str">
        <f>IF(B286="","",Events!$D23&amp;"")</f>
        <v>EV-HBV</v>
      </c>
      <c r="H286" s="20" t="str">
        <f>IF(B286="","",Events!$J23&amp;"")</f>
        <v>RANGE</v>
      </c>
      <c r="I286" s="20" t="str">
        <f>IF(B286="","",Events!$M23&amp;"")</f>
        <v/>
      </c>
      <c r="J286" s="20" t="str">
        <f>IF(B286="","",Events!$S23&amp;"")</f>
        <v/>
      </c>
      <c r="K286" s="20">
        <f>IF(B286="",0,Events!$T23)</f>
        <v>0</v>
      </c>
      <c r="L286" s="20">
        <f>IF(B286="",0,Events!$U23)</f>
        <v>0</v>
      </c>
      <c r="M286" s="20" t="str">
        <f>IF(B286="","",Events!$X23)</f>
        <v/>
      </c>
      <c r="N286" s="20" t="str">
        <f>IF(B286="","",Events!$Y23)</f>
        <v/>
      </c>
      <c r="O286" s="27">
        <f>IF(B286="","",Events!$V23)</f>
        <v>46062</v>
      </c>
      <c r="P286" s="27">
        <f>IF(B286="","",Events!$W23)</f>
        <v>46154</v>
      </c>
      <c r="Q286" s="20" t="str">
        <f t="shared" si="39"/>
        <v>2026-02-09/2026-05-12</v>
      </c>
      <c r="R286" s="20" t="str">
        <f>IF(A286="","",IF(J286&lt;&gt;"",J286,IF(H286="TIMESTAMP",DAY(INT(M286/1440))&amp;" "&amp;INDEX(nLIST_Months,MONTH(INT(M286/1440)))&amp;" "&amp;YEAR(INT(M286/1440))&amp;" "&amp;RIGHT("0"&amp;INT(MOD(M286,1440)/60),2)&amp;":"&amp;RIGHT("0"&amp;MOD(M286,60),2)&amp;IF(L286=1," (UTC"&amp;I286&amp;")"," (offset unknown)"),IF(H286="DATE",DAY(O286)&amp;" "&amp;INDEX(nLIST_Months,MONTH(O286))&amp;" "&amp;YEAR(O286),IF(H286="MONTH",INDEX(nLIST_Months,MONTH(O286))&amp;" "&amp;YEAR(O286)&amp;" ("&amp;DAY(O286)&amp;" "&amp;INDEX(nLIST_Months,MONTH(O286))&amp;" "&amp;YEAR(O286)&amp;" to "&amp;DAY(P286)&amp;" "&amp;INDEX(nLIST_Months,MONTH(P286))&amp;" "&amp;YEAR(P286)&amp;")",IF(H286="YEAR",YEAR(O286)&amp;" (1 January to 31 December)",DAY(O286)&amp;" "&amp;INDEX(nLIST_Months,MONTH(O286))&amp;" "&amp;YEAR(O286)&amp;" to "&amp;DAY(P286)&amp;" "&amp;INDEX(nLIST_Months,MONTH(P286))&amp;" "&amp;YEAR(P286)))))))</f>
        <v>9 February 2026 to 12 May 2026</v>
      </c>
      <c r="S286" s="20" t="str">
        <f>IF(B286="","",Events!$I23&amp;"")</f>
        <v>Not before the last undetectable HBV DNA (9 Feb 2026), not after the first positive (12 May 2026); reviewer-entered bounds</v>
      </c>
      <c r="T286" s="20" t="str">
        <f>IF(B286="","",Events!$R23&amp;"")</f>
        <v>Test records M-HBV3 and M-HBV4 (hepatology letter)</v>
      </c>
      <c r="U286" s="20" t="str">
        <f>IF(B286="","","Events row "&amp;ROW(Events!$A23)&amp;", Onset")</f>
        <v>Events row 23, Onset</v>
      </c>
      <c r="V286" s="20">
        <f>IF(A286="",0,COUNTIF(nTP_Key,A286))</f>
        <v>1</v>
      </c>
      <c r="W286" s="20">
        <f t="shared" si="40"/>
        <v>0</v>
      </c>
      <c r="X286" s="20">
        <f t="shared" si="41"/>
        <v>0</v>
      </c>
      <c r="Y286" s="20">
        <f t="shared" si="42"/>
        <v>46062</v>
      </c>
      <c r="Z286" s="20">
        <f t="shared" si="43"/>
        <v>46154</v>
      </c>
    </row>
    <row r="287" spans="1:26" x14ac:dyDescent="0.2">
      <c r="A287" s="20" t="str">
        <f t="shared" si="37"/>
        <v/>
      </c>
      <c r="B287" s="20" t="str">
        <f>IF(AND(Events!$D24&lt;&gt;"",COUNTA(Events!$J24:$Q24)&gt;0),Events!$D24&amp;"/ONSET","")</f>
        <v/>
      </c>
      <c r="C287" s="20" t="str">
        <f t="shared" si="44"/>
        <v/>
      </c>
      <c r="D287" s="20" t="str">
        <f>IF(B287="","",Events!$A24&amp;"")</f>
        <v/>
      </c>
      <c r="E287" s="20" t="str">
        <f>IF(B287="","",Events!$B24&amp;"")</f>
        <v/>
      </c>
      <c r="F287" s="20" t="str">
        <f t="shared" si="38"/>
        <v/>
      </c>
      <c r="G287" s="20" t="str">
        <f>IF(B287="","",Events!$D24&amp;"")</f>
        <v/>
      </c>
      <c r="H287" s="20" t="str">
        <f>IF(B287="","",Events!$J24&amp;"")</f>
        <v/>
      </c>
      <c r="I287" s="20" t="str">
        <f>IF(B287="","",Events!$M24&amp;"")</f>
        <v/>
      </c>
      <c r="J287" s="20" t="str">
        <f>IF(B287="","",Events!$S24&amp;"")</f>
        <v/>
      </c>
      <c r="K287" s="20">
        <f>IF(B287="",0,Events!$T24)</f>
        <v>0</v>
      </c>
      <c r="L287" s="20">
        <f>IF(B287="",0,Events!$U24)</f>
        <v>0</v>
      </c>
      <c r="M287" s="20" t="str">
        <f>IF(B287="","",Events!$X24)</f>
        <v/>
      </c>
      <c r="N287" s="20" t="str">
        <f>IF(B287="","",Events!$Y24)</f>
        <v/>
      </c>
      <c r="O287" s="27" t="str">
        <f>IF(B287="","",Events!$V24)</f>
        <v/>
      </c>
      <c r="P287" s="27" t="str">
        <f>IF(B287="","",Events!$W24)</f>
        <v/>
      </c>
      <c r="Q287" s="20" t="str">
        <f t="shared" si="39"/>
        <v/>
      </c>
      <c r="R287" s="20" t="str">
        <f>IF(A287="","",IF(J287&lt;&gt;"",J287,IF(H287="TIMESTAMP",DAY(INT(M287/1440))&amp;" "&amp;INDEX(nLIST_Months,MONTH(INT(M287/1440)))&amp;" "&amp;YEAR(INT(M287/1440))&amp;" "&amp;RIGHT("0"&amp;INT(MOD(M287,1440)/60),2)&amp;":"&amp;RIGHT("0"&amp;MOD(M287,60),2)&amp;IF(L287=1," (UTC"&amp;I287&amp;")"," (offset unknown)"),IF(H287="DATE",DAY(O287)&amp;" "&amp;INDEX(nLIST_Months,MONTH(O287))&amp;" "&amp;YEAR(O287),IF(H287="MONTH",INDEX(nLIST_Months,MONTH(O287))&amp;" "&amp;YEAR(O287)&amp;" ("&amp;DAY(O287)&amp;" "&amp;INDEX(nLIST_Months,MONTH(O287))&amp;" "&amp;YEAR(O287)&amp;" to "&amp;DAY(P287)&amp;" "&amp;INDEX(nLIST_Months,MONTH(P287))&amp;" "&amp;YEAR(P287)&amp;")",IF(H287="YEAR",YEAR(O287)&amp;" (1 January to 31 December)",DAY(O287)&amp;" "&amp;INDEX(nLIST_Months,MONTH(O287))&amp;" "&amp;YEAR(O287)&amp;" to "&amp;DAY(P287)&amp;" "&amp;INDEX(nLIST_Months,MONTH(P287))&amp;" "&amp;YEAR(P287)))))))</f>
        <v/>
      </c>
      <c r="S287" s="20" t="str">
        <f>IF(B287="","",Events!$I24&amp;"")</f>
        <v/>
      </c>
      <c r="T287" s="20" t="str">
        <f>IF(B287="","",Events!$R24&amp;"")</f>
        <v/>
      </c>
      <c r="U287" s="20" t="str">
        <f>IF(B287="","","Events row "&amp;ROW(Events!$A24)&amp;", Onset")</f>
        <v/>
      </c>
      <c r="V287" s="20">
        <f>IF(A287="",0,COUNTIF(nTP_Key,A287))</f>
        <v>0</v>
      </c>
      <c r="W287" s="20">
        <f t="shared" si="40"/>
        <v>0</v>
      </c>
      <c r="X287" s="20">
        <f t="shared" si="41"/>
        <v>0</v>
      </c>
      <c r="Y287" s="20">
        <f t="shared" si="42"/>
        <v>0</v>
      </c>
      <c r="Z287" s="20">
        <f t="shared" si="43"/>
        <v>0</v>
      </c>
    </row>
    <row r="288" spans="1:26" x14ac:dyDescent="0.2">
      <c r="A288" s="20" t="str">
        <f t="shared" si="37"/>
        <v>VEC-V01|1|EV1/ONSET</v>
      </c>
      <c r="B288" s="20" t="str">
        <f>IF(AND(Events!$D25&lt;&gt;"",COUNTA(Events!$J25:$Q25)&gt;0),Events!$D25&amp;"/ONSET","")</f>
        <v>EV1/ONSET</v>
      </c>
      <c r="C288" s="20" t="str">
        <f t="shared" si="44"/>
        <v>EVENT_ONSET</v>
      </c>
      <c r="D288" s="20" t="str">
        <f>IF(B288="","",Events!$A25&amp;"")</f>
        <v>VEC-V01</v>
      </c>
      <c r="E288" s="20" t="str">
        <f>IF(B288="","",Events!$B25&amp;"")</f>
        <v>1</v>
      </c>
      <c r="F288" s="20" t="str">
        <f t="shared" si="38"/>
        <v>VEC-V01|1</v>
      </c>
      <c r="G288" s="20" t="str">
        <f>IF(B288="","",Events!$D25&amp;"")</f>
        <v>EV1</v>
      </c>
      <c r="H288" s="20" t="str">
        <f>IF(B288="","",Events!$J25&amp;"")</f>
        <v>TIMESTAMP</v>
      </c>
      <c r="I288" s="20" t="str">
        <f>IF(B288="","",Events!$M25&amp;"")</f>
        <v>-05:00</v>
      </c>
      <c r="J288" s="20" t="str">
        <f>IF(B288="","",Events!$S25&amp;"")</f>
        <v/>
      </c>
      <c r="K288" s="20">
        <f>IF(B288="",0,Events!$T25)</f>
        <v>1</v>
      </c>
      <c r="L288" s="20">
        <f>IF(B288="",0,Events!$U25)</f>
        <v>1</v>
      </c>
      <c r="M288" s="20">
        <f>IF(B288="","",Events!$X25)</f>
        <v>66286635</v>
      </c>
      <c r="N288" s="20">
        <f>IF(B288="","",Events!$Y25)</f>
        <v>66286935</v>
      </c>
      <c r="O288" s="27">
        <f>IF(B288="","",Events!$V25)</f>
        <v>46032</v>
      </c>
      <c r="P288" s="27">
        <f>IF(B288="","",Events!$W25)</f>
        <v>46032</v>
      </c>
      <c r="Q288" s="20" t="str">
        <f t="shared" si="39"/>
        <v>2026-01-10T09:15-05:00</v>
      </c>
      <c r="R288" s="20" t="str">
        <f>IF(A288="","",IF(J288&lt;&gt;"",J288,IF(H288="TIMESTAMP",DAY(INT(M288/1440))&amp;" "&amp;INDEX(nLIST_Months,MONTH(INT(M288/1440)))&amp;" "&amp;YEAR(INT(M288/1440))&amp;" "&amp;RIGHT("0"&amp;INT(MOD(M288,1440)/60),2)&amp;":"&amp;RIGHT("0"&amp;MOD(M288,60),2)&amp;IF(L288=1," (UTC"&amp;I288&amp;")"," (offset unknown)"),IF(H288="DATE",DAY(O288)&amp;" "&amp;INDEX(nLIST_Months,MONTH(O288))&amp;" "&amp;YEAR(O288),IF(H288="MONTH",INDEX(nLIST_Months,MONTH(O288))&amp;" "&amp;YEAR(O288)&amp;" ("&amp;DAY(O288)&amp;" "&amp;INDEX(nLIST_Months,MONTH(O288))&amp;" "&amp;YEAR(O288)&amp;" to "&amp;DAY(P288)&amp;" "&amp;INDEX(nLIST_Months,MONTH(P288))&amp;" "&amp;YEAR(P288)&amp;")",IF(H288="YEAR",YEAR(O288)&amp;" (1 January to 31 December)",DAY(O288)&amp;" "&amp;INDEX(nLIST_Months,MONTH(O288))&amp;" "&amp;YEAR(O288)&amp;" to "&amp;DAY(P288)&amp;" "&amp;INDEX(nLIST_Months,MONTH(P288))&amp;" "&amp;YEAR(P288)))))))</f>
        <v>10 January 2026 09:15 (UTC-05:00)</v>
      </c>
      <c r="S288" s="20" t="str">
        <f>IF(B288="","",Events!$I25&amp;"")</f>
        <v>2026-01-10T09:15-05:00</v>
      </c>
      <c r="T288" s="20" t="str">
        <f>IF(B288="","",Events!$R25&amp;"")</f>
        <v>tto_calc_test_vectors_v1.0.json V01</v>
      </c>
      <c r="U288" s="20" t="str">
        <f>IF(B288="","","Events row "&amp;ROW(Events!$A25)&amp;", Onset")</f>
        <v>Events row 25, Onset</v>
      </c>
      <c r="V288" s="20">
        <f>IF(A288="",0,COUNTIF(nTP_Key,A288))</f>
        <v>1</v>
      </c>
      <c r="W288" s="20">
        <f t="shared" si="40"/>
        <v>66286635</v>
      </c>
      <c r="X288" s="20">
        <f t="shared" si="41"/>
        <v>66286935</v>
      </c>
      <c r="Y288" s="20">
        <f t="shared" si="42"/>
        <v>46032</v>
      </c>
      <c r="Z288" s="20">
        <f t="shared" si="43"/>
        <v>46032</v>
      </c>
    </row>
    <row r="289" spans="1:26" x14ac:dyDescent="0.2">
      <c r="A289" s="20" t="str">
        <f t="shared" si="37"/>
        <v>VEC-V02|1|EV1/ONSET</v>
      </c>
      <c r="B289" s="20" t="str">
        <f>IF(AND(Events!$D26&lt;&gt;"",COUNTA(Events!$J26:$Q26)&gt;0),Events!$D26&amp;"/ONSET","")</f>
        <v>EV1/ONSET</v>
      </c>
      <c r="C289" s="20" t="str">
        <f t="shared" si="44"/>
        <v>EVENT_ONSET</v>
      </c>
      <c r="D289" s="20" t="str">
        <f>IF(B289="","",Events!$A26&amp;"")</f>
        <v>VEC-V02</v>
      </c>
      <c r="E289" s="20" t="str">
        <f>IF(B289="","",Events!$B26&amp;"")</f>
        <v>1</v>
      </c>
      <c r="F289" s="20" t="str">
        <f t="shared" si="38"/>
        <v>VEC-V02|1</v>
      </c>
      <c r="G289" s="20" t="str">
        <f>IF(B289="","",Events!$D26&amp;"")</f>
        <v>EV1</v>
      </c>
      <c r="H289" s="20" t="str">
        <f>IF(B289="","",Events!$J26&amp;"")</f>
        <v>DATE</v>
      </c>
      <c r="I289" s="20" t="str">
        <f>IF(B289="","",Events!$M26&amp;"")</f>
        <v/>
      </c>
      <c r="J289" s="20" t="str">
        <f>IF(B289="","",Events!$S26&amp;"")</f>
        <v/>
      </c>
      <c r="K289" s="20">
        <f>IF(B289="",0,Events!$T26)</f>
        <v>0</v>
      </c>
      <c r="L289" s="20">
        <f>IF(B289="",0,Events!$U26)</f>
        <v>0</v>
      </c>
      <c r="M289" s="20" t="str">
        <f>IF(B289="","",Events!$X26)</f>
        <v/>
      </c>
      <c r="N289" s="20" t="str">
        <f>IF(B289="","",Events!$Y26)</f>
        <v/>
      </c>
      <c r="O289" s="27">
        <f>IF(B289="","",Events!$V26)</f>
        <v>46028</v>
      </c>
      <c r="P289" s="27">
        <f>IF(B289="","",Events!$W26)</f>
        <v>46028</v>
      </c>
      <c r="Q289" s="20" t="str">
        <f t="shared" si="39"/>
        <v>2026-01-06</v>
      </c>
      <c r="R289" s="20" t="str">
        <f>IF(A289="","",IF(J289&lt;&gt;"",J289,IF(H289="TIMESTAMP",DAY(INT(M289/1440))&amp;" "&amp;INDEX(nLIST_Months,MONTH(INT(M289/1440)))&amp;" "&amp;YEAR(INT(M289/1440))&amp;" "&amp;RIGHT("0"&amp;INT(MOD(M289,1440)/60),2)&amp;":"&amp;RIGHT("0"&amp;MOD(M289,60),2)&amp;IF(L289=1," (UTC"&amp;I289&amp;")"," (offset unknown)"),IF(H289="DATE",DAY(O289)&amp;" "&amp;INDEX(nLIST_Months,MONTH(O289))&amp;" "&amp;YEAR(O289),IF(H289="MONTH",INDEX(nLIST_Months,MONTH(O289))&amp;" "&amp;YEAR(O289)&amp;" ("&amp;DAY(O289)&amp;" "&amp;INDEX(nLIST_Months,MONTH(O289))&amp;" "&amp;YEAR(O289)&amp;" to "&amp;DAY(P289)&amp;" "&amp;INDEX(nLIST_Months,MONTH(P289))&amp;" "&amp;YEAR(P289)&amp;")",IF(H289="YEAR",YEAR(O289)&amp;" (1 January to 31 December)",DAY(O289)&amp;" "&amp;INDEX(nLIST_Months,MONTH(O289))&amp;" "&amp;YEAR(O289)&amp;" to "&amp;DAY(P289)&amp;" "&amp;INDEX(nLIST_Months,MONTH(P289))&amp;" "&amp;YEAR(P289)))))))</f>
        <v>6 January 2026</v>
      </c>
      <c r="S289" s="20" t="str">
        <f>IF(B289="","",Events!$I26&amp;"")</f>
        <v>2026-01-06</v>
      </c>
      <c r="T289" s="20" t="str">
        <f>IF(B289="","",Events!$R26&amp;"")</f>
        <v>tto_calc_test_vectors_v1.0.json V02</v>
      </c>
      <c r="U289" s="20" t="str">
        <f>IF(B289="","","Events row "&amp;ROW(Events!$A26)&amp;", Onset")</f>
        <v>Events row 26, Onset</v>
      </c>
      <c r="V289" s="20">
        <f>IF(A289="",0,COUNTIF(nTP_Key,A289))</f>
        <v>1</v>
      </c>
      <c r="W289" s="20">
        <f t="shared" si="40"/>
        <v>0</v>
      </c>
      <c r="X289" s="20">
        <f t="shared" si="41"/>
        <v>0</v>
      </c>
      <c r="Y289" s="20">
        <f t="shared" si="42"/>
        <v>46028</v>
      </c>
      <c r="Z289" s="20">
        <f t="shared" si="43"/>
        <v>46028</v>
      </c>
    </row>
    <row r="290" spans="1:26" x14ac:dyDescent="0.2">
      <c r="A290" s="20" t="str">
        <f t="shared" si="37"/>
        <v>VEC-V03|1|EV1/ONSET</v>
      </c>
      <c r="B290" s="20" t="str">
        <f>IF(AND(Events!$D27&lt;&gt;"",COUNTA(Events!$J27:$Q27)&gt;0),Events!$D27&amp;"/ONSET","")</f>
        <v>EV1/ONSET</v>
      </c>
      <c r="C290" s="20" t="str">
        <f t="shared" si="44"/>
        <v>EVENT_ONSET</v>
      </c>
      <c r="D290" s="20" t="str">
        <f>IF(B290="","",Events!$A27&amp;"")</f>
        <v>VEC-V03</v>
      </c>
      <c r="E290" s="20" t="str">
        <f>IF(B290="","",Events!$B27&amp;"")</f>
        <v>1</v>
      </c>
      <c r="F290" s="20" t="str">
        <f t="shared" si="38"/>
        <v>VEC-V03|1</v>
      </c>
      <c r="G290" s="20" t="str">
        <f>IF(B290="","",Events!$D27&amp;"")</f>
        <v>EV1</v>
      </c>
      <c r="H290" s="20" t="str">
        <f>IF(B290="","",Events!$J27&amp;"")</f>
        <v>DATE</v>
      </c>
      <c r="I290" s="20" t="str">
        <f>IF(B290="","",Events!$M27&amp;"")</f>
        <v/>
      </c>
      <c r="J290" s="20" t="str">
        <f>IF(B290="","",Events!$S27&amp;"")</f>
        <v/>
      </c>
      <c r="K290" s="20">
        <f>IF(B290="",0,Events!$T27)</f>
        <v>0</v>
      </c>
      <c r="L290" s="20">
        <f>IF(B290="",0,Events!$U27)</f>
        <v>0</v>
      </c>
      <c r="M290" s="20" t="str">
        <f>IF(B290="","",Events!$X27)</f>
        <v/>
      </c>
      <c r="N290" s="20" t="str">
        <f>IF(B290="","",Events!$Y27)</f>
        <v/>
      </c>
      <c r="O290" s="27">
        <f>IF(B290="","",Events!$V27)</f>
        <v>46027</v>
      </c>
      <c r="P290" s="27">
        <f>IF(B290="","",Events!$W27)</f>
        <v>46027</v>
      </c>
      <c r="Q290" s="20" t="str">
        <f t="shared" si="39"/>
        <v>2026-01-05</v>
      </c>
      <c r="R290" s="20" t="str">
        <f>IF(A290="","",IF(J290&lt;&gt;"",J290,IF(H290="TIMESTAMP",DAY(INT(M290/1440))&amp;" "&amp;INDEX(nLIST_Months,MONTH(INT(M290/1440)))&amp;" "&amp;YEAR(INT(M290/1440))&amp;" "&amp;RIGHT("0"&amp;INT(MOD(M290,1440)/60),2)&amp;":"&amp;RIGHT("0"&amp;MOD(M290,60),2)&amp;IF(L290=1," (UTC"&amp;I290&amp;")"," (offset unknown)"),IF(H290="DATE",DAY(O290)&amp;" "&amp;INDEX(nLIST_Months,MONTH(O290))&amp;" "&amp;YEAR(O290),IF(H290="MONTH",INDEX(nLIST_Months,MONTH(O290))&amp;" "&amp;YEAR(O290)&amp;" ("&amp;DAY(O290)&amp;" "&amp;INDEX(nLIST_Months,MONTH(O290))&amp;" "&amp;YEAR(O290)&amp;" to "&amp;DAY(P290)&amp;" "&amp;INDEX(nLIST_Months,MONTH(P290))&amp;" "&amp;YEAR(P290)&amp;")",IF(H290="YEAR",YEAR(O290)&amp;" (1 January to 31 December)",DAY(O290)&amp;" "&amp;INDEX(nLIST_Months,MONTH(O290))&amp;" "&amp;YEAR(O290)&amp;" to "&amp;DAY(P290)&amp;" "&amp;INDEX(nLIST_Months,MONTH(P290))&amp;" "&amp;YEAR(P290)))))))</f>
        <v>5 January 2026</v>
      </c>
      <c r="S290" s="20" t="str">
        <f>IF(B290="","",Events!$I27&amp;"")</f>
        <v>2026-01-05</v>
      </c>
      <c r="T290" s="20" t="str">
        <f>IF(B290="","",Events!$R27&amp;"")</f>
        <v>tto_calc_test_vectors_v1.0.json V03</v>
      </c>
      <c r="U290" s="20" t="str">
        <f>IF(B290="","","Events row "&amp;ROW(Events!$A27)&amp;", Onset")</f>
        <v>Events row 27, Onset</v>
      </c>
      <c r="V290" s="20">
        <f>IF(A290="",0,COUNTIF(nTP_Key,A290))</f>
        <v>1</v>
      </c>
      <c r="W290" s="20">
        <f t="shared" si="40"/>
        <v>0</v>
      </c>
      <c r="X290" s="20">
        <f t="shared" si="41"/>
        <v>0</v>
      </c>
      <c r="Y290" s="20">
        <f t="shared" si="42"/>
        <v>46027</v>
      </c>
      <c r="Z290" s="20">
        <f t="shared" si="43"/>
        <v>46027</v>
      </c>
    </row>
    <row r="291" spans="1:26" x14ac:dyDescent="0.2">
      <c r="A291" s="20" t="str">
        <f t="shared" si="37"/>
        <v>VEC-V04|1|EV1/ONSET</v>
      </c>
      <c r="B291" s="20" t="str">
        <f>IF(AND(Events!$D28&lt;&gt;"",COUNTA(Events!$J28:$Q28)&gt;0),Events!$D28&amp;"/ONSET","")</f>
        <v>EV1/ONSET</v>
      </c>
      <c r="C291" s="20" t="str">
        <f t="shared" si="44"/>
        <v>EVENT_ONSET</v>
      </c>
      <c r="D291" s="20" t="str">
        <f>IF(B291="","",Events!$A28&amp;"")</f>
        <v>VEC-V04</v>
      </c>
      <c r="E291" s="20" t="str">
        <f>IF(B291="","",Events!$B28&amp;"")</f>
        <v>1</v>
      </c>
      <c r="F291" s="20" t="str">
        <f t="shared" si="38"/>
        <v>VEC-V04|1</v>
      </c>
      <c r="G291" s="20" t="str">
        <f>IF(B291="","",Events!$D28&amp;"")</f>
        <v>EV1</v>
      </c>
      <c r="H291" s="20" t="str">
        <f>IF(B291="","",Events!$J28&amp;"")</f>
        <v>DATE</v>
      </c>
      <c r="I291" s="20" t="str">
        <f>IF(B291="","",Events!$M28&amp;"")</f>
        <v/>
      </c>
      <c r="J291" s="20" t="str">
        <f>IF(B291="","",Events!$S28&amp;"")</f>
        <v/>
      </c>
      <c r="K291" s="20">
        <f>IF(B291="",0,Events!$T28)</f>
        <v>0</v>
      </c>
      <c r="L291" s="20">
        <f>IF(B291="",0,Events!$U28)</f>
        <v>0</v>
      </c>
      <c r="M291" s="20" t="str">
        <f>IF(B291="","",Events!$X28)</f>
        <v/>
      </c>
      <c r="N291" s="20" t="str">
        <f>IF(B291="","",Events!$Y28)</f>
        <v/>
      </c>
      <c r="O291" s="27">
        <f>IF(B291="","",Events!$V28)</f>
        <v>45352</v>
      </c>
      <c r="P291" s="27">
        <f>IF(B291="","",Events!$W28)</f>
        <v>45352</v>
      </c>
      <c r="Q291" s="20" t="str">
        <f t="shared" si="39"/>
        <v>2024-03-01</v>
      </c>
      <c r="R291" s="20" t="str">
        <f>IF(A291="","",IF(J291&lt;&gt;"",J291,IF(H291="TIMESTAMP",DAY(INT(M291/1440))&amp;" "&amp;INDEX(nLIST_Months,MONTH(INT(M291/1440)))&amp;" "&amp;YEAR(INT(M291/1440))&amp;" "&amp;RIGHT("0"&amp;INT(MOD(M291,1440)/60),2)&amp;":"&amp;RIGHT("0"&amp;MOD(M291,60),2)&amp;IF(L291=1," (UTC"&amp;I291&amp;")"," (offset unknown)"),IF(H291="DATE",DAY(O291)&amp;" "&amp;INDEX(nLIST_Months,MONTH(O291))&amp;" "&amp;YEAR(O291),IF(H291="MONTH",INDEX(nLIST_Months,MONTH(O291))&amp;" "&amp;YEAR(O291)&amp;" ("&amp;DAY(O291)&amp;" "&amp;INDEX(nLIST_Months,MONTH(O291))&amp;" "&amp;YEAR(O291)&amp;" to "&amp;DAY(P291)&amp;" "&amp;INDEX(nLIST_Months,MONTH(P291))&amp;" "&amp;YEAR(P291)&amp;")",IF(H291="YEAR",YEAR(O291)&amp;" (1 January to 31 December)",DAY(O291)&amp;" "&amp;INDEX(nLIST_Months,MONTH(O291))&amp;" "&amp;YEAR(O291)&amp;" to "&amp;DAY(P291)&amp;" "&amp;INDEX(nLIST_Months,MONTH(P291))&amp;" "&amp;YEAR(P291)))))))</f>
        <v>1 March 2024</v>
      </c>
      <c r="S291" s="20" t="str">
        <f>IF(B291="","",Events!$I28&amp;"")</f>
        <v>2024-03-01</v>
      </c>
      <c r="T291" s="20" t="str">
        <f>IF(B291="","",Events!$R28&amp;"")</f>
        <v>tto_calc_test_vectors_v1.0.json V04</v>
      </c>
      <c r="U291" s="20" t="str">
        <f>IF(B291="","","Events row "&amp;ROW(Events!$A28)&amp;", Onset")</f>
        <v>Events row 28, Onset</v>
      </c>
      <c r="V291" s="20">
        <f>IF(A291="",0,COUNTIF(nTP_Key,A291))</f>
        <v>1</v>
      </c>
      <c r="W291" s="20">
        <f t="shared" si="40"/>
        <v>0</v>
      </c>
      <c r="X291" s="20">
        <f t="shared" si="41"/>
        <v>0</v>
      </c>
      <c r="Y291" s="20">
        <f t="shared" si="42"/>
        <v>45352</v>
      </c>
      <c r="Z291" s="20">
        <f t="shared" si="43"/>
        <v>45352</v>
      </c>
    </row>
    <row r="292" spans="1:26" x14ac:dyDescent="0.2">
      <c r="A292" s="20" t="str">
        <f t="shared" si="37"/>
        <v>VEC-V05|1|EV1/ONSET</v>
      </c>
      <c r="B292" s="20" t="str">
        <f>IF(AND(Events!$D29&lt;&gt;"",COUNTA(Events!$J29:$Q29)&gt;0),Events!$D29&amp;"/ONSET","")</f>
        <v>EV1/ONSET</v>
      </c>
      <c r="C292" s="20" t="str">
        <f t="shared" si="44"/>
        <v>EVENT_ONSET</v>
      </c>
      <c r="D292" s="20" t="str">
        <f>IF(B292="","",Events!$A29&amp;"")</f>
        <v>VEC-V05</v>
      </c>
      <c r="E292" s="20" t="str">
        <f>IF(B292="","",Events!$B29&amp;"")</f>
        <v>1</v>
      </c>
      <c r="F292" s="20" t="str">
        <f t="shared" si="38"/>
        <v>VEC-V05|1</v>
      </c>
      <c r="G292" s="20" t="str">
        <f>IF(B292="","",Events!$D29&amp;"")</f>
        <v>EV1</v>
      </c>
      <c r="H292" s="20" t="str">
        <f>IF(B292="","",Events!$J29&amp;"")</f>
        <v>DATE</v>
      </c>
      <c r="I292" s="20" t="str">
        <f>IF(B292="","",Events!$M29&amp;"")</f>
        <v/>
      </c>
      <c r="J292" s="20" t="str">
        <f>IF(B292="","",Events!$S29&amp;"")</f>
        <v/>
      </c>
      <c r="K292" s="20">
        <f>IF(B292="",0,Events!$T29)</f>
        <v>0</v>
      </c>
      <c r="L292" s="20">
        <f>IF(B292="",0,Events!$U29)</f>
        <v>0</v>
      </c>
      <c r="M292" s="20" t="str">
        <f>IF(B292="","",Events!$X29)</f>
        <v/>
      </c>
      <c r="N292" s="20" t="str">
        <f>IF(B292="","",Events!$Y29)</f>
        <v/>
      </c>
      <c r="O292" s="27">
        <f>IF(B292="","",Events!$V29)</f>
        <v>46037</v>
      </c>
      <c r="P292" s="27">
        <f>IF(B292="","",Events!$W29)</f>
        <v>46037</v>
      </c>
      <c r="Q292" s="20" t="str">
        <f t="shared" si="39"/>
        <v>2026-01-15</v>
      </c>
      <c r="R292" s="20" t="str">
        <f>IF(A292="","",IF(J292&lt;&gt;"",J292,IF(H292="TIMESTAMP",DAY(INT(M292/1440))&amp;" "&amp;INDEX(nLIST_Months,MONTH(INT(M292/1440)))&amp;" "&amp;YEAR(INT(M292/1440))&amp;" "&amp;RIGHT("0"&amp;INT(MOD(M292,1440)/60),2)&amp;":"&amp;RIGHT("0"&amp;MOD(M292,60),2)&amp;IF(L292=1," (UTC"&amp;I292&amp;")"," (offset unknown)"),IF(H292="DATE",DAY(O292)&amp;" "&amp;INDEX(nLIST_Months,MONTH(O292))&amp;" "&amp;YEAR(O292),IF(H292="MONTH",INDEX(nLIST_Months,MONTH(O292))&amp;" "&amp;YEAR(O292)&amp;" ("&amp;DAY(O292)&amp;" "&amp;INDEX(nLIST_Months,MONTH(O292))&amp;" "&amp;YEAR(O292)&amp;" to "&amp;DAY(P292)&amp;" "&amp;INDEX(nLIST_Months,MONTH(P292))&amp;" "&amp;YEAR(P292)&amp;")",IF(H292="YEAR",YEAR(O292)&amp;" (1 January to 31 December)",DAY(O292)&amp;" "&amp;INDEX(nLIST_Months,MONTH(O292))&amp;" "&amp;YEAR(O292)&amp;" to "&amp;DAY(P292)&amp;" "&amp;INDEX(nLIST_Months,MONTH(P292))&amp;" "&amp;YEAR(P292)))))))</f>
        <v>15 January 2026</v>
      </c>
      <c r="S292" s="20" t="str">
        <f>IF(B292="","",Events!$I29&amp;"")</f>
        <v>2026-01-15</v>
      </c>
      <c r="T292" s="20" t="str">
        <f>IF(B292="","",Events!$R29&amp;"")</f>
        <v>tto_calc_test_vectors_v1.0.json V05</v>
      </c>
      <c r="U292" s="20" t="str">
        <f>IF(B292="","","Events row "&amp;ROW(Events!$A29)&amp;", Onset")</f>
        <v>Events row 29, Onset</v>
      </c>
      <c r="V292" s="20">
        <f>IF(A292="",0,COUNTIF(nTP_Key,A292))</f>
        <v>1</v>
      </c>
      <c r="W292" s="20">
        <f t="shared" si="40"/>
        <v>0</v>
      </c>
      <c r="X292" s="20">
        <f t="shared" si="41"/>
        <v>0</v>
      </c>
      <c r="Y292" s="20">
        <f t="shared" si="42"/>
        <v>46037</v>
      </c>
      <c r="Z292" s="20">
        <f t="shared" si="43"/>
        <v>46037</v>
      </c>
    </row>
    <row r="293" spans="1:26" x14ac:dyDescent="0.2">
      <c r="A293" s="20" t="str">
        <f t="shared" si="37"/>
        <v>VEC-V06|1|EV1/ONSET</v>
      </c>
      <c r="B293" s="20" t="str">
        <f>IF(AND(Events!$D30&lt;&gt;"",COUNTA(Events!$J30:$Q30)&gt;0),Events!$D30&amp;"/ONSET","")</f>
        <v>EV1/ONSET</v>
      </c>
      <c r="C293" s="20" t="str">
        <f t="shared" si="44"/>
        <v>EVENT_ONSET</v>
      </c>
      <c r="D293" s="20" t="str">
        <f>IF(B293="","",Events!$A30&amp;"")</f>
        <v>VEC-V06</v>
      </c>
      <c r="E293" s="20" t="str">
        <f>IF(B293="","",Events!$B30&amp;"")</f>
        <v>1</v>
      </c>
      <c r="F293" s="20" t="str">
        <f t="shared" si="38"/>
        <v>VEC-V06|1</v>
      </c>
      <c r="G293" s="20" t="str">
        <f>IF(B293="","",Events!$D30&amp;"")</f>
        <v>EV1</v>
      </c>
      <c r="H293" s="20" t="str">
        <f>IF(B293="","",Events!$J30&amp;"")</f>
        <v>DATE</v>
      </c>
      <c r="I293" s="20" t="str">
        <f>IF(B293="","",Events!$M30&amp;"")</f>
        <v/>
      </c>
      <c r="J293" s="20" t="str">
        <f>IF(B293="","",Events!$S30&amp;"")</f>
        <v/>
      </c>
      <c r="K293" s="20">
        <f>IF(B293="",0,Events!$T30)</f>
        <v>0</v>
      </c>
      <c r="L293" s="20">
        <f>IF(B293="",0,Events!$U30)</f>
        <v>0</v>
      </c>
      <c r="M293" s="20" t="str">
        <f>IF(B293="","",Events!$X30)</f>
        <v/>
      </c>
      <c r="N293" s="20" t="str">
        <f>IF(B293="","",Events!$Y30)</f>
        <v/>
      </c>
      <c r="O293" s="27">
        <f>IF(B293="","",Events!$V30)</f>
        <v>46027</v>
      </c>
      <c r="P293" s="27">
        <f>IF(B293="","",Events!$W30)</f>
        <v>46027</v>
      </c>
      <c r="Q293" s="20" t="str">
        <f t="shared" si="39"/>
        <v>2026-01-05</v>
      </c>
      <c r="R293" s="20" t="str">
        <f>IF(A293="","",IF(J293&lt;&gt;"",J293,IF(H293="TIMESTAMP",DAY(INT(M293/1440))&amp;" "&amp;INDEX(nLIST_Months,MONTH(INT(M293/1440)))&amp;" "&amp;YEAR(INT(M293/1440))&amp;" "&amp;RIGHT("0"&amp;INT(MOD(M293,1440)/60),2)&amp;":"&amp;RIGHT("0"&amp;MOD(M293,60),2)&amp;IF(L293=1," (UTC"&amp;I293&amp;")"," (offset unknown)"),IF(H293="DATE",DAY(O293)&amp;" "&amp;INDEX(nLIST_Months,MONTH(O293))&amp;" "&amp;YEAR(O293),IF(H293="MONTH",INDEX(nLIST_Months,MONTH(O293))&amp;" "&amp;YEAR(O293)&amp;" ("&amp;DAY(O293)&amp;" "&amp;INDEX(nLIST_Months,MONTH(O293))&amp;" "&amp;YEAR(O293)&amp;" to "&amp;DAY(P293)&amp;" "&amp;INDEX(nLIST_Months,MONTH(P293))&amp;" "&amp;YEAR(P293)&amp;")",IF(H293="YEAR",YEAR(O293)&amp;" (1 January to 31 December)",DAY(O293)&amp;" "&amp;INDEX(nLIST_Months,MONTH(O293))&amp;" "&amp;YEAR(O293)&amp;" to "&amp;DAY(P293)&amp;" "&amp;INDEX(nLIST_Months,MONTH(P293))&amp;" "&amp;YEAR(P293)))))))</f>
        <v>5 January 2026</v>
      </c>
      <c r="S293" s="20" t="str">
        <f>IF(B293="","",Events!$I30&amp;"")</f>
        <v>2026-01-05</v>
      </c>
      <c r="T293" s="20" t="str">
        <f>IF(B293="","",Events!$R30&amp;"")</f>
        <v>tto_calc_test_vectors_v1.0.json V06</v>
      </c>
      <c r="U293" s="20" t="str">
        <f>IF(B293="","","Events row "&amp;ROW(Events!$A30)&amp;", Onset")</f>
        <v>Events row 30, Onset</v>
      </c>
      <c r="V293" s="20">
        <f>IF(A293="",0,COUNTIF(nTP_Key,A293))</f>
        <v>1</v>
      </c>
      <c r="W293" s="20">
        <f t="shared" si="40"/>
        <v>0</v>
      </c>
      <c r="X293" s="20">
        <f t="shared" si="41"/>
        <v>0</v>
      </c>
      <c r="Y293" s="20">
        <f t="shared" si="42"/>
        <v>46027</v>
      </c>
      <c r="Z293" s="20">
        <f t="shared" si="43"/>
        <v>46027</v>
      </c>
    </row>
    <row r="294" spans="1:26" x14ac:dyDescent="0.2">
      <c r="A294" s="20" t="str">
        <f t="shared" si="37"/>
        <v>VEC-V07|1|EV1/ONSET</v>
      </c>
      <c r="B294" s="20" t="str">
        <f>IF(AND(Events!$D31&lt;&gt;"",COUNTA(Events!$J31:$Q31)&gt;0),Events!$D31&amp;"/ONSET","")</f>
        <v>EV1/ONSET</v>
      </c>
      <c r="C294" s="20" t="str">
        <f t="shared" si="44"/>
        <v>EVENT_ONSET</v>
      </c>
      <c r="D294" s="20" t="str">
        <f>IF(B294="","",Events!$A31&amp;"")</f>
        <v>VEC-V07</v>
      </c>
      <c r="E294" s="20" t="str">
        <f>IF(B294="","",Events!$B31&amp;"")</f>
        <v>1</v>
      </c>
      <c r="F294" s="20" t="str">
        <f t="shared" si="38"/>
        <v>VEC-V07|1</v>
      </c>
      <c r="G294" s="20" t="str">
        <f>IF(B294="","",Events!$D31&amp;"")</f>
        <v>EV1</v>
      </c>
      <c r="H294" s="20" t="str">
        <f>IF(B294="","",Events!$J31&amp;"")</f>
        <v>TIMESTAMP</v>
      </c>
      <c r="I294" s="20" t="str">
        <f>IF(B294="","",Events!$M31&amp;"")</f>
        <v>-05:00</v>
      </c>
      <c r="J294" s="20" t="str">
        <f>IF(B294="","",Events!$S31&amp;"")</f>
        <v/>
      </c>
      <c r="K294" s="20">
        <f>IF(B294="",0,Events!$T31)</f>
        <v>1</v>
      </c>
      <c r="L294" s="20">
        <f>IF(B294="",0,Events!$U31)</f>
        <v>1</v>
      </c>
      <c r="M294" s="20">
        <f>IF(B294="","",Events!$X31)</f>
        <v>66360720</v>
      </c>
      <c r="N294" s="20">
        <f>IF(B294="","",Events!$Y31)</f>
        <v>66361020</v>
      </c>
      <c r="O294" s="27">
        <f>IF(B294="","",Events!$V31)</f>
        <v>46083</v>
      </c>
      <c r="P294" s="27">
        <f>IF(B294="","",Events!$W31)</f>
        <v>46083</v>
      </c>
      <c r="Q294" s="20" t="str">
        <f t="shared" si="39"/>
        <v>2026-03-02T20:00-05:00</v>
      </c>
      <c r="R294" s="20" t="str">
        <f>IF(A294="","",IF(J294&lt;&gt;"",J294,IF(H294="TIMESTAMP",DAY(INT(M294/1440))&amp;" "&amp;INDEX(nLIST_Months,MONTH(INT(M294/1440)))&amp;" "&amp;YEAR(INT(M294/1440))&amp;" "&amp;RIGHT("0"&amp;INT(MOD(M294,1440)/60),2)&amp;":"&amp;RIGHT("0"&amp;MOD(M294,60),2)&amp;IF(L294=1," (UTC"&amp;I294&amp;")"," (offset unknown)"),IF(H294="DATE",DAY(O294)&amp;" "&amp;INDEX(nLIST_Months,MONTH(O294))&amp;" "&amp;YEAR(O294),IF(H294="MONTH",INDEX(nLIST_Months,MONTH(O294))&amp;" "&amp;YEAR(O294)&amp;" ("&amp;DAY(O294)&amp;" "&amp;INDEX(nLIST_Months,MONTH(O294))&amp;" "&amp;YEAR(O294)&amp;" to "&amp;DAY(P294)&amp;" "&amp;INDEX(nLIST_Months,MONTH(P294))&amp;" "&amp;YEAR(P294)&amp;")",IF(H294="YEAR",YEAR(O294)&amp;" (1 January to 31 December)",DAY(O294)&amp;" "&amp;INDEX(nLIST_Months,MONTH(O294))&amp;" "&amp;YEAR(O294)&amp;" to "&amp;DAY(P294)&amp;" "&amp;INDEX(nLIST_Months,MONTH(P294))&amp;" "&amp;YEAR(P294)))))))</f>
        <v>2 March 2026 20:00 (UTC-05:00)</v>
      </c>
      <c r="S294" s="20" t="str">
        <f>IF(B294="","",Events!$I31&amp;"")</f>
        <v>2026-03-02T20:00-05:00</v>
      </c>
      <c r="T294" s="20" t="str">
        <f>IF(B294="","",Events!$R31&amp;"")</f>
        <v>tto_calc_test_vectors_v1.0.json V07</v>
      </c>
      <c r="U294" s="20" t="str">
        <f>IF(B294="","","Events row "&amp;ROW(Events!$A31)&amp;", Onset")</f>
        <v>Events row 31, Onset</v>
      </c>
      <c r="V294" s="20">
        <f>IF(A294="",0,COUNTIF(nTP_Key,A294))</f>
        <v>1</v>
      </c>
      <c r="W294" s="20">
        <f t="shared" si="40"/>
        <v>66360720</v>
      </c>
      <c r="X294" s="20">
        <f t="shared" si="41"/>
        <v>66361020</v>
      </c>
      <c r="Y294" s="20">
        <f t="shared" si="42"/>
        <v>46083</v>
      </c>
      <c r="Z294" s="20">
        <f t="shared" si="43"/>
        <v>46083</v>
      </c>
    </row>
    <row r="295" spans="1:26" x14ac:dyDescent="0.2">
      <c r="A295" s="20" t="str">
        <f t="shared" si="37"/>
        <v>VEC-V08|1|EV1/ONSET</v>
      </c>
      <c r="B295" s="20" t="str">
        <f>IF(AND(Events!$D32&lt;&gt;"",COUNTA(Events!$J32:$Q32)&gt;0),Events!$D32&amp;"/ONSET","")</f>
        <v>EV1/ONSET</v>
      </c>
      <c r="C295" s="20" t="str">
        <f t="shared" si="44"/>
        <v>EVENT_ONSET</v>
      </c>
      <c r="D295" s="20" t="str">
        <f>IF(B295="","",Events!$A32&amp;"")</f>
        <v>VEC-V08</v>
      </c>
      <c r="E295" s="20" t="str">
        <f>IF(B295="","",Events!$B32&amp;"")</f>
        <v>1</v>
      </c>
      <c r="F295" s="20" t="str">
        <f t="shared" si="38"/>
        <v>VEC-V08|1</v>
      </c>
      <c r="G295" s="20" t="str">
        <f>IF(B295="","",Events!$D32&amp;"")</f>
        <v>EV1</v>
      </c>
      <c r="H295" s="20" t="str">
        <f>IF(B295="","",Events!$J32&amp;"")</f>
        <v>DATE</v>
      </c>
      <c r="I295" s="20" t="str">
        <f>IF(B295="","",Events!$M32&amp;"")</f>
        <v/>
      </c>
      <c r="J295" s="20" t="str">
        <f>IF(B295="","",Events!$S32&amp;"")</f>
        <v/>
      </c>
      <c r="K295" s="20">
        <f>IF(B295="",0,Events!$T32)</f>
        <v>0</v>
      </c>
      <c r="L295" s="20">
        <f>IF(B295="",0,Events!$U32)</f>
        <v>0</v>
      </c>
      <c r="M295" s="20" t="str">
        <f>IF(B295="","",Events!$X32)</f>
        <v/>
      </c>
      <c r="N295" s="20" t="str">
        <f>IF(B295="","",Events!$Y32)</f>
        <v/>
      </c>
      <c r="O295" s="27">
        <f>IF(B295="","",Events!$V32)</f>
        <v>46067</v>
      </c>
      <c r="P295" s="27">
        <f>IF(B295="","",Events!$W32)</f>
        <v>46067</v>
      </c>
      <c r="Q295" s="20" t="str">
        <f t="shared" si="39"/>
        <v>2026-02-14</v>
      </c>
      <c r="R295" s="20" t="str">
        <f>IF(A295="","",IF(J295&lt;&gt;"",J295,IF(H295="TIMESTAMP",DAY(INT(M295/1440))&amp;" "&amp;INDEX(nLIST_Months,MONTH(INT(M295/1440)))&amp;" "&amp;YEAR(INT(M295/1440))&amp;" "&amp;RIGHT("0"&amp;INT(MOD(M295,1440)/60),2)&amp;":"&amp;RIGHT("0"&amp;MOD(M295,60),2)&amp;IF(L295=1," (UTC"&amp;I295&amp;")"," (offset unknown)"),IF(H295="DATE",DAY(O295)&amp;" "&amp;INDEX(nLIST_Months,MONTH(O295))&amp;" "&amp;YEAR(O295),IF(H295="MONTH",INDEX(nLIST_Months,MONTH(O295))&amp;" "&amp;YEAR(O295)&amp;" ("&amp;DAY(O295)&amp;" "&amp;INDEX(nLIST_Months,MONTH(O295))&amp;" "&amp;YEAR(O295)&amp;" to "&amp;DAY(P295)&amp;" "&amp;INDEX(nLIST_Months,MONTH(P295))&amp;" "&amp;YEAR(P295)&amp;")",IF(H295="YEAR",YEAR(O295)&amp;" (1 January to 31 December)",DAY(O295)&amp;" "&amp;INDEX(nLIST_Months,MONTH(O295))&amp;" "&amp;YEAR(O295)&amp;" to "&amp;DAY(P295)&amp;" "&amp;INDEX(nLIST_Months,MONTH(P295))&amp;" "&amp;YEAR(P295)))))))</f>
        <v>14 February 2026</v>
      </c>
      <c r="S295" s="20" t="str">
        <f>IF(B295="","",Events!$I32&amp;"")</f>
        <v>2026-02-14</v>
      </c>
      <c r="T295" s="20" t="str">
        <f>IF(B295="","",Events!$R32&amp;"")</f>
        <v>tto_calc_test_vectors_v1.0.json V08</v>
      </c>
      <c r="U295" s="20" t="str">
        <f>IF(B295="","","Events row "&amp;ROW(Events!$A32)&amp;", Onset")</f>
        <v>Events row 32, Onset</v>
      </c>
      <c r="V295" s="20">
        <f>IF(A295="",0,COUNTIF(nTP_Key,A295))</f>
        <v>1</v>
      </c>
      <c r="W295" s="20">
        <f t="shared" si="40"/>
        <v>0</v>
      </c>
      <c r="X295" s="20">
        <f t="shared" si="41"/>
        <v>0</v>
      </c>
      <c r="Y295" s="20">
        <f t="shared" si="42"/>
        <v>46067</v>
      </c>
      <c r="Z295" s="20">
        <f t="shared" si="43"/>
        <v>46067</v>
      </c>
    </row>
    <row r="296" spans="1:26" x14ac:dyDescent="0.2">
      <c r="A296" s="20" t="str">
        <f t="shared" si="37"/>
        <v>VEC-V09|1|EV1/ONSET</v>
      </c>
      <c r="B296" s="20" t="str">
        <f>IF(AND(Events!$D33&lt;&gt;"",COUNTA(Events!$J33:$Q33)&gt;0),Events!$D33&amp;"/ONSET","")</f>
        <v>EV1/ONSET</v>
      </c>
      <c r="C296" s="20" t="str">
        <f t="shared" si="44"/>
        <v>EVENT_ONSET</v>
      </c>
      <c r="D296" s="20" t="str">
        <f>IF(B296="","",Events!$A33&amp;"")</f>
        <v>VEC-V09</v>
      </c>
      <c r="E296" s="20" t="str">
        <f>IF(B296="","",Events!$B33&amp;"")</f>
        <v>1</v>
      </c>
      <c r="F296" s="20" t="str">
        <f t="shared" si="38"/>
        <v>VEC-V09|1</v>
      </c>
      <c r="G296" s="20" t="str">
        <f>IF(B296="","",Events!$D33&amp;"")</f>
        <v>EV1</v>
      </c>
      <c r="H296" s="20" t="str">
        <f>IF(B296="","",Events!$J33&amp;"")</f>
        <v>TIMESTAMP</v>
      </c>
      <c r="I296" s="20" t="str">
        <f>IF(B296="","",Events!$M33&amp;"")</f>
        <v>-05:00</v>
      </c>
      <c r="J296" s="20" t="str">
        <f>IF(B296="","",Events!$S33&amp;"")</f>
        <v/>
      </c>
      <c r="K296" s="20">
        <f>IF(B296="",0,Events!$T33)</f>
        <v>1</v>
      </c>
      <c r="L296" s="20">
        <f>IF(B296="",0,Events!$U33)</f>
        <v>1</v>
      </c>
      <c r="M296" s="20">
        <f>IF(B296="","",Events!$X33)</f>
        <v>66710970</v>
      </c>
      <c r="N296" s="20">
        <f>IF(B296="","",Events!$Y33)</f>
        <v>66711270</v>
      </c>
      <c r="O296" s="27">
        <f>IF(B296="","",Events!$V33)</f>
        <v>46327</v>
      </c>
      <c r="P296" s="27">
        <f>IF(B296="","",Events!$W33)</f>
        <v>46327</v>
      </c>
      <c r="Q296" s="20" t="str">
        <f t="shared" si="39"/>
        <v>2026-11-01T01:30-05:00</v>
      </c>
      <c r="R296" s="20" t="str">
        <f>IF(A296="","",IF(J296&lt;&gt;"",J296,IF(H296="TIMESTAMP",DAY(INT(M296/1440))&amp;" "&amp;INDEX(nLIST_Months,MONTH(INT(M296/1440)))&amp;" "&amp;YEAR(INT(M296/1440))&amp;" "&amp;RIGHT("0"&amp;INT(MOD(M296,1440)/60),2)&amp;":"&amp;RIGHT("0"&amp;MOD(M296,60),2)&amp;IF(L296=1," (UTC"&amp;I296&amp;")"," (offset unknown)"),IF(H296="DATE",DAY(O296)&amp;" "&amp;INDEX(nLIST_Months,MONTH(O296))&amp;" "&amp;YEAR(O296),IF(H296="MONTH",INDEX(nLIST_Months,MONTH(O296))&amp;" "&amp;YEAR(O296)&amp;" ("&amp;DAY(O296)&amp;" "&amp;INDEX(nLIST_Months,MONTH(O296))&amp;" "&amp;YEAR(O296)&amp;" to "&amp;DAY(P296)&amp;" "&amp;INDEX(nLIST_Months,MONTH(P296))&amp;" "&amp;YEAR(P296)&amp;")",IF(H296="YEAR",YEAR(O296)&amp;" (1 January to 31 December)",DAY(O296)&amp;" "&amp;INDEX(nLIST_Months,MONTH(O296))&amp;" "&amp;YEAR(O296)&amp;" to "&amp;DAY(P296)&amp;" "&amp;INDEX(nLIST_Months,MONTH(P296))&amp;" "&amp;YEAR(P296)))))))</f>
        <v>1 November 2026 01:30 (UTC-05:00)</v>
      </c>
      <c r="S296" s="20" t="str">
        <f>IF(B296="","",Events!$I33&amp;"")</f>
        <v>2026-11-01T01:30-05:00</v>
      </c>
      <c r="T296" s="20" t="str">
        <f>IF(B296="","",Events!$R33&amp;"")</f>
        <v>tto_calc_test_vectors_v1.0.json V09</v>
      </c>
      <c r="U296" s="20" t="str">
        <f>IF(B296="","","Events row "&amp;ROW(Events!$A33)&amp;", Onset")</f>
        <v>Events row 33, Onset</v>
      </c>
      <c r="V296" s="20">
        <f>IF(A296="",0,COUNTIF(nTP_Key,A296))</f>
        <v>1</v>
      </c>
      <c r="W296" s="20">
        <f t="shared" si="40"/>
        <v>66710970</v>
      </c>
      <c r="X296" s="20">
        <f t="shared" si="41"/>
        <v>66711270</v>
      </c>
      <c r="Y296" s="20">
        <f t="shared" si="42"/>
        <v>46327</v>
      </c>
      <c r="Z296" s="20">
        <f t="shared" si="43"/>
        <v>46327</v>
      </c>
    </row>
    <row r="297" spans="1:26" x14ac:dyDescent="0.2">
      <c r="A297" s="20" t="str">
        <f t="shared" si="37"/>
        <v>VEC-V10|1|EV1/ONSET</v>
      </c>
      <c r="B297" s="20" t="str">
        <f>IF(AND(Events!$D34&lt;&gt;"",COUNTA(Events!$J34:$Q34)&gt;0),Events!$D34&amp;"/ONSET","")</f>
        <v>EV1/ONSET</v>
      </c>
      <c r="C297" s="20" t="str">
        <f t="shared" si="44"/>
        <v>EVENT_ONSET</v>
      </c>
      <c r="D297" s="20" t="str">
        <f>IF(B297="","",Events!$A34&amp;"")</f>
        <v>VEC-V10</v>
      </c>
      <c r="E297" s="20" t="str">
        <f>IF(B297="","",Events!$B34&amp;"")</f>
        <v>1</v>
      </c>
      <c r="F297" s="20" t="str">
        <f t="shared" si="38"/>
        <v>VEC-V10|1</v>
      </c>
      <c r="G297" s="20" t="str">
        <f>IF(B297="","",Events!$D34&amp;"")</f>
        <v>EV1</v>
      </c>
      <c r="H297" s="20" t="str">
        <f>IF(B297="","",Events!$J34&amp;"")</f>
        <v>TIMESTAMP</v>
      </c>
      <c r="I297" s="20" t="str">
        <f>IF(B297="","",Events!$M34&amp;"")</f>
        <v>unknown</v>
      </c>
      <c r="J297" s="20" t="str">
        <f>IF(B297="","",Events!$S34&amp;"")</f>
        <v/>
      </c>
      <c r="K297" s="20">
        <f>IF(B297="",0,Events!$T34)</f>
        <v>1</v>
      </c>
      <c r="L297" s="20">
        <f>IF(B297="",0,Events!$U34)</f>
        <v>0</v>
      </c>
      <c r="M297" s="20">
        <f>IF(B297="","",Events!$X34)</f>
        <v>66368370</v>
      </c>
      <c r="N297" s="20" t="str">
        <f>IF(B297="","",Events!$Y34)</f>
        <v/>
      </c>
      <c r="O297" s="27">
        <f>IF(B297="","",Events!$V34)</f>
        <v>46089</v>
      </c>
      <c r="P297" s="27">
        <f>IF(B297="","",Events!$W34)</f>
        <v>46089</v>
      </c>
      <c r="Q297" s="20" t="str">
        <f t="shared" si="39"/>
        <v>2026-03-08T03:30</v>
      </c>
      <c r="R297" s="20" t="str">
        <f>IF(A297="","",IF(J297&lt;&gt;"",J297,IF(H297="TIMESTAMP",DAY(INT(M297/1440))&amp;" "&amp;INDEX(nLIST_Months,MONTH(INT(M297/1440)))&amp;" "&amp;YEAR(INT(M297/1440))&amp;" "&amp;RIGHT("0"&amp;INT(MOD(M297,1440)/60),2)&amp;":"&amp;RIGHT("0"&amp;MOD(M297,60),2)&amp;IF(L297=1," (UTC"&amp;I297&amp;")"," (offset unknown)"),IF(H297="DATE",DAY(O297)&amp;" "&amp;INDEX(nLIST_Months,MONTH(O297))&amp;" "&amp;YEAR(O297),IF(H297="MONTH",INDEX(nLIST_Months,MONTH(O297))&amp;" "&amp;YEAR(O297)&amp;" ("&amp;DAY(O297)&amp;" "&amp;INDEX(nLIST_Months,MONTH(O297))&amp;" "&amp;YEAR(O297)&amp;" to "&amp;DAY(P297)&amp;" "&amp;INDEX(nLIST_Months,MONTH(P297))&amp;" "&amp;YEAR(P297)&amp;")",IF(H297="YEAR",YEAR(O297)&amp;" (1 January to 31 December)",DAY(O297)&amp;" "&amp;INDEX(nLIST_Months,MONTH(O297))&amp;" "&amp;YEAR(O297)&amp;" to "&amp;DAY(P297)&amp;" "&amp;INDEX(nLIST_Months,MONTH(P297))&amp;" "&amp;YEAR(P297)))))))</f>
        <v>8 March 2026 03:30 (offset unknown)</v>
      </c>
      <c r="S297" s="20" t="str">
        <f>IF(B297="","",Events!$I34&amp;"")</f>
        <v>2026-03-08T03:30 (offset unknown)</v>
      </c>
      <c r="T297" s="20" t="str">
        <f>IF(B297="","",Events!$R34&amp;"")</f>
        <v>tto_calc_test_vectors_v1.0.json V10</v>
      </c>
      <c r="U297" s="20" t="str">
        <f>IF(B297="","","Events row "&amp;ROW(Events!$A34)&amp;", Onset")</f>
        <v>Events row 34, Onset</v>
      </c>
      <c r="V297" s="20">
        <f>IF(A297="",0,COUNTIF(nTP_Key,A297))</f>
        <v>1</v>
      </c>
      <c r="W297" s="20">
        <f t="shared" si="40"/>
        <v>66368370</v>
      </c>
      <c r="X297" s="20">
        <f t="shared" si="41"/>
        <v>0</v>
      </c>
      <c r="Y297" s="20">
        <f t="shared" si="42"/>
        <v>46089</v>
      </c>
      <c r="Z297" s="20">
        <f t="shared" si="43"/>
        <v>46089</v>
      </c>
    </row>
    <row r="298" spans="1:26" x14ac:dyDescent="0.2">
      <c r="A298" s="20" t="str">
        <f t="shared" si="37"/>
        <v>VEC-V11|1|EV1/ONSET</v>
      </c>
      <c r="B298" s="20" t="str">
        <f>IF(AND(Events!$D35&lt;&gt;"",COUNTA(Events!$J35:$Q35)&gt;0),Events!$D35&amp;"/ONSET","")</f>
        <v>EV1/ONSET</v>
      </c>
      <c r="C298" s="20" t="str">
        <f t="shared" si="44"/>
        <v>EVENT_ONSET</v>
      </c>
      <c r="D298" s="20" t="str">
        <f>IF(B298="","",Events!$A35&amp;"")</f>
        <v>VEC-V11</v>
      </c>
      <c r="E298" s="20" t="str">
        <f>IF(B298="","",Events!$B35&amp;"")</f>
        <v>1</v>
      </c>
      <c r="F298" s="20" t="str">
        <f t="shared" si="38"/>
        <v>VEC-V11|1</v>
      </c>
      <c r="G298" s="20" t="str">
        <f>IF(B298="","",Events!$D35&amp;"")</f>
        <v>EV1</v>
      </c>
      <c r="H298" s="20" t="str">
        <f>IF(B298="","",Events!$J35&amp;"")</f>
        <v>TIMESTAMP</v>
      </c>
      <c r="I298" s="20" t="str">
        <f>IF(B298="","",Events!$M35&amp;"")</f>
        <v>-05:00</v>
      </c>
      <c r="J298" s="20" t="str">
        <f>IF(B298="","",Events!$S35&amp;"")</f>
        <v/>
      </c>
      <c r="K298" s="20">
        <f>IF(B298="",0,Events!$T35)</f>
        <v>1</v>
      </c>
      <c r="L298" s="20">
        <f>IF(B298="",0,Events!$U35)</f>
        <v>1</v>
      </c>
      <c r="M298" s="20">
        <f>IF(B298="","",Events!$X35)</f>
        <v>66403560</v>
      </c>
      <c r="N298" s="20">
        <f>IF(B298="","",Events!$Y35)</f>
        <v>66403860</v>
      </c>
      <c r="O298" s="27">
        <f>IF(B298="","",Events!$V35)</f>
        <v>46113</v>
      </c>
      <c r="P298" s="27">
        <f>IF(B298="","",Events!$W35)</f>
        <v>46113</v>
      </c>
      <c r="Q298" s="20" t="str">
        <f t="shared" si="39"/>
        <v>2026-04-01T14:00-05:00</v>
      </c>
      <c r="R298" s="20" t="str">
        <f>IF(A298="","",IF(J298&lt;&gt;"",J298,IF(H298="TIMESTAMP",DAY(INT(M298/1440))&amp;" "&amp;INDEX(nLIST_Months,MONTH(INT(M298/1440)))&amp;" "&amp;YEAR(INT(M298/1440))&amp;" "&amp;RIGHT("0"&amp;INT(MOD(M298,1440)/60),2)&amp;":"&amp;RIGHT("0"&amp;MOD(M298,60),2)&amp;IF(L298=1," (UTC"&amp;I298&amp;")"," (offset unknown)"),IF(H298="DATE",DAY(O298)&amp;" "&amp;INDEX(nLIST_Months,MONTH(O298))&amp;" "&amp;YEAR(O298),IF(H298="MONTH",INDEX(nLIST_Months,MONTH(O298))&amp;" "&amp;YEAR(O298)&amp;" ("&amp;DAY(O298)&amp;" "&amp;INDEX(nLIST_Months,MONTH(O298))&amp;" "&amp;YEAR(O298)&amp;" to "&amp;DAY(P298)&amp;" "&amp;INDEX(nLIST_Months,MONTH(P298))&amp;" "&amp;YEAR(P298)&amp;")",IF(H298="YEAR",YEAR(O298)&amp;" (1 January to 31 December)",DAY(O298)&amp;" "&amp;INDEX(nLIST_Months,MONTH(O298))&amp;" "&amp;YEAR(O298)&amp;" to "&amp;DAY(P298)&amp;" "&amp;INDEX(nLIST_Months,MONTH(P298))&amp;" "&amp;YEAR(P298)))))))</f>
        <v>1 April 2026 14:00 (UTC-05:00)</v>
      </c>
      <c r="S298" s="20" t="str">
        <f>IF(B298="","",Events!$I35&amp;"")</f>
        <v>onset 14:00</v>
      </c>
      <c r="T298" s="20" t="str">
        <f>IF(B298="","",Events!$R35&amp;"")</f>
        <v>tto_calc_test_vectors_v1.0.json V11</v>
      </c>
      <c r="U298" s="20" t="str">
        <f>IF(B298="","","Events row "&amp;ROW(Events!$A35)&amp;", Onset")</f>
        <v>Events row 35, Onset</v>
      </c>
      <c r="V298" s="20">
        <f>IF(A298="",0,COUNTIF(nTP_Key,A298))</f>
        <v>1</v>
      </c>
      <c r="W298" s="20">
        <f t="shared" si="40"/>
        <v>66403560</v>
      </c>
      <c r="X298" s="20">
        <f t="shared" si="41"/>
        <v>66403860</v>
      </c>
      <c r="Y298" s="20">
        <f t="shared" si="42"/>
        <v>46113</v>
      </c>
      <c r="Z298" s="20">
        <f t="shared" si="43"/>
        <v>46113</v>
      </c>
    </row>
    <row r="299" spans="1:26" x14ac:dyDescent="0.2">
      <c r="A299" s="20" t="str">
        <f t="shared" si="37"/>
        <v>VEC-V12|1|EV1/ONSET</v>
      </c>
      <c r="B299" s="20" t="str">
        <f>IF(AND(Events!$D36&lt;&gt;"",COUNTA(Events!$J36:$Q36)&gt;0),Events!$D36&amp;"/ONSET","")</f>
        <v>EV1/ONSET</v>
      </c>
      <c r="C299" s="20" t="str">
        <f t="shared" si="44"/>
        <v>EVENT_ONSET</v>
      </c>
      <c r="D299" s="20" t="str">
        <f>IF(B299="","",Events!$A36&amp;"")</f>
        <v>VEC-V12</v>
      </c>
      <c r="E299" s="20" t="str">
        <f>IF(B299="","",Events!$B36&amp;"")</f>
        <v>1</v>
      </c>
      <c r="F299" s="20" t="str">
        <f t="shared" si="38"/>
        <v>VEC-V12|1</v>
      </c>
      <c r="G299" s="20" t="str">
        <f>IF(B299="","",Events!$D36&amp;"")</f>
        <v>EV1</v>
      </c>
      <c r="H299" s="20" t="str">
        <f>IF(B299="","",Events!$J36&amp;"")</f>
        <v>DATE</v>
      </c>
      <c r="I299" s="20" t="str">
        <f>IF(B299="","",Events!$M36&amp;"")</f>
        <v/>
      </c>
      <c r="J299" s="20" t="str">
        <f>IF(B299="","",Events!$S36&amp;"")</f>
        <v/>
      </c>
      <c r="K299" s="20">
        <f>IF(B299="",0,Events!$T36)</f>
        <v>0</v>
      </c>
      <c r="L299" s="20">
        <f>IF(B299="",0,Events!$U36)</f>
        <v>0</v>
      </c>
      <c r="M299" s="20" t="str">
        <f>IF(B299="","",Events!$X36)</f>
        <v/>
      </c>
      <c r="N299" s="20" t="str">
        <f>IF(B299="","",Events!$Y36)</f>
        <v/>
      </c>
      <c r="O299" s="27">
        <f>IF(B299="","",Events!$V36)</f>
        <v>46152</v>
      </c>
      <c r="P299" s="27">
        <f>IF(B299="","",Events!$W36)</f>
        <v>46152</v>
      </c>
      <c r="Q299" s="20" t="str">
        <f t="shared" si="39"/>
        <v>2026-05-10</v>
      </c>
      <c r="R299" s="20" t="str">
        <f>IF(A299="","",IF(J299&lt;&gt;"",J299,IF(H299="TIMESTAMP",DAY(INT(M299/1440))&amp;" "&amp;INDEX(nLIST_Months,MONTH(INT(M299/1440)))&amp;" "&amp;YEAR(INT(M299/1440))&amp;" "&amp;RIGHT("0"&amp;INT(MOD(M299,1440)/60),2)&amp;":"&amp;RIGHT("0"&amp;MOD(M299,60),2)&amp;IF(L299=1," (UTC"&amp;I299&amp;")"," (offset unknown)"),IF(H299="DATE",DAY(O299)&amp;" "&amp;INDEX(nLIST_Months,MONTH(O299))&amp;" "&amp;YEAR(O299),IF(H299="MONTH",INDEX(nLIST_Months,MONTH(O299))&amp;" "&amp;YEAR(O299)&amp;" ("&amp;DAY(O299)&amp;" "&amp;INDEX(nLIST_Months,MONTH(O299))&amp;" "&amp;YEAR(O299)&amp;" to "&amp;DAY(P299)&amp;" "&amp;INDEX(nLIST_Months,MONTH(P299))&amp;" "&amp;YEAR(P299)&amp;")",IF(H299="YEAR",YEAR(O299)&amp;" (1 January to 31 December)",DAY(O299)&amp;" "&amp;INDEX(nLIST_Months,MONTH(O299))&amp;" "&amp;YEAR(O299)&amp;" to "&amp;DAY(P299)&amp;" "&amp;INDEX(nLIST_Months,MONTH(P299))&amp;" "&amp;YEAR(P299)))))))</f>
        <v>10 May 2026</v>
      </c>
      <c r="S299" s="20" t="str">
        <f>IF(B299="","",Events!$I36&amp;"")</f>
        <v>onset 10 May (version 1)</v>
      </c>
      <c r="T299" s="20" t="str">
        <f>IF(B299="","",Events!$R36&amp;"")</f>
        <v>tto_calc_test_vectors_v1.0.json V12</v>
      </c>
      <c r="U299" s="20" t="str">
        <f>IF(B299="","","Events row "&amp;ROW(Events!$A36)&amp;", Onset")</f>
        <v>Events row 36, Onset</v>
      </c>
      <c r="V299" s="20">
        <f>IF(A299="",0,COUNTIF(nTP_Key,A299))</f>
        <v>1</v>
      </c>
      <c r="W299" s="20">
        <f t="shared" si="40"/>
        <v>0</v>
      </c>
      <c r="X299" s="20">
        <f t="shared" si="41"/>
        <v>0</v>
      </c>
      <c r="Y299" s="20">
        <f t="shared" si="42"/>
        <v>46152</v>
      </c>
      <c r="Z299" s="20">
        <f t="shared" si="43"/>
        <v>46152</v>
      </c>
    </row>
    <row r="300" spans="1:26" x14ac:dyDescent="0.2">
      <c r="A300" s="20" t="str">
        <f t="shared" si="37"/>
        <v>VEC-V12|2|EV1/ONSET</v>
      </c>
      <c r="B300" s="20" t="str">
        <f>IF(AND(Events!$D37&lt;&gt;"",COUNTA(Events!$J37:$Q37)&gt;0),Events!$D37&amp;"/ONSET","")</f>
        <v>EV1/ONSET</v>
      </c>
      <c r="C300" s="20" t="str">
        <f t="shared" si="44"/>
        <v>EVENT_ONSET</v>
      </c>
      <c r="D300" s="20" t="str">
        <f>IF(B300="","",Events!$A37&amp;"")</f>
        <v>VEC-V12</v>
      </c>
      <c r="E300" s="20" t="str">
        <f>IF(B300="","",Events!$B37&amp;"")</f>
        <v>2</v>
      </c>
      <c r="F300" s="20" t="str">
        <f t="shared" si="38"/>
        <v>VEC-V12|2</v>
      </c>
      <c r="G300" s="20" t="str">
        <f>IF(B300="","",Events!$D37&amp;"")</f>
        <v>EV1</v>
      </c>
      <c r="H300" s="20" t="str">
        <f>IF(B300="","",Events!$J37&amp;"")</f>
        <v>DATE</v>
      </c>
      <c r="I300" s="20" t="str">
        <f>IF(B300="","",Events!$M37&amp;"")</f>
        <v/>
      </c>
      <c r="J300" s="20" t="str">
        <f>IF(B300="","",Events!$S37&amp;"")</f>
        <v/>
      </c>
      <c r="K300" s="20">
        <f>IF(B300="",0,Events!$T37)</f>
        <v>0</v>
      </c>
      <c r="L300" s="20">
        <f>IF(B300="",0,Events!$U37)</f>
        <v>0</v>
      </c>
      <c r="M300" s="20" t="str">
        <f>IF(B300="","",Events!$X37)</f>
        <v/>
      </c>
      <c r="N300" s="20" t="str">
        <f>IF(B300="","",Events!$Y37)</f>
        <v/>
      </c>
      <c r="O300" s="27">
        <f>IF(B300="","",Events!$V37)</f>
        <v>46150</v>
      </c>
      <c r="P300" s="27">
        <f>IF(B300="","",Events!$W37)</f>
        <v>46150</v>
      </c>
      <c r="Q300" s="20" t="str">
        <f t="shared" si="39"/>
        <v>2026-05-08</v>
      </c>
      <c r="R300" s="20" t="str">
        <f>IF(A300="","",IF(J300&lt;&gt;"",J300,IF(H300="TIMESTAMP",DAY(INT(M300/1440))&amp;" "&amp;INDEX(nLIST_Months,MONTH(INT(M300/1440)))&amp;" "&amp;YEAR(INT(M300/1440))&amp;" "&amp;RIGHT("0"&amp;INT(MOD(M300,1440)/60),2)&amp;":"&amp;RIGHT("0"&amp;MOD(M300,60),2)&amp;IF(L300=1," (UTC"&amp;I300&amp;")"," (offset unknown)"),IF(H300="DATE",DAY(O300)&amp;" "&amp;INDEX(nLIST_Months,MONTH(O300))&amp;" "&amp;YEAR(O300),IF(H300="MONTH",INDEX(nLIST_Months,MONTH(O300))&amp;" "&amp;YEAR(O300)&amp;" ("&amp;DAY(O300)&amp;" "&amp;INDEX(nLIST_Months,MONTH(O300))&amp;" "&amp;YEAR(O300)&amp;" to "&amp;DAY(P300)&amp;" "&amp;INDEX(nLIST_Months,MONTH(P300))&amp;" "&amp;YEAR(P300)&amp;")",IF(H300="YEAR",YEAR(O300)&amp;" (1 January to 31 December)",DAY(O300)&amp;" "&amp;INDEX(nLIST_Months,MONTH(O300))&amp;" "&amp;YEAR(O300)&amp;" to "&amp;DAY(P300)&amp;" "&amp;INDEX(nLIST_Months,MONTH(P300))&amp;" "&amp;YEAR(P300)))))))</f>
        <v>8 May 2026</v>
      </c>
      <c r="S300" s="20" t="str">
        <f>IF(B300="","",Events!$I37&amp;"")</f>
        <v>onset 8 May (follow-up, version 2)</v>
      </c>
      <c r="T300" s="20" t="str">
        <f>IF(B300="","",Events!$R37&amp;"")</f>
        <v>tto_calc_test_vectors_v1.0.json V12</v>
      </c>
      <c r="U300" s="20" t="str">
        <f>IF(B300="","","Events row "&amp;ROW(Events!$A37)&amp;", Onset")</f>
        <v>Events row 37, Onset</v>
      </c>
      <c r="V300" s="20">
        <f>IF(A300="",0,COUNTIF(nTP_Key,A300))</f>
        <v>1</v>
      </c>
      <c r="W300" s="20">
        <f t="shared" si="40"/>
        <v>0</v>
      </c>
      <c r="X300" s="20">
        <f t="shared" si="41"/>
        <v>0</v>
      </c>
      <c r="Y300" s="20">
        <f t="shared" si="42"/>
        <v>46150</v>
      </c>
      <c r="Z300" s="20">
        <f t="shared" si="43"/>
        <v>46150</v>
      </c>
    </row>
    <row r="301" spans="1:26" x14ac:dyDescent="0.2">
      <c r="A301" s="20" t="str">
        <f t="shared" si="37"/>
        <v>VEC-V13|1|EV1/ONSET</v>
      </c>
      <c r="B301" s="20" t="str">
        <f>IF(AND(Events!$D38&lt;&gt;"",COUNTA(Events!$J38:$Q38)&gt;0),Events!$D38&amp;"/ONSET","")</f>
        <v>EV1/ONSET</v>
      </c>
      <c r="C301" s="20" t="str">
        <f t="shared" si="44"/>
        <v>EVENT_ONSET</v>
      </c>
      <c r="D301" s="20" t="str">
        <f>IF(B301="","",Events!$A38&amp;"")</f>
        <v>VEC-V13</v>
      </c>
      <c r="E301" s="20" t="str">
        <f>IF(B301="","",Events!$B38&amp;"")</f>
        <v>1</v>
      </c>
      <c r="F301" s="20" t="str">
        <f t="shared" si="38"/>
        <v>VEC-V13|1</v>
      </c>
      <c r="G301" s="20" t="str">
        <f>IF(B301="","",Events!$D38&amp;"")</f>
        <v>EV1</v>
      </c>
      <c r="H301" s="20" t="str">
        <f>IF(B301="","",Events!$J38&amp;"")</f>
        <v>DATE</v>
      </c>
      <c r="I301" s="20" t="str">
        <f>IF(B301="","",Events!$M38&amp;"")</f>
        <v/>
      </c>
      <c r="J301" s="20" t="str">
        <f>IF(B301="","",Events!$S38&amp;"")</f>
        <v>E_INVALID_DATE</v>
      </c>
      <c r="K301" s="20">
        <f>IF(B301="",0,Events!$T38)</f>
        <v>0</v>
      </c>
      <c r="L301" s="20">
        <f>IF(B301="",0,Events!$U38)</f>
        <v>0</v>
      </c>
      <c r="M301" s="20" t="str">
        <f>IF(B301="","",Events!$X38)</f>
        <v/>
      </c>
      <c r="N301" s="20" t="str">
        <f>IF(B301="","",Events!$Y38)</f>
        <v/>
      </c>
      <c r="O301" s="27" t="str">
        <f>IF(B301="","",Events!$V38)</f>
        <v/>
      </c>
      <c r="P301" s="27" t="str">
        <f>IF(B301="","",Events!$W38)</f>
        <v/>
      </c>
      <c r="Q301" s="20" t="str">
        <f t="shared" si="39"/>
        <v/>
      </c>
      <c r="R301" s="20" t="str">
        <f>IF(A301="","",IF(J301&lt;&gt;"",J301,IF(H301="TIMESTAMP",DAY(INT(M301/1440))&amp;" "&amp;INDEX(nLIST_Months,MONTH(INT(M301/1440)))&amp;" "&amp;YEAR(INT(M301/1440))&amp;" "&amp;RIGHT("0"&amp;INT(MOD(M301,1440)/60),2)&amp;":"&amp;RIGHT("0"&amp;MOD(M301,60),2)&amp;IF(L301=1," (UTC"&amp;I301&amp;")"," (offset unknown)"),IF(H301="DATE",DAY(O301)&amp;" "&amp;INDEX(nLIST_Months,MONTH(O301))&amp;" "&amp;YEAR(O301),IF(H301="MONTH",INDEX(nLIST_Months,MONTH(O301))&amp;" "&amp;YEAR(O301)&amp;" ("&amp;DAY(O301)&amp;" "&amp;INDEX(nLIST_Months,MONTH(O301))&amp;" "&amp;YEAR(O301)&amp;" to "&amp;DAY(P301)&amp;" "&amp;INDEX(nLIST_Months,MONTH(P301))&amp;" "&amp;YEAR(P301)&amp;")",IF(H301="YEAR",YEAR(O301)&amp;" (1 January to 31 December)",DAY(O301)&amp;" "&amp;INDEX(nLIST_Months,MONTH(O301))&amp;" "&amp;YEAR(O301)&amp;" to "&amp;DAY(P301)&amp;" "&amp;INDEX(nLIST_Months,MONTH(P301))&amp;" "&amp;YEAR(P301)))))))</f>
        <v>E_INVALID_DATE</v>
      </c>
      <c r="S301" s="20" t="str">
        <f>IF(B301="","",Events!$I38&amp;"")</f>
        <v>30 February 2026</v>
      </c>
      <c r="T301" s="20" t="str">
        <f>IF(B301="","",Events!$R38&amp;"")</f>
        <v>tto_calc_test_vectors_v1.0.json V13</v>
      </c>
      <c r="U301" s="20" t="str">
        <f>IF(B301="","","Events row "&amp;ROW(Events!$A38)&amp;", Onset")</f>
        <v>Events row 38, Onset</v>
      </c>
      <c r="V301" s="20">
        <f>IF(A301="",0,COUNTIF(nTP_Key,A301))</f>
        <v>1</v>
      </c>
      <c r="W301" s="20">
        <f t="shared" si="40"/>
        <v>0</v>
      </c>
      <c r="X301" s="20">
        <f t="shared" si="41"/>
        <v>0</v>
      </c>
      <c r="Y301" s="20">
        <f t="shared" si="42"/>
        <v>0</v>
      </c>
      <c r="Z301" s="20">
        <f t="shared" si="43"/>
        <v>0</v>
      </c>
    </row>
    <row r="302" spans="1:26" x14ac:dyDescent="0.2">
      <c r="A302" s="20" t="str">
        <f t="shared" si="37"/>
        <v>VEC-V13|1|EV2/ONSET</v>
      </c>
      <c r="B302" s="20" t="str">
        <f>IF(AND(Events!$D39&lt;&gt;"",COUNTA(Events!$J39:$Q39)&gt;0),Events!$D39&amp;"/ONSET","")</f>
        <v>EV2/ONSET</v>
      </c>
      <c r="C302" s="20" t="str">
        <f t="shared" si="44"/>
        <v>EVENT_ONSET</v>
      </c>
      <c r="D302" s="20" t="str">
        <f>IF(B302="","",Events!$A39&amp;"")</f>
        <v>VEC-V13</v>
      </c>
      <c r="E302" s="20" t="str">
        <f>IF(B302="","",Events!$B39&amp;"")</f>
        <v>1</v>
      </c>
      <c r="F302" s="20" t="str">
        <f t="shared" si="38"/>
        <v>VEC-V13|1</v>
      </c>
      <c r="G302" s="20" t="str">
        <f>IF(B302="","",Events!$D39&amp;"")</f>
        <v>EV2</v>
      </c>
      <c r="H302" s="20" t="str">
        <f>IF(B302="","",Events!$J39&amp;"")</f>
        <v>DATE</v>
      </c>
      <c r="I302" s="20" t="str">
        <f>IF(B302="","",Events!$M39&amp;"")</f>
        <v/>
      </c>
      <c r="J302" s="20" t="str">
        <f>IF(B302="","",Events!$S39&amp;"")</f>
        <v/>
      </c>
      <c r="K302" s="20">
        <f>IF(B302="",0,Events!$T39)</f>
        <v>0</v>
      </c>
      <c r="L302" s="20">
        <f>IF(B302="",0,Events!$U39)</f>
        <v>0</v>
      </c>
      <c r="M302" s="20" t="str">
        <f>IF(B302="","",Events!$X39)</f>
        <v/>
      </c>
      <c r="N302" s="20" t="str">
        <f>IF(B302="","",Events!$Y39)</f>
        <v/>
      </c>
      <c r="O302" s="27">
        <f>IF(B302="","",Events!$V39)</f>
        <v>46042</v>
      </c>
      <c r="P302" s="27">
        <f>IF(B302="","",Events!$W39)</f>
        <v>46042</v>
      </c>
      <c r="Q302" s="20" t="str">
        <f t="shared" si="39"/>
        <v>2026-01-20</v>
      </c>
      <c r="R302" s="20" t="str">
        <f>IF(A302="","",IF(J302&lt;&gt;"",J302,IF(H302="TIMESTAMP",DAY(INT(M302/1440))&amp;" "&amp;INDEX(nLIST_Months,MONTH(INT(M302/1440)))&amp;" "&amp;YEAR(INT(M302/1440))&amp;" "&amp;RIGHT("0"&amp;INT(MOD(M302,1440)/60),2)&amp;":"&amp;RIGHT("0"&amp;MOD(M302,60),2)&amp;IF(L302=1," (UTC"&amp;I302&amp;")"," (offset unknown)"),IF(H302="DATE",DAY(O302)&amp;" "&amp;INDEX(nLIST_Months,MONTH(O302))&amp;" "&amp;YEAR(O302),IF(H302="MONTH",INDEX(nLIST_Months,MONTH(O302))&amp;" "&amp;YEAR(O302)&amp;" ("&amp;DAY(O302)&amp;" "&amp;INDEX(nLIST_Months,MONTH(O302))&amp;" "&amp;YEAR(O302)&amp;" to "&amp;DAY(P302)&amp;" "&amp;INDEX(nLIST_Months,MONTH(P302))&amp;" "&amp;YEAR(P302)&amp;")",IF(H302="YEAR",YEAR(O302)&amp;" (1 January to 31 December)",DAY(O302)&amp;" "&amp;INDEX(nLIST_Months,MONTH(O302))&amp;" "&amp;YEAR(O302)&amp;" to "&amp;DAY(P302)&amp;" "&amp;INDEX(nLIST_Months,MONTH(P302))&amp;" "&amp;YEAR(P302)))))))</f>
        <v>20 January 2026</v>
      </c>
      <c r="S302" s="20" t="str">
        <f>IF(B302="","",Events!$I39&amp;"")</f>
        <v>2026-01-20</v>
      </c>
      <c r="T302" s="20" t="str">
        <f>IF(B302="","",Events!$R39&amp;"")</f>
        <v>tto_calc_test_vectors_v1.0.json V13</v>
      </c>
      <c r="U302" s="20" t="str">
        <f>IF(B302="","","Events row "&amp;ROW(Events!$A39)&amp;", Onset")</f>
        <v>Events row 39, Onset</v>
      </c>
      <c r="V302" s="20">
        <f>IF(A302="",0,COUNTIF(nTP_Key,A302))</f>
        <v>1</v>
      </c>
      <c r="W302" s="20">
        <f t="shared" si="40"/>
        <v>0</v>
      </c>
      <c r="X302" s="20">
        <f t="shared" si="41"/>
        <v>0</v>
      </c>
      <c r="Y302" s="20">
        <f t="shared" si="42"/>
        <v>46042</v>
      </c>
      <c r="Z302" s="20">
        <f t="shared" si="43"/>
        <v>46042</v>
      </c>
    </row>
    <row r="303" spans="1:26" x14ac:dyDescent="0.2">
      <c r="A303" s="20" t="str">
        <f t="shared" si="37"/>
        <v/>
      </c>
      <c r="B303" s="20" t="str">
        <f>IF(AND(Events!$D40&lt;&gt;"",COUNTA(Events!$J40:$Q40)&gt;0),Events!$D40&amp;"/ONSET","")</f>
        <v/>
      </c>
      <c r="C303" s="20" t="str">
        <f t="shared" si="44"/>
        <v/>
      </c>
      <c r="D303" s="20" t="str">
        <f>IF(B303="","",Events!$A40&amp;"")</f>
        <v/>
      </c>
      <c r="E303" s="20" t="str">
        <f>IF(B303="","",Events!$B40&amp;"")</f>
        <v/>
      </c>
      <c r="F303" s="20" t="str">
        <f t="shared" si="38"/>
        <v/>
      </c>
      <c r="G303" s="20" t="str">
        <f>IF(B303="","",Events!$D40&amp;"")</f>
        <v/>
      </c>
      <c r="H303" s="20" t="str">
        <f>IF(B303="","",Events!$J40&amp;"")</f>
        <v/>
      </c>
      <c r="I303" s="20" t="str">
        <f>IF(B303="","",Events!$M40&amp;"")</f>
        <v/>
      </c>
      <c r="J303" s="20" t="str">
        <f>IF(B303="","",Events!$S40&amp;"")</f>
        <v/>
      </c>
      <c r="K303" s="20">
        <f>IF(B303="",0,Events!$T40)</f>
        <v>0</v>
      </c>
      <c r="L303" s="20">
        <f>IF(B303="",0,Events!$U40)</f>
        <v>0</v>
      </c>
      <c r="M303" s="20" t="str">
        <f>IF(B303="","",Events!$X40)</f>
        <v/>
      </c>
      <c r="N303" s="20" t="str">
        <f>IF(B303="","",Events!$Y40)</f>
        <v/>
      </c>
      <c r="O303" s="27" t="str">
        <f>IF(B303="","",Events!$V40)</f>
        <v/>
      </c>
      <c r="P303" s="27" t="str">
        <f>IF(B303="","",Events!$W40)</f>
        <v/>
      </c>
      <c r="Q303" s="20" t="str">
        <f t="shared" si="39"/>
        <v/>
      </c>
      <c r="R303" s="20" t="str">
        <f>IF(A303="","",IF(J303&lt;&gt;"",J303,IF(H303="TIMESTAMP",DAY(INT(M303/1440))&amp;" "&amp;INDEX(nLIST_Months,MONTH(INT(M303/1440)))&amp;" "&amp;YEAR(INT(M303/1440))&amp;" "&amp;RIGHT("0"&amp;INT(MOD(M303,1440)/60),2)&amp;":"&amp;RIGHT("0"&amp;MOD(M303,60),2)&amp;IF(L303=1," (UTC"&amp;I303&amp;")"," (offset unknown)"),IF(H303="DATE",DAY(O303)&amp;" "&amp;INDEX(nLIST_Months,MONTH(O303))&amp;" "&amp;YEAR(O303),IF(H303="MONTH",INDEX(nLIST_Months,MONTH(O303))&amp;" "&amp;YEAR(O303)&amp;" ("&amp;DAY(O303)&amp;" "&amp;INDEX(nLIST_Months,MONTH(O303))&amp;" "&amp;YEAR(O303)&amp;" to "&amp;DAY(P303)&amp;" "&amp;INDEX(nLIST_Months,MONTH(P303))&amp;" "&amp;YEAR(P303)&amp;")",IF(H303="YEAR",YEAR(O303)&amp;" (1 January to 31 December)",DAY(O303)&amp;" "&amp;INDEX(nLIST_Months,MONTH(O303))&amp;" "&amp;YEAR(O303)&amp;" to "&amp;DAY(P303)&amp;" "&amp;INDEX(nLIST_Months,MONTH(P303))&amp;" "&amp;YEAR(P303)))))))</f>
        <v/>
      </c>
      <c r="S303" s="20" t="str">
        <f>IF(B303="","",Events!$I40&amp;"")</f>
        <v/>
      </c>
      <c r="T303" s="20" t="str">
        <f>IF(B303="","",Events!$R40&amp;"")</f>
        <v/>
      </c>
      <c r="U303" s="20" t="str">
        <f>IF(B303="","","Events row "&amp;ROW(Events!$A40)&amp;", Onset")</f>
        <v/>
      </c>
      <c r="V303" s="20">
        <f>IF(A303="",0,COUNTIF(nTP_Key,A303))</f>
        <v>0</v>
      </c>
      <c r="W303" s="20">
        <f t="shared" si="40"/>
        <v>0</v>
      </c>
      <c r="X303" s="20">
        <f t="shared" si="41"/>
        <v>0</v>
      </c>
      <c r="Y303" s="20">
        <f t="shared" si="42"/>
        <v>0</v>
      </c>
      <c r="Z303" s="20">
        <f t="shared" si="43"/>
        <v>0</v>
      </c>
    </row>
    <row r="304" spans="1:26" x14ac:dyDescent="0.2">
      <c r="A304" s="20" t="str">
        <f t="shared" si="37"/>
        <v>VEC-V25|1|EV1/ONSET</v>
      </c>
      <c r="B304" s="20" t="str">
        <f>IF(AND(Events!$D41&lt;&gt;"",COUNTA(Events!$J41:$Q41)&gt;0),Events!$D41&amp;"/ONSET","")</f>
        <v>EV1/ONSET</v>
      </c>
      <c r="C304" s="20" t="str">
        <f t="shared" si="44"/>
        <v>EVENT_ONSET</v>
      </c>
      <c r="D304" s="20" t="str">
        <f>IF(B304="","",Events!$A41&amp;"")</f>
        <v>VEC-V25</v>
      </c>
      <c r="E304" s="20" t="str">
        <f>IF(B304="","",Events!$B41&amp;"")</f>
        <v>1</v>
      </c>
      <c r="F304" s="20" t="str">
        <f t="shared" si="38"/>
        <v>VEC-V25|1</v>
      </c>
      <c r="G304" s="20" t="str">
        <f>IF(B304="","",Events!$D41&amp;"")</f>
        <v>EV1</v>
      </c>
      <c r="H304" s="20" t="str">
        <f>IF(B304="","",Events!$J41&amp;"")</f>
        <v>TIMESTAMP</v>
      </c>
      <c r="I304" s="20" t="str">
        <f>IF(B304="","",Events!$M41&amp;"")</f>
        <v>-05:00</v>
      </c>
      <c r="J304" s="20" t="str">
        <f>IF(B304="","",Events!$S41&amp;"")</f>
        <v/>
      </c>
      <c r="K304" s="20">
        <f>IF(B304="",0,Events!$T41)</f>
        <v>1</v>
      </c>
      <c r="L304" s="20">
        <f>IF(B304="",0,Events!$U41)</f>
        <v>1</v>
      </c>
      <c r="M304" s="20">
        <f>IF(B304="","",Events!$X41)</f>
        <v>66286670</v>
      </c>
      <c r="N304" s="20">
        <f>IF(B304="","",Events!$Y41)</f>
        <v>66286970</v>
      </c>
      <c r="O304" s="27">
        <f>IF(B304="","",Events!$V41)</f>
        <v>46032</v>
      </c>
      <c r="P304" s="27">
        <f>IF(B304="","",Events!$W41)</f>
        <v>46032</v>
      </c>
      <c r="Q304" s="20" t="str">
        <f t="shared" si="39"/>
        <v>2026-01-10T09:50-05:00</v>
      </c>
      <c r="R304" s="20" t="str">
        <f>IF(A304="","",IF(J304&lt;&gt;"",J304,IF(H304="TIMESTAMP",DAY(INT(M304/1440))&amp;" "&amp;INDEX(nLIST_Months,MONTH(INT(M304/1440)))&amp;" "&amp;YEAR(INT(M304/1440))&amp;" "&amp;RIGHT("0"&amp;INT(MOD(M304,1440)/60),2)&amp;":"&amp;RIGHT("0"&amp;MOD(M304,60),2)&amp;IF(L304=1," (UTC"&amp;I304&amp;")"," (offset unknown)"),IF(H304="DATE",DAY(O304)&amp;" "&amp;INDEX(nLIST_Months,MONTH(O304))&amp;" "&amp;YEAR(O304),IF(H304="MONTH",INDEX(nLIST_Months,MONTH(O304))&amp;" "&amp;YEAR(O304)&amp;" ("&amp;DAY(O304)&amp;" "&amp;INDEX(nLIST_Months,MONTH(O304))&amp;" "&amp;YEAR(O304)&amp;" to "&amp;DAY(P304)&amp;" "&amp;INDEX(nLIST_Months,MONTH(P304))&amp;" "&amp;YEAR(P304)&amp;")",IF(H304="YEAR",YEAR(O304)&amp;" (1 January to 31 December)",DAY(O304)&amp;" "&amp;INDEX(nLIST_Months,MONTH(O304))&amp;" "&amp;YEAR(O304)&amp;" to "&amp;DAY(P304)&amp;" "&amp;INDEX(nLIST_Months,MONTH(P304))&amp;" "&amp;YEAR(P304)))))))</f>
        <v>10 January 2026 09:50 (UTC-05:00)</v>
      </c>
      <c r="S304" s="20" t="str">
        <f>IF(B304="","",Events!$I41&amp;"")</f>
        <v>symptoms begin 09:50</v>
      </c>
      <c r="T304" s="20" t="str">
        <f>IF(B304="","",Events!$R41&amp;"")</f>
        <v>tto_calc_test_vectors_v1.0.json V25</v>
      </c>
      <c r="U304" s="20" t="str">
        <f>IF(B304="","","Events row "&amp;ROW(Events!$A41)&amp;", Onset")</f>
        <v>Events row 41, Onset</v>
      </c>
      <c r="V304" s="20">
        <f>IF(A304="",0,COUNTIF(nTP_Key,A304))</f>
        <v>1</v>
      </c>
      <c r="W304" s="20">
        <f t="shared" si="40"/>
        <v>66286670</v>
      </c>
      <c r="X304" s="20">
        <f t="shared" si="41"/>
        <v>66286970</v>
      </c>
      <c r="Y304" s="20">
        <f t="shared" si="42"/>
        <v>46032</v>
      </c>
      <c r="Z304" s="20">
        <f t="shared" si="43"/>
        <v>46032</v>
      </c>
    </row>
    <row r="305" spans="1:26" x14ac:dyDescent="0.2">
      <c r="A305" s="20" t="str">
        <f t="shared" si="37"/>
        <v/>
      </c>
      <c r="B305" s="20" t="str">
        <f>IF(AND(Events!$D5&lt;&gt;"",COUNTA(Events!$AA5:$AH5)&gt;0),Events!$D5&amp;"/DETECTION","")</f>
        <v/>
      </c>
      <c r="C305" s="20" t="str">
        <f t="shared" ref="C305:C341" si="45">IF(B305="","","EVENT_DETECTION")</f>
        <v/>
      </c>
      <c r="D305" s="20" t="str">
        <f>IF(B305="","",Events!$A5&amp;"")</f>
        <v/>
      </c>
      <c r="E305" s="20" t="str">
        <f>IF(B305="","",Events!$B5&amp;"")</f>
        <v/>
      </c>
      <c r="F305" s="20" t="str">
        <f t="shared" si="38"/>
        <v/>
      </c>
      <c r="G305" s="20" t="str">
        <f>IF(B305="","",Events!$D5&amp;"")</f>
        <v/>
      </c>
      <c r="H305" s="20" t="str">
        <f>IF(B305="","",Events!$AA5&amp;"")</f>
        <v/>
      </c>
      <c r="I305" s="20" t="str">
        <f>IF(B305="","",Events!$AD5&amp;"")</f>
        <v/>
      </c>
      <c r="J305" s="20" t="str">
        <f>IF(B305="","",Events!$AJ5&amp;"")</f>
        <v/>
      </c>
      <c r="K305" s="20">
        <f>IF(B305="",0,Events!$AK5)</f>
        <v>0</v>
      </c>
      <c r="L305" s="20">
        <f>IF(B305="",0,Events!$AL5)</f>
        <v>0</v>
      </c>
      <c r="M305" s="20" t="str">
        <f>IF(B305="","",Events!$AO5)</f>
        <v/>
      </c>
      <c r="N305" s="20" t="str">
        <f>IF(B305="","",Events!$AP5)</f>
        <v/>
      </c>
      <c r="O305" s="27" t="str">
        <f>IF(B305="","",Events!$AM5)</f>
        <v/>
      </c>
      <c r="P305" s="27" t="str">
        <f>IF(B305="","",Events!$AN5)</f>
        <v/>
      </c>
      <c r="Q305" s="20" t="str">
        <f t="shared" si="39"/>
        <v/>
      </c>
      <c r="R305" s="20" t="str">
        <f>IF(A305="","",IF(J305&lt;&gt;"",J305,IF(H305="TIMESTAMP",DAY(INT(M305/1440))&amp;" "&amp;INDEX(nLIST_Months,MONTH(INT(M305/1440)))&amp;" "&amp;YEAR(INT(M305/1440))&amp;" "&amp;RIGHT("0"&amp;INT(MOD(M305,1440)/60),2)&amp;":"&amp;RIGHT("0"&amp;MOD(M305,60),2)&amp;IF(L305=1," (UTC"&amp;I305&amp;")"," (offset unknown)"),IF(H305="DATE",DAY(O305)&amp;" "&amp;INDEX(nLIST_Months,MONTH(O305))&amp;" "&amp;YEAR(O305),IF(H305="MONTH",INDEX(nLIST_Months,MONTH(O305))&amp;" "&amp;YEAR(O305)&amp;" ("&amp;DAY(O305)&amp;" "&amp;INDEX(nLIST_Months,MONTH(O305))&amp;" "&amp;YEAR(O305)&amp;" to "&amp;DAY(P305)&amp;" "&amp;INDEX(nLIST_Months,MONTH(P305))&amp;" "&amp;YEAR(P305)&amp;")",IF(H305="YEAR",YEAR(O305)&amp;" (1 January to 31 December)",DAY(O305)&amp;" "&amp;INDEX(nLIST_Months,MONTH(O305))&amp;" "&amp;YEAR(O305)&amp;" to "&amp;DAY(P305)&amp;" "&amp;INDEX(nLIST_Months,MONTH(P305))&amp;" "&amp;YEAR(P305)))))))</f>
        <v/>
      </c>
      <c r="S305" s="20" t="str">
        <f>IF(B305="","",Events!$Z5&amp;"")</f>
        <v/>
      </c>
      <c r="T305" s="20" t="str">
        <f>IF(B305="","",Events!$AI5&amp;"")</f>
        <v/>
      </c>
      <c r="U305" s="20" t="str">
        <f>IF(B305="","","Events row "&amp;ROW(Events!$A5)&amp;", First detection")</f>
        <v/>
      </c>
      <c r="V305" s="20">
        <f>IF(A305="",0,COUNTIF(nTP_Key,A305))</f>
        <v>0</v>
      </c>
      <c r="W305" s="20">
        <f t="shared" si="40"/>
        <v>0</v>
      </c>
      <c r="X305" s="20">
        <f t="shared" si="41"/>
        <v>0</v>
      </c>
      <c r="Y305" s="20">
        <f t="shared" si="42"/>
        <v>0</v>
      </c>
      <c r="Z305" s="20">
        <f t="shared" si="43"/>
        <v>0</v>
      </c>
    </row>
    <row r="306" spans="1:26" x14ac:dyDescent="0.2">
      <c r="A306" s="20" t="str">
        <f t="shared" si="37"/>
        <v/>
      </c>
      <c r="B306" s="20" t="str">
        <f>IF(AND(Events!$D6&lt;&gt;"",COUNTA(Events!$AA6:$AH6)&gt;0),Events!$D6&amp;"/DETECTION","")</f>
        <v/>
      </c>
      <c r="C306" s="20" t="str">
        <f t="shared" si="45"/>
        <v/>
      </c>
      <c r="D306" s="20" t="str">
        <f>IF(B306="","",Events!$A6&amp;"")</f>
        <v/>
      </c>
      <c r="E306" s="20" t="str">
        <f>IF(B306="","",Events!$B6&amp;"")</f>
        <v/>
      </c>
      <c r="F306" s="20" t="str">
        <f t="shared" si="38"/>
        <v/>
      </c>
      <c r="G306" s="20" t="str">
        <f>IF(B306="","",Events!$D6&amp;"")</f>
        <v/>
      </c>
      <c r="H306" s="20" t="str">
        <f>IF(B306="","",Events!$AA6&amp;"")</f>
        <v/>
      </c>
      <c r="I306" s="20" t="str">
        <f>IF(B306="","",Events!$AD6&amp;"")</f>
        <v/>
      </c>
      <c r="J306" s="20" t="str">
        <f>IF(B306="","",Events!$AJ6&amp;"")</f>
        <v/>
      </c>
      <c r="K306" s="20">
        <f>IF(B306="",0,Events!$AK6)</f>
        <v>0</v>
      </c>
      <c r="L306" s="20">
        <f>IF(B306="",0,Events!$AL6)</f>
        <v>0</v>
      </c>
      <c r="M306" s="20" t="str">
        <f>IF(B306="","",Events!$AO6)</f>
        <v/>
      </c>
      <c r="N306" s="20" t="str">
        <f>IF(B306="","",Events!$AP6)</f>
        <v/>
      </c>
      <c r="O306" s="27" t="str">
        <f>IF(B306="","",Events!$AM6)</f>
        <v/>
      </c>
      <c r="P306" s="27" t="str">
        <f>IF(B306="","",Events!$AN6)</f>
        <v/>
      </c>
      <c r="Q306" s="20" t="str">
        <f t="shared" si="39"/>
        <v/>
      </c>
      <c r="R306" s="20" t="str">
        <f>IF(A306="","",IF(J306&lt;&gt;"",J306,IF(H306="TIMESTAMP",DAY(INT(M306/1440))&amp;" "&amp;INDEX(nLIST_Months,MONTH(INT(M306/1440)))&amp;" "&amp;YEAR(INT(M306/1440))&amp;" "&amp;RIGHT("0"&amp;INT(MOD(M306,1440)/60),2)&amp;":"&amp;RIGHT("0"&amp;MOD(M306,60),2)&amp;IF(L306=1," (UTC"&amp;I306&amp;")"," (offset unknown)"),IF(H306="DATE",DAY(O306)&amp;" "&amp;INDEX(nLIST_Months,MONTH(O306))&amp;" "&amp;YEAR(O306),IF(H306="MONTH",INDEX(nLIST_Months,MONTH(O306))&amp;" "&amp;YEAR(O306)&amp;" ("&amp;DAY(O306)&amp;" "&amp;INDEX(nLIST_Months,MONTH(O306))&amp;" "&amp;YEAR(O306)&amp;" to "&amp;DAY(P306)&amp;" "&amp;INDEX(nLIST_Months,MONTH(P306))&amp;" "&amp;YEAR(P306)&amp;")",IF(H306="YEAR",YEAR(O306)&amp;" (1 January to 31 December)",DAY(O306)&amp;" "&amp;INDEX(nLIST_Months,MONTH(O306))&amp;" "&amp;YEAR(O306)&amp;" to "&amp;DAY(P306)&amp;" "&amp;INDEX(nLIST_Months,MONTH(P306))&amp;" "&amp;YEAR(P306)))))))</f>
        <v/>
      </c>
      <c r="S306" s="20" t="str">
        <f>IF(B306="","",Events!$Z6&amp;"")</f>
        <v/>
      </c>
      <c r="T306" s="20" t="str">
        <f>IF(B306="","",Events!$AI6&amp;"")</f>
        <v/>
      </c>
      <c r="U306" s="20" t="str">
        <f>IF(B306="","","Events row "&amp;ROW(Events!$A6)&amp;", First detection")</f>
        <v/>
      </c>
      <c r="V306" s="20">
        <f>IF(A306="",0,COUNTIF(nTP_Key,A306))</f>
        <v>0</v>
      </c>
      <c r="W306" s="20">
        <f t="shared" si="40"/>
        <v>0</v>
      </c>
      <c r="X306" s="20">
        <f t="shared" si="41"/>
        <v>0</v>
      </c>
      <c r="Y306" s="20">
        <f t="shared" si="42"/>
        <v>0</v>
      </c>
      <c r="Z306" s="20">
        <f t="shared" si="43"/>
        <v>0</v>
      </c>
    </row>
    <row r="307" spans="1:26" x14ac:dyDescent="0.2">
      <c r="A307" s="20" t="str">
        <f t="shared" si="37"/>
        <v/>
      </c>
      <c r="B307" s="20" t="str">
        <f>IF(AND(Events!$D7&lt;&gt;"",COUNTA(Events!$AA7:$AH7)&gt;0),Events!$D7&amp;"/DETECTION","")</f>
        <v/>
      </c>
      <c r="C307" s="20" t="str">
        <f t="shared" si="45"/>
        <v/>
      </c>
      <c r="D307" s="20" t="str">
        <f>IF(B307="","",Events!$A7&amp;"")</f>
        <v/>
      </c>
      <c r="E307" s="20" t="str">
        <f>IF(B307="","",Events!$B7&amp;"")</f>
        <v/>
      </c>
      <c r="F307" s="20" t="str">
        <f t="shared" si="38"/>
        <v/>
      </c>
      <c r="G307" s="20" t="str">
        <f>IF(B307="","",Events!$D7&amp;"")</f>
        <v/>
      </c>
      <c r="H307" s="20" t="str">
        <f>IF(B307="","",Events!$AA7&amp;"")</f>
        <v/>
      </c>
      <c r="I307" s="20" t="str">
        <f>IF(B307="","",Events!$AD7&amp;"")</f>
        <v/>
      </c>
      <c r="J307" s="20" t="str">
        <f>IF(B307="","",Events!$AJ7&amp;"")</f>
        <v/>
      </c>
      <c r="K307" s="20">
        <f>IF(B307="",0,Events!$AK7)</f>
        <v>0</v>
      </c>
      <c r="L307" s="20">
        <f>IF(B307="",0,Events!$AL7)</f>
        <v>0</v>
      </c>
      <c r="M307" s="20" t="str">
        <f>IF(B307="","",Events!$AO7)</f>
        <v/>
      </c>
      <c r="N307" s="20" t="str">
        <f>IF(B307="","",Events!$AP7)</f>
        <v/>
      </c>
      <c r="O307" s="27" t="str">
        <f>IF(B307="","",Events!$AM7)</f>
        <v/>
      </c>
      <c r="P307" s="27" t="str">
        <f>IF(B307="","",Events!$AN7)</f>
        <v/>
      </c>
      <c r="Q307" s="20" t="str">
        <f t="shared" si="39"/>
        <v/>
      </c>
      <c r="R307" s="20" t="str">
        <f>IF(A307="","",IF(J307&lt;&gt;"",J307,IF(H307="TIMESTAMP",DAY(INT(M307/1440))&amp;" "&amp;INDEX(nLIST_Months,MONTH(INT(M307/1440)))&amp;" "&amp;YEAR(INT(M307/1440))&amp;" "&amp;RIGHT("0"&amp;INT(MOD(M307,1440)/60),2)&amp;":"&amp;RIGHT("0"&amp;MOD(M307,60),2)&amp;IF(L307=1," (UTC"&amp;I307&amp;")"," (offset unknown)"),IF(H307="DATE",DAY(O307)&amp;" "&amp;INDEX(nLIST_Months,MONTH(O307))&amp;" "&amp;YEAR(O307),IF(H307="MONTH",INDEX(nLIST_Months,MONTH(O307))&amp;" "&amp;YEAR(O307)&amp;" ("&amp;DAY(O307)&amp;" "&amp;INDEX(nLIST_Months,MONTH(O307))&amp;" "&amp;YEAR(O307)&amp;" to "&amp;DAY(P307)&amp;" "&amp;INDEX(nLIST_Months,MONTH(P307))&amp;" "&amp;YEAR(P307)&amp;")",IF(H307="YEAR",YEAR(O307)&amp;" (1 January to 31 December)",DAY(O307)&amp;" "&amp;INDEX(nLIST_Months,MONTH(O307))&amp;" "&amp;YEAR(O307)&amp;" to "&amp;DAY(P307)&amp;" "&amp;INDEX(nLIST_Months,MONTH(P307))&amp;" "&amp;YEAR(P307)))))))</f>
        <v/>
      </c>
      <c r="S307" s="20" t="str">
        <f>IF(B307="","",Events!$Z7&amp;"")</f>
        <v/>
      </c>
      <c r="T307" s="20" t="str">
        <f>IF(B307="","",Events!$AI7&amp;"")</f>
        <v/>
      </c>
      <c r="U307" s="20" t="str">
        <f>IF(B307="","","Events row "&amp;ROW(Events!$A7)&amp;", First detection")</f>
        <v/>
      </c>
      <c r="V307" s="20">
        <f>IF(A307="",0,COUNTIF(nTP_Key,A307))</f>
        <v>0</v>
      </c>
      <c r="W307" s="20">
        <f t="shared" si="40"/>
        <v>0</v>
      </c>
      <c r="X307" s="20">
        <f t="shared" si="41"/>
        <v>0</v>
      </c>
      <c r="Y307" s="20">
        <f t="shared" si="42"/>
        <v>0</v>
      </c>
      <c r="Z307" s="20">
        <f t="shared" si="43"/>
        <v>0</v>
      </c>
    </row>
    <row r="308" spans="1:26" x14ac:dyDescent="0.2">
      <c r="A308" s="20" t="str">
        <f t="shared" si="37"/>
        <v/>
      </c>
      <c r="B308" s="20" t="str">
        <f>IF(AND(Events!$D8&lt;&gt;"",COUNTA(Events!$AA8:$AH8)&gt;0),Events!$D8&amp;"/DETECTION","")</f>
        <v/>
      </c>
      <c r="C308" s="20" t="str">
        <f t="shared" si="45"/>
        <v/>
      </c>
      <c r="D308" s="20" t="str">
        <f>IF(B308="","",Events!$A8&amp;"")</f>
        <v/>
      </c>
      <c r="E308" s="20" t="str">
        <f>IF(B308="","",Events!$B8&amp;"")</f>
        <v/>
      </c>
      <c r="F308" s="20" t="str">
        <f t="shared" si="38"/>
        <v/>
      </c>
      <c r="G308" s="20" t="str">
        <f>IF(B308="","",Events!$D8&amp;"")</f>
        <v/>
      </c>
      <c r="H308" s="20" t="str">
        <f>IF(B308="","",Events!$AA8&amp;"")</f>
        <v/>
      </c>
      <c r="I308" s="20" t="str">
        <f>IF(B308="","",Events!$AD8&amp;"")</f>
        <v/>
      </c>
      <c r="J308" s="20" t="str">
        <f>IF(B308="","",Events!$AJ8&amp;"")</f>
        <v/>
      </c>
      <c r="K308" s="20">
        <f>IF(B308="",0,Events!$AK8)</f>
        <v>0</v>
      </c>
      <c r="L308" s="20">
        <f>IF(B308="",0,Events!$AL8)</f>
        <v>0</v>
      </c>
      <c r="M308" s="20" t="str">
        <f>IF(B308="","",Events!$AO8)</f>
        <v/>
      </c>
      <c r="N308" s="20" t="str">
        <f>IF(B308="","",Events!$AP8)</f>
        <v/>
      </c>
      <c r="O308" s="27" t="str">
        <f>IF(B308="","",Events!$AM8)</f>
        <v/>
      </c>
      <c r="P308" s="27" t="str">
        <f>IF(B308="","",Events!$AN8)</f>
        <v/>
      </c>
      <c r="Q308" s="20" t="str">
        <f t="shared" si="39"/>
        <v/>
      </c>
      <c r="R308" s="20" t="str">
        <f>IF(A308="","",IF(J308&lt;&gt;"",J308,IF(H308="TIMESTAMP",DAY(INT(M308/1440))&amp;" "&amp;INDEX(nLIST_Months,MONTH(INT(M308/1440)))&amp;" "&amp;YEAR(INT(M308/1440))&amp;" "&amp;RIGHT("0"&amp;INT(MOD(M308,1440)/60),2)&amp;":"&amp;RIGHT("0"&amp;MOD(M308,60),2)&amp;IF(L308=1," (UTC"&amp;I308&amp;")"," (offset unknown)"),IF(H308="DATE",DAY(O308)&amp;" "&amp;INDEX(nLIST_Months,MONTH(O308))&amp;" "&amp;YEAR(O308),IF(H308="MONTH",INDEX(nLIST_Months,MONTH(O308))&amp;" "&amp;YEAR(O308)&amp;" ("&amp;DAY(O308)&amp;" "&amp;INDEX(nLIST_Months,MONTH(O308))&amp;" "&amp;YEAR(O308)&amp;" to "&amp;DAY(P308)&amp;" "&amp;INDEX(nLIST_Months,MONTH(P308))&amp;" "&amp;YEAR(P308)&amp;")",IF(H308="YEAR",YEAR(O308)&amp;" (1 January to 31 December)",DAY(O308)&amp;" "&amp;INDEX(nLIST_Months,MONTH(O308))&amp;" "&amp;YEAR(O308)&amp;" to "&amp;DAY(P308)&amp;" "&amp;INDEX(nLIST_Months,MONTH(P308))&amp;" "&amp;YEAR(P308)))))))</f>
        <v/>
      </c>
      <c r="S308" s="20" t="str">
        <f>IF(B308="","",Events!$Z8&amp;"")</f>
        <v/>
      </c>
      <c r="T308" s="20" t="str">
        <f>IF(B308="","",Events!$AI8&amp;"")</f>
        <v/>
      </c>
      <c r="U308" s="20" t="str">
        <f>IF(B308="","","Events row "&amp;ROW(Events!$A8)&amp;", First detection")</f>
        <v/>
      </c>
      <c r="V308" s="20">
        <f>IF(A308="",0,COUNTIF(nTP_Key,A308))</f>
        <v>0</v>
      </c>
      <c r="W308" s="20">
        <f t="shared" si="40"/>
        <v>0</v>
      </c>
      <c r="X308" s="20">
        <f t="shared" si="41"/>
        <v>0</v>
      </c>
      <c r="Y308" s="20">
        <f t="shared" si="42"/>
        <v>0</v>
      </c>
      <c r="Z308" s="20">
        <f t="shared" si="43"/>
        <v>0</v>
      </c>
    </row>
    <row r="309" spans="1:26" x14ac:dyDescent="0.2">
      <c r="A309" s="20" t="str">
        <f t="shared" si="37"/>
        <v/>
      </c>
      <c r="B309" s="20" t="str">
        <f>IF(AND(Events!$D9&lt;&gt;"",COUNTA(Events!$AA9:$AH9)&gt;0),Events!$D9&amp;"/DETECTION","")</f>
        <v/>
      </c>
      <c r="C309" s="20" t="str">
        <f t="shared" si="45"/>
        <v/>
      </c>
      <c r="D309" s="20" t="str">
        <f>IF(B309="","",Events!$A9&amp;"")</f>
        <v/>
      </c>
      <c r="E309" s="20" t="str">
        <f>IF(B309="","",Events!$B9&amp;"")</f>
        <v/>
      </c>
      <c r="F309" s="20" t="str">
        <f t="shared" si="38"/>
        <v/>
      </c>
      <c r="G309" s="20" t="str">
        <f>IF(B309="","",Events!$D9&amp;"")</f>
        <v/>
      </c>
      <c r="H309" s="20" t="str">
        <f>IF(B309="","",Events!$AA9&amp;"")</f>
        <v/>
      </c>
      <c r="I309" s="20" t="str">
        <f>IF(B309="","",Events!$AD9&amp;"")</f>
        <v/>
      </c>
      <c r="J309" s="20" t="str">
        <f>IF(B309="","",Events!$AJ9&amp;"")</f>
        <v/>
      </c>
      <c r="K309" s="20">
        <f>IF(B309="",0,Events!$AK9)</f>
        <v>0</v>
      </c>
      <c r="L309" s="20">
        <f>IF(B309="",0,Events!$AL9)</f>
        <v>0</v>
      </c>
      <c r="M309" s="20" t="str">
        <f>IF(B309="","",Events!$AO9)</f>
        <v/>
      </c>
      <c r="N309" s="20" t="str">
        <f>IF(B309="","",Events!$AP9)</f>
        <v/>
      </c>
      <c r="O309" s="27" t="str">
        <f>IF(B309="","",Events!$AM9)</f>
        <v/>
      </c>
      <c r="P309" s="27" t="str">
        <f>IF(B309="","",Events!$AN9)</f>
        <v/>
      </c>
      <c r="Q309" s="20" t="str">
        <f t="shared" si="39"/>
        <v/>
      </c>
      <c r="R309" s="20" t="str">
        <f>IF(A309="","",IF(J309&lt;&gt;"",J309,IF(H309="TIMESTAMP",DAY(INT(M309/1440))&amp;" "&amp;INDEX(nLIST_Months,MONTH(INT(M309/1440)))&amp;" "&amp;YEAR(INT(M309/1440))&amp;" "&amp;RIGHT("0"&amp;INT(MOD(M309,1440)/60),2)&amp;":"&amp;RIGHT("0"&amp;MOD(M309,60),2)&amp;IF(L309=1," (UTC"&amp;I309&amp;")"," (offset unknown)"),IF(H309="DATE",DAY(O309)&amp;" "&amp;INDEX(nLIST_Months,MONTH(O309))&amp;" "&amp;YEAR(O309),IF(H309="MONTH",INDEX(nLIST_Months,MONTH(O309))&amp;" "&amp;YEAR(O309)&amp;" ("&amp;DAY(O309)&amp;" "&amp;INDEX(nLIST_Months,MONTH(O309))&amp;" "&amp;YEAR(O309)&amp;" to "&amp;DAY(P309)&amp;" "&amp;INDEX(nLIST_Months,MONTH(P309))&amp;" "&amp;YEAR(P309)&amp;")",IF(H309="YEAR",YEAR(O309)&amp;" (1 January to 31 December)",DAY(O309)&amp;" "&amp;INDEX(nLIST_Months,MONTH(O309))&amp;" "&amp;YEAR(O309)&amp;" to "&amp;DAY(P309)&amp;" "&amp;INDEX(nLIST_Months,MONTH(P309))&amp;" "&amp;YEAR(P309)))))))</f>
        <v/>
      </c>
      <c r="S309" s="20" t="str">
        <f>IF(B309="","",Events!$Z9&amp;"")</f>
        <v/>
      </c>
      <c r="T309" s="20" t="str">
        <f>IF(B309="","",Events!$AI9&amp;"")</f>
        <v/>
      </c>
      <c r="U309" s="20" t="str">
        <f>IF(B309="","","Events row "&amp;ROW(Events!$A9)&amp;", First detection")</f>
        <v/>
      </c>
      <c r="V309" s="20">
        <f>IF(A309="",0,COUNTIF(nTP_Key,A309))</f>
        <v>0</v>
      </c>
      <c r="W309" s="20">
        <f t="shared" si="40"/>
        <v>0</v>
      </c>
      <c r="X309" s="20">
        <f t="shared" si="41"/>
        <v>0</v>
      </c>
      <c r="Y309" s="20">
        <f t="shared" si="42"/>
        <v>0</v>
      </c>
      <c r="Z309" s="20">
        <f t="shared" si="43"/>
        <v>0</v>
      </c>
    </row>
    <row r="310" spans="1:26" x14ac:dyDescent="0.2">
      <c r="A310" s="20" t="str">
        <f t="shared" si="37"/>
        <v/>
      </c>
      <c r="B310" s="20" t="str">
        <f>IF(AND(Events!$D10&lt;&gt;"",COUNTA(Events!$AA10:$AH10)&gt;0),Events!$D10&amp;"/DETECTION","")</f>
        <v/>
      </c>
      <c r="C310" s="20" t="str">
        <f t="shared" si="45"/>
        <v/>
      </c>
      <c r="D310" s="20" t="str">
        <f>IF(B310="","",Events!$A10&amp;"")</f>
        <v/>
      </c>
      <c r="E310" s="20" t="str">
        <f>IF(B310="","",Events!$B10&amp;"")</f>
        <v/>
      </c>
      <c r="F310" s="20" t="str">
        <f t="shared" si="38"/>
        <v/>
      </c>
      <c r="G310" s="20" t="str">
        <f>IF(B310="","",Events!$D10&amp;"")</f>
        <v/>
      </c>
      <c r="H310" s="20" t="str">
        <f>IF(B310="","",Events!$AA10&amp;"")</f>
        <v/>
      </c>
      <c r="I310" s="20" t="str">
        <f>IF(B310="","",Events!$AD10&amp;"")</f>
        <v/>
      </c>
      <c r="J310" s="20" t="str">
        <f>IF(B310="","",Events!$AJ10&amp;"")</f>
        <v/>
      </c>
      <c r="K310" s="20">
        <f>IF(B310="",0,Events!$AK10)</f>
        <v>0</v>
      </c>
      <c r="L310" s="20">
        <f>IF(B310="",0,Events!$AL10)</f>
        <v>0</v>
      </c>
      <c r="M310" s="20" t="str">
        <f>IF(B310="","",Events!$AO10)</f>
        <v/>
      </c>
      <c r="N310" s="20" t="str">
        <f>IF(B310="","",Events!$AP10)</f>
        <v/>
      </c>
      <c r="O310" s="27" t="str">
        <f>IF(B310="","",Events!$AM10)</f>
        <v/>
      </c>
      <c r="P310" s="27" t="str">
        <f>IF(B310="","",Events!$AN10)</f>
        <v/>
      </c>
      <c r="Q310" s="20" t="str">
        <f t="shared" si="39"/>
        <v/>
      </c>
      <c r="R310" s="20" t="str">
        <f>IF(A310="","",IF(J310&lt;&gt;"",J310,IF(H310="TIMESTAMP",DAY(INT(M310/1440))&amp;" "&amp;INDEX(nLIST_Months,MONTH(INT(M310/1440)))&amp;" "&amp;YEAR(INT(M310/1440))&amp;" "&amp;RIGHT("0"&amp;INT(MOD(M310,1440)/60),2)&amp;":"&amp;RIGHT("0"&amp;MOD(M310,60),2)&amp;IF(L310=1," (UTC"&amp;I310&amp;")"," (offset unknown)"),IF(H310="DATE",DAY(O310)&amp;" "&amp;INDEX(nLIST_Months,MONTH(O310))&amp;" "&amp;YEAR(O310),IF(H310="MONTH",INDEX(nLIST_Months,MONTH(O310))&amp;" "&amp;YEAR(O310)&amp;" ("&amp;DAY(O310)&amp;" "&amp;INDEX(nLIST_Months,MONTH(O310))&amp;" "&amp;YEAR(O310)&amp;" to "&amp;DAY(P310)&amp;" "&amp;INDEX(nLIST_Months,MONTH(P310))&amp;" "&amp;YEAR(P310)&amp;")",IF(H310="YEAR",YEAR(O310)&amp;" (1 January to 31 December)",DAY(O310)&amp;" "&amp;INDEX(nLIST_Months,MONTH(O310))&amp;" "&amp;YEAR(O310)&amp;" to "&amp;DAY(P310)&amp;" "&amp;INDEX(nLIST_Months,MONTH(P310))&amp;" "&amp;YEAR(P310)))))))</f>
        <v/>
      </c>
      <c r="S310" s="20" t="str">
        <f>IF(B310="","",Events!$Z10&amp;"")</f>
        <v/>
      </c>
      <c r="T310" s="20" t="str">
        <f>IF(B310="","",Events!$AI10&amp;"")</f>
        <v/>
      </c>
      <c r="U310" s="20" t="str">
        <f>IF(B310="","","Events row "&amp;ROW(Events!$A10)&amp;", First detection")</f>
        <v/>
      </c>
      <c r="V310" s="20">
        <f>IF(A310="",0,COUNTIF(nTP_Key,A310))</f>
        <v>0</v>
      </c>
      <c r="W310" s="20">
        <f t="shared" si="40"/>
        <v>0</v>
      </c>
      <c r="X310" s="20">
        <f t="shared" si="41"/>
        <v>0</v>
      </c>
      <c r="Y310" s="20">
        <f t="shared" si="42"/>
        <v>0</v>
      </c>
      <c r="Z310" s="20">
        <f t="shared" si="43"/>
        <v>0</v>
      </c>
    </row>
    <row r="311" spans="1:26" x14ac:dyDescent="0.2">
      <c r="A311" s="20" t="str">
        <f t="shared" si="37"/>
        <v/>
      </c>
      <c r="B311" s="20" t="str">
        <f>IF(AND(Events!$D11&lt;&gt;"",COUNTA(Events!$AA11:$AH11)&gt;0),Events!$D11&amp;"/DETECTION","")</f>
        <v/>
      </c>
      <c r="C311" s="20" t="str">
        <f t="shared" si="45"/>
        <v/>
      </c>
      <c r="D311" s="20" t="str">
        <f>IF(B311="","",Events!$A11&amp;"")</f>
        <v/>
      </c>
      <c r="E311" s="20" t="str">
        <f>IF(B311="","",Events!$B11&amp;"")</f>
        <v/>
      </c>
      <c r="F311" s="20" t="str">
        <f t="shared" si="38"/>
        <v/>
      </c>
      <c r="G311" s="20" t="str">
        <f>IF(B311="","",Events!$D11&amp;"")</f>
        <v/>
      </c>
      <c r="H311" s="20" t="str">
        <f>IF(B311="","",Events!$AA11&amp;"")</f>
        <v/>
      </c>
      <c r="I311" s="20" t="str">
        <f>IF(B311="","",Events!$AD11&amp;"")</f>
        <v/>
      </c>
      <c r="J311" s="20" t="str">
        <f>IF(B311="","",Events!$AJ11&amp;"")</f>
        <v/>
      </c>
      <c r="K311" s="20">
        <f>IF(B311="",0,Events!$AK11)</f>
        <v>0</v>
      </c>
      <c r="L311" s="20">
        <f>IF(B311="",0,Events!$AL11)</f>
        <v>0</v>
      </c>
      <c r="M311" s="20" t="str">
        <f>IF(B311="","",Events!$AO11)</f>
        <v/>
      </c>
      <c r="N311" s="20" t="str">
        <f>IF(B311="","",Events!$AP11)</f>
        <v/>
      </c>
      <c r="O311" s="27" t="str">
        <f>IF(B311="","",Events!$AM11)</f>
        <v/>
      </c>
      <c r="P311" s="27" t="str">
        <f>IF(B311="","",Events!$AN11)</f>
        <v/>
      </c>
      <c r="Q311" s="20" t="str">
        <f t="shared" si="39"/>
        <v/>
      </c>
      <c r="R311" s="20" t="str">
        <f>IF(A311="","",IF(J311&lt;&gt;"",J311,IF(H311="TIMESTAMP",DAY(INT(M311/1440))&amp;" "&amp;INDEX(nLIST_Months,MONTH(INT(M311/1440)))&amp;" "&amp;YEAR(INT(M311/1440))&amp;" "&amp;RIGHT("0"&amp;INT(MOD(M311,1440)/60),2)&amp;":"&amp;RIGHT("0"&amp;MOD(M311,60),2)&amp;IF(L311=1," (UTC"&amp;I311&amp;")"," (offset unknown)"),IF(H311="DATE",DAY(O311)&amp;" "&amp;INDEX(nLIST_Months,MONTH(O311))&amp;" "&amp;YEAR(O311),IF(H311="MONTH",INDEX(nLIST_Months,MONTH(O311))&amp;" "&amp;YEAR(O311)&amp;" ("&amp;DAY(O311)&amp;" "&amp;INDEX(nLIST_Months,MONTH(O311))&amp;" "&amp;YEAR(O311)&amp;" to "&amp;DAY(P311)&amp;" "&amp;INDEX(nLIST_Months,MONTH(P311))&amp;" "&amp;YEAR(P311)&amp;")",IF(H311="YEAR",YEAR(O311)&amp;" (1 January to 31 December)",DAY(O311)&amp;" "&amp;INDEX(nLIST_Months,MONTH(O311))&amp;" "&amp;YEAR(O311)&amp;" to "&amp;DAY(P311)&amp;" "&amp;INDEX(nLIST_Months,MONTH(P311))&amp;" "&amp;YEAR(P311)))))))</f>
        <v/>
      </c>
      <c r="S311" s="20" t="str">
        <f>IF(B311="","",Events!$Z11&amp;"")</f>
        <v/>
      </c>
      <c r="T311" s="20" t="str">
        <f>IF(B311="","",Events!$AI11&amp;"")</f>
        <v/>
      </c>
      <c r="U311" s="20" t="str">
        <f>IF(B311="","","Events row "&amp;ROW(Events!$A11)&amp;", First detection")</f>
        <v/>
      </c>
      <c r="V311" s="20">
        <f>IF(A311="",0,COUNTIF(nTP_Key,A311))</f>
        <v>0</v>
      </c>
      <c r="W311" s="20">
        <f t="shared" si="40"/>
        <v>0</v>
      </c>
      <c r="X311" s="20">
        <f t="shared" si="41"/>
        <v>0</v>
      </c>
      <c r="Y311" s="20">
        <f t="shared" si="42"/>
        <v>0</v>
      </c>
      <c r="Z311" s="20">
        <f t="shared" si="43"/>
        <v>0</v>
      </c>
    </row>
    <row r="312" spans="1:26" x14ac:dyDescent="0.2">
      <c r="A312" s="20" t="str">
        <f t="shared" si="37"/>
        <v/>
      </c>
      <c r="B312" s="20" t="str">
        <f>IF(AND(Events!$D12&lt;&gt;"",COUNTA(Events!$AA12:$AH12)&gt;0),Events!$D12&amp;"/DETECTION","")</f>
        <v/>
      </c>
      <c r="C312" s="20" t="str">
        <f t="shared" si="45"/>
        <v/>
      </c>
      <c r="D312" s="20" t="str">
        <f>IF(B312="","",Events!$A12&amp;"")</f>
        <v/>
      </c>
      <c r="E312" s="20" t="str">
        <f>IF(B312="","",Events!$B12&amp;"")</f>
        <v/>
      </c>
      <c r="F312" s="20" t="str">
        <f t="shared" si="38"/>
        <v/>
      </c>
      <c r="G312" s="20" t="str">
        <f>IF(B312="","",Events!$D12&amp;"")</f>
        <v/>
      </c>
      <c r="H312" s="20" t="str">
        <f>IF(B312="","",Events!$AA12&amp;"")</f>
        <v/>
      </c>
      <c r="I312" s="20" t="str">
        <f>IF(B312="","",Events!$AD12&amp;"")</f>
        <v/>
      </c>
      <c r="J312" s="20" t="str">
        <f>IF(B312="","",Events!$AJ12&amp;"")</f>
        <v/>
      </c>
      <c r="K312" s="20">
        <f>IF(B312="",0,Events!$AK12)</f>
        <v>0</v>
      </c>
      <c r="L312" s="20">
        <f>IF(B312="",0,Events!$AL12)</f>
        <v>0</v>
      </c>
      <c r="M312" s="20" t="str">
        <f>IF(B312="","",Events!$AO12)</f>
        <v/>
      </c>
      <c r="N312" s="20" t="str">
        <f>IF(B312="","",Events!$AP12)</f>
        <v/>
      </c>
      <c r="O312" s="27" t="str">
        <f>IF(B312="","",Events!$AM12)</f>
        <v/>
      </c>
      <c r="P312" s="27" t="str">
        <f>IF(B312="","",Events!$AN12)</f>
        <v/>
      </c>
      <c r="Q312" s="20" t="str">
        <f t="shared" si="39"/>
        <v/>
      </c>
      <c r="R312" s="20" t="str">
        <f>IF(A312="","",IF(J312&lt;&gt;"",J312,IF(H312="TIMESTAMP",DAY(INT(M312/1440))&amp;" "&amp;INDEX(nLIST_Months,MONTH(INT(M312/1440)))&amp;" "&amp;YEAR(INT(M312/1440))&amp;" "&amp;RIGHT("0"&amp;INT(MOD(M312,1440)/60),2)&amp;":"&amp;RIGHT("0"&amp;MOD(M312,60),2)&amp;IF(L312=1," (UTC"&amp;I312&amp;")"," (offset unknown)"),IF(H312="DATE",DAY(O312)&amp;" "&amp;INDEX(nLIST_Months,MONTH(O312))&amp;" "&amp;YEAR(O312),IF(H312="MONTH",INDEX(nLIST_Months,MONTH(O312))&amp;" "&amp;YEAR(O312)&amp;" ("&amp;DAY(O312)&amp;" "&amp;INDEX(nLIST_Months,MONTH(O312))&amp;" "&amp;YEAR(O312)&amp;" to "&amp;DAY(P312)&amp;" "&amp;INDEX(nLIST_Months,MONTH(P312))&amp;" "&amp;YEAR(P312)&amp;")",IF(H312="YEAR",YEAR(O312)&amp;" (1 January to 31 December)",DAY(O312)&amp;" "&amp;INDEX(nLIST_Months,MONTH(O312))&amp;" "&amp;YEAR(O312)&amp;" to "&amp;DAY(P312)&amp;" "&amp;INDEX(nLIST_Months,MONTH(P312))&amp;" "&amp;YEAR(P312)))))))</f>
        <v/>
      </c>
      <c r="S312" s="20" t="str">
        <f>IF(B312="","",Events!$Z12&amp;"")</f>
        <v/>
      </c>
      <c r="T312" s="20" t="str">
        <f>IF(B312="","",Events!$AI12&amp;"")</f>
        <v/>
      </c>
      <c r="U312" s="20" t="str">
        <f>IF(B312="","","Events row "&amp;ROW(Events!$A12)&amp;", First detection")</f>
        <v/>
      </c>
      <c r="V312" s="20">
        <f>IF(A312="",0,COUNTIF(nTP_Key,A312))</f>
        <v>0</v>
      </c>
      <c r="W312" s="20">
        <f t="shared" si="40"/>
        <v>0</v>
      </c>
      <c r="X312" s="20">
        <f t="shared" si="41"/>
        <v>0</v>
      </c>
      <c r="Y312" s="20">
        <f t="shared" si="42"/>
        <v>0</v>
      </c>
      <c r="Z312" s="20">
        <f t="shared" si="43"/>
        <v>0</v>
      </c>
    </row>
    <row r="313" spans="1:26" x14ac:dyDescent="0.2">
      <c r="A313" s="20" t="str">
        <f t="shared" si="37"/>
        <v/>
      </c>
      <c r="B313" s="20" t="str">
        <f>IF(AND(Events!$D13&lt;&gt;"",COUNTA(Events!$AA13:$AH13)&gt;0),Events!$D13&amp;"/DETECTION","")</f>
        <v/>
      </c>
      <c r="C313" s="20" t="str">
        <f t="shared" si="45"/>
        <v/>
      </c>
      <c r="D313" s="20" t="str">
        <f>IF(B313="","",Events!$A13&amp;"")</f>
        <v/>
      </c>
      <c r="E313" s="20" t="str">
        <f>IF(B313="","",Events!$B13&amp;"")</f>
        <v/>
      </c>
      <c r="F313" s="20" t="str">
        <f t="shared" si="38"/>
        <v/>
      </c>
      <c r="G313" s="20" t="str">
        <f>IF(B313="","",Events!$D13&amp;"")</f>
        <v/>
      </c>
      <c r="H313" s="20" t="str">
        <f>IF(B313="","",Events!$AA13&amp;"")</f>
        <v/>
      </c>
      <c r="I313" s="20" t="str">
        <f>IF(B313="","",Events!$AD13&amp;"")</f>
        <v/>
      </c>
      <c r="J313" s="20" t="str">
        <f>IF(B313="","",Events!$AJ13&amp;"")</f>
        <v/>
      </c>
      <c r="K313" s="20">
        <f>IF(B313="",0,Events!$AK13)</f>
        <v>0</v>
      </c>
      <c r="L313" s="20">
        <f>IF(B313="",0,Events!$AL13)</f>
        <v>0</v>
      </c>
      <c r="M313" s="20" t="str">
        <f>IF(B313="","",Events!$AO13)</f>
        <v/>
      </c>
      <c r="N313" s="20" t="str">
        <f>IF(B313="","",Events!$AP13)</f>
        <v/>
      </c>
      <c r="O313" s="27" t="str">
        <f>IF(B313="","",Events!$AM13)</f>
        <v/>
      </c>
      <c r="P313" s="27" t="str">
        <f>IF(B313="","",Events!$AN13)</f>
        <v/>
      </c>
      <c r="Q313" s="20" t="str">
        <f t="shared" si="39"/>
        <v/>
      </c>
      <c r="R313" s="20" t="str">
        <f>IF(A313="","",IF(J313&lt;&gt;"",J313,IF(H313="TIMESTAMP",DAY(INT(M313/1440))&amp;" "&amp;INDEX(nLIST_Months,MONTH(INT(M313/1440)))&amp;" "&amp;YEAR(INT(M313/1440))&amp;" "&amp;RIGHT("0"&amp;INT(MOD(M313,1440)/60),2)&amp;":"&amp;RIGHT("0"&amp;MOD(M313,60),2)&amp;IF(L313=1," (UTC"&amp;I313&amp;")"," (offset unknown)"),IF(H313="DATE",DAY(O313)&amp;" "&amp;INDEX(nLIST_Months,MONTH(O313))&amp;" "&amp;YEAR(O313),IF(H313="MONTH",INDEX(nLIST_Months,MONTH(O313))&amp;" "&amp;YEAR(O313)&amp;" ("&amp;DAY(O313)&amp;" "&amp;INDEX(nLIST_Months,MONTH(O313))&amp;" "&amp;YEAR(O313)&amp;" to "&amp;DAY(P313)&amp;" "&amp;INDEX(nLIST_Months,MONTH(P313))&amp;" "&amp;YEAR(P313)&amp;")",IF(H313="YEAR",YEAR(O313)&amp;" (1 January to 31 December)",DAY(O313)&amp;" "&amp;INDEX(nLIST_Months,MONTH(O313))&amp;" "&amp;YEAR(O313)&amp;" to "&amp;DAY(P313)&amp;" "&amp;INDEX(nLIST_Months,MONTH(P313))&amp;" "&amp;YEAR(P313)))))))</f>
        <v/>
      </c>
      <c r="S313" s="20" t="str">
        <f>IF(B313="","",Events!$Z13&amp;"")</f>
        <v/>
      </c>
      <c r="T313" s="20" t="str">
        <f>IF(B313="","",Events!$AI13&amp;"")</f>
        <v/>
      </c>
      <c r="U313" s="20" t="str">
        <f>IF(B313="","","Events row "&amp;ROW(Events!$A13)&amp;", First detection")</f>
        <v/>
      </c>
      <c r="V313" s="20">
        <f>IF(A313="",0,COUNTIF(nTP_Key,A313))</f>
        <v>0</v>
      </c>
      <c r="W313" s="20">
        <f t="shared" si="40"/>
        <v>0</v>
      </c>
      <c r="X313" s="20">
        <f t="shared" si="41"/>
        <v>0</v>
      </c>
      <c r="Y313" s="20">
        <f t="shared" si="42"/>
        <v>0</v>
      </c>
      <c r="Z313" s="20">
        <f t="shared" si="43"/>
        <v>0</v>
      </c>
    </row>
    <row r="314" spans="1:26" x14ac:dyDescent="0.2">
      <c r="A314" s="20" t="str">
        <f t="shared" si="37"/>
        <v/>
      </c>
      <c r="B314" s="20" t="str">
        <f>IF(AND(Events!$D14&lt;&gt;"",COUNTA(Events!$AA14:$AH14)&gt;0),Events!$D14&amp;"/DETECTION","")</f>
        <v/>
      </c>
      <c r="C314" s="20" t="str">
        <f t="shared" si="45"/>
        <v/>
      </c>
      <c r="D314" s="20" t="str">
        <f>IF(B314="","",Events!$A14&amp;"")</f>
        <v/>
      </c>
      <c r="E314" s="20" t="str">
        <f>IF(B314="","",Events!$B14&amp;"")</f>
        <v/>
      </c>
      <c r="F314" s="20" t="str">
        <f t="shared" si="38"/>
        <v/>
      </c>
      <c r="G314" s="20" t="str">
        <f>IF(B314="","",Events!$D14&amp;"")</f>
        <v/>
      </c>
      <c r="H314" s="20" t="str">
        <f>IF(B314="","",Events!$AA14&amp;"")</f>
        <v/>
      </c>
      <c r="I314" s="20" t="str">
        <f>IF(B314="","",Events!$AD14&amp;"")</f>
        <v/>
      </c>
      <c r="J314" s="20" t="str">
        <f>IF(B314="","",Events!$AJ14&amp;"")</f>
        <v/>
      </c>
      <c r="K314" s="20">
        <f>IF(B314="",0,Events!$AK14)</f>
        <v>0</v>
      </c>
      <c r="L314" s="20">
        <f>IF(B314="",0,Events!$AL14)</f>
        <v>0</v>
      </c>
      <c r="M314" s="20" t="str">
        <f>IF(B314="","",Events!$AO14)</f>
        <v/>
      </c>
      <c r="N314" s="20" t="str">
        <f>IF(B314="","",Events!$AP14)</f>
        <v/>
      </c>
      <c r="O314" s="27" t="str">
        <f>IF(B314="","",Events!$AM14)</f>
        <v/>
      </c>
      <c r="P314" s="27" t="str">
        <f>IF(B314="","",Events!$AN14)</f>
        <v/>
      </c>
      <c r="Q314" s="20" t="str">
        <f t="shared" si="39"/>
        <v/>
      </c>
      <c r="R314" s="20" t="str">
        <f>IF(A314="","",IF(J314&lt;&gt;"",J314,IF(H314="TIMESTAMP",DAY(INT(M314/1440))&amp;" "&amp;INDEX(nLIST_Months,MONTH(INT(M314/1440)))&amp;" "&amp;YEAR(INT(M314/1440))&amp;" "&amp;RIGHT("0"&amp;INT(MOD(M314,1440)/60),2)&amp;":"&amp;RIGHT("0"&amp;MOD(M314,60),2)&amp;IF(L314=1," (UTC"&amp;I314&amp;")"," (offset unknown)"),IF(H314="DATE",DAY(O314)&amp;" "&amp;INDEX(nLIST_Months,MONTH(O314))&amp;" "&amp;YEAR(O314),IF(H314="MONTH",INDEX(nLIST_Months,MONTH(O314))&amp;" "&amp;YEAR(O314)&amp;" ("&amp;DAY(O314)&amp;" "&amp;INDEX(nLIST_Months,MONTH(O314))&amp;" "&amp;YEAR(O314)&amp;" to "&amp;DAY(P314)&amp;" "&amp;INDEX(nLIST_Months,MONTH(P314))&amp;" "&amp;YEAR(P314)&amp;")",IF(H314="YEAR",YEAR(O314)&amp;" (1 January to 31 December)",DAY(O314)&amp;" "&amp;INDEX(nLIST_Months,MONTH(O314))&amp;" "&amp;YEAR(O314)&amp;" to "&amp;DAY(P314)&amp;" "&amp;INDEX(nLIST_Months,MONTH(P314))&amp;" "&amp;YEAR(P314)))))))</f>
        <v/>
      </c>
      <c r="S314" s="20" t="str">
        <f>IF(B314="","",Events!$Z14&amp;"")</f>
        <v/>
      </c>
      <c r="T314" s="20" t="str">
        <f>IF(B314="","",Events!$AI14&amp;"")</f>
        <v/>
      </c>
      <c r="U314" s="20" t="str">
        <f>IF(B314="","","Events row "&amp;ROW(Events!$A14)&amp;", First detection")</f>
        <v/>
      </c>
      <c r="V314" s="20">
        <f>IF(A314="",0,COUNTIF(nTP_Key,A314))</f>
        <v>0</v>
      </c>
      <c r="W314" s="20">
        <f t="shared" si="40"/>
        <v>0</v>
      </c>
      <c r="X314" s="20">
        <f t="shared" si="41"/>
        <v>0</v>
      </c>
      <c r="Y314" s="20">
        <f t="shared" si="42"/>
        <v>0</v>
      </c>
      <c r="Z314" s="20">
        <f t="shared" si="43"/>
        <v>0</v>
      </c>
    </row>
    <row r="315" spans="1:26" x14ac:dyDescent="0.2">
      <c r="A315" s="20" t="str">
        <f t="shared" si="37"/>
        <v/>
      </c>
      <c r="B315" s="20" t="str">
        <f>IF(AND(Events!$D15&lt;&gt;"",COUNTA(Events!$AA15:$AH15)&gt;0),Events!$D15&amp;"/DETECTION","")</f>
        <v/>
      </c>
      <c r="C315" s="20" t="str">
        <f t="shared" si="45"/>
        <v/>
      </c>
      <c r="D315" s="20" t="str">
        <f>IF(B315="","",Events!$A15&amp;"")</f>
        <v/>
      </c>
      <c r="E315" s="20" t="str">
        <f>IF(B315="","",Events!$B15&amp;"")</f>
        <v/>
      </c>
      <c r="F315" s="20" t="str">
        <f t="shared" si="38"/>
        <v/>
      </c>
      <c r="G315" s="20" t="str">
        <f>IF(B315="","",Events!$D15&amp;"")</f>
        <v/>
      </c>
      <c r="H315" s="20" t="str">
        <f>IF(B315="","",Events!$AA15&amp;"")</f>
        <v/>
      </c>
      <c r="I315" s="20" t="str">
        <f>IF(B315="","",Events!$AD15&amp;"")</f>
        <v/>
      </c>
      <c r="J315" s="20" t="str">
        <f>IF(B315="","",Events!$AJ15&amp;"")</f>
        <v/>
      </c>
      <c r="K315" s="20">
        <f>IF(B315="",0,Events!$AK15)</f>
        <v>0</v>
      </c>
      <c r="L315" s="20">
        <f>IF(B315="",0,Events!$AL15)</f>
        <v>0</v>
      </c>
      <c r="M315" s="20" t="str">
        <f>IF(B315="","",Events!$AO15)</f>
        <v/>
      </c>
      <c r="N315" s="20" t="str">
        <f>IF(B315="","",Events!$AP15)</f>
        <v/>
      </c>
      <c r="O315" s="27" t="str">
        <f>IF(B315="","",Events!$AM15)</f>
        <v/>
      </c>
      <c r="P315" s="27" t="str">
        <f>IF(B315="","",Events!$AN15)</f>
        <v/>
      </c>
      <c r="Q315" s="20" t="str">
        <f t="shared" si="39"/>
        <v/>
      </c>
      <c r="R315" s="20" t="str">
        <f>IF(A315="","",IF(J315&lt;&gt;"",J315,IF(H315="TIMESTAMP",DAY(INT(M315/1440))&amp;" "&amp;INDEX(nLIST_Months,MONTH(INT(M315/1440)))&amp;" "&amp;YEAR(INT(M315/1440))&amp;" "&amp;RIGHT("0"&amp;INT(MOD(M315,1440)/60),2)&amp;":"&amp;RIGHT("0"&amp;MOD(M315,60),2)&amp;IF(L315=1," (UTC"&amp;I315&amp;")"," (offset unknown)"),IF(H315="DATE",DAY(O315)&amp;" "&amp;INDEX(nLIST_Months,MONTH(O315))&amp;" "&amp;YEAR(O315),IF(H315="MONTH",INDEX(nLIST_Months,MONTH(O315))&amp;" "&amp;YEAR(O315)&amp;" ("&amp;DAY(O315)&amp;" "&amp;INDEX(nLIST_Months,MONTH(O315))&amp;" "&amp;YEAR(O315)&amp;" to "&amp;DAY(P315)&amp;" "&amp;INDEX(nLIST_Months,MONTH(P315))&amp;" "&amp;YEAR(P315)&amp;")",IF(H315="YEAR",YEAR(O315)&amp;" (1 January to 31 December)",DAY(O315)&amp;" "&amp;INDEX(nLIST_Months,MONTH(O315))&amp;" "&amp;YEAR(O315)&amp;" to "&amp;DAY(P315)&amp;" "&amp;INDEX(nLIST_Months,MONTH(P315))&amp;" "&amp;YEAR(P315)))))))</f>
        <v/>
      </c>
      <c r="S315" s="20" t="str">
        <f>IF(B315="","",Events!$Z15&amp;"")</f>
        <v/>
      </c>
      <c r="T315" s="20" t="str">
        <f>IF(B315="","",Events!$AI15&amp;"")</f>
        <v/>
      </c>
      <c r="U315" s="20" t="str">
        <f>IF(B315="","","Events row "&amp;ROW(Events!$A15)&amp;", First detection")</f>
        <v/>
      </c>
      <c r="V315" s="20">
        <f>IF(A315="",0,COUNTIF(nTP_Key,A315))</f>
        <v>0</v>
      </c>
      <c r="W315" s="20">
        <f t="shared" si="40"/>
        <v>0</v>
      </c>
      <c r="X315" s="20">
        <f t="shared" si="41"/>
        <v>0</v>
      </c>
      <c r="Y315" s="20">
        <f t="shared" si="42"/>
        <v>0</v>
      </c>
      <c r="Z315" s="20">
        <f t="shared" si="43"/>
        <v>0</v>
      </c>
    </row>
    <row r="316" spans="1:26" x14ac:dyDescent="0.2">
      <c r="A316" s="20" t="str">
        <f t="shared" si="37"/>
        <v/>
      </c>
      <c r="B316" s="20" t="str">
        <f>IF(AND(Events!$D16&lt;&gt;"",COUNTA(Events!$AA16:$AH16)&gt;0),Events!$D16&amp;"/DETECTION","")</f>
        <v/>
      </c>
      <c r="C316" s="20" t="str">
        <f t="shared" si="45"/>
        <v/>
      </c>
      <c r="D316" s="20" t="str">
        <f>IF(B316="","",Events!$A16&amp;"")</f>
        <v/>
      </c>
      <c r="E316" s="20" t="str">
        <f>IF(B316="","",Events!$B16&amp;"")</f>
        <v/>
      </c>
      <c r="F316" s="20" t="str">
        <f t="shared" si="38"/>
        <v/>
      </c>
      <c r="G316" s="20" t="str">
        <f>IF(B316="","",Events!$D16&amp;"")</f>
        <v/>
      </c>
      <c r="H316" s="20" t="str">
        <f>IF(B316="","",Events!$AA16&amp;"")</f>
        <v/>
      </c>
      <c r="I316" s="20" t="str">
        <f>IF(B316="","",Events!$AD16&amp;"")</f>
        <v/>
      </c>
      <c r="J316" s="20" t="str">
        <f>IF(B316="","",Events!$AJ16&amp;"")</f>
        <v/>
      </c>
      <c r="K316" s="20">
        <f>IF(B316="",0,Events!$AK16)</f>
        <v>0</v>
      </c>
      <c r="L316" s="20">
        <f>IF(B316="",0,Events!$AL16)</f>
        <v>0</v>
      </c>
      <c r="M316" s="20" t="str">
        <f>IF(B316="","",Events!$AO16)</f>
        <v/>
      </c>
      <c r="N316" s="20" t="str">
        <f>IF(B316="","",Events!$AP16)</f>
        <v/>
      </c>
      <c r="O316" s="27" t="str">
        <f>IF(B316="","",Events!$AM16)</f>
        <v/>
      </c>
      <c r="P316" s="27" t="str">
        <f>IF(B316="","",Events!$AN16)</f>
        <v/>
      </c>
      <c r="Q316" s="20" t="str">
        <f t="shared" si="39"/>
        <v/>
      </c>
      <c r="R316" s="20" t="str">
        <f>IF(A316="","",IF(J316&lt;&gt;"",J316,IF(H316="TIMESTAMP",DAY(INT(M316/1440))&amp;" "&amp;INDEX(nLIST_Months,MONTH(INT(M316/1440)))&amp;" "&amp;YEAR(INT(M316/1440))&amp;" "&amp;RIGHT("0"&amp;INT(MOD(M316,1440)/60),2)&amp;":"&amp;RIGHT("0"&amp;MOD(M316,60),2)&amp;IF(L316=1," (UTC"&amp;I316&amp;")"," (offset unknown)"),IF(H316="DATE",DAY(O316)&amp;" "&amp;INDEX(nLIST_Months,MONTH(O316))&amp;" "&amp;YEAR(O316),IF(H316="MONTH",INDEX(nLIST_Months,MONTH(O316))&amp;" "&amp;YEAR(O316)&amp;" ("&amp;DAY(O316)&amp;" "&amp;INDEX(nLIST_Months,MONTH(O316))&amp;" "&amp;YEAR(O316)&amp;" to "&amp;DAY(P316)&amp;" "&amp;INDEX(nLIST_Months,MONTH(P316))&amp;" "&amp;YEAR(P316)&amp;")",IF(H316="YEAR",YEAR(O316)&amp;" (1 January to 31 December)",DAY(O316)&amp;" "&amp;INDEX(nLIST_Months,MONTH(O316))&amp;" "&amp;YEAR(O316)&amp;" to "&amp;DAY(P316)&amp;" "&amp;INDEX(nLIST_Months,MONTH(P316))&amp;" "&amp;YEAR(P316)))))))</f>
        <v/>
      </c>
      <c r="S316" s="20" t="str">
        <f>IF(B316="","",Events!$Z16&amp;"")</f>
        <v/>
      </c>
      <c r="T316" s="20" t="str">
        <f>IF(B316="","",Events!$AI16&amp;"")</f>
        <v/>
      </c>
      <c r="U316" s="20" t="str">
        <f>IF(B316="","","Events row "&amp;ROW(Events!$A16)&amp;", First detection")</f>
        <v/>
      </c>
      <c r="V316" s="20">
        <f>IF(A316="",0,COUNTIF(nTP_Key,A316))</f>
        <v>0</v>
      </c>
      <c r="W316" s="20">
        <f t="shared" si="40"/>
        <v>0</v>
      </c>
      <c r="X316" s="20">
        <f t="shared" si="41"/>
        <v>0</v>
      </c>
      <c r="Y316" s="20">
        <f t="shared" si="42"/>
        <v>0</v>
      </c>
      <c r="Z316" s="20">
        <f t="shared" si="43"/>
        <v>0</v>
      </c>
    </row>
    <row r="317" spans="1:26" x14ac:dyDescent="0.2">
      <c r="A317" s="20" t="str">
        <f t="shared" si="37"/>
        <v/>
      </c>
      <c r="B317" s="20" t="str">
        <f>IF(AND(Events!$D17&lt;&gt;"",COUNTA(Events!$AA17:$AH17)&gt;0),Events!$D17&amp;"/DETECTION","")</f>
        <v/>
      </c>
      <c r="C317" s="20" t="str">
        <f t="shared" si="45"/>
        <v/>
      </c>
      <c r="D317" s="20" t="str">
        <f>IF(B317="","",Events!$A17&amp;"")</f>
        <v/>
      </c>
      <c r="E317" s="20" t="str">
        <f>IF(B317="","",Events!$B17&amp;"")</f>
        <v/>
      </c>
      <c r="F317" s="20" t="str">
        <f t="shared" si="38"/>
        <v/>
      </c>
      <c r="G317" s="20" t="str">
        <f>IF(B317="","",Events!$D17&amp;"")</f>
        <v/>
      </c>
      <c r="H317" s="20" t="str">
        <f>IF(B317="","",Events!$AA17&amp;"")</f>
        <v/>
      </c>
      <c r="I317" s="20" t="str">
        <f>IF(B317="","",Events!$AD17&amp;"")</f>
        <v/>
      </c>
      <c r="J317" s="20" t="str">
        <f>IF(B317="","",Events!$AJ17&amp;"")</f>
        <v/>
      </c>
      <c r="K317" s="20">
        <f>IF(B317="",0,Events!$AK17)</f>
        <v>0</v>
      </c>
      <c r="L317" s="20">
        <f>IF(B317="",0,Events!$AL17)</f>
        <v>0</v>
      </c>
      <c r="M317" s="20" t="str">
        <f>IF(B317="","",Events!$AO17)</f>
        <v/>
      </c>
      <c r="N317" s="20" t="str">
        <f>IF(B317="","",Events!$AP17)</f>
        <v/>
      </c>
      <c r="O317" s="27" t="str">
        <f>IF(B317="","",Events!$AM17)</f>
        <v/>
      </c>
      <c r="P317" s="27" t="str">
        <f>IF(B317="","",Events!$AN17)</f>
        <v/>
      </c>
      <c r="Q317" s="20" t="str">
        <f t="shared" si="39"/>
        <v/>
      </c>
      <c r="R317" s="20" t="str">
        <f>IF(A317="","",IF(J317&lt;&gt;"",J317,IF(H317="TIMESTAMP",DAY(INT(M317/1440))&amp;" "&amp;INDEX(nLIST_Months,MONTH(INT(M317/1440)))&amp;" "&amp;YEAR(INT(M317/1440))&amp;" "&amp;RIGHT("0"&amp;INT(MOD(M317,1440)/60),2)&amp;":"&amp;RIGHT("0"&amp;MOD(M317,60),2)&amp;IF(L317=1," (UTC"&amp;I317&amp;")"," (offset unknown)"),IF(H317="DATE",DAY(O317)&amp;" "&amp;INDEX(nLIST_Months,MONTH(O317))&amp;" "&amp;YEAR(O317),IF(H317="MONTH",INDEX(nLIST_Months,MONTH(O317))&amp;" "&amp;YEAR(O317)&amp;" ("&amp;DAY(O317)&amp;" "&amp;INDEX(nLIST_Months,MONTH(O317))&amp;" "&amp;YEAR(O317)&amp;" to "&amp;DAY(P317)&amp;" "&amp;INDEX(nLIST_Months,MONTH(P317))&amp;" "&amp;YEAR(P317)&amp;")",IF(H317="YEAR",YEAR(O317)&amp;" (1 January to 31 December)",DAY(O317)&amp;" "&amp;INDEX(nLIST_Months,MONTH(O317))&amp;" "&amp;YEAR(O317)&amp;" to "&amp;DAY(P317)&amp;" "&amp;INDEX(nLIST_Months,MONTH(P317))&amp;" "&amp;YEAR(P317)))))))</f>
        <v/>
      </c>
      <c r="S317" s="20" t="str">
        <f>IF(B317="","",Events!$Z17&amp;"")</f>
        <v/>
      </c>
      <c r="T317" s="20" t="str">
        <f>IF(B317="","",Events!$AI17&amp;"")</f>
        <v/>
      </c>
      <c r="U317" s="20" t="str">
        <f>IF(B317="","","Events row "&amp;ROW(Events!$A17)&amp;", First detection")</f>
        <v/>
      </c>
      <c r="V317" s="20">
        <f>IF(A317="",0,COUNTIF(nTP_Key,A317))</f>
        <v>0</v>
      </c>
      <c r="W317" s="20">
        <f t="shared" si="40"/>
        <v>0</v>
      </c>
      <c r="X317" s="20">
        <f t="shared" si="41"/>
        <v>0</v>
      </c>
      <c r="Y317" s="20">
        <f t="shared" si="42"/>
        <v>0</v>
      </c>
      <c r="Z317" s="20">
        <f t="shared" si="43"/>
        <v>0</v>
      </c>
    </row>
    <row r="318" spans="1:26" x14ac:dyDescent="0.2">
      <c r="A318" s="20" t="str">
        <f t="shared" si="37"/>
        <v/>
      </c>
      <c r="B318" s="20" t="str">
        <f>IF(AND(Events!$D18&lt;&gt;"",COUNTA(Events!$AA18:$AH18)&gt;0),Events!$D18&amp;"/DETECTION","")</f>
        <v/>
      </c>
      <c r="C318" s="20" t="str">
        <f t="shared" si="45"/>
        <v/>
      </c>
      <c r="D318" s="20" t="str">
        <f>IF(B318="","",Events!$A18&amp;"")</f>
        <v/>
      </c>
      <c r="E318" s="20" t="str">
        <f>IF(B318="","",Events!$B18&amp;"")</f>
        <v/>
      </c>
      <c r="F318" s="20" t="str">
        <f t="shared" si="38"/>
        <v/>
      </c>
      <c r="G318" s="20" t="str">
        <f>IF(B318="","",Events!$D18&amp;"")</f>
        <v/>
      </c>
      <c r="H318" s="20" t="str">
        <f>IF(B318="","",Events!$AA18&amp;"")</f>
        <v/>
      </c>
      <c r="I318" s="20" t="str">
        <f>IF(B318="","",Events!$AD18&amp;"")</f>
        <v/>
      </c>
      <c r="J318" s="20" t="str">
        <f>IF(B318="","",Events!$AJ18&amp;"")</f>
        <v/>
      </c>
      <c r="K318" s="20">
        <f>IF(B318="",0,Events!$AK18)</f>
        <v>0</v>
      </c>
      <c r="L318" s="20">
        <f>IF(B318="",0,Events!$AL18)</f>
        <v>0</v>
      </c>
      <c r="M318" s="20" t="str">
        <f>IF(B318="","",Events!$AO18)</f>
        <v/>
      </c>
      <c r="N318" s="20" t="str">
        <f>IF(B318="","",Events!$AP18)</f>
        <v/>
      </c>
      <c r="O318" s="27" t="str">
        <f>IF(B318="","",Events!$AM18)</f>
        <v/>
      </c>
      <c r="P318" s="27" t="str">
        <f>IF(B318="","",Events!$AN18)</f>
        <v/>
      </c>
      <c r="Q318" s="20" t="str">
        <f t="shared" si="39"/>
        <v/>
      </c>
      <c r="R318" s="20" t="str">
        <f>IF(A318="","",IF(J318&lt;&gt;"",J318,IF(H318="TIMESTAMP",DAY(INT(M318/1440))&amp;" "&amp;INDEX(nLIST_Months,MONTH(INT(M318/1440)))&amp;" "&amp;YEAR(INT(M318/1440))&amp;" "&amp;RIGHT("0"&amp;INT(MOD(M318,1440)/60),2)&amp;":"&amp;RIGHT("0"&amp;MOD(M318,60),2)&amp;IF(L318=1," (UTC"&amp;I318&amp;")"," (offset unknown)"),IF(H318="DATE",DAY(O318)&amp;" "&amp;INDEX(nLIST_Months,MONTH(O318))&amp;" "&amp;YEAR(O318),IF(H318="MONTH",INDEX(nLIST_Months,MONTH(O318))&amp;" "&amp;YEAR(O318)&amp;" ("&amp;DAY(O318)&amp;" "&amp;INDEX(nLIST_Months,MONTH(O318))&amp;" "&amp;YEAR(O318)&amp;" to "&amp;DAY(P318)&amp;" "&amp;INDEX(nLIST_Months,MONTH(P318))&amp;" "&amp;YEAR(P318)&amp;")",IF(H318="YEAR",YEAR(O318)&amp;" (1 January to 31 December)",DAY(O318)&amp;" "&amp;INDEX(nLIST_Months,MONTH(O318))&amp;" "&amp;YEAR(O318)&amp;" to "&amp;DAY(P318)&amp;" "&amp;INDEX(nLIST_Months,MONTH(P318))&amp;" "&amp;YEAR(P318)))))))</f>
        <v/>
      </c>
      <c r="S318" s="20" t="str">
        <f>IF(B318="","",Events!$Z18&amp;"")</f>
        <v/>
      </c>
      <c r="T318" s="20" t="str">
        <f>IF(B318="","",Events!$AI18&amp;"")</f>
        <v/>
      </c>
      <c r="U318" s="20" t="str">
        <f>IF(B318="","","Events row "&amp;ROW(Events!$A18)&amp;", First detection")</f>
        <v/>
      </c>
      <c r="V318" s="20">
        <f>IF(A318="",0,COUNTIF(nTP_Key,A318))</f>
        <v>0</v>
      </c>
      <c r="W318" s="20">
        <f t="shared" si="40"/>
        <v>0</v>
      </c>
      <c r="X318" s="20">
        <f t="shared" si="41"/>
        <v>0</v>
      </c>
      <c r="Y318" s="20">
        <f t="shared" si="42"/>
        <v>0</v>
      </c>
      <c r="Z318" s="20">
        <f t="shared" si="43"/>
        <v>0</v>
      </c>
    </row>
    <row r="319" spans="1:26" x14ac:dyDescent="0.2">
      <c r="A319" s="20" t="str">
        <f t="shared" si="37"/>
        <v/>
      </c>
      <c r="B319" s="20" t="str">
        <f>IF(AND(Events!$D19&lt;&gt;"",COUNTA(Events!$AA19:$AH19)&gt;0),Events!$D19&amp;"/DETECTION","")</f>
        <v/>
      </c>
      <c r="C319" s="20" t="str">
        <f t="shared" si="45"/>
        <v/>
      </c>
      <c r="D319" s="20" t="str">
        <f>IF(B319="","",Events!$A19&amp;"")</f>
        <v/>
      </c>
      <c r="E319" s="20" t="str">
        <f>IF(B319="","",Events!$B19&amp;"")</f>
        <v/>
      </c>
      <c r="F319" s="20" t="str">
        <f t="shared" si="38"/>
        <v/>
      </c>
      <c r="G319" s="20" t="str">
        <f>IF(B319="","",Events!$D19&amp;"")</f>
        <v/>
      </c>
      <c r="H319" s="20" t="str">
        <f>IF(B319="","",Events!$AA19&amp;"")</f>
        <v/>
      </c>
      <c r="I319" s="20" t="str">
        <f>IF(B319="","",Events!$AD19&amp;"")</f>
        <v/>
      </c>
      <c r="J319" s="20" t="str">
        <f>IF(B319="","",Events!$AJ19&amp;"")</f>
        <v/>
      </c>
      <c r="K319" s="20">
        <f>IF(B319="",0,Events!$AK19)</f>
        <v>0</v>
      </c>
      <c r="L319" s="20">
        <f>IF(B319="",0,Events!$AL19)</f>
        <v>0</v>
      </c>
      <c r="M319" s="20" t="str">
        <f>IF(B319="","",Events!$AO19)</f>
        <v/>
      </c>
      <c r="N319" s="20" t="str">
        <f>IF(B319="","",Events!$AP19)</f>
        <v/>
      </c>
      <c r="O319" s="27" t="str">
        <f>IF(B319="","",Events!$AM19)</f>
        <v/>
      </c>
      <c r="P319" s="27" t="str">
        <f>IF(B319="","",Events!$AN19)</f>
        <v/>
      </c>
      <c r="Q319" s="20" t="str">
        <f t="shared" si="39"/>
        <v/>
      </c>
      <c r="R319" s="20" t="str">
        <f>IF(A319="","",IF(J319&lt;&gt;"",J319,IF(H319="TIMESTAMP",DAY(INT(M319/1440))&amp;" "&amp;INDEX(nLIST_Months,MONTH(INT(M319/1440)))&amp;" "&amp;YEAR(INT(M319/1440))&amp;" "&amp;RIGHT("0"&amp;INT(MOD(M319,1440)/60),2)&amp;":"&amp;RIGHT("0"&amp;MOD(M319,60),2)&amp;IF(L319=1," (UTC"&amp;I319&amp;")"," (offset unknown)"),IF(H319="DATE",DAY(O319)&amp;" "&amp;INDEX(nLIST_Months,MONTH(O319))&amp;" "&amp;YEAR(O319),IF(H319="MONTH",INDEX(nLIST_Months,MONTH(O319))&amp;" "&amp;YEAR(O319)&amp;" ("&amp;DAY(O319)&amp;" "&amp;INDEX(nLIST_Months,MONTH(O319))&amp;" "&amp;YEAR(O319)&amp;" to "&amp;DAY(P319)&amp;" "&amp;INDEX(nLIST_Months,MONTH(P319))&amp;" "&amp;YEAR(P319)&amp;")",IF(H319="YEAR",YEAR(O319)&amp;" (1 January to 31 December)",DAY(O319)&amp;" "&amp;INDEX(nLIST_Months,MONTH(O319))&amp;" "&amp;YEAR(O319)&amp;" to "&amp;DAY(P319)&amp;" "&amp;INDEX(nLIST_Months,MONTH(P319))&amp;" "&amp;YEAR(P319)))))))</f>
        <v/>
      </c>
      <c r="S319" s="20" t="str">
        <f>IF(B319="","",Events!$Z19&amp;"")</f>
        <v/>
      </c>
      <c r="T319" s="20" t="str">
        <f>IF(B319="","",Events!$AI19&amp;"")</f>
        <v/>
      </c>
      <c r="U319" s="20" t="str">
        <f>IF(B319="","","Events row "&amp;ROW(Events!$A19)&amp;", First detection")</f>
        <v/>
      </c>
      <c r="V319" s="20">
        <f>IF(A319="",0,COUNTIF(nTP_Key,A319))</f>
        <v>0</v>
      </c>
      <c r="W319" s="20">
        <f t="shared" si="40"/>
        <v>0</v>
      </c>
      <c r="X319" s="20">
        <f t="shared" si="41"/>
        <v>0</v>
      </c>
      <c r="Y319" s="20">
        <f t="shared" si="42"/>
        <v>0</v>
      </c>
      <c r="Z319" s="20">
        <f t="shared" si="43"/>
        <v>0</v>
      </c>
    </row>
    <row r="320" spans="1:26" x14ac:dyDescent="0.2">
      <c r="A320" s="20" t="str">
        <f t="shared" si="37"/>
        <v/>
      </c>
      <c r="B320" s="20" t="str">
        <f>IF(AND(Events!$D20&lt;&gt;"",COUNTA(Events!$AA20:$AH20)&gt;0),Events!$D20&amp;"/DETECTION","")</f>
        <v/>
      </c>
      <c r="C320" s="20" t="str">
        <f t="shared" si="45"/>
        <v/>
      </c>
      <c r="D320" s="20" t="str">
        <f>IF(B320="","",Events!$A20&amp;"")</f>
        <v/>
      </c>
      <c r="E320" s="20" t="str">
        <f>IF(B320="","",Events!$B20&amp;"")</f>
        <v/>
      </c>
      <c r="F320" s="20" t="str">
        <f t="shared" si="38"/>
        <v/>
      </c>
      <c r="G320" s="20" t="str">
        <f>IF(B320="","",Events!$D20&amp;"")</f>
        <v/>
      </c>
      <c r="H320" s="20" t="str">
        <f>IF(B320="","",Events!$AA20&amp;"")</f>
        <v/>
      </c>
      <c r="I320" s="20" t="str">
        <f>IF(B320="","",Events!$AD20&amp;"")</f>
        <v/>
      </c>
      <c r="J320" s="20" t="str">
        <f>IF(B320="","",Events!$AJ20&amp;"")</f>
        <v/>
      </c>
      <c r="K320" s="20">
        <f>IF(B320="",0,Events!$AK20)</f>
        <v>0</v>
      </c>
      <c r="L320" s="20">
        <f>IF(B320="",0,Events!$AL20)</f>
        <v>0</v>
      </c>
      <c r="M320" s="20" t="str">
        <f>IF(B320="","",Events!$AO20)</f>
        <v/>
      </c>
      <c r="N320" s="20" t="str">
        <f>IF(B320="","",Events!$AP20)</f>
        <v/>
      </c>
      <c r="O320" s="27" t="str">
        <f>IF(B320="","",Events!$AM20)</f>
        <v/>
      </c>
      <c r="P320" s="27" t="str">
        <f>IF(B320="","",Events!$AN20)</f>
        <v/>
      </c>
      <c r="Q320" s="20" t="str">
        <f t="shared" si="39"/>
        <v/>
      </c>
      <c r="R320" s="20" t="str">
        <f>IF(A320="","",IF(J320&lt;&gt;"",J320,IF(H320="TIMESTAMP",DAY(INT(M320/1440))&amp;" "&amp;INDEX(nLIST_Months,MONTH(INT(M320/1440)))&amp;" "&amp;YEAR(INT(M320/1440))&amp;" "&amp;RIGHT("0"&amp;INT(MOD(M320,1440)/60),2)&amp;":"&amp;RIGHT("0"&amp;MOD(M320,60),2)&amp;IF(L320=1," (UTC"&amp;I320&amp;")"," (offset unknown)"),IF(H320="DATE",DAY(O320)&amp;" "&amp;INDEX(nLIST_Months,MONTH(O320))&amp;" "&amp;YEAR(O320),IF(H320="MONTH",INDEX(nLIST_Months,MONTH(O320))&amp;" "&amp;YEAR(O320)&amp;" ("&amp;DAY(O320)&amp;" "&amp;INDEX(nLIST_Months,MONTH(O320))&amp;" "&amp;YEAR(O320)&amp;" to "&amp;DAY(P320)&amp;" "&amp;INDEX(nLIST_Months,MONTH(P320))&amp;" "&amp;YEAR(P320)&amp;")",IF(H320="YEAR",YEAR(O320)&amp;" (1 January to 31 December)",DAY(O320)&amp;" "&amp;INDEX(nLIST_Months,MONTH(O320))&amp;" "&amp;YEAR(O320)&amp;" to "&amp;DAY(P320)&amp;" "&amp;INDEX(nLIST_Months,MONTH(P320))&amp;" "&amp;YEAR(P320)))))))</f>
        <v/>
      </c>
      <c r="S320" s="20" t="str">
        <f>IF(B320="","",Events!$Z20&amp;"")</f>
        <v/>
      </c>
      <c r="T320" s="20" t="str">
        <f>IF(B320="","",Events!$AI20&amp;"")</f>
        <v/>
      </c>
      <c r="U320" s="20" t="str">
        <f>IF(B320="","","Events row "&amp;ROW(Events!$A20)&amp;", First detection")</f>
        <v/>
      </c>
      <c r="V320" s="20">
        <f>IF(A320="",0,COUNTIF(nTP_Key,A320))</f>
        <v>0</v>
      </c>
      <c r="W320" s="20">
        <f t="shared" si="40"/>
        <v>0</v>
      </c>
      <c r="X320" s="20">
        <f t="shared" si="41"/>
        <v>0</v>
      </c>
      <c r="Y320" s="20">
        <f t="shared" si="42"/>
        <v>0</v>
      </c>
      <c r="Z320" s="20">
        <f t="shared" si="43"/>
        <v>0</v>
      </c>
    </row>
    <row r="321" spans="1:26" x14ac:dyDescent="0.2">
      <c r="A321" s="20" t="str">
        <f t="shared" si="37"/>
        <v/>
      </c>
      <c r="B321" s="20" t="str">
        <f>IF(AND(Events!$D21&lt;&gt;"",COUNTA(Events!$AA21:$AH21)&gt;0),Events!$D21&amp;"/DETECTION","")</f>
        <v/>
      </c>
      <c r="C321" s="20" t="str">
        <f t="shared" si="45"/>
        <v/>
      </c>
      <c r="D321" s="20" t="str">
        <f>IF(B321="","",Events!$A21&amp;"")</f>
        <v/>
      </c>
      <c r="E321" s="20" t="str">
        <f>IF(B321="","",Events!$B21&amp;"")</f>
        <v/>
      </c>
      <c r="F321" s="20" t="str">
        <f t="shared" si="38"/>
        <v/>
      </c>
      <c r="G321" s="20" t="str">
        <f>IF(B321="","",Events!$D21&amp;"")</f>
        <v/>
      </c>
      <c r="H321" s="20" t="str">
        <f>IF(B321="","",Events!$AA21&amp;"")</f>
        <v/>
      </c>
      <c r="I321" s="20" t="str">
        <f>IF(B321="","",Events!$AD21&amp;"")</f>
        <v/>
      </c>
      <c r="J321" s="20" t="str">
        <f>IF(B321="","",Events!$AJ21&amp;"")</f>
        <v/>
      </c>
      <c r="K321" s="20">
        <f>IF(B321="",0,Events!$AK21)</f>
        <v>0</v>
      </c>
      <c r="L321" s="20">
        <f>IF(B321="",0,Events!$AL21)</f>
        <v>0</v>
      </c>
      <c r="M321" s="20" t="str">
        <f>IF(B321="","",Events!$AO21)</f>
        <v/>
      </c>
      <c r="N321" s="20" t="str">
        <f>IF(B321="","",Events!$AP21)</f>
        <v/>
      </c>
      <c r="O321" s="27" t="str">
        <f>IF(B321="","",Events!$AM21)</f>
        <v/>
      </c>
      <c r="P321" s="27" t="str">
        <f>IF(B321="","",Events!$AN21)</f>
        <v/>
      </c>
      <c r="Q321" s="20" t="str">
        <f t="shared" si="39"/>
        <v/>
      </c>
      <c r="R321" s="20" t="str">
        <f>IF(A321="","",IF(J321&lt;&gt;"",J321,IF(H321="TIMESTAMP",DAY(INT(M321/1440))&amp;" "&amp;INDEX(nLIST_Months,MONTH(INT(M321/1440)))&amp;" "&amp;YEAR(INT(M321/1440))&amp;" "&amp;RIGHT("0"&amp;INT(MOD(M321,1440)/60),2)&amp;":"&amp;RIGHT("0"&amp;MOD(M321,60),2)&amp;IF(L321=1," (UTC"&amp;I321&amp;")"," (offset unknown)"),IF(H321="DATE",DAY(O321)&amp;" "&amp;INDEX(nLIST_Months,MONTH(O321))&amp;" "&amp;YEAR(O321),IF(H321="MONTH",INDEX(nLIST_Months,MONTH(O321))&amp;" "&amp;YEAR(O321)&amp;" ("&amp;DAY(O321)&amp;" "&amp;INDEX(nLIST_Months,MONTH(O321))&amp;" "&amp;YEAR(O321)&amp;" to "&amp;DAY(P321)&amp;" "&amp;INDEX(nLIST_Months,MONTH(P321))&amp;" "&amp;YEAR(P321)&amp;")",IF(H321="YEAR",YEAR(O321)&amp;" (1 January to 31 December)",DAY(O321)&amp;" "&amp;INDEX(nLIST_Months,MONTH(O321))&amp;" "&amp;YEAR(O321)&amp;" to "&amp;DAY(P321)&amp;" "&amp;INDEX(nLIST_Months,MONTH(P321))&amp;" "&amp;YEAR(P321)))))))</f>
        <v/>
      </c>
      <c r="S321" s="20" t="str">
        <f>IF(B321="","",Events!$Z21&amp;"")</f>
        <v/>
      </c>
      <c r="T321" s="20" t="str">
        <f>IF(B321="","",Events!$AI21&amp;"")</f>
        <v/>
      </c>
      <c r="U321" s="20" t="str">
        <f>IF(B321="","","Events row "&amp;ROW(Events!$A21)&amp;", First detection")</f>
        <v/>
      </c>
      <c r="V321" s="20">
        <f>IF(A321="",0,COUNTIF(nTP_Key,A321))</f>
        <v>0</v>
      </c>
      <c r="W321" s="20">
        <f t="shared" si="40"/>
        <v>0</v>
      </c>
      <c r="X321" s="20">
        <f t="shared" si="41"/>
        <v>0</v>
      </c>
      <c r="Y321" s="20">
        <f t="shared" si="42"/>
        <v>0</v>
      </c>
      <c r="Z321" s="20">
        <f t="shared" si="43"/>
        <v>0</v>
      </c>
    </row>
    <row r="322" spans="1:26" x14ac:dyDescent="0.2">
      <c r="A322" s="20" t="str">
        <f t="shared" si="37"/>
        <v/>
      </c>
      <c r="B322" s="20" t="str">
        <f>IF(AND(Events!$D22&lt;&gt;"",COUNTA(Events!$AA22:$AH22)&gt;0),Events!$D22&amp;"/DETECTION","")</f>
        <v/>
      </c>
      <c r="C322" s="20" t="str">
        <f t="shared" si="45"/>
        <v/>
      </c>
      <c r="D322" s="20" t="str">
        <f>IF(B322="","",Events!$A22&amp;"")</f>
        <v/>
      </c>
      <c r="E322" s="20" t="str">
        <f>IF(B322="","",Events!$B22&amp;"")</f>
        <v/>
      </c>
      <c r="F322" s="20" t="str">
        <f t="shared" si="38"/>
        <v/>
      </c>
      <c r="G322" s="20" t="str">
        <f>IF(B322="","",Events!$D22&amp;"")</f>
        <v/>
      </c>
      <c r="H322" s="20" t="str">
        <f>IF(B322="","",Events!$AA22&amp;"")</f>
        <v/>
      </c>
      <c r="I322" s="20" t="str">
        <f>IF(B322="","",Events!$AD22&amp;"")</f>
        <v/>
      </c>
      <c r="J322" s="20" t="str">
        <f>IF(B322="","",Events!$AJ22&amp;"")</f>
        <v/>
      </c>
      <c r="K322" s="20">
        <f>IF(B322="",0,Events!$AK22)</f>
        <v>0</v>
      </c>
      <c r="L322" s="20">
        <f>IF(B322="",0,Events!$AL22)</f>
        <v>0</v>
      </c>
      <c r="M322" s="20" t="str">
        <f>IF(B322="","",Events!$AO22)</f>
        <v/>
      </c>
      <c r="N322" s="20" t="str">
        <f>IF(B322="","",Events!$AP22)</f>
        <v/>
      </c>
      <c r="O322" s="27" t="str">
        <f>IF(B322="","",Events!$AM22)</f>
        <v/>
      </c>
      <c r="P322" s="27" t="str">
        <f>IF(B322="","",Events!$AN22)</f>
        <v/>
      </c>
      <c r="Q322" s="20" t="str">
        <f t="shared" si="39"/>
        <v/>
      </c>
      <c r="R322" s="20" t="str">
        <f>IF(A322="","",IF(J322&lt;&gt;"",J322,IF(H322="TIMESTAMP",DAY(INT(M322/1440))&amp;" "&amp;INDEX(nLIST_Months,MONTH(INT(M322/1440)))&amp;" "&amp;YEAR(INT(M322/1440))&amp;" "&amp;RIGHT("0"&amp;INT(MOD(M322,1440)/60),2)&amp;":"&amp;RIGHT("0"&amp;MOD(M322,60),2)&amp;IF(L322=1," (UTC"&amp;I322&amp;")"," (offset unknown)"),IF(H322="DATE",DAY(O322)&amp;" "&amp;INDEX(nLIST_Months,MONTH(O322))&amp;" "&amp;YEAR(O322),IF(H322="MONTH",INDEX(nLIST_Months,MONTH(O322))&amp;" "&amp;YEAR(O322)&amp;" ("&amp;DAY(O322)&amp;" "&amp;INDEX(nLIST_Months,MONTH(O322))&amp;" "&amp;YEAR(O322)&amp;" to "&amp;DAY(P322)&amp;" "&amp;INDEX(nLIST_Months,MONTH(P322))&amp;" "&amp;YEAR(P322)&amp;")",IF(H322="YEAR",YEAR(O322)&amp;" (1 January to 31 December)",DAY(O322)&amp;" "&amp;INDEX(nLIST_Months,MONTH(O322))&amp;" "&amp;YEAR(O322)&amp;" to "&amp;DAY(P322)&amp;" "&amp;INDEX(nLIST_Months,MONTH(P322))&amp;" "&amp;YEAR(P322)))))))</f>
        <v/>
      </c>
      <c r="S322" s="20" t="str">
        <f>IF(B322="","",Events!$Z22&amp;"")</f>
        <v/>
      </c>
      <c r="T322" s="20" t="str">
        <f>IF(B322="","",Events!$AI22&amp;"")</f>
        <v/>
      </c>
      <c r="U322" s="20" t="str">
        <f>IF(B322="","","Events row "&amp;ROW(Events!$A22)&amp;", First detection")</f>
        <v/>
      </c>
      <c r="V322" s="20">
        <f>IF(A322="",0,COUNTIF(nTP_Key,A322))</f>
        <v>0</v>
      </c>
      <c r="W322" s="20">
        <f t="shared" si="40"/>
        <v>0</v>
      </c>
      <c r="X322" s="20">
        <f t="shared" si="41"/>
        <v>0</v>
      </c>
      <c r="Y322" s="20">
        <f t="shared" si="42"/>
        <v>0</v>
      </c>
      <c r="Z322" s="20">
        <f t="shared" si="43"/>
        <v>0</v>
      </c>
    </row>
    <row r="323" spans="1:26" x14ac:dyDescent="0.2">
      <c r="A323" s="20" t="str">
        <f t="shared" si="37"/>
        <v>EX-C28|2|EV-HBV/DETECTION</v>
      </c>
      <c r="B323" s="20" t="str">
        <f>IF(AND(Events!$D23&lt;&gt;"",COUNTA(Events!$AA23:$AH23)&gt;0),Events!$D23&amp;"/DETECTION","")</f>
        <v>EV-HBV/DETECTION</v>
      </c>
      <c r="C323" s="20" t="str">
        <f t="shared" si="45"/>
        <v>EVENT_DETECTION</v>
      </c>
      <c r="D323" s="20" t="str">
        <f>IF(B323="","",Events!$A23&amp;"")</f>
        <v>EX-C28</v>
      </c>
      <c r="E323" s="20" t="str">
        <f>IF(B323="","",Events!$B23&amp;"")</f>
        <v>2</v>
      </c>
      <c r="F323" s="20" t="str">
        <f t="shared" si="38"/>
        <v>EX-C28|2</v>
      </c>
      <c r="G323" s="20" t="str">
        <f>IF(B323="","",Events!$D23&amp;"")</f>
        <v>EV-HBV</v>
      </c>
      <c r="H323" s="20" t="str">
        <f>IF(B323="","",Events!$AA23&amp;"")</f>
        <v>DATE</v>
      </c>
      <c r="I323" s="20" t="str">
        <f>IF(B323="","",Events!$AD23&amp;"")</f>
        <v/>
      </c>
      <c r="J323" s="20" t="str">
        <f>IF(B323="","",Events!$AJ23&amp;"")</f>
        <v/>
      </c>
      <c r="K323" s="20">
        <f>IF(B323="",0,Events!$AK23)</f>
        <v>0</v>
      </c>
      <c r="L323" s="20">
        <f>IF(B323="",0,Events!$AL23)</f>
        <v>0</v>
      </c>
      <c r="M323" s="20" t="str">
        <f>IF(B323="","",Events!$AO23)</f>
        <v/>
      </c>
      <c r="N323" s="20" t="str">
        <f>IF(B323="","",Events!$AP23)</f>
        <v/>
      </c>
      <c r="O323" s="27">
        <f>IF(B323="","",Events!$AM23)</f>
        <v>46154</v>
      </c>
      <c r="P323" s="27">
        <f>IF(B323="","",Events!$AN23)</f>
        <v>46154</v>
      </c>
      <c r="Q323" s="20" t="str">
        <f t="shared" si="39"/>
        <v>2026-05-12</v>
      </c>
      <c r="R323" s="20" t="str">
        <f>IF(A323="","",IF(J323&lt;&gt;"",J323,IF(H323="TIMESTAMP",DAY(INT(M323/1440))&amp;" "&amp;INDEX(nLIST_Months,MONTH(INT(M323/1440)))&amp;" "&amp;YEAR(INT(M323/1440))&amp;" "&amp;RIGHT("0"&amp;INT(MOD(M323,1440)/60),2)&amp;":"&amp;RIGHT("0"&amp;MOD(M323,60),2)&amp;IF(L323=1," (UTC"&amp;I323&amp;")"," (offset unknown)"),IF(H323="DATE",DAY(O323)&amp;" "&amp;INDEX(nLIST_Months,MONTH(O323))&amp;" "&amp;YEAR(O323),IF(H323="MONTH",INDEX(nLIST_Months,MONTH(O323))&amp;" "&amp;YEAR(O323)&amp;" ("&amp;DAY(O323)&amp;" "&amp;INDEX(nLIST_Months,MONTH(O323))&amp;" "&amp;YEAR(O323)&amp;" to "&amp;DAY(P323)&amp;" "&amp;INDEX(nLIST_Months,MONTH(P323))&amp;" "&amp;YEAR(P323)&amp;")",IF(H323="YEAR",YEAR(O323)&amp;" (1 January to 31 December)",DAY(O323)&amp;" "&amp;INDEX(nLIST_Months,MONTH(O323))&amp;" "&amp;YEAR(O323)&amp;" to "&amp;DAY(P323)&amp;" "&amp;INDEX(nLIST_Months,MONTH(P323))&amp;" "&amp;YEAR(P323)))))))</f>
        <v>12 May 2026</v>
      </c>
      <c r="S323" s="20" t="str">
        <f>IF(B323="","",Events!$Z23&amp;"")</f>
        <v>12/05/2026 HBV DNA 1,850 IU/mL</v>
      </c>
      <c r="T323" s="20" t="str">
        <f>IF(B323="","",Events!$AI23&amp;"")</f>
        <v>Hepatology letter</v>
      </c>
      <c r="U323" s="20" t="str">
        <f>IF(B323="","","Events row "&amp;ROW(Events!$A23)&amp;", First detection")</f>
        <v>Events row 23, First detection</v>
      </c>
      <c r="V323" s="20">
        <f>IF(A323="",0,COUNTIF(nTP_Key,A323))</f>
        <v>1</v>
      </c>
      <c r="W323" s="20">
        <f t="shared" si="40"/>
        <v>0</v>
      </c>
      <c r="X323" s="20">
        <f t="shared" si="41"/>
        <v>0</v>
      </c>
      <c r="Y323" s="20">
        <f t="shared" si="42"/>
        <v>46154</v>
      </c>
      <c r="Z323" s="20">
        <f t="shared" si="43"/>
        <v>46154</v>
      </c>
    </row>
    <row r="324" spans="1:26" x14ac:dyDescent="0.2">
      <c r="A324" s="20" t="str">
        <f t="shared" si="37"/>
        <v/>
      </c>
      <c r="B324" s="20" t="str">
        <f>IF(AND(Events!$D24&lt;&gt;"",COUNTA(Events!$AA24:$AH24)&gt;0),Events!$D24&amp;"/DETECTION","")</f>
        <v/>
      </c>
      <c r="C324" s="20" t="str">
        <f t="shared" si="45"/>
        <v/>
      </c>
      <c r="D324" s="20" t="str">
        <f>IF(B324="","",Events!$A24&amp;"")</f>
        <v/>
      </c>
      <c r="E324" s="20" t="str">
        <f>IF(B324="","",Events!$B24&amp;"")</f>
        <v/>
      </c>
      <c r="F324" s="20" t="str">
        <f t="shared" si="38"/>
        <v/>
      </c>
      <c r="G324" s="20" t="str">
        <f>IF(B324="","",Events!$D24&amp;"")</f>
        <v/>
      </c>
      <c r="H324" s="20" t="str">
        <f>IF(B324="","",Events!$AA24&amp;"")</f>
        <v/>
      </c>
      <c r="I324" s="20" t="str">
        <f>IF(B324="","",Events!$AD24&amp;"")</f>
        <v/>
      </c>
      <c r="J324" s="20" t="str">
        <f>IF(B324="","",Events!$AJ24&amp;"")</f>
        <v/>
      </c>
      <c r="K324" s="20">
        <f>IF(B324="",0,Events!$AK24)</f>
        <v>0</v>
      </c>
      <c r="L324" s="20">
        <f>IF(B324="",0,Events!$AL24)</f>
        <v>0</v>
      </c>
      <c r="M324" s="20" t="str">
        <f>IF(B324="","",Events!$AO24)</f>
        <v/>
      </c>
      <c r="N324" s="20" t="str">
        <f>IF(B324="","",Events!$AP24)</f>
        <v/>
      </c>
      <c r="O324" s="27" t="str">
        <f>IF(B324="","",Events!$AM24)</f>
        <v/>
      </c>
      <c r="P324" s="27" t="str">
        <f>IF(B324="","",Events!$AN24)</f>
        <v/>
      </c>
      <c r="Q324" s="20" t="str">
        <f t="shared" si="39"/>
        <v/>
      </c>
      <c r="R324" s="20" t="str">
        <f>IF(A324="","",IF(J324&lt;&gt;"",J324,IF(H324="TIMESTAMP",DAY(INT(M324/1440))&amp;" "&amp;INDEX(nLIST_Months,MONTH(INT(M324/1440)))&amp;" "&amp;YEAR(INT(M324/1440))&amp;" "&amp;RIGHT("0"&amp;INT(MOD(M324,1440)/60),2)&amp;":"&amp;RIGHT("0"&amp;MOD(M324,60),2)&amp;IF(L324=1," (UTC"&amp;I324&amp;")"," (offset unknown)"),IF(H324="DATE",DAY(O324)&amp;" "&amp;INDEX(nLIST_Months,MONTH(O324))&amp;" "&amp;YEAR(O324),IF(H324="MONTH",INDEX(nLIST_Months,MONTH(O324))&amp;" "&amp;YEAR(O324)&amp;" ("&amp;DAY(O324)&amp;" "&amp;INDEX(nLIST_Months,MONTH(O324))&amp;" "&amp;YEAR(O324)&amp;" to "&amp;DAY(P324)&amp;" "&amp;INDEX(nLIST_Months,MONTH(P324))&amp;" "&amp;YEAR(P324)&amp;")",IF(H324="YEAR",YEAR(O324)&amp;" (1 January to 31 December)",DAY(O324)&amp;" "&amp;INDEX(nLIST_Months,MONTH(O324))&amp;" "&amp;YEAR(O324)&amp;" to "&amp;DAY(P324)&amp;" "&amp;INDEX(nLIST_Months,MONTH(P324))&amp;" "&amp;YEAR(P324)))))))</f>
        <v/>
      </c>
      <c r="S324" s="20" t="str">
        <f>IF(B324="","",Events!$Z24&amp;"")</f>
        <v/>
      </c>
      <c r="T324" s="20" t="str">
        <f>IF(B324="","",Events!$AI24&amp;"")</f>
        <v/>
      </c>
      <c r="U324" s="20" t="str">
        <f>IF(B324="","","Events row "&amp;ROW(Events!$A24)&amp;", First detection")</f>
        <v/>
      </c>
      <c r="V324" s="20">
        <f>IF(A324="",0,COUNTIF(nTP_Key,A324))</f>
        <v>0</v>
      </c>
      <c r="W324" s="20">
        <f t="shared" si="40"/>
        <v>0</v>
      </c>
      <c r="X324" s="20">
        <f t="shared" si="41"/>
        <v>0</v>
      </c>
      <c r="Y324" s="20">
        <f t="shared" si="42"/>
        <v>0</v>
      </c>
      <c r="Z324" s="20">
        <f t="shared" si="43"/>
        <v>0</v>
      </c>
    </row>
    <row r="325" spans="1:26" x14ac:dyDescent="0.2">
      <c r="A325" s="20" t="str">
        <f t="shared" ref="A325:A388" si="46">IF(B325="","",F325&amp;"|"&amp;B325)</f>
        <v/>
      </c>
      <c r="B325" s="20" t="str">
        <f>IF(AND(Events!$D25&lt;&gt;"",COUNTA(Events!$AA25:$AH25)&gt;0),Events!$D25&amp;"/DETECTION","")</f>
        <v/>
      </c>
      <c r="C325" s="20" t="str">
        <f t="shared" si="45"/>
        <v/>
      </c>
      <c r="D325" s="20" t="str">
        <f>IF(B325="","",Events!$A25&amp;"")</f>
        <v/>
      </c>
      <c r="E325" s="20" t="str">
        <f>IF(B325="","",Events!$B25&amp;"")</f>
        <v/>
      </c>
      <c r="F325" s="20" t="str">
        <f t="shared" ref="F325:F388" si="47">IF(B325="","",D325&amp;"|"&amp;E325)</f>
        <v/>
      </c>
      <c r="G325" s="20" t="str">
        <f>IF(B325="","",Events!$D25&amp;"")</f>
        <v/>
      </c>
      <c r="H325" s="20" t="str">
        <f>IF(B325="","",Events!$AA25&amp;"")</f>
        <v/>
      </c>
      <c r="I325" s="20" t="str">
        <f>IF(B325="","",Events!$AD25&amp;"")</f>
        <v/>
      </c>
      <c r="J325" s="20" t="str">
        <f>IF(B325="","",Events!$AJ25&amp;"")</f>
        <v/>
      </c>
      <c r="K325" s="20">
        <f>IF(B325="",0,Events!$AK25)</f>
        <v>0</v>
      </c>
      <c r="L325" s="20">
        <f>IF(B325="",0,Events!$AL25)</f>
        <v>0</v>
      </c>
      <c r="M325" s="20" t="str">
        <f>IF(B325="","",Events!$AO25)</f>
        <v/>
      </c>
      <c r="N325" s="20" t="str">
        <f>IF(B325="","",Events!$AP25)</f>
        <v/>
      </c>
      <c r="O325" s="27" t="str">
        <f>IF(B325="","",Events!$AM25)</f>
        <v/>
      </c>
      <c r="P325" s="27" t="str">
        <f>IF(B325="","",Events!$AN25)</f>
        <v/>
      </c>
      <c r="Q325" s="20" t="str">
        <f t="shared" ref="Q325:Q388" si="48">IF(OR(A325="",J325&lt;&gt;""),"",IF(H325="TIMESTAMP",YEAR(INT(M325/1440))&amp;"-"&amp;RIGHT("0"&amp;MONTH(INT(M325/1440)),2)&amp;"-"&amp;RIGHT("0"&amp;DAY(INT(M325/1440)),2)&amp;"T"&amp;RIGHT("0"&amp;INT(MOD(M325,1440)/60),2)&amp;":"&amp;RIGHT("0"&amp;MOD(M325,60),2)&amp;IF(L325=1,I325,""),IF(H325="DATE",YEAR(O325)&amp;"-"&amp;RIGHT("0"&amp;MONTH(O325),2)&amp;"-"&amp;RIGHT("0"&amp;DAY(O325),2),IF(H325="MONTH",YEAR(O325)&amp;"-"&amp;RIGHT("0"&amp;MONTH(O325),2),IF(H325="YEAR",YEAR(O325)&amp;"",YEAR(O325)&amp;"-"&amp;RIGHT("0"&amp;MONTH(O325),2)&amp;"-"&amp;RIGHT("0"&amp;DAY(O325),2)&amp;"/"&amp;YEAR(P325)&amp;"-"&amp;RIGHT("0"&amp;MONTH(P325),2)&amp;"-"&amp;RIGHT("0"&amp;DAY(P325),2))))))</f>
        <v/>
      </c>
      <c r="R325" s="20" t="str">
        <f>IF(A325="","",IF(J325&lt;&gt;"",J325,IF(H325="TIMESTAMP",DAY(INT(M325/1440))&amp;" "&amp;INDEX(nLIST_Months,MONTH(INT(M325/1440)))&amp;" "&amp;YEAR(INT(M325/1440))&amp;" "&amp;RIGHT("0"&amp;INT(MOD(M325,1440)/60),2)&amp;":"&amp;RIGHT("0"&amp;MOD(M325,60),2)&amp;IF(L325=1," (UTC"&amp;I325&amp;")"," (offset unknown)"),IF(H325="DATE",DAY(O325)&amp;" "&amp;INDEX(nLIST_Months,MONTH(O325))&amp;" "&amp;YEAR(O325),IF(H325="MONTH",INDEX(nLIST_Months,MONTH(O325))&amp;" "&amp;YEAR(O325)&amp;" ("&amp;DAY(O325)&amp;" "&amp;INDEX(nLIST_Months,MONTH(O325))&amp;" "&amp;YEAR(O325)&amp;" to "&amp;DAY(P325)&amp;" "&amp;INDEX(nLIST_Months,MONTH(P325))&amp;" "&amp;YEAR(P325)&amp;")",IF(H325="YEAR",YEAR(O325)&amp;" (1 January to 31 December)",DAY(O325)&amp;" "&amp;INDEX(nLIST_Months,MONTH(O325))&amp;" "&amp;YEAR(O325)&amp;" to "&amp;DAY(P325)&amp;" "&amp;INDEX(nLIST_Months,MONTH(P325))&amp;" "&amp;YEAR(P325)))))))</f>
        <v/>
      </c>
      <c r="S325" s="20" t="str">
        <f>IF(B325="","",Events!$Z25&amp;"")</f>
        <v/>
      </c>
      <c r="T325" s="20" t="str">
        <f>IF(B325="","",Events!$AI25&amp;"")</f>
        <v/>
      </c>
      <c r="U325" s="20" t="str">
        <f>IF(B325="","","Events row "&amp;ROW(Events!$A25)&amp;", First detection")</f>
        <v/>
      </c>
      <c r="V325" s="20">
        <f>IF(A325="",0,COUNTIF(nTP_Key,A325))</f>
        <v>0</v>
      </c>
      <c r="W325" s="20">
        <f t="shared" ref="W325:W388" si="49">IF(M325="",0,M325)</f>
        <v>0</v>
      </c>
      <c r="X325" s="20">
        <f t="shared" ref="X325:X388" si="50">IF(N325="",0,N325)</f>
        <v>0</v>
      </c>
      <c r="Y325" s="20">
        <f t="shared" ref="Y325:Y388" si="51">IF(O325="",0,O325)</f>
        <v>0</v>
      </c>
      <c r="Z325" s="20">
        <f t="shared" ref="Z325:Z388" si="52">IF(P325="",0,P325)</f>
        <v>0</v>
      </c>
    </row>
    <row r="326" spans="1:26" x14ac:dyDescent="0.2">
      <c r="A326" s="20" t="str">
        <f t="shared" si="46"/>
        <v/>
      </c>
      <c r="B326" s="20" t="str">
        <f>IF(AND(Events!$D26&lt;&gt;"",COUNTA(Events!$AA26:$AH26)&gt;0),Events!$D26&amp;"/DETECTION","")</f>
        <v/>
      </c>
      <c r="C326" s="20" t="str">
        <f t="shared" si="45"/>
        <v/>
      </c>
      <c r="D326" s="20" t="str">
        <f>IF(B326="","",Events!$A26&amp;"")</f>
        <v/>
      </c>
      <c r="E326" s="20" t="str">
        <f>IF(B326="","",Events!$B26&amp;"")</f>
        <v/>
      </c>
      <c r="F326" s="20" t="str">
        <f t="shared" si="47"/>
        <v/>
      </c>
      <c r="G326" s="20" t="str">
        <f>IF(B326="","",Events!$D26&amp;"")</f>
        <v/>
      </c>
      <c r="H326" s="20" t="str">
        <f>IF(B326="","",Events!$AA26&amp;"")</f>
        <v/>
      </c>
      <c r="I326" s="20" t="str">
        <f>IF(B326="","",Events!$AD26&amp;"")</f>
        <v/>
      </c>
      <c r="J326" s="20" t="str">
        <f>IF(B326="","",Events!$AJ26&amp;"")</f>
        <v/>
      </c>
      <c r="K326" s="20">
        <f>IF(B326="",0,Events!$AK26)</f>
        <v>0</v>
      </c>
      <c r="L326" s="20">
        <f>IF(B326="",0,Events!$AL26)</f>
        <v>0</v>
      </c>
      <c r="M326" s="20" t="str">
        <f>IF(B326="","",Events!$AO26)</f>
        <v/>
      </c>
      <c r="N326" s="20" t="str">
        <f>IF(B326="","",Events!$AP26)</f>
        <v/>
      </c>
      <c r="O326" s="27" t="str">
        <f>IF(B326="","",Events!$AM26)</f>
        <v/>
      </c>
      <c r="P326" s="27" t="str">
        <f>IF(B326="","",Events!$AN26)</f>
        <v/>
      </c>
      <c r="Q326" s="20" t="str">
        <f t="shared" si="48"/>
        <v/>
      </c>
      <c r="R326" s="20" t="str">
        <f>IF(A326="","",IF(J326&lt;&gt;"",J326,IF(H326="TIMESTAMP",DAY(INT(M326/1440))&amp;" "&amp;INDEX(nLIST_Months,MONTH(INT(M326/1440)))&amp;" "&amp;YEAR(INT(M326/1440))&amp;" "&amp;RIGHT("0"&amp;INT(MOD(M326,1440)/60),2)&amp;":"&amp;RIGHT("0"&amp;MOD(M326,60),2)&amp;IF(L326=1," (UTC"&amp;I326&amp;")"," (offset unknown)"),IF(H326="DATE",DAY(O326)&amp;" "&amp;INDEX(nLIST_Months,MONTH(O326))&amp;" "&amp;YEAR(O326),IF(H326="MONTH",INDEX(nLIST_Months,MONTH(O326))&amp;" "&amp;YEAR(O326)&amp;" ("&amp;DAY(O326)&amp;" "&amp;INDEX(nLIST_Months,MONTH(O326))&amp;" "&amp;YEAR(O326)&amp;" to "&amp;DAY(P326)&amp;" "&amp;INDEX(nLIST_Months,MONTH(P326))&amp;" "&amp;YEAR(P326)&amp;")",IF(H326="YEAR",YEAR(O326)&amp;" (1 January to 31 December)",DAY(O326)&amp;" "&amp;INDEX(nLIST_Months,MONTH(O326))&amp;" "&amp;YEAR(O326)&amp;" to "&amp;DAY(P326)&amp;" "&amp;INDEX(nLIST_Months,MONTH(P326))&amp;" "&amp;YEAR(P326)))))))</f>
        <v/>
      </c>
      <c r="S326" s="20" t="str">
        <f>IF(B326="","",Events!$Z26&amp;"")</f>
        <v/>
      </c>
      <c r="T326" s="20" t="str">
        <f>IF(B326="","",Events!$AI26&amp;"")</f>
        <v/>
      </c>
      <c r="U326" s="20" t="str">
        <f>IF(B326="","","Events row "&amp;ROW(Events!$A26)&amp;", First detection")</f>
        <v/>
      </c>
      <c r="V326" s="20">
        <f>IF(A326="",0,COUNTIF(nTP_Key,A326))</f>
        <v>0</v>
      </c>
      <c r="W326" s="20">
        <f t="shared" si="49"/>
        <v>0</v>
      </c>
      <c r="X326" s="20">
        <f t="shared" si="50"/>
        <v>0</v>
      </c>
      <c r="Y326" s="20">
        <f t="shared" si="51"/>
        <v>0</v>
      </c>
      <c r="Z326" s="20">
        <f t="shared" si="52"/>
        <v>0</v>
      </c>
    </row>
    <row r="327" spans="1:26" x14ac:dyDescent="0.2">
      <c r="A327" s="20" t="str">
        <f t="shared" si="46"/>
        <v/>
      </c>
      <c r="B327" s="20" t="str">
        <f>IF(AND(Events!$D27&lt;&gt;"",COUNTA(Events!$AA27:$AH27)&gt;0),Events!$D27&amp;"/DETECTION","")</f>
        <v/>
      </c>
      <c r="C327" s="20" t="str">
        <f t="shared" si="45"/>
        <v/>
      </c>
      <c r="D327" s="20" t="str">
        <f>IF(B327="","",Events!$A27&amp;"")</f>
        <v/>
      </c>
      <c r="E327" s="20" t="str">
        <f>IF(B327="","",Events!$B27&amp;"")</f>
        <v/>
      </c>
      <c r="F327" s="20" t="str">
        <f t="shared" si="47"/>
        <v/>
      </c>
      <c r="G327" s="20" t="str">
        <f>IF(B327="","",Events!$D27&amp;"")</f>
        <v/>
      </c>
      <c r="H327" s="20" t="str">
        <f>IF(B327="","",Events!$AA27&amp;"")</f>
        <v/>
      </c>
      <c r="I327" s="20" t="str">
        <f>IF(B327="","",Events!$AD27&amp;"")</f>
        <v/>
      </c>
      <c r="J327" s="20" t="str">
        <f>IF(B327="","",Events!$AJ27&amp;"")</f>
        <v/>
      </c>
      <c r="K327" s="20">
        <f>IF(B327="",0,Events!$AK27)</f>
        <v>0</v>
      </c>
      <c r="L327" s="20">
        <f>IF(B327="",0,Events!$AL27)</f>
        <v>0</v>
      </c>
      <c r="M327" s="20" t="str">
        <f>IF(B327="","",Events!$AO27)</f>
        <v/>
      </c>
      <c r="N327" s="20" t="str">
        <f>IF(B327="","",Events!$AP27)</f>
        <v/>
      </c>
      <c r="O327" s="27" t="str">
        <f>IF(B327="","",Events!$AM27)</f>
        <v/>
      </c>
      <c r="P327" s="27" t="str">
        <f>IF(B327="","",Events!$AN27)</f>
        <v/>
      </c>
      <c r="Q327" s="20" t="str">
        <f t="shared" si="48"/>
        <v/>
      </c>
      <c r="R327" s="20" t="str">
        <f>IF(A327="","",IF(J327&lt;&gt;"",J327,IF(H327="TIMESTAMP",DAY(INT(M327/1440))&amp;" "&amp;INDEX(nLIST_Months,MONTH(INT(M327/1440)))&amp;" "&amp;YEAR(INT(M327/1440))&amp;" "&amp;RIGHT("0"&amp;INT(MOD(M327,1440)/60),2)&amp;":"&amp;RIGHT("0"&amp;MOD(M327,60),2)&amp;IF(L327=1," (UTC"&amp;I327&amp;")"," (offset unknown)"),IF(H327="DATE",DAY(O327)&amp;" "&amp;INDEX(nLIST_Months,MONTH(O327))&amp;" "&amp;YEAR(O327),IF(H327="MONTH",INDEX(nLIST_Months,MONTH(O327))&amp;" "&amp;YEAR(O327)&amp;" ("&amp;DAY(O327)&amp;" "&amp;INDEX(nLIST_Months,MONTH(O327))&amp;" "&amp;YEAR(O327)&amp;" to "&amp;DAY(P327)&amp;" "&amp;INDEX(nLIST_Months,MONTH(P327))&amp;" "&amp;YEAR(P327)&amp;")",IF(H327="YEAR",YEAR(O327)&amp;" (1 January to 31 December)",DAY(O327)&amp;" "&amp;INDEX(nLIST_Months,MONTH(O327))&amp;" "&amp;YEAR(O327)&amp;" to "&amp;DAY(P327)&amp;" "&amp;INDEX(nLIST_Months,MONTH(P327))&amp;" "&amp;YEAR(P327)))))))</f>
        <v/>
      </c>
      <c r="S327" s="20" t="str">
        <f>IF(B327="","",Events!$Z27&amp;"")</f>
        <v/>
      </c>
      <c r="T327" s="20" t="str">
        <f>IF(B327="","",Events!$AI27&amp;"")</f>
        <v/>
      </c>
      <c r="U327" s="20" t="str">
        <f>IF(B327="","","Events row "&amp;ROW(Events!$A27)&amp;", First detection")</f>
        <v/>
      </c>
      <c r="V327" s="20">
        <f>IF(A327="",0,COUNTIF(nTP_Key,A327))</f>
        <v>0</v>
      </c>
      <c r="W327" s="20">
        <f t="shared" si="49"/>
        <v>0</v>
      </c>
      <c r="X327" s="20">
        <f t="shared" si="50"/>
        <v>0</v>
      </c>
      <c r="Y327" s="20">
        <f t="shared" si="51"/>
        <v>0</v>
      </c>
      <c r="Z327" s="20">
        <f t="shared" si="52"/>
        <v>0</v>
      </c>
    </row>
    <row r="328" spans="1:26" x14ac:dyDescent="0.2">
      <c r="A328" s="20" t="str">
        <f t="shared" si="46"/>
        <v/>
      </c>
      <c r="B328" s="20" t="str">
        <f>IF(AND(Events!$D28&lt;&gt;"",COUNTA(Events!$AA28:$AH28)&gt;0),Events!$D28&amp;"/DETECTION","")</f>
        <v/>
      </c>
      <c r="C328" s="20" t="str">
        <f t="shared" si="45"/>
        <v/>
      </c>
      <c r="D328" s="20" t="str">
        <f>IF(B328="","",Events!$A28&amp;"")</f>
        <v/>
      </c>
      <c r="E328" s="20" t="str">
        <f>IF(B328="","",Events!$B28&amp;"")</f>
        <v/>
      </c>
      <c r="F328" s="20" t="str">
        <f t="shared" si="47"/>
        <v/>
      </c>
      <c r="G328" s="20" t="str">
        <f>IF(B328="","",Events!$D28&amp;"")</f>
        <v/>
      </c>
      <c r="H328" s="20" t="str">
        <f>IF(B328="","",Events!$AA28&amp;"")</f>
        <v/>
      </c>
      <c r="I328" s="20" t="str">
        <f>IF(B328="","",Events!$AD28&amp;"")</f>
        <v/>
      </c>
      <c r="J328" s="20" t="str">
        <f>IF(B328="","",Events!$AJ28&amp;"")</f>
        <v/>
      </c>
      <c r="K328" s="20">
        <f>IF(B328="",0,Events!$AK28)</f>
        <v>0</v>
      </c>
      <c r="L328" s="20">
        <f>IF(B328="",0,Events!$AL28)</f>
        <v>0</v>
      </c>
      <c r="M328" s="20" t="str">
        <f>IF(B328="","",Events!$AO28)</f>
        <v/>
      </c>
      <c r="N328" s="20" t="str">
        <f>IF(B328="","",Events!$AP28)</f>
        <v/>
      </c>
      <c r="O328" s="27" t="str">
        <f>IF(B328="","",Events!$AM28)</f>
        <v/>
      </c>
      <c r="P328" s="27" t="str">
        <f>IF(B328="","",Events!$AN28)</f>
        <v/>
      </c>
      <c r="Q328" s="20" t="str">
        <f t="shared" si="48"/>
        <v/>
      </c>
      <c r="R328" s="20" t="str">
        <f>IF(A328="","",IF(J328&lt;&gt;"",J328,IF(H328="TIMESTAMP",DAY(INT(M328/1440))&amp;" "&amp;INDEX(nLIST_Months,MONTH(INT(M328/1440)))&amp;" "&amp;YEAR(INT(M328/1440))&amp;" "&amp;RIGHT("0"&amp;INT(MOD(M328,1440)/60),2)&amp;":"&amp;RIGHT("0"&amp;MOD(M328,60),2)&amp;IF(L328=1," (UTC"&amp;I328&amp;")"," (offset unknown)"),IF(H328="DATE",DAY(O328)&amp;" "&amp;INDEX(nLIST_Months,MONTH(O328))&amp;" "&amp;YEAR(O328),IF(H328="MONTH",INDEX(nLIST_Months,MONTH(O328))&amp;" "&amp;YEAR(O328)&amp;" ("&amp;DAY(O328)&amp;" "&amp;INDEX(nLIST_Months,MONTH(O328))&amp;" "&amp;YEAR(O328)&amp;" to "&amp;DAY(P328)&amp;" "&amp;INDEX(nLIST_Months,MONTH(P328))&amp;" "&amp;YEAR(P328)&amp;")",IF(H328="YEAR",YEAR(O328)&amp;" (1 January to 31 December)",DAY(O328)&amp;" "&amp;INDEX(nLIST_Months,MONTH(O328))&amp;" "&amp;YEAR(O328)&amp;" to "&amp;DAY(P328)&amp;" "&amp;INDEX(nLIST_Months,MONTH(P328))&amp;" "&amp;YEAR(P328)))))))</f>
        <v/>
      </c>
      <c r="S328" s="20" t="str">
        <f>IF(B328="","",Events!$Z28&amp;"")</f>
        <v/>
      </c>
      <c r="T328" s="20" t="str">
        <f>IF(B328="","",Events!$AI28&amp;"")</f>
        <v/>
      </c>
      <c r="U328" s="20" t="str">
        <f>IF(B328="","","Events row "&amp;ROW(Events!$A28)&amp;", First detection")</f>
        <v/>
      </c>
      <c r="V328" s="20">
        <f>IF(A328="",0,COUNTIF(nTP_Key,A328))</f>
        <v>0</v>
      </c>
      <c r="W328" s="20">
        <f t="shared" si="49"/>
        <v>0</v>
      </c>
      <c r="X328" s="20">
        <f t="shared" si="50"/>
        <v>0</v>
      </c>
      <c r="Y328" s="20">
        <f t="shared" si="51"/>
        <v>0</v>
      </c>
      <c r="Z328" s="20">
        <f t="shared" si="52"/>
        <v>0</v>
      </c>
    </row>
    <row r="329" spans="1:26" x14ac:dyDescent="0.2">
      <c r="A329" s="20" t="str">
        <f t="shared" si="46"/>
        <v/>
      </c>
      <c r="B329" s="20" t="str">
        <f>IF(AND(Events!$D29&lt;&gt;"",COUNTA(Events!$AA29:$AH29)&gt;0),Events!$D29&amp;"/DETECTION","")</f>
        <v/>
      </c>
      <c r="C329" s="20" t="str">
        <f t="shared" si="45"/>
        <v/>
      </c>
      <c r="D329" s="20" t="str">
        <f>IF(B329="","",Events!$A29&amp;"")</f>
        <v/>
      </c>
      <c r="E329" s="20" t="str">
        <f>IF(B329="","",Events!$B29&amp;"")</f>
        <v/>
      </c>
      <c r="F329" s="20" t="str">
        <f t="shared" si="47"/>
        <v/>
      </c>
      <c r="G329" s="20" t="str">
        <f>IF(B329="","",Events!$D29&amp;"")</f>
        <v/>
      </c>
      <c r="H329" s="20" t="str">
        <f>IF(B329="","",Events!$AA29&amp;"")</f>
        <v/>
      </c>
      <c r="I329" s="20" t="str">
        <f>IF(B329="","",Events!$AD29&amp;"")</f>
        <v/>
      </c>
      <c r="J329" s="20" t="str">
        <f>IF(B329="","",Events!$AJ29&amp;"")</f>
        <v/>
      </c>
      <c r="K329" s="20">
        <f>IF(B329="",0,Events!$AK29)</f>
        <v>0</v>
      </c>
      <c r="L329" s="20">
        <f>IF(B329="",0,Events!$AL29)</f>
        <v>0</v>
      </c>
      <c r="M329" s="20" t="str">
        <f>IF(B329="","",Events!$AO29)</f>
        <v/>
      </c>
      <c r="N329" s="20" t="str">
        <f>IF(B329="","",Events!$AP29)</f>
        <v/>
      </c>
      <c r="O329" s="27" t="str">
        <f>IF(B329="","",Events!$AM29)</f>
        <v/>
      </c>
      <c r="P329" s="27" t="str">
        <f>IF(B329="","",Events!$AN29)</f>
        <v/>
      </c>
      <c r="Q329" s="20" t="str">
        <f t="shared" si="48"/>
        <v/>
      </c>
      <c r="R329" s="20" t="str">
        <f>IF(A329="","",IF(J329&lt;&gt;"",J329,IF(H329="TIMESTAMP",DAY(INT(M329/1440))&amp;" "&amp;INDEX(nLIST_Months,MONTH(INT(M329/1440)))&amp;" "&amp;YEAR(INT(M329/1440))&amp;" "&amp;RIGHT("0"&amp;INT(MOD(M329,1440)/60),2)&amp;":"&amp;RIGHT("0"&amp;MOD(M329,60),2)&amp;IF(L329=1," (UTC"&amp;I329&amp;")"," (offset unknown)"),IF(H329="DATE",DAY(O329)&amp;" "&amp;INDEX(nLIST_Months,MONTH(O329))&amp;" "&amp;YEAR(O329),IF(H329="MONTH",INDEX(nLIST_Months,MONTH(O329))&amp;" "&amp;YEAR(O329)&amp;" ("&amp;DAY(O329)&amp;" "&amp;INDEX(nLIST_Months,MONTH(O329))&amp;" "&amp;YEAR(O329)&amp;" to "&amp;DAY(P329)&amp;" "&amp;INDEX(nLIST_Months,MONTH(P329))&amp;" "&amp;YEAR(P329)&amp;")",IF(H329="YEAR",YEAR(O329)&amp;" (1 January to 31 December)",DAY(O329)&amp;" "&amp;INDEX(nLIST_Months,MONTH(O329))&amp;" "&amp;YEAR(O329)&amp;" to "&amp;DAY(P329)&amp;" "&amp;INDEX(nLIST_Months,MONTH(P329))&amp;" "&amp;YEAR(P329)))))))</f>
        <v/>
      </c>
      <c r="S329" s="20" t="str">
        <f>IF(B329="","",Events!$Z29&amp;"")</f>
        <v/>
      </c>
      <c r="T329" s="20" t="str">
        <f>IF(B329="","",Events!$AI29&amp;"")</f>
        <v/>
      </c>
      <c r="U329" s="20" t="str">
        <f>IF(B329="","","Events row "&amp;ROW(Events!$A29)&amp;", First detection")</f>
        <v/>
      </c>
      <c r="V329" s="20">
        <f>IF(A329="",0,COUNTIF(nTP_Key,A329))</f>
        <v>0</v>
      </c>
      <c r="W329" s="20">
        <f t="shared" si="49"/>
        <v>0</v>
      </c>
      <c r="X329" s="20">
        <f t="shared" si="50"/>
        <v>0</v>
      </c>
      <c r="Y329" s="20">
        <f t="shared" si="51"/>
        <v>0</v>
      </c>
      <c r="Z329" s="20">
        <f t="shared" si="52"/>
        <v>0</v>
      </c>
    </row>
    <row r="330" spans="1:26" x14ac:dyDescent="0.2">
      <c r="A330" s="20" t="str">
        <f t="shared" si="46"/>
        <v/>
      </c>
      <c r="B330" s="20" t="str">
        <f>IF(AND(Events!$D30&lt;&gt;"",COUNTA(Events!$AA30:$AH30)&gt;0),Events!$D30&amp;"/DETECTION","")</f>
        <v/>
      </c>
      <c r="C330" s="20" t="str">
        <f t="shared" si="45"/>
        <v/>
      </c>
      <c r="D330" s="20" t="str">
        <f>IF(B330="","",Events!$A30&amp;"")</f>
        <v/>
      </c>
      <c r="E330" s="20" t="str">
        <f>IF(B330="","",Events!$B30&amp;"")</f>
        <v/>
      </c>
      <c r="F330" s="20" t="str">
        <f t="shared" si="47"/>
        <v/>
      </c>
      <c r="G330" s="20" t="str">
        <f>IF(B330="","",Events!$D30&amp;"")</f>
        <v/>
      </c>
      <c r="H330" s="20" t="str">
        <f>IF(B330="","",Events!$AA30&amp;"")</f>
        <v/>
      </c>
      <c r="I330" s="20" t="str">
        <f>IF(B330="","",Events!$AD30&amp;"")</f>
        <v/>
      </c>
      <c r="J330" s="20" t="str">
        <f>IF(B330="","",Events!$AJ30&amp;"")</f>
        <v/>
      </c>
      <c r="K330" s="20">
        <f>IF(B330="",0,Events!$AK30)</f>
        <v>0</v>
      </c>
      <c r="L330" s="20">
        <f>IF(B330="",0,Events!$AL30)</f>
        <v>0</v>
      </c>
      <c r="M330" s="20" t="str">
        <f>IF(B330="","",Events!$AO30)</f>
        <v/>
      </c>
      <c r="N330" s="20" t="str">
        <f>IF(B330="","",Events!$AP30)</f>
        <v/>
      </c>
      <c r="O330" s="27" t="str">
        <f>IF(B330="","",Events!$AM30)</f>
        <v/>
      </c>
      <c r="P330" s="27" t="str">
        <f>IF(B330="","",Events!$AN30)</f>
        <v/>
      </c>
      <c r="Q330" s="20" t="str">
        <f t="shared" si="48"/>
        <v/>
      </c>
      <c r="R330" s="20" t="str">
        <f>IF(A330="","",IF(J330&lt;&gt;"",J330,IF(H330="TIMESTAMP",DAY(INT(M330/1440))&amp;" "&amp;INDEX(nLIST_Months,MONTH(INT(M330/1440)))&amp;" "&amp;YEAR(INT(M330/1440))&amp;" "&amp;RIGHT("0"&amp;INT(MOD(M330,1440)/60),2)&amp;":"&amp;RIGHT("0"&amp;MOD(M330,60),2)&amp;IF(L330=1," (UTC"&amp;I330&amp;")"," (offset unknown)"),IF(H330="DATE",DAY(O330)&amp;" "&amp;INDEX(nLIST_Months,MONTH(O330))&amp;" "&amp;YEAR(O330),IF(H330="MONTH",INDEX(nLIST_Months,MONTH(O330))&amp;" "&amp;YEAR(O330)&amp;" ("&amp;DAY(O330)&amp;" "&amp;INDEX(nLIST_Months,MONTH(O330))&amp;" "&amp;YEAR(O330)&amp;" to "&amp;DAY(P330)&amp;" "&amp;INDEX(nLIST_Months,MONTH(P330))&amp;" "&amp;YEAR(P330)&amp;")",IF(H330="YEAR",YEAR(O330)&amp;" (1 January to 31 December)",DAY(O330)&amp;" "&amp;INDEX(nLIST_Months,MONTH(O330))&amp;" "&amp;YEAR(O330)&amp;" to "&amp;DAY(P330)&amp;" "&amp;INDEX(nLIST_Months,MONTH(P330))&amp;" "&amp;YEAR(P330)))))))</f>
        <v/>
      </c>
      <c r="S330" s="20" t="str">
        <f>IF(B330="","",Events!$Z30&amp;"")</f>
        <v/>
      </c>
      <c r="T330" s="20" t="str">
        <f>IF(B330="","",Events!$AI30&amp;"")</f>
        <v/>
      </c>
      <c r="U330" s="20" t="str">
        <f>IF(B330="","","Events row "&amp;ROW(Events!$A30)&amp;", First detection")</f>
        <v/>
      </c>
      <c r="V330" s="20">
        <f>IF(A330="",0,COUNTIF(nTP_Key,A330))</f>
        <v>0</v>
      </c>
      <c r="W330" s="20">
        <f t="shared" si="49"/>
        <v>0</v>
      </c>
      <c r="X330" s="20">
        <f t="shared" si="50"/>
        <v>0</v>
      </c>
      <c r="Y330" s="20">
        <f t="shared" si="51"/>
        <v>0</v>
      </c>
      <c r="Z330" s="20">
        <f t="shared" si="52"/>
        <v>0</v>
      </c>
    </row>
    <row r="331" spans="1:26" x14ac:dyDescent="0.2">
      <c r="A331" s="20" t="str">
        <f t="shared" si="46"/>
        <v/>
      </c>
      <c r="B331" s="20" t="str">
        <f>IF(AND(Events!$D31&lt;&gt;"",COUNTA(Events!$AA31:$AH31)&gt;0),Events!$D31&amp;"/DETECTION","")</f>
        <v/>
      </c>
      <c r="C331" s="20" t="str">
        <f t="shared" si="45"/>
        <v/>
      </c>
      <c r="D331" s="20" t="str">
        <f>IF(B331="","",Events!$A31&amp;"")</f>
        <v/>
      </c>
      <c r="E331" s="20" t="str">
        <f>IF(B331="","",Events!$B31&amp;"")</f>
        <v/>
      </c>
      <c r="F331" s="20" t="str">
        <f t="shared" si="47"/>
        <v/>
      </c>
      <c r="G331" s="20" t="str">
        <f>IF(B331="","",Events!$D31&amp;"")</f>
        <v/>
      </c>
      <c r="H331" s="20" t="str">
        <f>IF(B331="","",Events!$AA31&amp;"")</f>
        <v/>
      </c>
      <c r="I331" s="20" t="str">
        <f>IF(B331="","",Events!$AD31&amp;"")</f>
        <v/>
      </c>
      <c r="J331" s="20" t="str">
        <f>IF(B331="","",Events!$AJ31&amp;"")</f>
        <v/>
      </c>
      <c r="K331" s="20">
        <f>IF(B331="",0,Events!$AK31)</f>
        <v>0</v>
      </c>
      <c r="L331" s="20">
        <f>IF(B331="",0,Events!$AL31)</f>
        <v>0</v>
      </c>
      <c r="M331" s="20" t="str">
        <f>IF(B331="","",Events!$AO31)</f>
        <v/>
      </c>
      <c r="N331" s="20" t="str">
        <f>IF(B331="","",Events!$AP31)</f>
        <v/>
      </c>
      <c r="O331" s="27" t="str">
        <f>IF(B331="","",Events!$AM31)</f>
        <v/>
      </c>
      <c r="P331" s="27" t="str">
        <f>IF(B331="","",Events!$AN31)</f>
        <v/>
      </c>
      <c r="Q331" s="20" t="str">
        <f t="shared" si="48"/>
        <v/>
      </c>
      <c r="R331" s="20" t="str">
        <f>IF(A331="","",IF(J331&lt;&gt;"",J331,IF(H331="TIMESTAMP",DAY(INT(M331/1440))&amp;" "&amp;INDEX(nLIST_Months,MONTH(INT(M331/1440)))&amp;" "&amp;YEAR(INT(M331/1440))&amp;" "&amp;RIGHT("0"&amp;INT(MOD(M331,1440)/60),2)&amp;":"&amp;RIGHT("0"&amp;MOD(M331,60),2)&amp;IF(L331=1," (UTC"&amp;I331&amp;")"," (offset unknown)"),IF(H331="DATE",DAY(O331)&amp;" "&amp;INDEX(nLIST_Months,MONTH(O331))&amp;" "&amp;YEAR(O331),IF(H331="MONTH",INDEX(nLIST_Months,MONTH(O331))&amp;" "&amp;YEAR(O331)&amp;" ("&amp;DAY(O331)&amp;" "&amp;INDEX(nLIST_Months,MONTH(O331))&amp;" "&amp;YEAR(O331)&amp;" to "&amp;DAY(P331)&amp;" "&amp;INDEX(nLIST_Months,MONTH(P331))&amp;" "&amp;YEAR(P331)&amp;")",IF(H331="YEAR",YEAR(O331)&amp;" (1 January to 31 December)",DAY(O331)&amp;" "&amp;INDEX(nLIST_Months,MONTH(O331))&amp;" "&amp;YEAR(O331)&amp;" to "&amp;DAY(P331)&amp;" "&amp;INDEX(nLIST_Months,MONTH(P331))&amp;" "&amp;YEAR(P331)))))))</f>
        <v/>
      </c>
      <c r="S331" s="20" t="str">
        <f>IF(B331="","",Events!$Z31&amp;"")</f>
        <v/>
      </c>
      <c r="T331" s="20" t="str">
        <f>IF(B331="","",Events!$AI31&amp;"")</f>
        <v/>
      </c>
      <c r="U331" s="20" t="str">
        <f>IF(B331="","","Events row "&amp;ROW(Events!$A31)&amp;", First detection")</f>
        <v/>
      </c>
      <c r="V331" s="20">
        <f>IF(A331="",0,COUNTIF(nTP_Key,A331))</f>
        <v>0</v>
      </c>
      <c r="W331" s="20">
        <f t="shared" si="49"/>
        <v>0</v>
      </c>
      <c r="X331" s="20">
        <f t="shared" si="50"/>
        <v>0</v>
      </c>
      <c r="Y331" s="20">
        <f t="shared" si="51"/>
        <v>0</v>
      </c>
      <c r="Z331" s="20">
        <f t="shared" si="52"/>
        <v>0</v>
      </c>
    </row>
    <row r="332" spans="1:26" x14ac:dyDescent="0.2">
      <c r="A332" s="20" t="str">
        <f t="shared" si="46"/>
        <v/>
      </c>
      <c r="B332" s="20" t="str">
        <f>IF(AND(Events!$D32&lt;&gt;"",COUNTA(Events!$AA32:$AH32)&gt;0),Events!$D32&amp;"/DETECTION","")</f>
        <v/>
      </c>
      <c r="C332" s="20" t="str">
        <f t="shared" si="45"/>
        <v/>
      </c>
      <c r="D332" s="20" t="str">
        <f>IF(B332="","",Events!$A32&amp;"")</f>
        <v/>
      </c>
      <c r="E332" s="20" t="str">
        <f>IF(B332="","",Events!$B32&amp;"")</f>
        <v/>
      </c>
      <c r="F332" s="20" t="str">
        <f t="shared" si="47"/>
        <v/>
      </c>
      <c r="G332" s="20" t="str">
        <f>IF(B332="","",Events!$D32&amp;"")</f>
        <v/>
      </c>
      <c r="H332" s="20" t="str">
        <f>IF(B332="","",Events!$AA32&amp;"")</f>
        <v/>
      </c>
      <c r="I332" s="20" t="str">
        <f>IF(B332="","",Events!$AD32&amp;"")</f>
        <v/>
      </c>
      <c r="J332" s="20" t="str">
        <f>IF(B332="","",Events!$AJ32&amp;"")</f>
        <v/>
      </c>
      <c r="K332" s="20">
        <f>IF(B332="",0,Events!$AK32)</f>
        <v>0</v>
      </c>
      <c r="L332" s="20">
        <f>IF(B332="",0,Events!$AL32)</f>
        <v>0</v>
      </c>
      <c r="M332" s="20" t="str">
        <f>IF(B332="","",Events!$AO32)</f>
        <v/>
      </c>
      <c r="N332" s="20" t="str">
        <f>IF(B332="","",Events!$AP32)</f>
        <v/>
      </c>
      <c r="O332" s="27" t="str">
        <f>IF(B332="","",Events!$AM32)</f>
        <v/>
      </c>
      <c r="P332" s="27" t="str">
        <f>IF(B332="","",Events!$AN32)</f>
        <v/>
      </c>
      <c r="Q332" s="20" t="str">
        <f t="shared" si="48"/>
        <v/>
      </c>
      <c r="R332" s="20" t="str">
        <f>IF(A332="","",IF(J332&lt;&gt;"",J332,IF(H332="TIMESTAMP",DAY(INT(M332/1440))&amp;" "&amp;INDEX(nLIST_Months,MONTH(INT(M332/1440)))&amp;" "&amp;YEAR(INT(M332/1440))&amp;" "&amp;RIGHT("0"&amp;INT(MOD(M332,1440)/60),2)&amp;":"&amp;RIGHT("0"&amp;MOD(M332,60),2)&amp;IF(L332=1," (UTC"&amp;I332&amp;")"," (offset unknown)"),IF(H332="DATE",DAY(O332)&amp;" "&amp;INDEX(nLIST_Months,MONTH(O332))&amp;" "&amp;YEAR(O332),IF(H332="MONTH",INDEX(nLIST_Months,MONTH(O332))&amp;" "&amp;YEAR(O332)&amp;" ("&amp;DAY(O332)&amp;" "&amp;INDEX(nLIST_Months,MONTH(O332))&amp;" "&amp;YEAR(O332)&amp;" to "&amp;DAY(P332)&amp;" "&amp;INDEX(nLIST_Months,MONTH(P332))&amp;" "&amp;YEAR(P332)&amp;")",IF(H332="YEAR",YEAR(O332)&amp;" (1 January to 31 December)",DAY(O332)&amp;" "&amp;INDEX(nLIST_Months,MONTH(O332))&amp;" "&amp;YEAR(O332)&amp;" to "&amp;DAY(P332)&amp;" "&amp;INDEX(nLIST_Months,MONTH(P332))&amp;" "&amp;YEAR(P332)))))))</f>
        <v/>
      </c>
      <c r="S332" s="20" t="str">
        <f>IF(B332="","",Events!$Z32&amp;"")</f>
        <v/>
      </c>
      <c r="T332" s="20" t="str">
        <f>IF(B332="","",Events!$AI32&amp;"")</f>
        <v/>
      </c>
      <c r="U332" s="20" t="str">
        <f>IF(B332="","","Events row "&amp;ROW(Events!$A32)&amp;", First detection")</f>
        <v/>
      </c>
      <c r="V332" s="20">
        <f>IF(A332="",0,COUNTIF(nTP_Key,A332))</f>
        <v>0</v>
      </c>
      <c r="W332" s="20">
        <f t="shared" si="49"/>
        <v>0</v>
      </c>
      <c r="X332" s="20">
        <f t="shared" si="50"/>
        <v>0</v>
      </c>
      <c r="Y332" s="20">
        <f t="shared" si="51"/>
        <v>0</v>
      </c>
      <c r="Z332" s="20">
        <f t="shared" si="52"/>
        <v>0</v>
      </c>
    </row>
    <row r="333" spans="1:26" x14ac:dyDescent="0.2">
      <c r="A333" s="20" t="str">
        <f t="shared" si="46"/>
        <v/>
      </c>
      <c r="B333" s="20" t="str">
        <f>IF(AND(Events!$D33&lt;&gt;"",COUNTA(Events!$AA33:$AH33)&gt;0),Events!$D33&amp;"/DETECTION","")</f>
        <v/>
      </c>
      <c r="C333" s="20" t="str">
        <f t="shared" si="45"/>
        <v/>
      </c>
      <c r="D333" s="20" t="str">
        <f>IF(B333="","",Events!$A33&amp;"")</f>
        <v/>
      </c>
      <c r="E333" s="20" t="str">
        <f>IF(B333="","",Events!$B33&amp;"")</f>
        <v/>
      </c>
      <c r="F333" s="20" t="str">
        <f t="shared" si="47"/>
        <v/>
      </c>
      <c r="G333" s="20" t="str">
        <f>IF(B333="","",Events!$D33&amp;"")</f>
        <v/>
      </c>
      <c r="H333" s="20" t="str">
        <f>IF(B333="","",Events!$AA33&amp;"")</f>
        <v/>
      </c>
      <c r="I333" s="20" t="str">
        <f>IF(B333="","",Events!$AD33&amp;"")</f>
        <v/>
      </c>
      <c r="J333" s="20" t="str">
        <f>IF(B333="","",Events!$AJ33&amp;"")</f>
        <v/>
      </c>
      <c r="K333" s="20">
        <f>IF(B333="",0,Events!$AK33)</f>
        <v>0</v>
      </c>
      <c r="L333" s="20">
        <f>IF(B333="",0,Events!$AL33)</f>
        <v>0</v>
      </c>
      <c r="M333" s="20" t="str">
        <f>IF(B333="","",Events!$AO33)</f>
        <v/>
      </c>
      <c r="N333" s="20" t="str">
        <f>IF(B333="","",Events!$AP33)</f>
        <v/>
      </c>
      <c r="O333" s="27" t="str">
        <f>IF(B333="","",Events!$AM33)</f>
        <v/>
      </c>
      <c r="P333" s="27" t="str">
        <f>IF(B333="","",Events!$AN33)</f>
        <v/>
      </c>
      <c r="Q333" s="20" t="str">
        <f t="shared" si="48"/>
        <v/>
      </c>
      <c r="R333" s="20" t="str">
        <f>IF(A333="","",IF(J333&lt;&gt;"",J333,IF(H333="TIMESTAMP",DAY(INT(M333/1440))&amp;" "&amp;INDEX(nLIST_Months,MONTH(INT(M333/1440)))&amp;" "&amp;YEAR(INT(M333/1440))&amp;" "&amp;RIGHT("0"&amp;INT(MOD(M333,1440)/60),2)&amp;":"&amp;RIGHT("0"&amp;MOD(M333,60),2)&amp;IF(L333=1," (UTC"&amp;I333&amp;")"," (offset unknown)"),IF(H333="DATE",DAY(O333)&amp;" "&amp;INDEX(nLIST_Months,MONTH(O333))&amp;" "&amp;YEAR(O333),IF(H333="MONTH",INDEX(nLIST_Months,MONTH(O333))&amp;" "&amp;YEAR(O333)&amp;" ("&amp;DAY(O333)&amp;" "&amp;INDEX(nLIST_Months,MONTH(O333))&amp;" "&amp;YEAR(O333)&amp;" to "&amp;DAY(P333)&amp;" "&amp;INDEX(nLIST_Months,MONTH(P333))&amp;" "&amp;YEAR(P333)&amp;")",IF(H333="YEAR",YEAR(O333)&amp;" (1 January to 31 December)",DAY(O333)&amp;" "&amp;INDEX(nLIST_Months,MONTH(O333))&amp;" "&amp;YEAR(O333)&amp;" to "&amp;DAY(P333)&amp;" "&amp;INDEX(nLIST_Months,MONTH(P333))&amp;" "&amp;YEAR(P333)))))))</f>
        <v/>
      </c>
      <c r="S333" s="20" t="str">
        <f>IF(B333="","",Events!$Z33&amp;"")</f>
        <v/>
      </c>
      <c r="T333" s="20" t="str">
        <f>IF(B333="","",Events!$AI33&amp;"")</f>
        <v/>
      </c>
      <c r="U333" s="20" t="str">
        <f>IF(B333="","","Events row "&amp;ROW(Events!$A33)&amp;", First detection")</f>
        <v/>
      </c>
      <c r="V333" s="20">
        <f>IF(A333="",0,COUNTIF(nTP_Key,A333))</f>
        <v>0</v>
      </c>
      <c r="W333" s="20">
        <f t="shared" si="49"/>
        <v>0</v>
      </c>
      <c r="X333" s="20">
        <f t="shared" si="50"/>
        <v>0</v>
      </c>
      <c r="Y333" s="20">
        <f t="shared" si="51"/>
        <v>0</v>
      </c>
      <c r="Z333" s="20">
        <f t="shared" si="52"/>
        <v>0</v>
      </c>
    </row>
    <row r="334" spans="1:26" x14ac:dyDescent="0.2">
      <c r="A334" s="20" t="str">
        <f t="shared" si="46"/>
        <v/>
      </c>
      <c r="B334" s="20" t="str">
        <f>IF(AND(Events!$D34&lt;&gt;"",COUNTA(Events!$AA34:$AH34)&gt;0),Events!$D34&amp;"/DETECTION","")</f>
        <v/>
      </c>
      <c r="C334" s="20" t="str">
        <f t="shared" si="45"/>
        <v/>
      </c>
      <c r="D334" s="20" t="str">
        <f>IF(B334="","",Events!$A34&amp;"")</f>
        <v/>
      </c>
      <c r="E334" s="20" t="str">
        <f>IF(B334="","",Events!$B34&amp;"")</f>
        <v/>
      </c>
      <c r="F334" s="20" t="str">
        <f t="shared" si="47"/>
        <v/>
      </c>
      <c r="G334" s="20" t="str">
        <f>IF(B334="","",Events!$D34&amp;"")</f>
        <v/>
      </c>
      <c r="H334" s="20" t="str">
        <f>IF(B334="","",Events!$AA34&amp;"")</f>
        <v/>
      </c>
      <c r="I334" s="20" t="str">
        <f>IF(B334="","",Events!$AD34&amp;"")</f>
        <v/>
      </c>
      <c r="J334" s="20" t="str">
        <f>IF(B334="","",Events!$AJ34&amp;"")</f>
        <v/>
      </c>
      <c r="K334" s="20">
        <f>IF(B334="",0,Events!$AK34)</f>
        <v>0</v>
      </c>
      <c r="L334" s="20">
        <f>IF(B334="",0,Events!$AL34)</f>
        <v>0</v>
      </c>
      <c r="M334" s="20" t="str">
        <f>IF(B334="","",Events!$AO34)</f>
        <v/>
      </c>
      <c r="N334" s="20" t="str">
        <f>IF(B334="","",Events!$AP34)</f>
        <v/>
      </c>
      <c r="O334" s="27" t="str">
        <f>IF(B334="","",Events!$AM34)</f>
        <v/>
      </c>
      <c r="P334" s="27" t="str">
        <f>IF(B334="","",Events!$AN34)</f>
        <v/>
      </c>
      <c r="Q334" s="20" t="str">
        <f t="shared" si="48"/>
        <v/>
      </c>
      <c r="R334" s="20" t="str">
        <f>IF(A334="","",IF(J334&lt;&gt;"",J334,IF(H334="TIMESTAMP",DAY(INT(M334/1440))&amp;" "&amp;INDEX(nLIST_Months,MONTH(INT(M334/1440)))&amp;" "&amp;YEAR(INT(M334/1440))&amp;" "&amp;RIGHT("0"&amp;INT(MOD(M334,1440)/60),2)&amp;":"&amp;RIGHT("0"&amp;MOD(M334,60),2)&amp;IF(L334=1," (UTC"&amp;I334&amp;")"," (offset unknown)"),IF(H334="DATE",DAY(O334)&amp;" "&amp;INDEX(nLIST_Months,MONTH(O334))&amp;" "&amp;YEAR(O334),IF(H334="MONTH",INDEX(nLIST_Months,MONTH(O334))&amp;" "&amp;YEAR(O334)&amp;" ("&amp;DAY(O334)&amp;" "&amp;INDEX(nLIST_Months,MONTH(O334))&amp;" "&amp;YEAR(O334)&amp;" to "&amp;DAY(P334)&amp;" "&amp;INDEX(nLIST_Months,MONTH(P334))&amp;" "&amp;YEAR(P334)&amp;")",IF(H334="YEAR",YEAR(O334)&amp;" (1 January to 31 December)",DAY(O334)&amp;" "&amp;INDEX(nLIST_Months,MONTH(O334))&amp;" "&amp;YEAR(O334)&amp;" to "&amp;DAY(P334)&amp;" "&amp;INDEX(nLIST_Months,MONTH(P334))&amp;" "&amp;YEAR(P334)))))))</f>
        <v/>
      </c>
      <c r="S334" s="20" t="str">
        <f>IF(B334="","",Events!$Z34&amp;"")</f>
        <v/>
      </c>
      <c r="T334" s="20" t="str">
        <f>IF(B334="","",Events!$AI34&amp;"")</f>
        <v/>
      </c>
      <c r="U334" s="20" t="str">
        <f>IF(B334="","","Events row "&amp;ROW(Events!$A34)&amp;", First detection")</f>
        <v/>
      </c>
      <c r="V334" s="20">
        <f>IF(A334="",0,COUNTIF(nTP_Key,A334))</f>
        <v>0</v>
      </c>
      <c r="W334" s="20">
        <f t="shared" si="49"/>
        <v>0</v>
      </c>
      <c r="X334" s="20">
        <f t="shared" si="50"/>
        <v>0</v>
      </c>
      <c r="Y334" s="20">
        <f t="shared" si="51"/>
        <v>0</v>
      </c>
      <c r="Z334" s="20">
        <f t="shared" si="52"/>
        <v>0</v>
      </c>
    </row>
    <row r="335" spans="1:26" x14ac:dyDescent="0.2">
      <c r="A335" s="20" t="str">
        <f t="shared" si="46"/>
        <v/>
      </c>
      <c r="B335" s="20" t="str">
        <f>IF(AND(Events!$D35&lt;&gt;"",COUNTA(Events!$AA35:$AH35)&gt;0),Events!$D35&amp;"/DETECTION","")</f>
        <v/>
      </c>
      <c r="C335" s="20" t="str">
        <f t="shared" si="45"/>
        <v/>
      </c>
      <c r="D335" s="20" t="str">
        <f>IF(B335="","",Events!$A35&amp;"")</f>
        <v/>
      </c>
      <c r="E335" s="20" t="str">
        <f>IF(B335="","",Events!$B35&amp;"")</f>
        <v/>
      </c>
      <c r="F335" s="20" t="str">
        <f t="shared" si="47"/>
        <v/>
      </c>
      <c r="G335" s="20" t="str">
        <f>IF(B335="","",Events!$D35&amp;"")</f>
        <v/>
      </c>
      <c r="H335" s="20" t="str">
        <f>IF(B335="","",Events!$AA35&amp;"")</f>
        <v/>
      </c>
      <c r="I335" s="20" t="str">
        <f>IF(B335="","",Events!$AD35&amp;"")</f>
        <v/>
      </c>
      <c r="J335" s="20" t="str">
        <f>IF(B335="","",Events!$AJ35&amp;"")</f>
        <v/>
      </c>
      <c r="K335" s="20">
        <f>IF(B335="",0,Events!$AK35)</f>
        <v>0</v>
      </c>
      <c r="L335" s="20">
        <f>IF(B335="",0,Events!$AL35)</f>
        <v>0</v>
      </c>
      <c r="M335" s="20" t="str">
        <f>IF(B335="","",Events!$AO35)</f>
        <v/>
      </c>
      <c r="N335" s="20" t="str">
        <f>IF(B335="","",Events!$AP35)</f>
        <v/>
      </c>
      <c r="O335" s="27" t="str">
        <f>IF(B335="","",Events!$AM35)</f>
        <v/>
      </c>
      <c r="P335" s="27" t="str">
        <f>IF(B335="","",Events!$AN35)</f>
        <v/>
      </c>
      <c r="Q335" s="20" t="str">
        <f t="shared" si="48"/>
        <v/>
      </c>
      <c r="R335" s="20" t="str">
        <f>IF(A335="","",IF(J335&lt;&gt;"",J335,IF(H335="TIMESTAMP",DAY(INT(M335/1440))&amp;" "&amp;INDEX(nLIST_Months,MONTH(INT(M335/1440)))&amp;" "&amp;YEAR(INT(M335/1440))&amp;" "&amp;RIGHT("0"&amp;INT(MOD(M335,1440)/60),2)&amp;":"&amp;RIGHT("0"&amp;MOD(M335,60),2)&amp;IF(L335=1," (UTC"&amp;I335&amp;")"," (offset unknown)"),IF(H335="DATE",DAY(O335)&amp;" "&amp;INDEX(nLIST_Months,MONTH(O335))&amp;" "&amp;YEAR(O335),IF(H335="MONTH",INDEX(nLIST_Months,MONTH(O335))&amp;" "&amp;YEAR(O335)&amp;" ("&amp;DAY(O335)&amp;" "&amp;INDEX(nLIST_Months,MONTH(O335))&amp;" "&amp;YEAR(O335)&amp;" to "&amp;DAY(P335)&amp;" "&amp;INDEX(nLIST_Months,MONTH(P335))&amp;" "&amp;YEAR(P335)&amp;")",IF(H335="YEAR",YEAR(O335)&amp;" (1 January to 31 December)",DAY(O335)&amp;" "&amp;INDEX(nLIST_Months,MONTH(O335))&amp;" "&amp;YEAR(O335)&amp;" to "&amp;DAY(P335)&amp;" "&amp;INDEX(nLIST_Months,MONTH(P335))&amp;" "&amp;YEAR(P335)))))))</f>
        <v/>
      </c>
      <c r="S335" s="20" t="str">
        <f>IF(B335="","",Events!$Z35&amp;"")</f>
        <v/>
      </c>
      <c r="T335" s="20" t="str">
        <f>IF(B335="","",Events!$AI35&amp;"")</f>
        <v/>
      </c>
      <c r="U335" s="20" t="str">
        <f>IF(B335="","","Events row "&amp;ROW(Events!$A35)&amp;", First detection")</f>
        <v/>
      </c>
      <c r="V335" s="20">
        <f>IF(A335="",0,COUNTIF(nTP_Key,A335))</f>
        <v>0</v>
      </c>
      <c r="W335" s="20">
        <f t="shared" si="49"/>
        <v>0</v>
      </c>
      <c r="X335" s="20">
        <f t="shared" si="50"/>
        <v>0</v>
      </c>
      <c r="Y335" s="20">
        <f t="shared" si="51"/>
        <v>0</v>
      </c>
      <c r="Z335" s="20">
        <f t="shared" si="52"/>
        <v>0</v>
      </c>
    </row>
    <row r="336" spans="1:26" x14ac:dyDescent="0.2">
      <c r="A336" s="20" t="str">
        <f t="shared" si="46"/>
        <v/>
      </c>
      <c r="B336" s="20" t="str">
        <f>IF(AND(Events!$D36&lt;&gt;"",COUNTA(Events!$AA36:$AH36)&gt;0),Events!$D36&amp;"/DETECTION","")</f>
        <v/>
      </c>
      <c r="C336" s="20" t="str">
        <f t="shared" si="45"/>
        <v/>
      </c>
      <c r="D336" s="20" t="str">
        <f>IF(B336="","",Events!$A36&amp;"")</f>
        <v/>
      </c>
      <c r="E336" s="20" t="str">
        <f>IF(B336="","",Events!$B36&amp;"")</f>
        <v/>
      </c>
      <c r="F336" s="20" t="str">
        <f t="shared" si="47"/>
        <v/>
      </c>
      <c r="G336" s="20" t="str">
        <f>IF(B336="","",Events!$D36&amp;"")</f>
        <v/>
      </c>
      <c r="H336" s="20" t="str">
        <f>IF(B336="","",Events!$AA36&amp;"")</f>
        <v/>
      </c>
      <c r="I336" s="20" t="str">
        <f>IF(B336="","",Events!$AD36&amp;"")</f>
        <v/>
      </c>
      <c r="J336" s="20" t="str">
        <f>IF(B336="","",Events!$AJ36&amp;"")</f>
        <v/>
      </c>
      <c r="K336" s="20">
        <f>IF(B336="",0,Events!$AK36)</f>
        <v>0</v>
      </c>
      <c r="L336" s="20">
        <f>IF(B336="",0,Events!$AL36)</f>
        <v>0</v>
      </c>
      <c r="M336" s="20" t="str">
        <f>IF(B336="","",Events!$AO36)</f>
        <v/>
      </c>
      <c r="N336" s="20" t="str">
        <f>IF(B336="","",Events!$AP36)</f>
        <v/>
      </c>
      <c r="O336" s="27" t="str">
        <f>IF(B336="","",Events!$AM36)</f>
        <v/>
      </c>
      <c r="P336" s="27" t="str">
        <f>IF(B336="","",Events!$AN36)</f>
        <v/>
      </c>
      <c r="Q336" s="20" t="str">
        <f t="shared" si="48"/>
        <v/>
      </c>
      <c r="R336" s="20" t="str">
        <f>IF(A336="","",IF(J336&lt;&gt;"",J336,IF(H336="TIMESTAMP",DAY(INT(M336/1440))&amp;" "&amp;INDEX(nLIST_Months,MONTH(INT(M336/1440)))&amp;" "&amp;YEAR(INT(M336/1440))&amp;" "&amp;RIGHT("0"&amp;INT(MOD(M336,1440)/60),2)&amp;":"&amp;RIGHT("0"&amp;MOD(M336,60),2)&amp;IF(L336=1," (UTC"&amp;I336&amp;")"," (offset unknown)"),IF(H336="DATE",DAY(O336)&amp;" "&amp;INDEX(nLIST_Months,MONTH(O336))&amp;" "&amp;YEAR(O336),IF(H336="MONTH",INDEX(nLIST_Months,MONTH(O336))&amp;" "&amp;YEAR(O336)&amp;" ("&amp;DAY(O336)&amp;" "&amp;INDEX(nLIST_Months,MONTH(O336))&amp;" "&amp;YEAR(O336)&amp;" to "&amp;DAY(P336)&amp;" "&amp;INDEX(nLIST_Months,MONTH(P336))&amp;" "&amp;YEAR(P336)&amp;")",IF(H336="YEAR",YEAR(O336)&amp;" (1 January to 31 December)",DAY(O336)&amp;" "&amp;INDEX(nLIST_Months,MONTH(O336))&amp;" "&amp;YEAR(O336)&amp;" to "&amp;DAY(P336)&amp;" "&amp;INDEX(nLIST_Months,MONTH(P336))&amp;" "&amp;YEAR(P336)))))))</f>
        <v/>
      </c>
      <c r="S336" s="20" t="str">
        <f>IF(B336="","",Events!$Z36&amp;"")</f>
        <v/>
      </c>
      <c r="T336" s="20" t="str">
        <f>IF(B336="","",Events!$AI36&amp;"")</f>
        <v/>
      </c>
      <c r="U336" s="20" t="str">
        <f>IF(B336="","","Events row "&amp;ROW(Events!$A36)&amp;", First detection")</f>
        <v/>
      </c>
      <c r="V336" s="20">
        <f>IF(A336="",0,COUNTIF(nTP_Key,A336))</f>
        <v>0</v>
      </c>
      <c r="W336" s="20">
        <f t="shared" si="49"/>
        <v>0</v>
      </c>
      <c r="X336" s="20">
        <f t="shared" si="50"/>
        <v>0</v>
      </c>
      <c r="Y336" s="20">
        <f t="shared" si="51"/>
        <v>0</v>
      </c>
      <c r="Z336" s="20">
        <f t="shared" si="52"/>
        <v>0</v>
      </c>
    </row>
    <row r="337" spans="1:26" x14ac:dyDescent="0.2">
      <c r="A337" s="20" t="str">
        <f t="shared" si="46"/>
        <v/>
      </c>
      <c r="B337" s="20" t="str">
        <f>IF(AND(Events!$D37&lt;&gt;"",COUNTA(Events!$AA37:$AH37)&gt;0),Events!$D37&amp;"/DETECTION","")</f>
        <v/>
      </c>
      <c r="C337" s="20" t="str">
        <f t="shared" si="45"/>
        <v/>
      </c>
      <c r="D337" s="20" t="str">
        <f>IF(B337="","",Events!$A37&amp;"")</f>
        <v/>
      </c>
      <c r="E337" s="20" t="str">
        <f>IF(B337="","",Events!$B37&amp;"")</f>
        <v/>
      </c>
      <c r="F337" s="20" t="str">
        <f t="shared" si="47"/>
        <v/>
      </c>
      <c r="G337" s="20" t="str">
        <f>IF(B337="","",Events!$D37&amp;"")</f>
        <v/>
      </c>
      <c r="H337" s="20" t="str">
        <f>IF(B337="","",Events!$AA37&amp;"")</f>
        <v/>
      </c>
      <c r="I337" s="20" t="str">
        <f>IF(B337="","",Events!$AD37&amp;"")</f>
        <v/>
      </c>
      <c r="J337" s="20" t="str">
        <f>IF(B337="","",Events!$AJ37&amp;"")</f>
        <v/>
      </c>
      <c r="K337" s="20">
        <f>IF(B337="",0,Events!$AK37)</f>
        <v>0</v>
      </c>
      <c r="L337" s="20">
        <f>IF(B337="",0,Events!$AL37)</f>
        <v>0</v>
      </c>
      <c r="M337" s="20" t="str">
        <f>IF(B337="","",Events!$AO37)</f>
        <v/>
      </c>
      <c r="N337" s="20" t="str">
        <f>IF(B337="","",Events!$AP37)</f>
        <v/>
      </c>
      <c r="O337" s="27" t="str">
        <f>IF(B337="","",Events!$AM37)</f>
        <v/>
      </c>
      <c r="P337" s="27" t="str">
        <f>IF(B337="","",Events!$AN37)</f>
        <v/>
      </c>
      <c r="Q337" s="20" t="str">
        <f t="shared" si="48"/>
        <v/>
      </c>
      <c r="R337" s="20" t="str">
        <f>IF(A337="","",IF(J337&lt;&gt;"",J337,IF(H337="TIMESTAMP",DAY(INT(M337/1440))&amp;" "&amp;INDEX(nLIST_Months,MONTH(INT(M337/1440)))&amp;" "&amp;YEAR(INT(M337/1440))&amp;" "&amp;RIGHT("0"&amp;INT(MOD(M337,1440)/60),2)&amp;":"&amp;RIGHT("0"&amp;MOD(M337,60),2)&amp;IF(L337=1," (UTC"&amp;I337&amp;")"," (offset unknown)"),IF(H337="DATE",DAY(O337)&amp;" "&amp;INDEX(nLIST_Months,MONTH(O337))&amp;" "&amp;YEAR(O337),IF(H337="MONTH",INDEX(nLIST_Months,MONTH(O337))&amp;" "&amp;YEAR(O337)&amp;" ("&amp;DAY(O337)&amp;" "&amp;INDEX(nLIST_Months,MONTH(O337))&amp;" "&amp;YEAR(O337)&amp;" to "&amp;DAY(P337)&amp;" "&amp;INDEX(nLIST_Months,MONTH(P337))&amp;" "&amp;YEAR(P337)&amp;")",IF(H337="YEAR",YEAR(O337)&amp;" (1 January to 31 December)",DAY(O337)&amp;" "&amp;INDEX(nLIST_Months,MONTH(O337))&amp;" "&amp;YEAR(O337)&amp;" to "&amp;DAY(P337)&amp;" "&amp;INDEX(nLIST_Months,MONTH(P337))&amp;" "&amp;YEAR(P337)))))))</f>
        <v/>
      </c>
      <c r="S337" s="20" t="str">
        <f>IF(B337="","",Events!$Z37&amp;"")</f>
        <v/>
      </c>
      <c r="T337" s="20" t="str">
        <f>IF(B337="","",Events!$AI37&amp;"")</f>
        <v/>
      </c>
      <c r="U337" s="20" t="str">
        <f>IF(B337="","","Events row "&amp;ROW(Events!$A37)&amp;", First detection")</f>
        <v/>
      </c>
      <c r="V337" s="20">
        <f>IF(A337="",0,COUNTIF(nTP_Key,A337))</f>
        <v>0</v>
      </c>
      <c r="W337" s="20">
        <f t="shared" si="49"/>
        <v>0</v>
      </c>
      <c r="X337" s="20">
        <f t="shared" si="50"/>
        <v>0</v>
      </c>
      <c r="Y337" s="20">
        <f t="shared" si="51"/>
        <v>0</v>
      </c>
      <c r="Z337" s="20">
        <f t="shared" si="52"/>
        <v>0</v>
      </c>
    </row>
    <row r="338" spans="1:26" x14ac:dyDescent="0.2">
      <c r="A338" s="20" t="str">
        <f t="shared" si="46"/>
        <v/>
      </c>
      <c r="B338" s="20" t="str">
        <f>IF(AND(Events!$D38&lt;&gt;"",COUNTA(Events!$AA38:$AH38)&gt;0),Events!$D38&amp;"/DETECTION","")</f>
        <v/>
      </c>
      <c r="C338" s="20" t="str">
        <f t="shared" si="45"/>
        <v/>
      </c>
      <c r="D338" s="20" t="str">
        <f>IF(B338="","",Events!$A38&amp;"")</f>
        <v/>
      </c>
      <c r="E338" s="20" t="str">
        <f>IF(B338="","",Events!$B38&amp;"")</f>
        <v/>
      </c>
      <c r="F338" s="20" t="str">
        <f t="shared" si="47"/>
        <v/>
      </c>
      <c r="G338" s="20" t="str">
        <f>IF(B338="","",Events!$D38&amp;"")</f>
        <v/>
      </c>
      <c r="H338" s="20" t="str">
        <f>IF(B338="","",Events!$AA38&amp;"")</f>
        <v/>
      </c>
      <c r="I338" s="20" t="str">
        <f>IF(B338="","",Events!$AD38&amp;"")</f>
        <v/>
      </c>
      <c r="J338" s="20" t="str">
        <f>IF(B338="","",Events!$AJ38&amp;"")</f>
        <v/>
      </c>
      <c r="K338" s="20">
        <f>IF(B338="",0,Events!$AK38)</f>
        <v>0</v>
      </c>
      <c r="L338" s="20">
        <f>IF(B338="",0,Events!$AL38)</f>
        <v>0</v>
      </c>
      <c r="M338" s="20" t="str">
        <f>IF(B338="","",Events!$AO38)</f>
        <v/>
      </c>
      <c r="N338" s="20" t="str">
        <f>IF(B338="","",Events!$AP38)</f>
        <v/>
      </c>
      <c r="O338" s="27" t="str">
        <f>IF(B338="","",Events!$AM38)</f>
        <v/>
      </c>
      <c r="P338" s="27" t="str">
        <f>IF(B338="","",Events!$AN38)</f>
        <v/>
      </c>
      <c r="Q338" s="20" t="str">
        <f t="shared" si="48"/>
        <v/>
      </c>
      <c r="R338" s="20" t="str">
        <f>IF(A338="","",IF(J338&lt;&gt;"",J338,IF(H338="TIMESTAMP",DAY(INT(M338/1440))&amp;" "&amp;INDEX(nLIST_Months,MONTH(INT(M338/1440)))&amp;" "&amp;YEAR(INT(M338/1440))&amp;" "&amp;RIGHT("0"&amp;INT(MOD(M338,1440)/60),2)&amp;":"&amp;RIGHT("0"&amp;MOD(M338,60),2)&amp;IF(L338=1," (UTC"&amp;I338&amp;")"," (offset unknown)"),IF(H338="DATE",DAY(O338)&amp;" "&amp;INDEX(nLIST_Months,MONTH(O338))&amp;" "&amp;YEAR(O338),IF(H338="MONTH",INDEX(nLIST_Months,MONTH(O338))&amp;" "&amp;YEAR(O338)&amp;" ("&amp;DAY(O338)&amp;" "&amp;INDEX(nLIST_Months,MONTH(O338))&amp;" "&amp;YEAR(O338)&amp;" to "&amp;DAY(P338)&amp;" "&amp;INDEX(nLIST_Months,MONTH(P338))&amp;" "&amp;YEAR(P338)&amp;")",IF(H338="YEAR",YEAR(O338)&amp;" (1 January to 31 December)",DAY(O338)&amp;" "&amp;INDEX(nLIST_Months,MONTH(O338))&amp;" "&amp;YEAR(O338)&amp;" to "&amp;DAY(P338)&amp;" "&amp;INDEX(nLIST_Months,MONTH(P338))&amp;" "&amp;YEAR(P338)))))))</f>
        <v/>
      </c>
      <c r="S338" s="20" t="str">
        <f>IF(B338="","",Events!$Z38&amp;"")</f>
        <v/>
      </c>
      <c r="T338" s="20" t="str">
        <f>IF(B338="","",Events!$AI38&amp;"")</f>
        <v/>
      </c>
      <c r="U338" s="20" t="str">
        <f>IF(B338="","","Events row "&amp;ROW(Events!$A38)&amp;", First detection")</f>
        <v/>
      </c>
      <c r="V338" s="20">
        <f>IF(A338="",0,COUNTIF(nTP_Key,A338))</f>
        <v>0</v>
      </c>
      <c r="W338" s="20">
        <f t="shared" si="49"/>
        <v>0</v>
      </c>
      <c r="X338" s="20">
        <f t="shared" si="50"/>
        <v>0</v>
      </c>
      <c r="Y338" s="20">
        <f t="shared" si="51"/>
        <v>0</v>
      </c>
      <c r="Z338" s="20">
        <f t="shared" si="52"/>
        <v>0</v>
      </c>
    </row>
    <row r="339" spans="1:26" x14ac:dyDescent="0.2">
      <c r="A339" s="20" t="str">
        <f t="shared" si="46"/>
        <v/>
      </c>
      <c r="B339" s="20" t="str">
        <f>IF(AND(Events!$D39&lt;&gt;"",COUNTA(Events!$AA39:$AH39)&gt;0),Events!$D39&amp;"/DETECTION","")</f>
        <v/>
      </c>
      <c r="C339" s="20" t="str">
        <f t="shared" si="45"/>
        <v/>
      </c>
      <c r="D339" s="20" t="str">
        <f>IF(B339="","",Events!$A39&amp;"")</f>
        <v/>
      </c>
      <c r="E339" s="20" t="str">
        <f>IF(B339="","",Events!$B39&amp;"")</f>
        <v/>
      </c>
      <c r="F339" s="20" t="str">
        <f t="shared" si="47"/>
        <v/>
      </c>
      <c r="G339" s="20" t="str">
        <f>IF(B339="","",Events!$D39&amp;"")</f>
        <v/>
      </c>
      <c r="H339" s="20" t="str">
        <f>IF(B339="","",Events!$AA39&amp;"")</f>
        <v/>
      </c>
      <c r="I339" s="20" t="str">
        <f>IF(B339="","",Events!$AD39&amp;"")</f>
        <v/>
      </c>
      <c r="J339" s="20" t="str">
        <f>IF(B339="","",Events!$AJ39&amp;"")</f>
        <v/>
      </c>
      <c r="K339" s="20">
        <f>IF(B339="",0,Events!$AK39)</f>
        <v>0</v>
      </c>
      <c r="L339" s="20">
        <f>IF(B339="",0,Events!$AL39)</f>
        <v>0</v>
      </c>
      <c r="M339" s="20" t="str">
        <f>IF(B339="","",Events!$AO39)</f>
        <v/>
      </c>
      <c r="N339" s="20" t="str">
        <f>IF(B339="","",Events!$AP39)</f>
        <v/>
      </c>
      <c r="O339" s="27" t="str">
        <f>IF(B339="","",Events!$AM39)</f>
        <v/>
      </c>
      <c r="P339" s="27" t="str">
        <f>IF(B339="","",Events!$AN39)</f>
        <v/>
      </c>
      <c r="Q339" s="20" t="str">
        <f t="shared" si="48"/>
        <v/>
      </c>
      <c r="R339" s="20" t="str">
        <f>IF(A339="","",IF(J339&lt;&gt;"",J339,IF(H339="TIMESTAMP",DAY(INT(M339/1440))&amp;" "&amp;INDEX(nLIST_Months,MONTH(INT(M339/1440)))&amp;" "&amp;YEAR(INT(M339/1440))&amp;" "&amp;RIGHT("0"&amp;INT(MOD(M339,1440)/60),2)&amp;":"&amp;RIGHT("0"&amp;MOD(M339,60),2)&amp;IF(L339=1," (UTC"&amp;I339&amp;")"," (offset unknown)"),IF(H339="DATE",DAY(O339)&amp;" "&amp;INDEX(nLIST_Months,MONTH(O339))&amp;" "&amp;YEAR(O339),IF(H339="MONTH",INDEX(nLIST_Months,MONTH(O339))&amp;" "&amp;YEAR(O339)&amp;" ("&amp;DAY(O339)&amp;" "&amp;INDEX(nLIST_Months,MONTH(O339))&amp;" "&amp;YEAR(O339)&amp;" to "&amp;DAY(P339)&amp;" "&amp;INDEX(nLIST_Months,MONTH(P339))&amp;" "&amp;YEAR(P339)&amp;")",IF(H339="YEAR",YEAR(O339)&amp;" (1 January to 31 December)",DAY(O339)&amp;" "&amp;INDEX(nLIST_Months,MONTH(O339))&amp;" "&amp;YEAR(O339)&amp;" to "&amp;DAY(P339)&amp;" "&amp;INDEX(nLIST_Months,MONTH(P339))&amp;" "&amp;YEAR(P339)))))))</f>
        <v/>
      </c>
      <c r="S339" s="20" t="str">
        <f>IF(B339="","",Events!$Z39&amp;"")</f>
        <v/>
      </c>
      <c r="T339" s="20" t="str">
        <f>IF(B339="","",Events!$AI39&amp;"")</f>
        <v/>
      </c>
      <c r="U339" s="20" t="str">
        <f>IF(B339="","","Events row "&amp;ROW(Events!$A39)&amp;", First detection")</f>
        <v/>
      </c>
      <c r="V339" s="20">
        <f>IF(A339="",0,COUNTIF(nTP_Key,A339))</f>
        <v>0</v>
      </c>
      <c r="W339" s="20">
        <f t="shared" si="49"/>
        <v>0</v>
      </c>
      <c r="X339" s="20">
        <f t="shared" si="50"/>
        <v>0</v>
      </c>
      <c r="Y339" s="20">
        <f t="shared" si="51"/>
        <v>0</v>
      </c>
      <c r="Z339" s="20">
        <f t="shared" si="52"/>
        <v>0</v>
      </c>
    </row>
    <row r="340" spans="1:26" x14ac:dyDescent="0.2">
      <c r="A340" s="20" t="str">
        <f t="shared" si="46"/>
        <v/>
      </c>
      <c r="B340" s="20" t="str">
        <f>IF(AND(Events!$D40&lt;&gt;"",COUNTA(Events!$AA40:$AH40)&gt;0),Events!$D40&amp;"/DETECTION","")</f>
        <v/>
      </c>
      <c r="C340" s="20" t="str">
        <f t="shared" si="45"/>
        <v/>
      </c>
      <c r="D340" s="20" t="str">
        <f>IF(B340="","",Events!$A40&amp;"")</f>
        <v/>
      </c>
      <c r="E340" s="20" t="str">
        <f>IF(B340="","",Events!$B40&amp;"")</f>
        <v/>
      </c>
      <c r="F340" s="20" t="str">
        <f t="shared" si="47"/>
        <v/>
      </c>
      <c r="G340" s="20" t="str">
        <f>IF(B340="","",Events!$D40&amp;"")</f>
        <v/>
      </c>
      <c r="H340" s="20" t="str">
        <f>IF(B340="","",Events!$AA40&amp;"")</f>
        <v/>
      </c>
      <c r="I340" s="20" t="str">
        <f>IF(B340="","",Events!$AD40&amp;"")</f>
        <v/>
      </c>
      <c r="J340" s="20" t="str">
        <f>IF(B340="","",Events!$AJ40&amp;"")</f>
        <v/>
      </c>
      <c r="K340" s="20">
        <f>IF(B340="",0,Events!$AK40)</f>
        <v>0</v>
      </c>
      <c r="L340" s="20">
        <f>IF(B340="",0,Events!$AL40)</f>
        <v>0</v>
      </c>
      <c r="M340" s="20" t="str">
        <f>IF(B340="","",Events!$AO40)</f>
        <v/>
      </c>
      <c r="N340" s="20" t="str">
        <f>IF(B340="","",Events!$AP40)</f>
        <v/>
      </c>
      <c r="O340" s="27" t="str">
        <f>IF(B340="","",Events!$AM40)</f>
        <v/>
      </c>
      <c r="P340" s="27" t="str">
        <f>IF(B340="","",Events!$AN40)</f>
        <v/>
      </c>
      <c r="Q340" s="20" t="str">
        <f t="shared" si="48"/>
        <v/>
      </c>
      <c r="R340" s="20" t="str">
        <f>IF(A340="","",IF(J340&lt;&gt;"",J340,IF(H340="TIMESTAMP",DAY(INT(M340/1440))&amp;" "&amp;INDEX(nLIST_Months,MONTH(INT(M340/1440)))&amp;" "&amp;YEAR(INT(M340/1440))&amp;" "&amp;RIGHT("0"&amp;INT(MOD(M340,1440)/60),2)&amp;":"&amp;RIGHT("0"&amp;MOD(M340,60),2)&amp;IF(L340=1," (UTC"&amp;I340&amp;")"," (offset unknown)"),IF(H340="DATE",DAY(O340)&amp;" "&amp;INDEX(nLIST_Months,MONTH(O340))&amp;" "&amp;YEAR(O340),IF(H340="MONTH",INDEX(nLIST_Months,MONTH(O340))&amp;" "&amp;YEAR(O340)&amp;" ("&amp;DAY(O340)&amp;" "&amp;INDEX(nLIST_Months,MONTH(O340))&amp;" "&amp;YEAR(O340)&amp;" to "&amp;DAY(P340)&amp;" "&amp;INDEX(nLIST_Months,MONTH(P340))&amp;" "&amp;YEAR(P340)&amp;")",IF(H340="YEAR",YEAR(O340)&amp;" (1 January to 31 December)",DAY(O340)&amp;" "&amp;INDEX(nLIST_Months,MONTH(O340))&amp;" "&amp;YEAR(O340)&amp;" to "&amp;DAY(P340)&amp;" "&amp;INDEX(nLIST_Months,MONTH(P340))&amp;" "&amp;YEAR(P340)))))))</f>
        <v/>
      </c>
      <c r="S340" s="20" t="str">
        <f>IF(B340="","",Events!$Z40&amp;"")</f>
        <v/>
      </c>
      <c r="T340" s="20" t="str">
        <f>IF(B340="","",Events!$AI40&amp;"")</f>
        <v/>
      </c>
      <c r="U340" s="20" t="str">
        <f>IF(B340="","","Events row "&amp;ROW(Events!$A40)&amp;", First detection")</f>
        <v/>
      </c>
      <c r="V340" s="20">
        <f>IF(A340="",0,COUNTIF(nTP_Key,A340))</f>
        <v>0</v>
      </c>
      <c r="W340" s="20">
        <f t="shared" si="49"/>
        <v>0</v>
      </c>
      <c r="X340" s="20">
        <f t="shared" si="50"/>
        <v>0</v>
      </c>
      <c r="Y340" s="20">
        <f t="shared" si="51"/>
        <v>0</v>
      </c>
      <c r="Z340" s="20">
        <f t="shared" si="52"/>
        <v>0</v>
      </c>
    </row>
    <row r="341" spans="1:26" x14ac:dyDescent="0.2">
      <c r="A341" s="20" t="str">
        <f t="shared" si="46"/>
        <v/>
      </c>
      <c r="B341" s="20" t="str">
        <f>IF(AND(Events!$D41&lt;&gt;"",COUNTA(Events!$AA41:$AH41)&gt;0),Events!$D41&amp;"/DETECTION","")</f>
        <v/>
      </c>
      <c r="C341" s="20" t="str">
        <f t="shared" si="45"/>
        <v/>
      </c>
      <c r="D341" s="20" t="str">
        <f>IF(B341="","",Events!$A41&amp;"")</f>
        <v/>
      </c>
      <c r="E341" s="20" t="str">
        <f>IF(B341="","",Events!$B41&amp;"")</f>
        <v/>
      </c>
      <c r="F341" s="20" t="str">
        <f t="shared" si="47"/>
        <v/>
      </c>
      <c r="G341" s="20" t="str">
        <f>IF(B341="","",Events!$D41&amp;"")</f>
        <v/>
      </c>
      <c r="H341" s="20" t="str">
        <f>IF(B341="","",Events!$AA41&amp;"")</f>
        <v/>
      </c>
      <c r="I341" s="20" t="str">
        <f>IF(B341="","",Events!$AD41&amp;"")</f>
        <v/>
      </c>
      <c r="J341" s="20" t="str">
        <f>IF(B341="","",Events!$AJ41&amp;"")</f>
        <v/>
      </c>
      <c r="K341" s="20">
        <f>IF(B341="",0,Events!$AK41)</f>
        <v>0</v>
      </c>
      <c r="L341" s="20">
        <f>IF(B341="",0,Events!$AL41)</f>
        <v>0</v>
      </c>
      <c r="M341" s="20" t="str">
        <f>IF(B341="","",Events!$AO41)</f>
        <v/>
      </c>
      <c r="N341" s="20" t="str">
        <f>IF(B341="","",Events!$AP41)</f>
        <v/>
      </c>
      <c r="O341" s="27" t="str">
        <f>IF(B341="","",Events!$AM41)</f>
        <v/>
      </c>
      <c r="P341" s="27" t="str">
        <f>IF(B341="","",Events!$AN41)</f>
        <v/>
      </c>
      <c r="Q341" s="20" t="str">
        <f t="shared" si="48"/>
        <v/>
      </c>
      <c r="R341" s="20" t="str">
        <f>IF(A341="","",IF(J341&lt;&gt;"",J341,IF(H341="TIMESTAMP",DAY(INT(M341/1440))&amp;" "&amp;INDEX(nLIST_Months,MONTH(INT(M341/1440)))&amp;" "&amp;YEAR(INT(M341/1440))&amp;" "&amp;RIGHT("0"&amp;INT(MOD(M341,1440)/60),2)&amp;":"&amp;RIGHT("0"&amp;MOD(M341,60),2)&amp;IF(L341=1," (UTC"&amp;I341&amp;")"," (offset unknown)"),IF(H341="DATE",DAY(O341)&amp;" "&amp;INDEX(nLIST_Months,MONTH(O341))&amp;" "&amp;YEAR(O341),IF(H341="MONTH",INDEX(nLIST_Months,MONTH(O341))&amp;" "&amp;YEAR(O341)&amp;" ("&amp;DAY(O341)&amp;" "&amp;INDEX(nLIST_Months,MONTH(O341))&amp;" "&amp;YEAR(O341)&amp;" to "&amp;DAY(P341)&amp;" "&amp;INDEX(nLIST_Months,MONTH(P341))&amp;" "&amp;YEAR(P341)&amp;")",IF(H341="YEAR",YEAR(O341)&amp;" (1 January to 31 December)",DAY(O341)&amp;" "&amp;INDEX(nLIST_Months,MONTH(O341))&amp;" "&amp;YEAR(O341)&amp;" to "&amp;DAY(P341)&amp;" "&amp;INDEX(nLIST_Months,MONTH(P341))&amp;" "&amp;YEAR(P341)))))))</f>
        <v/>
      </c>
      <c r="S341" s="20" t="str">
        <f>IF(B341="","",Events!$Z41&amp;"")</f>
        <v/>
      </c>
      <c r="T341" s="20" t="str">
        <f>IF(B341="","",Events!$AI41&amp;"")</f>
        <v/>
      </c>
      <c r="U341" s="20" t="str">
        <f>IF(B341="","","Events row "&amp;ROW(Events!$A41)&amp;", First detection")</f>
        <v/>
      </c>
      <c r="V341" s="20">
        <f>IF(A341="",0,COUNTIF(nTP_Key,A341))</f>
        <v>0</v>
      </c>
      <c r="W341" s="20">
        <f t="shared" si="49"/>
        <v>0</v>
      </c>
      <c r="X341" s="20">
        <f t="shared" si="50"/>
        <v>0</v>
      </c>
      <c r="Y341" s="20">
        <f t="shared" si="51"/>
        <v>0</v>
      </c>
      <c r="Z341" s="20">
        <f t="shared" si="52"/>
        <v>0</v>
      </c>
    </row>
    <row r="342" spans="1:26" x14ac:dyDescent="0.2">
      <c r="A342" s="20" t="str">
        <f t="shared" si="46"/>
        <v/>
      </c>
      <c r="B342" s="20" t="str">
        <f>IF(AND(Milestones!$C5&lt;&gt;"",COUNTA(Milestones!$M5:$T5)&gt;0),Milestones!$C5&amp;"","")</f>
        <v/>
      </c>
      <c r="C342" s="20" t="str">
        <f>IF(B342="","","MILESTONE:"&amp;Milestones!$D5)</f>
        <v/>
      </c>
      <c r="D342" s="20" t="str">
        <f>IF(B342="","",Milestones!$A5&amp;"")</f>
        <v/>
      </c>
      <c r="E342" s="20" t="str">
        <f>IF(B342="","",Milestones!$B5&amp;"")</f>
        <v/>
      </c>
      <c r="F342" s="20" t="str">
        <f t="shared" si="47"/>
        <v/>
      </c>
      <c r="G342" s="20" t="str">
        <f>IF(B342="","",Milestones!$E5&amp;"")</f>
        <v/>
      </c>
      <c r="H342" s="20" t="str">
        <f>IF(B342="","",Milestones!$M5&amp;"")</f>
        <v/>
      </c>
      <c r="I342" s="20" t="str">
        <f>IF(B342="","",Milestones!$P5&amp;"")</f>
        <v/>
      </c>
      <c r="J342" s="20" t="str">
        <f>IF(B342="","",Milestones!$V5&amp;"")</f>
        <v/>
      </c>
      <c r="K342" s="20">
        <f>IF(B342="",0,Milestones!$W5)</f>
        <v>0</v>
      </c>
      <c r="L342" s="20">
        <f>IF(B342="",0,Milestones!$X5)</f>
        <v>0</v>
      </c>
      <c r="M342" s="20" t="str">
        <f>IF(B342="","",Milestones!$AA5)</f>
        <v/>
      </c>
      <c r="N342" s="20" t="str">
        <f>IF(B342="","",Milestones!$AB5)</f>
        <v/>
      </c>
      <c r="O342" s="27" t="str">
        <f>IF(B342="","",Milestones!$Y5)</f>
        <v/>
      </c>
      <c r="P342" s="27" t="str">
        <f>IF(B342="","",Milestones!$Z5)</f>
        <v/>
      </c>
      <c r="Q342" s="20" t="str">
        <f t="shared" si="48"/>
        <v/>
      </c>
      <c r="R342" s="20" t="str">
        <f>IF(A342="","",IF(J342&lt;&gt;"",J342,IF(H342="TIMESTAMP",DAY(INT(M342/1440))&amp;" "&amp;INDEX(nLIST_Months,MONTH(INT(M342/1440)))&amp;" "&amp;YEAR(INT(M342/1440))&amp;" "&amp;RIGHT("0"&amp;INT(MOD(M342,1440)/60),2)&amp;":"&amp;RIGHT("0"&amp;MOD(M342,60),2)&amp;IF(L342=1," (UTC"&amp;I342&amp;")"," (offset unknown)"),IF(H342="DATE",DAY(O342)&amp;" "&amp;INDEX(nLIST_Months,MONTH(O342))&amp;" "&amp;YEAR(O342),IF(H342="MONTH",INDEX(nLIST_Months,MONTH(O342))&amp;" "&amp;YEAR(O342)&amp;" ("&amp;DAY(O342)&amp;" "&amp;INDEX(nLIST_Months,MONTH(O342))&amp;" "&amp;YEAR(O342)&amp;" to "&amp;DAY(P342)&amp;" "&amp;INDEX(nLIST_Months,MONTH(P342))&amp;" "&amp;YEAR(P342)&amp;")",IF(H342="YEAR",YEAR(O342)&amp;" (1 January to 31 December)",DAY(O342)&amp;" "&amp;INDEX(nLIST_Months,MONTH(O342))&amp;" "&amp;YEAR(O342)&amp;" to "&amp;DAY(P342)&amp;" "&amp;INDEX(nLIST_Months,MONTH(P342))&amp;" "&amp;YEAR(P342)))))))</f>
        <v/>
      </c>
      <c r="S342" s="20" t="str">
        <f>IF(B342="","",Milestones!$L5&amp;"")</f>
        <v/>
      </c>
      <c r="T342" s="20" t="str">
        <f>IF(B342="","",Milestones!$U5&amp;"")</f>
        <v/>
      </c>
      <c r="U342" s="20" t="str">
        <f>IF(B342="","","Milestones row "&amp;ROW(Milestones!$A5)&amp;", Milestone")</f>
        <v/>
      </c>
      <c r="V342" s="20">
        <f>IF(A342="",0,COUNTIF(nTP_Key,A342))</f>
        <v>0</v>
      </c>
      <c r="W342" s="20">
        <f t="shared" si="49"/>
        <v>0</v>
      </c>
      <c r="X342" s="20">
        <f t="shared" si="50"/>
        <v>0</v>
      </c>
      <c r="Y342" s="20">
        <f t="shared" si="51"/>
        <v>0</v>
      </c>
      <c r="Z342" s="20">
        <f t="shared" si="52"/>
        <v>0</v>
      </c>
    </row>
    <row r="343" spans="1:26" x14ac:dyDescent="0.2">
      <c r="A343" s="20" t="str">
        <f t="shared" si="46"/>
        <v/>
      </c>
      <c r="B343" s="20" t="str">
        <f>IF(AND(Milestones!$C6&lt;&gt;"",COUNTA(Milestones!$M6:$T6)&gt;0),Milestones!$C6&amp;"","")</f>
        <v/>
      </c>
      <c r="C343" s="20" t="str">
        <f>IF(B343="","","MILESTONE:"&amp;Milestones!$D6)</f>
        <v/>
      </c>
      <c r="D343" s="20" t="str">
        <f>IF(B343="","",Milestones!$A6&amp;"")</f>
        <v/>
      </c>
      <c r="E343" s="20" t="str">
        <f>IF(B343="","",Milestones!$B6&amp;"")</f>
        <v/>
      </c>
      <c r="F343" s="20" t="str">
        <f t="shared" si="47"/>
        <v/>
      </c>
      <c r="G343" s="20" t="str">
        <f>IF(B343="","",Milestones!$E6&amp;"")</f>
        <v/>
      </c>
      <c r="H343" s="20" t="str">
        <f>IF(B343="","",Milestones!$M6&amp;"")</f>
        <v/>
      </c>
      <c r="I343" s="20" t="str">
        <f>IF(B343="","",Milestones!$P6&amp;"")</f>
        <v/>
      </c>
      <c r="J343" s="20" t="str">
        <f>IF(B343="","",Milestones!$V6&amp;"")</f>
        <v/>
      </c>
      <c r="K343" s="20">
        <f>IF(B343="",0,Milestones!$W6)</f>
        <v>0</v>
      </c>
      <c r="L343" s="20">
        <f>IF(B343="",0,Milestones!$X6)</f>
        <v>0</v>
      </c>
      <c r="M343" s="20" t="str">
        <f>IF(B343="","",Milestones!$AA6)</f>
        <v/>
      </c>
      <c r="N343" s="20" t="str">
        <f>IF(B343="","",Milestones!$AB6)</f>
        <v/>
      </c>
      <c r="O343" s="27" t="str">
        <f>IF(B343="","",Milestones!$Y6)</f>
        <v/>
      </c>
      <c r="P343" s="27" t="str">
        <f>IF(B343="","",Milestones!$Z6)</f>
        <v/>
      </c>
      <c r="Q343" s="20" t="str">
        <f t="shared" si="48"/>
        <v/>
      </c>
      <c r="R343" s="20" t="str">
        <f>IF(A343="","",IF(J343&lt;&gt;"",J343,IF(H343="TIMESTAMP",DAY(INT(M343/1440))&amp;" "&amp;INDEX(nLIST_Months,MONTH(INT(M343/1440)))&amp;" "&amp;YEAR(INT(M343/1440))&amp;" "&amp;RIGHT("0"&amp;INT(MOD(M343,1440)/60),2)&amp;":"&amp;RIGHT("0"&amp;MOD(M343,60),2)&amp;IF(L343=1," (UTC"&amp;I343&amp;")"," (offset unknown)"),IF(H343="DATE",DAY(O343)&amp;" "&amp;INDEX(nLIST_Months,MONTH(O343))&amp;" "&amp;YEAR(O343),IF(H343="MONTH",INDEX(nLIST_Months,MONTH(O343))&amp;" "&amp;YEAR(O343)&amp;" ("&amp;DAY(O343)&amp;" "&amp;INDEX(nLIST_Months,MONTH(O343))&amp;" "&amp;YEAR(O343)&amp;" to "&amp;DAY(P343)&amp;" "&amp;INDEX(nLIST_Months,MONTH(P343))&amp;" "&amp;YEAR(P343)&amp;")",IF(H343="YEAR",YEAR(O343)&amp;" (1 January to 31 December)",DAY(O343)&amp;" "&amp;INDEX(nLIST_Months,MONTH(O343))&amp;" "&amp;YEAR(O343)&amp;" to "&amp;DAY(P343)&amp;" "&amp;INDEX(nLIST_Months,MONTH(P343))&amp;" "&amp;YEAR(P343)))))))</f>
        <v/>
      </c>
      <c r="S343" s="20" t="str">
        <f>IF(B343="","",Milestones!$L6&amp;"")</f>
        <v/>
      </c>
      <c r="T343" s="20" t="str">
        <f>IF(B343="","",Milestones!$U6&amp;"")</f>
        <v/>
      </c>
      <c r="U343" s="20" t="str">
        <f>IF(B343="","","Milestones row "&amp;ROW(Milestones!$A6)&amp;", Milestone")</f>
        <v/>
      </c>
      <c r="V343" s="20">
        <f>IF(A343="",0,COUNTIF(nTP_Key,A343))</f>
        <v>0</v>
      </c>
      <c r="W343" s="20">
        <f t="shared" si="49"/>
        <v>0</v>
      </c>
      <c r="X343" s="20">
        <f t="shared" si="50"/>
        <v>0</v>
      </c>
      <c r="Y343" s="20">
        <f t="shared" si="51"/>
        <v>0</v>
      </c>
      <c r="Z343" s="20">
        <f t="shared" si="52"/>
        <v>0</v>
      </c>
    </row>
    <row r="344" spans="1:26" x14ac:dyDescent="0.2">
      <c r="A344" s="20" t="str">
        <f t="shared" si="46"/>
        <v/>
      </c>
      <c r="B344" s="20" t="str">
        <f>IF(AND(Milestones!$C7&lt;&gt;"",COUNTA(Milestones!$M7:$T7)&gt;0),Milestones!$C7&amp;"","")</f>
        <v/>
      </c>
      <c r="C344" s="20" t="str">
        <f>IF(B344="","","MILESTONE:"&amp;Milestones!$D7)</f>
        <v/>
      </c>
      <c r="D344" s="20" t="str">
        <f>IF(B344="","",Milestones!$A7&amp;"")</f>
        <v/>
      </c>
      <c r="E344" s="20" t="str">
        <f>IF(B344="","",Milestones!$B7&amp;"")</f>
        <v/>
      </c>
      <c r="F344" s="20" t="str">
        <f t="shared" si="47"/>
        <v/>
      </c>
      <c r="G344" s="20" t="str">
        <f>IF(B344="","",Milestones!$E7&amp;"")</f>
        <v/>
      </c>
      <c r="H344" s="20" t="str">
        <f>IF(B344="","",Milestones!$M7&amp;"")</f>
        <v/>
      </c>
      <c r="I344" s="20" t="str">
        <f>IF(B344="","",Milestones!$P7&amp;"")</f>
        <v/>
      </c>
      <c r="J344" s="20" t="str">
        <f>IF(B344="","",Milestones!$V7&amp;"")</f>
        <v/>
      </c>
      <c r="K344" s="20">
        <f>IF(B344="",0,Milestones!$W7)</f>
        <v>0</v>
      </c>
      <c r="L344" s="20">
        <f>IF(B344="",0,Milestones!$X7)</f>
        <v>0</v>
      </c>
      <c r="M344" s="20" t="str">
        <f>IF(B344="","",Milestones!$AA7)</f>
        <v/>
      </c>
      <c r="N344" s="20" t="str">
        <f>IF(B344="","",Milestones!$AB7)</f>
        <v/>
      </c>
      <c r="O344" s="27" t="str">
        <f>IF(B344="","",Milestones!$Y7)</f>
        <v/>
      </c>
      <c r="P344" s="27" t="str">
        <f>IF(B344="","",Milestones!$Z7)</f>
        <v/>
      </c>
      <c r="Q344" s="20" t="str">
        <f t="shared" si="48"/>
        <v/>
      </c>
      <c r="R344" s="20" t="str">
        <f>IF(A344="","",IF(J344&lt;&gt;"",J344,IF(H344="TIMESTAMP",DAY(INT(M344/1440))&amp;" "&amp;INDEX(nLIST_Months,MONTH(INT(M344/1440)))&amp;" "&amp;YEAR(INT(M344/1440))&amp;" "&amp;RIGHT("0"&amp;INT(MOD(M344,1440)/60),2)&amp;":"&amp;RIGHT("0"&amp;MOD(M344,60),2)&amp;IF(L344=1," (UTC"&amp;I344&amp;")"," (offset unknown)"),IF(H344="DATE",DAY(O344)&amp;" "&amp;INDEX(nLIST_Months,MONTH(O344))&amp;" "&amp;YEAR(O344),IF(H344="MONTH",INDEX(nLIST_Months,MONTH(O344))&amp;" "&amp;YEAR(O344)&amp;" ("&amp;DAY(O344)&amp;" "&amp;INDEX(nLIST_Months,MONTH(O344))&amp;" "&amp;YEAR(O344)&amp;" to "&amp;DAY(P344)&amp;" "&amp;INDEX(nLIST_Months,MONTH(P344))&amp;" "&amp;YEAR(P344)&amp;")",IF(H344="YEAR",YEAR(O344)&amp;" (1 January to 31 December)",DAY(O344)&amp;" "&amp;INDEX(nLIST_Months,MONTH(O344))&amp;" "&amp;YEAR(O344)&amp;" to "&amp;DAY(P344)&amp;" "&amp;INDEX(nLIST_Months,MONTH(P344))&amp;" "&amp;YEAR(P344)))))))</f>
        <v/>
      </c>
      <c r="S344" s="20" t="str">
        <f>IF(B344="","",Milestones!$L7&amp;"")</f>
        <v/>
      </c>
      <c r="T344" s="20" t="str">
        <f>IF(B344="","",Milestones!$U7&amp;"")</f>
        <v/>
      </c>
      <c r="U344" s="20" t="str">
        <f>IF(B344="","","Milestones row "&amp;ROW(Milestones!$A7)&amp;", Milestone")</f>
        <v/>
      </c>
      <c r="V344" s="20">
        <f>IF(A344="",0,COUNTIF(nTP_Key,A344))</f>
        <v>0</v>
      </c>
      <c r="W344" s="20">
        <f t="shared" si="49"/>
        <v>0</v>
      </c>
      <c r="X344" s="20">
        <f t="shared" si="50"/>
        <v>0</v>
      </c>
      <c r="Y344" s="20">
        <f t="shared" si="51"/>
        <v>0</v>
      </c>
      <c r="Z344" s="20">
        <f t="shared" si="52"/>
        <v>0</v>
      </c>
    </row>
    <row r="345" spans="1:26" x14ac:dyDescent="0.2">
      <c r="A345" s="20" t="str">
        <f t="shared" si="46"/>
        <v/>
      </c>
      <c r="B345" s="20" t="str">
        <f>IF(AND(Milestones!$C8&lt;&gt;"",COUNTA(Milestones!$M8:$T8)&gt;0),Milestones!$C8&amp;"","")</f>
        <v/>
      </c>
      <c r="C345" s="20" t="str">
        <f>IF(B345="","","MILESTONE:"&amp;Milestones!$D8)</f>
        <v/>
      </c>
      <c r="D345" s="20" t="str">
        <f>IF(B345="","",Milestones!$A8&amp;"")</f>
        <v/>
      </c>
      <c r="E345" s="20" t="str">
        <f>IF(B345="","",Milestones!$B8&amp;"")</f>
        <v/>
      </c>
      <c r="F345" s="20" t="str">
        <f t="shared" si="47"/>
        <v/>
      </c>
      <c r="G345" s="20" t="str">
        <f>IF(B345="","",Milestones!$E8&amp;"")</f>
        <v/>
      </c>
      <c r="H345" s="20" t="str">
        <f>IF(B345="","",Milestones!$M8&amp;"")</f>
        <v/>
      </c>
      <c r="I345" s="20" t="str">
        <f>IF(B345="","",Milestones!$P8&amp;"")</f>
        <v/>
      </c>
      <c r="J345" s="20" t="str">
        <f>IF(B345="","",Milestones!$V8&amp;"")</f>
        <v/>
      </c>
      <c r="K345" s="20">
        <f>IF(B345="",0,Milestones!$W8)</f>
        <v>0</v>
      </c>
      <c r="L345" s="20">
        <f>IF(B345="",0,Milestones!$X8)</f>
        <v>0</v>
      </c>
      <c r="M345" s="20" t="str">
        <f>IF(B345="","",Milestones!$AA8)</f>
        <v/>
      </c>
      <c r="N345" s="20" t="str">
        <f>IF(B345="","",Milestones!$AB8)</f>
        <v/>
      </c>
      <c r="O345" s="27" t="str">
        <f>IF(B345="","",Milestones!$Y8)</f>
        <v/>
      </c>
      <c r="P345" s="27" t="str">
        <f>IF(B345="","",Milestones!$Z8)</f>
        <v/>
      </c>
      <c r="Q345" s="20" t="str">
        <f t="shared" si="48"/>
        <v/>
      </c>
      <c r="R345" s="20" t="str">
        <f>IF(A345="","",IF(J345&lt;&gt;"",J345,IF(H345="TIMESTAMP",DAY(INT(M345/1440))&amp;" "&amp;INDEX(nLIST_Months,MONTH(INT(M345/1440)))&amp;" "&amp;YEAR(INT(M345/1440))&amp;" "&amp;RIGHT("0"&amp;INT(MOD(M345,1440)/60),2)&amp;":"&amp;RIGHT("0"&amp;MOD(M345,60),2)&amp;IF(L345=1," (UTC"&amp;I345&amp;")"," (offset unknown)"),IF(H345="DATE",DAY(O345)&amp;" "&amp;INDEX(nLIST_Months,MONTH(O345))&amp;" "&amp;YEAR(O345),IF(H345="MONTH",INDEX(nLIST_Months,MONTH(O345))&amp;" "&amp;YEAR(O345)&amp;" ("&amp;DAY(O345)&amp;" "&amp;INDEX(nLIST_Months,MONTH(O345))&amp;" "&amp;YEAR(O345)&amp;" to "&amp;DAY(P345)&amp;" "&amp;INDEX(nLIST_Months,MONTH(P345))&amp;" "&amp;YEAR(P345)&amp;")",IF(H345="YEAR",YEAR(O345)&amp;" (1 January to 31 December)",DAY(O345)&amp;" "&amp;INDEX(nLIST_Months,MONTH(O345))&amp;" "&amp;YEAR(O345)&amp;" to "&amp;DAY(P345)&amp;" "&amp;INDEX(nLIST_Months,MONTH(P345))&amp;" "&amp;YEAR(P345)))))))</f>
        <v/>
      </c>
      <c r="S345" s="20" t="str">
        <f>IF(B345="","",Milestones!$L8&amp;"")</f>
        <v/>
      </c>
      <c r="T345" s="20" t="str">
        <f>IF(B345="","",Milestones!$U8&amp;"")</f>
        <v/>
      </c>
      <c r="U345" s="20" t="str">
        <f>IF(B345="","","Milestones row "&amp;ROW(Milestones!$A8)&amp;", Milestone")</f>
        <v/>
      </c>
      <c r="V345" s="20">
        <f>IF(A345="",0,COUNTIF(nTP_Key,A345))</f>
        <v>0</v>
      </c>
      <c r="W345" s="20">
        <f t="shared" si="49"/>
        <v>0</v>
      </c>
      <c r="X345" s="20">
        <f t="shared" si="50"/>
        <v>0</v>
      </c>
      <c r="Y345" s="20">
        <f t="shared" si="51"/>
        <v>0</v>
      </c>
      <c r="Z345" s="20">
        <f t="shared" si="52"/>
        <v>0</v>
      </c>
    </row>
    <row r="346" spans="1:26" x14ac:dyDescent="0.2">
      <c r="A346" s="20" t="str">
        <f t="shared" si="46"/>
        <v/>
      </c>
      <c r="B346" s="20" t="str">
        <f>IF(AND(Milestones!$C9&lt;&gt;"",COUNTA(Milestones!$M9:$T9)&gt;0),Milestones!$C9&amp;"","")</f>
        <v/>
      </c>
      <c r="C346" s="20" t="str">
        <f>IF(B346="","","MILESTONE:"&amp;Milestones!$D9)</f>
        <v/>
      </c>
      <c r="D346" s="20" t="str">
        <f>IF(B346="","",Milestones!$A9&amp;"")</f>
        <v/>
      </c>
      <c r="E346" s="20" t="str">
        <f>IF(B346="","",Milestones!$B9&amp;"")</f>
        <v/>
      </c>
      <c r="F346" s="20" t="str">
        <f t="shared" si="47"/>
        <v/>
      </c>
      <c r="G346" s="20" t="str">
        <f>IF(B346="","",Milestones!$E9&amp;"")</f>
        <v/>
      </c>
      <c r="H346" s="20" t="str">
        <f>IF(B346="","",Milestones!$M9&amp;"")</f>
        <v/>
      </c>
      <c r="I346" s="20" t="str">
        <f>IF(B346="","",Milestones!$P9&amp;"")</f>
        <v/>
      </c>
      <c r="J346" s="20" t="str">
        <f>IF(B346="","",Milestones!$V9&amp;"")</f>
        <v/>
      </c>
      <c r="K346" s="20">
        <f>IF(B346="",0,Milestones!$W9)</f>
        <v>0</v>
      </c>
      <c r="L346" s="20">
        <f>IF(B346="",0,Milestones!$X9)</f>
        <v>0</v>
      </c>
      <c r="M346" s="20" t="str">
        <f>IF(B346="","",Milestones!$AA9)</f>
        <v/>
      </c>
      <c r="N346" s="20" t="str">
        <f>IF(B346="","",Milestones!$AB9)</f>
        <v/>
      </c>
      <c r="O346" s="27" t="str">
        <f>IF(B346="","",Milestones!$Y9)</f>
        <v/>
      </c>
      <c r="P346" s="27" t="str">
        <f>IF(B346="","",Milestones!$Z9)</f>
        <v/>
      </c>
      <c r="Q346" s="20" t="str">
        <f t="shared" si="48"/>
        <v/>
      </c>
      <c r="R346" s="20" t="str">
        <f>IF(A346="","",IF(J346&lt;&gt;"",J346,IF(H346="TIMESTAMP",DAY(INT(M346/1440))&amp;" "&amp;INDEX(nLIST_Months,MONTH(INT(M346/1440)))&amp;" "&amp;YEAR(INT(M346/1440))&amp;" "&amp;RIGHT("0"&amp;INT(MOD(M346,1440)/60),2)&amp;":"&amp;RIGHT("0"&amp;MOD(M346,60),2)&amp;IF(L346=1," (UTC"&amp;I346&amp;")"," (offset unknown)"),IF(H346="DATE",DAY(O346)&amp;" "&amp;INDEX(nLIST_Months,MONTH(O346))&amp;" "&amp;YEAR(O346),IF(H346="MONTH",INDEX(nLIST_Months,MONTH(O346))&amp;" "&amp;YEAR(O346)&amp;" ("&amp;DAY(O346)&amp;" "&amp;INDEX(nLIST_Months,MONTH(O346))&amp;" "&amp;YEAR(O346)&amp;" to "&amp;DAY(P346)&amp;" "&amp;INDEX(nLIST_Months,MONTH(P346))&amp;" "&amp;YEAR(P346)&amp;")",IF(H346="YEAR",YEAR(O346)&amp;" (1 January to 31 December)",DAY(O346)&amp;" "&amp;INDEX(nLIST_Months,MONTH(O346))&amp;" "&amp;YEAR(O346)&amp;" to "&amp;DAY(P346)&amp;" "&amp;INDEX(nLIST_Months,MONTH(P346))&amp;" "&amp;YEAR(P346)))))))</f>
        <v/>
      </c>
      <c r="S346" s="20" t="str">
        <f>IF(B346="","",Milestones!$L9&amp;"")</f>
        <v/>
      </c>
      <c r="T346" s="20" t="str">
        <f>IF(B346="","",Milestones!$U9&amp;"")</f>
        <v/>
      </c>
      <c r="U346" s="20" t="str">
        <f>IF(B346="","","Milestones row "&amp;ROW(Milestones!$A9)&amp;", Milestone")</f>
        <v/>
      </c>
      <c r="V346" s="20">
        <f>IF(A346="",0,COUNTIF(nTP_Key,A346))</f>
        <v>0</v>
      </c>
      <c r="W346" s="20">
        <f t="shared" si="49"/>
        <v>0</v>
      </c>
      <c r="X346" s="20">
        <f t="shared" si="50"/>
        <v>0</v>
      </c>
      <c r="Y346" s="20">
        <f t="shared" si="51"/>
        <v>0</v>
      </c>
      <c r="Z346" s="20">
        <f t="shared" si="52"/>
        <v>0</v>
      </c>
    </row>
    <row r="347" spans="1:26" x14ac:dyDescent="0.2">
      <c r="A347" s="20" t="str">
        <f t="shared" si="46"/>
        <v/>
      </c>
      <c r="B347" s="20" t="str">
        <f>IF(AND(Milestones!$C10&lt;&gt;"",COUNTA(Milestones!$M10:$T10)&gt;0),Milestones!$C10&amp;"","")</f>
        <v/>
      </c>
      <c r="C347" s="20" t="str">
        <f>IF(B347="","","MILESTONE:"&amp;Milestones!$D10)</f>
        <v/>
      </c>
      <c r="D347" s="20" t="str">
        <f>IF(B347="","",Milestones!$A10&amp;"")</f>
        <v/>
      </c>
      <c r="E347" s="20" t="str">
        <f>IF(B347="","",Milestones!$B10&amp;"")</f>
        <v/>
      </c>
      <c r="F347" s="20" t="str">
        <f t="shared" si="47"/>
        <v/>
      </c>
      <c r="G347" s="20" t="str">
        <f>IF(B347="","",Milestones!$E10&amp;"")</f>
        <v/>
      </c>
      <c r="H347" s="20" t="str">
        <f>IF(B347="","",Milestones!$M10&amp;"")</f>
        <v/>
      </c>
      <c r="I347" s="20" t="str">
        <f>IF(B347="","",Milestones!$P10&amp;"")</f>
        <v/>
      </c>
      <c r="J347" s="20" t="str">
        <f>IF(B347="","",Milestones!$V10&amp;"")</f>
        <v/>
      </c>
      <c r="K347" s="20">
        <f>IF(B347="",0,Milestones!$W10)</f>
        <v>0</v>
      </c>
      <c r="L347" s="20">
        <f>IF(B347="",0,Milestones!$X10)</f>
        <v>0</v>
      </c>
      <c r="M347" s="20" t="str">
        <f>IF(B347="","",Milestones!$AA10)</f>
        <v/>
      </c>
      <c r="N347" s="20" t="str">
        <f>IF(B347="","",Milestones!$AB10)</f>
        <v/>
      </c>
      <c r="O347" s="27" t="str">
        <f>IF(B347="","",Milestones!$Y10)</f>
        <v/>
      </c>
      <c r="P347" s="27" t="str">
        <f>IF(B347="","",Milestones!$Z10)</f>
        <v/>
      </c>
      <c r="Q347" s="20" t="str">
        <f t="shared" si="48"/>
        <v/>
      </c>
      <c r="R347" s="20" t="str">
        <f>IF(A347="","",IF(J347&lt;&gt;"",J347,IF(H347="TIMESTAMP",DAY(INT(M347/1440))&amp;" "&amp;INDEX(nLIST_Months,MONTH(INT(M347/1440)))&amp;" "&amp;YEAR(INT(M347/1440))&amp;" "&amp;RIGHT("0"&amp;INT(MOD(M347,1440)/60),2)&amp;":"&amp;RIGHT("0"&amp;MOD(M347,60),2)&amp;IF(L347=1," (UTC"&amp;I347&amp;")"," (offset unknown)"),IF(H347="DATE",DAY(O347)&amp;" "&amp;INDEX(nLIST_Months,MONTH(O347))&amp;" "&amp;YEAR(O347),IF(H347="MONTH",INDEX(nLIST_Months,MONTH(O347))&amp;" "&amp;YEAR(O347)&amp;" ("&amp;DAY(O347)&amp;" "&amp;INDEX(nLIST_Months,MONTH(O347))&amp;" "&amp;YEAR(O347)&amp;" to "&amp;DAY(P347)&amp;" "&amp;INDEX(nLIST_Months,MONTH(P347))&amp;" "&amp;YEAR(P347)&amp;")",IF(H347="YEAR",YEAR(O347)&amp;" (1 January to 31 December)",DAY(O347)&amp;" "&amp;INDEX(nLIST_Months,MONTH(O347))&amp;" "&amp;YEAR(O347)&amp;" to "&amp;DAY(P347)&amp;" "&amp;INDEX(nLIST_Months,MONTH(P347))&amp;" "&amp;YEAR(P347)))))))</f>
        <v/>
      </c>
      <c r="S347" s="20" t="str">
        <f>IF(B347="","",Milestones!$L10&amp;"")</f>
        <v/>
      </c>
      <c r="T347" s="20" t="str">
        <f>IF(B347="","",Milestones!$U10&amp;"")</f>
        <v/>
      </c>
      <c r="U347" s="20" t="str">
        <f>IF(B347="","","Milestones row "&amp;ROW(Milestones!$A10)&amp;", Milestone")</f>
        <v/>
      </c>
      <c r="V347" s="20">
        <f>IF(A347="",0,COUNTIF(nTP_Key,A347))</f>
        <v>0</v>
      </c>
      <c r="W347" s="20">
        <f t="shared" si="49"/>
        <v>0</v>
      </c>
      <c r="X347" s="20">
        <f t="shared" si="50"/>
        <v>0</v>
      </c>
      <c r="Y347" s="20">
        <f t="shared" si="51"/>
        <v>0</v>
      </c>
      <c r="Z347" s="20">
        <f t="shared" si="52"/>
        <v>0</v>
      </c>
    </row>
    <row r="348" spans="1:26" x14ac:dyDescent="0.2">
      <c r="A348" s="20" t="str">
        <f t="shared" si="46"/>
        <v/>
      </c>
      <c r="B348" s="20" t="str">
        <f>IF(AND(Milestones!$C11&lt;&gt;"",COUNTA(Milestones!$M11:$T11)&gt;0),Milestones!$C11&amp;"","")</f>
        <v/>
      </c>
      <c r="C348" s="20" t="str">
        <f>IF(B348="","","MILESTONE:"&amp;Milestones!$D11)</f>
        <v/>
      </c>
      <c r="D348" s="20" t="str">
        <f>IF(B348="","",Milestones!$A11&amp;"")</f>
        <v/>
      </c>
      <c r="E348" s="20" t="str">
        <f>IF(B348="","",Milestones!$B11&amp;"")</f>
        <v/>
      </c>
      <c r="F348" s="20" t="str">
        <f t="shared" si="47"/>
        <v/>
      </c>
      <c r="G348" s="20" t="str">
        <f>IF(B348="","",Milestones!$E11&amp;"")</f>
        <v/>
      </c>
      <c r="H348" s="20" t="str">
        <f>IF(B348="","",Milestones!$M11&amp;"")</f>
        <v/>
      </c>
      <c r="I348" s="20" t="str">
        <f>IF(B348="","",Milestones!$P11&amp;"")</f>
        <v/>
      </c>
      <c r="J348" s="20" t="str">
        <f>IF(B348="","",Milestones!$V11&amp;"")</f>
        <v/>
      </c>
      <c r="K348" s="20">
        <f>IF(B348="",0,Milestones!$W11)</f>
        <v>0</v>
      </c>
      <c r="L348" s="20">
        <f>IF(B348="",0,Milestones!$X11)</f>
        <v>0</v>
      </c>
      <c r="M348" s="20" t="str">
        <f>IF(B348="","",Milestones!$AA11)</f>
        <v/>
      </c>
      <c r="N348" s="20" t="str">
        <f>IF(B348="","",Milestones!$AB11)</f>
        <v/>
      </c>
      <c r="O348" s="27" t="str">
        <f>IF(B348="","",Milestones!$Y11)</f>
        <v/>
      </c>
      <c r="P348" s="27" t="str">
        <f>IF(B348="","",Milestones!$Z11)</f>
        <v/>
      </c>
      <c r="Q348" s="20" t="str">
        <f t="shared" si="48"/>
        <v/>
      </c>
      <c r="R348" s="20" t="str">
        <f>IF(A348="","",IF(J348&lt;&gt;"",J348,IF(H348="TIMESTAMP",DAY(INT(M348/1440))&amp;" "&amp;INDEX(nLIST_Months,MONTH(INT(M348/1440)))&amp;" "&amp;YEAR(INT(M348/1440))&amp;" "&amp;RIGHT("0"&amp;INT(MOD(M348,1440)/60),2)&amp;":"&amp;RIGHT("0"&amp;MOD(M348,60),2)&amp;IF(L348=1," (UTC"&amp;I348&amp;")"," (offset unknown)"),IF(H348="DATE",DAY(O348)&amp;" "&amp;INDEX(nLIST_Months,MONTH(O348))&amp;" "&amp;YEAR(O348),IF(H348="MONTH",INDEX(nLIST_Months,MONTH(O348))&amp;" "&amp;YEAR(O348)&amp;" ("&amp;DAY(O348)&amp;" "&amp;INDEX(nLIST_Months,MONTH(O348))&amp;" "&amp;YEAR(O348)&amp;" to "&amp;DAY(P348)&amp;" "&amp;INDEX(nLIST_Months,MONTH(P348))&amp;" "&amp;YEAR(P348)&amp;")",IF(H348="YEAR",YEAR(O348)&amp;" (1 January to 31 December)",DAY(O348)&amp;" "&amp;INDEX(nLIST_Months,MONTH(O348))&amp;" "&amp;YEAR(O348)&amp;" to "&amp;DAY(P348)&amp;" "&amp;INDEX(nLIST_Months,MONTH(P348))&amp;" "&amp;YEAR(P348)))))))</f>
        <v/>
      </c>
      <c r="S348" s="20" t="str">
        <f>IF(B348="","",Milestones!$L11&amp;"")</f>
        <v/>
      </c>
      <c r="T348" s="20" t="str">
        <f>IF(B348="","",Milestones!$U11&amp;"")</f>
        <v/>
      </c>
      <c r="U348" s="20" t="str">
        <f>IF(B348="","","Milestones row "&amp;ROW(Milestones!$A11)&amp;", Milestone")</f>
        <v/>
      </c>
      <c r="V348" s="20">
        <f>IF(A348="",0,COUNTIF(nTP_Key,A348))</f>
        <v>0</v>
      </c>
      <c r="W348" s="20">
        <f t="shared" si="49"/>
        <v>0</v>
      </c>
      <c r="X348" s="20">
        <f t="shared" si="50"/>
        <v>0</v>
      </c>
      <c r="Y348" s="20">
        <f t="shared" si="51"/>
        <v>0</v>
      </c>
      <c r="Z348" s="20">
        <f t="shared" si="52"/>
        <v>0</v>
      </c>
    </row>
    <row r="349" spans="1:26" x14ac:dyDescent="0.2">
      <c r="A349" s="20" t="str">
        <f t="shared" si="46"/>
        <v/>
      </c>
      <c r="B349" s="20" t="str">
        <f>IF(AND(Milestones!$C12&lt;&gt;"",COUNTA(Milestones!$M12:$T12)&gt;0),Milestones!$C12&amp;"","")</f>
        <v/>
      </c>
      <c r="C349" s="20" t="str">
        <f>IF(B349="","","MILESTONE:"&amp;Milestones!$D12)</f>
        <v/>
      </c>
      <c r="D349" s="20" t="str">
        <f>IF(B349="","",Milestones!$A12&amp;"")</f>
        <v/>
      </c>
      <c r="E349" s="20" t="str">
        <f>IF(B349="","",Milestones!$B12&amp;"")</f>
        <v/>
      </c>
      <c r="F349" s="20" t="str">
        <f t="shared" si="47"/>
        <v/>
      </c>
      <c r="G349" s="20" t="str">
        <f>IF(B349="","",Milestones!$E12&amp;"")</f>
        <v/>
      </c>
      <c r="H349" s="20" t="str">
        <f>IF(B349="","",Milestones!$M12&amp;"")</f>
        <v/>
      </c>
      <c r="I349" s="20" t="str">
        <f>IF(B349="","",Milestones!$P12&amp;"")</f>
        <v/>
      </c>
      <c r="J349" s="20" t="str">
        <f>IF(B349="","",Milestones!$V12&amp;"")</f>
        <v/>
      </c>
      <c r="K349" s="20">
        <f>IF(B349="",0,Milestones!$W12)</f>
        <v>0</v>
      </c>
      <c r="L349" s="20">
        <f>IF(B349="",0,Milestones!$X12)</f>
        <v>0</v>
      </c>
      <c r="M349" s="20" t="str">
        <f>IF(B349="","",Milestones!$AA12)</f>
        <v/>
      </c>
      <c r="N349" s="20" t="str">
        <f>IF(B349="","",Milestones!$AB12)</f>
        <v/>
      </c>
      <c r="O349" s="27" t="str">
        <f>IF(B349="","",Milestones!$Y12)</f>
        <v/>
      </c>
      <c r="P349" s="27" t="str">
        <f>IF(B349="","",Milestones!$Z12)</f>
        <v/>
      </c>
      <c r="Q349" s="20" t="str">
        <f t="shared" si="48"/>
        <v/>
      </c>
      <c r="R349" s="20" t="str">
        <f>IF(A349="","",IF(J349&lt;&gt;"",J349,IF(H349="TIMESTAMP",DAY(INT(M349/1440))&amp;" "&amp;INDEX(nLIST_Months,MONTH(INT(M349/1440)))&amp;" "&amp;YEAR(INT(M349/1440))&amp;" "&amp;RIGHT("0"&amp;INT(MOD(M349,1440)/60),2)&amp;":"&amp;RIGHT("0"&amp;MOD(M349,60),2)&amp;IF(L349=1," (UTC"&amp;I349&amp;")"," (offset unknown)"),IF(H349="DATE",DAY(O349)&amp;" "&amp;INDEX(nLIST_Months,MONTH(O349))&amp;" "&amp;YEAR(O349),IF(H349="MONTH",INDEX(nLIST_Months,MONTH(O349))&amp;" "&amp;YEAR(O349)&amp;" ("&amp;DAY(O349)&amp;" "&amp;INDEX(nLIST_Months,MONTH(O349))&amp;" "&amp;YEAR(O349)&amp;" to "&amp;DAY(P349)&amp;" "&amp;INDEX(nLIST_Months,MONTH(P349))&amp;" "&amp;YEAR(P349)&amp;")",IF(H349="YEAR",YEAR(O349)&amp;" (1 January to 31 December)",DAY(O349)&amp;" "&amp;INDEX(nLIST_Months,MONTH(O349))&amp;" "&amp;YEAR(O349)&amp;" to "&amp;DAY(P349)&amp;" "&amp;INDEX(nLIST_Months,MONTH(P349))&amp;" "&amp;YEAR(P349)))))))</f>
        <v/>
      </c>
      <c r="S349" s="20" t="str">
        <f>IF(B349="","",Milestones!$L12&amp;"")</f>
        <v/>
      </c>
      <c r="T349" s="20" t="str">
        <f>IF(B349="","",Milestones!$U12&amp;"")</f>
        <v/>
      </c>
      <c r="U349" s="20" t="str">
        <f>IF(B349="","","Milestones row "&amp;ROW(Milestones!$A12)&amp;", Milestone")</f>
        <v/>
      </c>
      <c r="V349" s="20">
        <f>IF(A349="",0,COUNTIF(nTP_Key,A349))</f>
        <v>0</v>
      </c>
      <c r="W349" s="20">
        <f t="shared" si="49"/>
        <v>0</v>
      </c>
      <c r="X349" s="20">
        <f t="shared" si="50"/>
        <v>0</v>
      </c>
      <c r="Y349" s="20">
        <f t="shared" si="51"/>
        <v>0</v>
      </c>
      <c r="Z349" s="20">
        <f t="shared" si="52"/>
        <v>0</v>
      </c>
    </row>
    <row r="350" spans="1:26" x14ac:dyDescent="0.2">
      <c r="A350" s="20" t="str">
        <f t="shared" si="46"/>
        <v/>
      </c>
      <c r="B350" s="20" t="str">
        <f>IF(AND(Milestones!$C13&lt;&gt;"",COUNTA(Milestones!$M13:$T13)&gt;0),Milestones!$C13&amp;"","")</f>
        <v/>
      </c>
      <c r="C350" s="20" t="str">
        <f>IF(B350="","","MILESTONE:"&amp;Milestones!$D13)</f>
        <v/>
      </c>
      <c r="D350" s="20" t="str">
        <f>IF(B350="","",Milestones!$A13&amp;"")</f>
        <v/>
      </c>
      <c r="E350" s="20" t="str">
        <f>IF(B350="","",Milestones!$B13&amp;"")</f>
        <v/>
      </c>
      <c r="F350" s="20" t="str">
        <f t="shared" si="47"/>
        <v/>
      </c>
      <c r="G350" s="20" t="str">
        <f>IF(B350="","",Milestones!$E13&amp;"")</f>
        <v/>
      </c>
      <c r="H350" s="20" t="str">
        <f>IF(B350="","",Milestones!$M13&amp;"")</f>
        <v/>
      </c>
      <c r="I350" s="20" t="str">
        <f>IF(B350="","",Milestones!$P13&amp;"")</f>
        <v/>
      </c>
      <c r="J350" s="20" t="str">
        <f>IF(B350="","",Milestones!$V13&amp;"")</f>
        <v/>
      </c>
      <c r="K350" s="20">
        <f>IF(B350="",0,Milestones!$W13)</f>
        <v>0</v>
      </c>
      <c r="L350" s="20">
        <f>IF(B350="",0,Milestones!$X13)</f>
        <v>0</v>
      </c>
      <c r="M350" s="20" t="str">
        <f>IF(B350="","",Milestones!$AA13)</f>
        <v/>
      </c>
      <c r="N350" s="20" t="str">
        <f>IF(B350="","",Milestones!$AB13)</f>
        <v/>
      </c>
      <c r="O350" s="27" t="str">
        <f>IF(B350="","",Milestones!$Y13)</f>
        <v/>
      </c>
      <c r="P350" s="27" t="str">
        <f>IF(B350="","",Milestones!$Z13)</f>
        <v/>
      </c>
      <c r="Q350" s="20" t="str">
        <f t="shared" si="48"/>
        <v/>
      </c>
      <c r="R350" s="20" t="str">
        <f>IF(A350="","",IF(J350&lt;&gt;"",J350,IF(H350="TIMESTAMP",DAY(INT(M350/1440))&amp;" "&amp;INDEX(nLIST_Months,MONTH(INT(M350/1440)))&amp;" "&amp;YEAR(INT(M350/1440))&amp;" "&amp;RIGHT("0"&amp;INT(MOD(M350,1440)/60),2)&amp;":"&amp;RIGHT("0"&amp;MOD(M350,60),2)&amp;IF(L350=1," (UTC"&amp;I350&amp;")"," (offset unknown)"),IF(H350="DATE",DAY(O350)&amp;" "&amp;INDEX(nLIST_Months,MONTH(O350))&amp;" "&amp;YEAR(O350),IF(H350="MONTH",INDEX(nLIST_Months,MONTH(O350))&amp;" "&amp;YEAR(O350)&amp;" ("&amp;DAY(O350)&amp;" "&amp;INDEX(nLIST_Months,MONTH(O350))&amp;" "&amp;YEAR(O350)&amp;" to "&amp;DAY(P350)&amp;" "&amp;INDEX(nLIST_Months,MONTH(P350))&amp;" "&amp;YEAR(P350)&amp;")",IF(H350="YEAR",YEAR(O350)&amp;" (1 January to 31 December)",DAY(O350)&amp;" "&amp;INDEX(nLIST_Months,MONTH(O350))&amp;" "&amp;YEAR(O350)&amp;" to "&amp;DAY(P350)&amp;" "&amp;INDEX(nLIST_Months,MONTH(P350))&amp;" "&amp;YEAR(P350)))))))</f>
        <v/>
      </c>
      <c r="S350" s="20" t="str">
        <f>IF(B350="","",Milestones!$L13&amp;"")</f>
        <v/>
      </c>
      <c r="T350" s="20" t="str">
        <f>IF(B350="","",Milestones!$U13&amp;"")</f>
        <v/>
      </c>
      <c r="U350" s="20" t="str">
        <f>IF(B350="","","Milestones row "&amp;ROW(Milestones!$A13)&amp;", Milestone")</f>
        <v/>
      </c>
      <c r="V350" s="20">
        <f>IF(A350="",0,COUNTIF(nTP_Key,A350))</f>
        <v>0</v>
      </c>
      <c r="W350" s="20">
        <f t="shared" si="49"/>
        <v>0</v>
      </c>
      <c r="X350" s="20">
        <f t="shared" si="50"/>
        <v>0</v>
      </c>
      <c r="Y350" s="20">
        <f t="shared" si="51"/>
        <v>0</v>
      </c>
      <c r="Z350" s="20">
        <f t="shared" si="52"/>
        <v>0</v>
      </c>
    </row>
    <row r="351" spans="1:26" x14ac:dyDescent="0.2">
      <c r="A351" s="20" t="str">
        <f t="shared" si="46"/>
        <v/>
      </c>
      <c r="B351" s="20" t="str">
        <f>IF(AND(Milestones!$C14&lt;&gt;"",COUNTA(Milestones!$M14:$T14)&gt;0),Milestones!$C14&amp;"","")</f>
        <v/>
      </c>
      <c r="C351" s="20" t="str">
        <f>IF(B351="","","MILESTONE:"&amp;Milestones!$D14)</f>
        <v/>
      </c>
      <c r="D351" s="20" t="str">
        <f>IF(B351="","",Milestones!$A14&amp;"")</f>
        <v/>
      </c>
      <c r="E351" s="20" t="str">
        <f>IF(B351="","",Milestones!$B14&amp;"")</f>
        <v/>
      </c>
      <c r="F351" s="20" t="str">
        <f t="shared" si="47"/>
        <v/>
      </c>
      <c r="G351" s="20" t="str">
        <f>IF(B351="","",Milestones!$E14&amp;"")</f>
        <v/>
      </c>
      <c r="H351" s="20" t="str">
        <f>IF(B351="","",Milestones!$M14&amp;"")</f>
        <v/>
      </c>
      <c r="I351" s="20" t="str">
        <f>IF(B351="","",Milestones!$P14&amp;"")</f>
        <v/>
      </c>
      <c r="J351" s="20" t="str">
        <f>IF(B351="","",Milestones!$V14&amp;"")</f>
        <v/>
      </c>
      <c r="K351" s="20">
        <f>IF(B351="",0,Milestones!$W14)</f>
        <v>0</v>
      </c>
      <c r="L351" s="20">
        <f>IF(B351="",0,Milestones!$X14)</f>
        <v>0</v>
      </c>
      <c r="M351" s="20" t="str">
        <f>IF(B351="","",Milestones!$AA14)</f>
        <v/>
      </c>
      <c r="N351" s="20" t="str">
        <f>IF(B351="","",Milestones!$AB14)</f>
        <v/>
      </c>
      <c r="O351" s="27" t="str">
        <f>IF(B351="","",Milestones!$Y14)</f>
        <v/>
      </c>
      <c r="P351" s="27" t="str">
        <f>IF(B351="","",Milestones!$Z14)</f>
        <v/>
      </c>
      <c r="Q351" s="20" t="str">
        <f t="shared" si="48"/>
        <v/>
      </c>
      <c r="R351" s="20" t="str">
        <f>IF(A351="","",IF(J351&lt;&gt;"",J351,IF(H351="TIMESTAMP",DAY(INT(M351/1440))&amp;" "&amp;INDEX(nLIST_Months,MONTH(INT(M351/1440)))&amp;" "&amp;YEAR(INT(M351/1440))&amp;" "&amp;RIGHT("0"&amp;INT(MOD(M351,1440)/60),2)&amp;":"&amp;RIGHT("0"&amp;MOD(M351,60),2)&amp;IF(L351=1," (UTC"&amp;I351&amp;")"," (offset unknown)"),IF(H351="DATE",DAY(O351)&amp;" "&amp;INDEX(nLIST_Months,MONTH(O351))&amp;" "&amp;YEAR(O351),IF(H351="MONTH",INDEX(nLIST_Months,MONTH(O351))&amp;" "&amp;YEAR(O351)&amp;" ("&amp;DAY(O351)&amp;" "&amp;INDEX(nLIST_Months,MONTH(O351))&amp;" "&amp;YEAR(O351)&amp;" to "&amp;DAY(P351)&amp;" "&amp;INDEX(nLIST_Months,MONTH(P351))&amp;" "&amp;YEAR(P351)&amp;")",IF(H351="YEAR",YEAR(O351)&amp;" (1 January to 31 December)",DAY(O351)&amp;" "&amp;INDEX(nLIST_Months,MONTH(O351))&amp;" "&amp;YEAR(O351)&amp;" to "&amp;DAY(P351)&amp;" "&amp;INDEX(nLIST_Months,MONTH(P351))&amp;" "&amp;YEAR(P351)))))))</f>
        <v/>
      </c>
      <c r="S351" s="20" t="str">
        <f>IF(B351="","",Milestones!$L14&amp;"")</f>
        <v/>
      </c>
      <c r="T351" s="20" t="str">
        <f>IF(B351="","",Milestones!$U14&amp;"")</f>
        <v/>
      </c>
      <c r="U351" s="20" t="str">
        <f>IF(B351="","","Milestones row "&amp;ROW(Milestones!$A14)&amp;", Milestone")</f>
        <v/>
      </c>
      <c r="V351" s="20">
        <f>IF(A351="",0,COUNTIF(nTP_Key,A351))</f>
        <v>0</v>
      </c>
      <c r="W351" s="20">
        <f t="shared" si="49"/>
        <v>0</v>
      </c>
      <c r="X351" s="20">
        <f t="shared" si="50"/>
        <v>0</v>
      </c>
      <c r="Y351" s="20">
        <f t="shared" si="51"/>
        <v>0</v>
      </c>
      <c r="Z351" s="20">
        <f t="shared" si="52"/>
        <v>0</v>
      </c>
    </row>
    <row r="352" spans="1:26" x14ac:dyDescent="0.2">
      <c r="A352" s="20" t="str">
        <f t="shared" si="46"/>
        <v/>
      </c>
      <c r="B352" s="20" t="str">
        <f>IF(AND(Milestones!$C15&lt;&gt;"",COUNTA(Milestones!$M15:$T15)&gt;0),Milestones!$C15&amp;"","")</f>
        <v/>
      </c>
      <c r="C352" s="20" t="str">
        <f>IF(B352="","","MILESTONE:"&amp;Milestones!$D15)</f>
        <v/>
      </c>
      <c r="D352" s="20" t="str">
        <f>IF(B352="","",Milestones!$A15&amp;"")</f>
        <v/>
      </c>
      <c r="E352" s="20" t="str">
        <f>IF(B352="","",Milestones!$B15&amp;"")</f>
        <v/>
      </c>
      <c r="F352" s="20" t="str">
        <f t="shared" si="47"/>
        <v/>
      </c>
      <c r="G352" s="20" t="str">
        <f>IF(B352="","",Milestones!$E15&amp;"")</f>
        <v/>
      </c>
      <c r="H352" s="20" t="str">
        <f>IF(B352="","",Milestones!$M15&amp;"")</f>
        <v/>
      </c>
      <c r="I352" s="20" t="str">
        <f>IF(B352="","",Milestones!$P15&amp;"")</f>
        <v/>
      </c>
      <c r="J352" s="20" t="str">
        <f>IF(B352="","",Milestones!$V15&amp;"")</f>
        <v/>
      </c>
      <c r="K352" s="20">
        <f>IF(B352="",0,Milestones!$W15)</f>
        <v>0</v>
      </c>
      <c r="L352" s="20">
        <f>IF(B352="",0,Milestones!$X15)</f>
        <v>0</v>
      </c>
      <c r="M352" s="20" t="str">
        <f>IF(B352="","",Milestones!$AA15)</f>
        <v/>
      </c>
      <c r="N352" s="20" t="str">
        <f>IF(B352="","",Milestones!$AB15)</f>
        <v/>
      </c>
      <c r="O352" s="27" t="str">
        <f>IF(B352="","",Milestones!$Y15)</f>
        <v/>
      </c>
      <c r="P352" s="27" t="str">
        <f>IF(B352="","",Milestones!$Z15)</f>
        <v/>
      </c>
      <c r="Q352" s="20" t="str">
        <f t="shared" si="48"/>
        <v/>
      </c>
      <c r="R352" s="20" t="str">
        <f>IF(A352="","",IF(J352&lt;&gt;"",J352,IF(H352="TIMESTAMP",DAY(INT(M352/1440))&amp;" "&amp;INDEX(nLIST_Months,MONTH(INT(M352/1440)))&amp;" "&amp;YEAR(INT(M352/1440))&amp;" "&amp;RIGHT("0"&amp;INT(MOD(M352,1440)/60),2)&amp;":"&amp;RIGHT("0"&amp;MOD(M352,60),2)&amp;IF(L352=1," (UTC"&amp;I352&amp;")"," (offset unknown)"),IF(H352="DATE",DAY(O352)&amp;" "&amp;INDEX(nLIST_Months,MONTH(O352))&amp;" "&amp;YEAR(O352),IF(H352="MONTH",INDEX(nLIST_Months,MONTH(O352))&amp;" "&amp;YEAR(O352)&amp;" ("&amp;DAY(O352)&amp;" "&amp;INDEX(nLIST_Months,MONTH(O352))&amp;" "&amp;YEAR(O352)&amp;" to "&amp;DAY(P352)&amp;" "&amp;INDEX(nLIST_Months,MONTH(P352))&amp;" "&amp;YEAR(P352)&amp;")",IF(H352="YEAR",YEAR(O352)&amp;" (1 January to 31 December)",DAY(O352)&amp;" "&amp;INDEX(nLIST_Months,MONTH(O352))&amp;" "&amp;YEAR(O352)&amp;" to "&amp;DAY(P352)&amp;" "&amp;INDEX(nLIST_Months,MONTH(P352))&amp;" "&amp;YEAR(P352)))))))</f>
        <v/>
      </c>
      <c r="S352" s="20" t="str">
        <f>IF(B352="","",Milestones!$L15&amp;"")</f>
        <v/>
      </c>
      <c r="T352" s="20" t="str">
        <f>IF(B352="","",Milestones!$U15&amp;"")</f>
        <v/>
      </c>
      <c r="U352" s="20" t="str">
        <f>IF(B352="","","Milestones row "&amp;ROW(Milestones!$A15)&amp;", Milestone")</f>
        <v/>
      </c>
      <c r="V352" s="20">
        <f>IF(A352="",0,COUNTIF(nTP_Key,A352))</f>
        <v>0</v>
      </c>
      <c r="W352" s="20">
        <f t="shared" si="49"/>
        <v>0</v>
      </c>
      <c r="X352" s="20">
        <f t="shared" si="50"/>
        <v>0</v>
      </c>
      <c r="Y352" s="20">
        <f t="shared" si="51"/>
        <v>0</v>
      </c>
      <c r="Z352" s="20">
        <f t="shared" si="52"/>
        <v>0</v>
      </c>
    </row>
    <row r="353" spans="1:26" x14ac:dyDescent="0.2">
      <c r="A353" s="20" t="str">
        <f t="shared" si="46"/>
        <v/>
      </c>
      <c r="B353" s="20" t="str">
        <f>IF(AND(Milestones!$C16&lt;&gt;"",COUNTA(Milestones!$M16:$T16)&gt;0),Milestones!$C16&amp;"","")</f>
        <v/>
      </c>
      <c r="C353" s="20" t="str">
        <f>IF(B353="","","MILESTONE:"&amp;Milestones!$D16)</f>
        <v/>
      </c>
      <c r="D353" s="20" t="str">
        <f>IF(B353="","",Milestones!$A16&amp;"")</f>
        <v/>
      </c>
      <c r="E353" s="20" t="str">
        <f>IF(B353="","",Milestones!$B16&amp;"")</f>
        <v/>
      </c>
      <c r="F353" s="20" t="str">
        <f t="shared" si="47"/>
        <v/>
      </c>
      <c r="G353" s="20" t="str">
        <f>IF(B353="","",Milestones!$E16&amp;"")</f>
        <v/>
      </c>
      <c r="H353" s="20" t="str">
        <f>IF(B353="","",Milestones!$M16&amp;"")</f>
        <v/>
      </c>
      <c r="I353" s="20" t="str">
        <f>IF(B353="","",Milestones!$P16&amp;"")</f>
        <v/>
      </c>
      <c r="J353" s="20" t="str">
        <f>IF(B353="","",Milestones!$V16&amp;"")</f>
        <v/>
      </c>
      <c r="K353" s="20">
        <f>IF(B353="",0,Milestones!$W16)</f>
        <v>0</v>
      </c>
      <c r="L353" s="20">
        <f>IF(B353="",0,Milestones!$X16)</f>
        <v>0</v>
      </c>
      <c r="M353" s="20" t="str">
        <f>IF(B353="","",Milestones!$AA16)</f>
        <v/>
      </c>
      <c r="N353" s="20" t="str">
        <f>IF(B353="","",Milestones!$AB16)</f>
        <v/>
      </c>
      <c r="O353" s="27" t="str">
        <f>IF(B353="","",Milestones!$Y16)</f>
        <v/>
      </c>
      <c r="P353" s="27" t="str">
        <f>IF(B353="","",Milestones!$Z16)</f>
        <v/>
      </c>
      <c r="Q353" s="20" t="str">
        <f t="shared" si="48"/>
        <v/>
      </c>
      <c r="R353" s="20" t="str">
        <f>IF(A353="","",IF(J353&lt;&gt;"",J353,IF(H353="TIMESTAMP",DAY(INT(M353/1440))&amp;" "&amp;INDEX(nLIST_Months,MONTH(INT(M353/1440)))&amp;" "&amp;YEAR(INT(M353/1440))&amp;" "&amp;RIGHT("0"&amp;INT(MOD(M353,1440)/60),2)&amp;":"&amp;RIGHT("0"&amp;MOD(M353,60),2)&amp;IF(L353=1," (UTC"&amp;I353&amp;")"," (offset unknown)"),IF(H353="DATE",DAY(O353)&amp;" "&amp;INDEX(nLIST_Months,MONTH(O353))&amp;" "&amp;YEAR(O353),IF(H353="MONTH",INDEX(nLIST_Months,MONTH(O353))&amp;" "&amp;YEAR(O353)&amp;" ("&amp;DAY(O353)&amp;" "&amp;INDEX(nLIST_Months,MONTH(O353))&amp;" "&amp;YEAR(O353)&amp;" to "&amp;DAY(P353)&amp;" "&amp;INDEX(nLIST_Months,MONTH(P353))&amp;" "&amp;YEAR(P353)&amp;")",IF(H353="YEAR",YEAR(O353)&amp;" (1 January to 31 December)",DAY(O353)&amp;" "&amp;INDEX(nLIST_Months,MONTH(O353))&amp;" "&amp;YEAR(O353)&amp;" to "&amp;DAY(P353)&amp;" "&amp;INDEX(nLIST_Months,MONTH(P353))&amp;" "&amp;YEAR(P353)))))))</f>
        <v/>
      </c>
      <c r="S353" s="20" t="str">
        <f>IF(B353="","",Milestones!$L16&amp;"")</f>
        <v/>
      </c>
      <c r="T353" s="20" t="str">
        <f>IF(B353="","",Milestones!$U16&amp;"")</f>
        <v/>
      </c>
      <c r="U353" s="20" t="str">
        <f>IF(B353="","","Milestones row "&amp;ROW(Milestones!$A16)&amp;", Milestone")</f>
        <v/>
      </c>
      <c r="V353" s="20">
        <f>IF(A353="",0,COUNTIF(nTP_Key,A353))</f>
        <v>0</v>
      </c>
      <c r="W353" s="20">
        <f t="shared" si="49"/>
        <v>0</v>
      </c>
      <c r="X353" s="20">
        <f t="shared" si="50"/>
        <v>0</v>
      </c>
      <c r="Y353" s="20">
        <f t="shared" si="51"/>
        <v>0</v>
      </c>
      <c r="Z353" s="20">
        <f t="shared" si="52"/>
        <v>0</v>
      </c>
    </row>
    <row r="354" spans="1:26" x14ac:dyDescent="0.2">
      <c r="A354" s="20" t="str">
        <f t="shared" si="46"/>
        <v/>
      </c>
      <c r="B354" s="20" t="str">
        <f>IF(AND(Milestones!$C17&lt;&gt;"",COUNTA(Milestones!$M17:$T17)&gt;0),Milestones!$C17&amp;"","")</f>
        <v/>
      </c>
      <c r="C354" s="20" t="str">
        <f>IF(B354="","","MILESTONE:"&amp;Milestones!$D17)</f>
        <v/>
      </c>
      <c r="D354" s="20" t="str">
        <f>IF(B354="","",Milestones!$A17&amp;"")</f>
        <v/>
      </c>
      <c r="E354" s="20" t="str">
        <f>IF(B354="","",Milestones!$B17&amp;"")</f>
        <v/>
      </c>
      <c r="F354" s="20" t="str">
        <f t="shared" si="47"/>
        <v/>
      </c>
      <c r="G354" s="20" t="str">
        <f>IF(B354="","",Milestones!$E17&amp;"")</f>
        <v/>
      </c>
      <c r="H354" s="20" t="str">
        <f>IF(B354="","",Milestones!$M17&amp;"")</f>
        <v/>
      </c>
      <c r="I354" s="20" t="str">
        <f>IF(B354="","",Milestones!$P17&amp;"")</f>
        <v/>
      </c>
      <c r="J354" s="20" t="str">
        <f>IF(B354="","",Milestones!$V17&amp;"")</f>
        <v/>
      </c>
      <c r="K354" s="20">
        <f>IF(B354="",0,Milestones!$W17)</f>
        <v>0</v>
      </c>
      <c r="L354" s="20">
        <f>IF(B354="",0,Milestones!$X17)</f>
        <v>0</v>
      </c>
      <c r="M354" s="20" t="str">
        <f>IF(B354="","",Milestones!$AA17)</f>
        <v/>
      </c>
      <c r="N354" s="20" t="str">
        <f>IF(B354="","",Milestones!$AB17)</f>
        <v/>
      </c>
      <c r="O354" s="27" t="str">
        <f>IF(B354="","",Milestones!$Y17)</f>
        <v/>
      </c>
      <c r="P354" s="27" t="str">
        <f>IF(B354="","",Milestones!$Z17)</f>
        <v/>
      </c>
      <c r="Q354" s="20" t="str">
        <f t="shared" si="48"/>
        <v/>
      </c>
      <c r="R354" s="20" t="str">
        <f>IF(A354="","",IF(J354&lt;&gt;"",J354,IF(H354="TIMESTAMP",DAY(INT(M354/1440))&amp;" "&amp;INDEX(nLIST_Months,MONTH(INT(M354/1440)))&amp;" "&amp;YEAR(INT(M354/1440))&amp;" "&amp;RIGHT("0"&amp;INT(MOD(M354,1440)/60),2)&amp;":"&amp;RIGHT("0"&amp;MOD(M354,60),2)&amp;IF(L354=1," (UTC"&amp;I354&amp;")"," (offset unknown)"),IF(H354="DATE",DAY(O354)&amp;" "&amp;INDEX(nLIST_Months,MONTH(O354))&amp;" "&amp;YEAR(O354),IF(H354="MONTH",INDEX(nLIST_Months,MONTH(O354))&amp;" "&amp;YEAR(O354)&amp;" ("&amp;DAY(O354)&amp;" "&amp;INDEX(nLIST_Months,MONTH(O354))&amp;" "&amp;YEAR(O354)&amp;" to "&amp;DAY(P354)&amp;" "&amp;INDEX(nLIST_Months,MONTH(P354))&amp;" "&amp;YEAR(P354)&amp;")",IF(H354="YEAR",YEAR(O354)&amp;" (1 January to 31 December)",DAY(O354)&amp;" "&amp;INDEX(nLIST_Months,MONTH(O354))&amp;" "&amp;YEAR(O354)&amp;" to "&amp;DAY(P354)&amp;" "&amp;INDEX(nLIST_Months,MONTH(P354))&amp;" "&amp;YEAR(P354)))))))</f>
        <v/>
      </c>
      <c r="S354" s="20" t="str">
        <f>IF(B354="","",Milestones!$L17&amp;"")</f>
        <v/>
      </c>
      <c r="T354" s="20" t="str">
        <f>IF(B354="","",Milestones!$U17&amp;"")</f>
        <v/>
      </c>
      <c r="U354" s="20" t="str">
        <f>IF(B354="","","Milestones row "&amp;ROW(Milestones!$A17)&amp;", Milestone")</f>
        <v/>
      </c>
      <c r="V354" s="20">
        <f>IF(A354="",0,COUNTIF(nTP_Key,A354))</f>
        <v>0</v>
      </c>
      <c r="W354" s="20">
        <f t="shared" si="49"/>
        <v>0</v>
      </c>
      <c r="X354" s="20">
        <f t="shared" si="50"/>
        <v>0</v>
      </c>
      <c r="Y354" s="20">
        <f t="shared" si="51"/>
        <v>0</v>
      </c>
      <c r="Z354" s="20">
        <f t="shared" si="52"/>
        <v>0</v>
      </c>
    </row>
    <row r="355" spans="1:26" x14ac:dyDescent="0.2">
      <c r="A355" s="20" t="str">
        <f t="shared" si="46"/>
        <v/>
      </c>
      <c r="B355" s="20" t="str">
        <f>IF(AND(Milestones!$C18&lt;&gt;"",COUNTA(Milestones!$M18:$T18)&gt;0),Milestones!$C18&amp;"","")</f>
        <v/>
      </c>
      <c r="C355" s="20" t="str">
        <f>IF(B355="","","MILESTONE:"&amp;Milestones!$D18)</f>
        <v/>
      </c>
      <c r="D355" s="20" t="str">
        <f>IF(B355="","",Milestones!$A18&amp;"")</f>
        <v/>
      </c>
      <c r="E355" s="20" t="str">
        <f>IF(B355="","",Milestones!$B18&amp;"")</f>
        <v/>
      </c>
      <c r="F355" s="20" t="str">
        <f t="shared" si="47"/>
        <v/>
      </c>
      <c r="G355" s="20" t="str">
        <f>IF(B355="","",Milestones!$E18&amp;"")</f>
        <v/>
      </c>
      <c r="H355" s="20" t="str">
        <f>IF(B355="","",Milestones!$M18&amp;"")</f>
        <v/>
      </c>
      <c r="I355" s="20" t="str">
        <f>IF(B355="","",Milestones!$P18&amp;"")</f>
        <v/>
      </c>
      <c r="J355" s="20" t="str">
        <f>IF(B355="","",Milestones!$V18&amp;"")</f>
        <v/>
      </c>
      <c r="K355" s="20">
        <f>IF(B355="",0,Milestones!$W18)</f>
        <v>0</v>
      </c>
      <c r="L355" s="20">
        <f>IF(B355="",0,Milestones!$X18)</f>
        <v>0</v>
      </c>
      <c r="M355" s="20" t="str">
        <f>IF(B355="","",Milestones!$AA18)</f>
        <v/>
      </c>
      <c r="N355" s="20" t="str">
        <f>IF(B355="","",Milestones!$AB18)</f>
        <v/>
      </c>
      <c r="O355" s="27" t="str">
        <f>IF(B355="","",Milestones!$Y18)</f>
        <v/>
      </c>
      <c r="P355" s="27" t="str">
        <f>IF(B355="","",Milestones!$Z18)</f>
        <v/>
      </c>
      <c r="Q355" s="20" t="str">
        <f t="shared" si="48"/>
        <v/>
      </c>
      <c r="R355" s="20" t="str">
        <f>IF(A355="","",IF(J355&lt;&gt;"",J355,IF(H355="TIMESTAMP",DAY(INT(M355/1440))&amp;" "&amp;INDEX(nLIST_Months,MONTH(INT(M355/1440)))&amp;" "&amp;YEAR(INT(M355/1440))&amp;" "&amp;RIGHT("0"&amp;INT(MOD(M355,1440)/60),2)&amp;":"&amp;RIGHT("0"&amp;MOD(M355,60),2)&amp;IF(L355=1," (UTC"&amp;I355&amp;")"," (offset unknown)"),IF(H355="DATE",DAY(O355)&amp;" "&amp;INDEX(nLIST_Months,MONTH(O355))&amp;" "&amp;YEAR(O355),IF(H355="MONTH",INDEX(nLIST_Months,MONTH(O355))&amp;" "&amp;YEAR(O355)&amp;" ("&amp;DAY(O355)&amp;" "&amp;INDEX(nLIST_Months,MONTH(O355))&amp;" "&amp;YEAR(O355)&amp;" to "&amp;DAY(P355)&amp;" "&amp;INDEX(nLIST_Months,MONTH(P355))&amp;" "&amp;YEAR(P355)&amp;")",IF(H355="YEAR",YEAR(O355)&amp;" (1 January to 31 December)",DAY(O355)&amp;" "&amp;INDEX(nLIST_Months,MONTH(O355))&amp;" "&amp;YEAR(O355)&amp;" to "&amp;DAY(P355)&amp;" "&amp;INDEX(nLIST_Months,MONTH(P355))&amp;" "&amp;YEAR(P355)))))))</f>
        <v/>
      </c>
      <c r="S355" s="20" t="str">
        <f>IF(B355="","",Milestones!$L18&amp;"")</f>
        <v/>
      </c>
      <c r="T355" s="20" t="str">
        <f>IF(B355="","",Milestones!$U18&amp;"")</f>
        <v/>
      </c>
      <c r="U355" s="20" t="str">
        <f>IF(B355="","","Milestones row "&amp;ROW(Milestones!$A18)&amp;", Milestone")</f>
        <v/>
      </c>
      <c r="V355" s="20">
        <f>IF(A355="",0,COUNTIF(nTP_Key,A355))</f>
        <v>0</v>
      </c>
      <c r="W355" s="20">
        <f t="shared" si="49"/>
        <v>0</v>
      </c>
      <c r="X355" s="20">
        <f t="shared" si="50"/>
        <v>0</v>
      </c>
      <c r="Y355" s="20">
        <f t="shared" si="51"/>
        <v>0</v>
      </c>
      <c r="Z355" s="20">
        <f t="shared" si="52"/>
        <v>0</v>
      </c>
    </row>
    <row r="356" spans="1:26" x14ac:dyDescent="0.2">
      <c r="A356" s="20" t="str">
        <f t="shared" si="46"/>
        <v/>
      </c>
      <c r="B356" s="20" t="str">
        <f>IF(AND(Milestones!$C19&lt;&gt;"",COUNTA(Milestones!$M19:$T19)&gt;0),Milestones!$C19&amp;"","")</f>
        <v/>
      </c>
      <c r="C356" s="20" t="str">
        <f>IF(B356="","","MILESTONE:"&amp;Milestones!$D19)</f>
        <v/>
      </c>
      <c r="D356" s="20" t="str">
        <f>IF(B356="","",Milestones!$A19&amp;"")</f>
        <v/>
      </c>
      <c r="E356" s="20" t="str">
        <f>IF(B356="","",Milestones!$B19&amp;"")</f>
        <v/>
      </c>
      <c r="F356" s="20" t="str">
        <f t="shared" si="47"/>
        <v/>
      </c>
      <c r="G356" s="20" t="str">
        <f>IF(B356="","",Milestones!$E19&amp;"")</f>
        <v/>
      </c>
      <c r="H356" s="20" t="str">
        <f>IF(B356="","",Milestones!$M19&amp;"")</f>
        <v/>
      </c>
      <c r="I356" s="20" t="str">
        <f>IF(B356="","",Milestones!$P19&amp;"")</f>
        <v/>
      </c>
      <c r="J356" s="20" t="str">
        <f>IF(B356="","",Milestones!$V19&amp;"")</f>
        <v/>
      </c>
      <c r="K356" s="20">
        <f>IF(B356="",0,Milestones!$W19)</f>
        <v>0</v>
      </c>
      <c r="L356" s="20">
        <f>IF(B356="",0,Milestones!$X19)</f>
        <v>0</v>
      </c>
      <c r="M356" s="20" t="str">
        <f>IF(B356="","",Milestones!$AA19)</f>
        <v/>
      </c>
      <c r="N356" s="20" t="str">
        <f>IF(B356="","",Milestones!$AB19)</f>
        <v/>
      </c>
      <c r="O356" s="27" t="str">
        <f>IF(B356="","",Milestones!$Y19)</f>
        <v/>
      </c>
      <c r="P356" s="27" t="str">
        <f>IF(B356="","",Milestones!$Z19)</f>
        <v/>
      </c>
      <c r="Q356" s="20" t="str">
        <f t="shared" si="48"/>
        <v/>
      </c>
      <c r="R356" s="20" t="str">
        <f>IF(A356="","",IF(J356&lt;&gt;"",J356,IF(H356="TIMESTAMP",DAY(INT(M356/1440))&amp;" "&amp;INDEX(nLIST_Months,MONTH(INT(M356/1440)))&amp;" "&amp;YEAR(INT(M356/1440))&amp;" "&amp;RIGHT("0"&amp;INT(MOD(M356,1440)/60),2)&amp;":"&amp;RIGHT("0"&amp;MOD(M356,60),2)&amp;IF(L356=1," (UTC"&amp;I356&amp;")"," (offset unknown)"),IF(H356="DATE",DAY(O356)&amp;" "&amp;INDEX(nLIST_Months,MONTH(O356))&amp;" "&amp;YEAR(O356),IF(H356="MONTH",INDEX(nLIST_Months,MONTH(O356))&amp;" "&amp;YEAR(O356)&amp;" ("&amp;DAY(O356)&amp;" "&amp;INDEX(nLIST_Months,MONTH(O356))&amp;" "&amp;YEAR(O356)&amp;" to "&amp;DAY(P356)&amp;" "&amp;INDEX(nLIST_Months,MONTH(P356))&amp;" "&amp;YEAR(P356)&amp;")",IF(H356="YEAR",YEAR(O356)&amp;" (1 January to 31 December)",DAY(O356)&amp;" "&amp;INDEX(nLIST_Months,MONTH(O356))&amp;" "&amp;YEAR(O356)&amp;" to "&amp;DAY(P356)&amp;" "&amp;INDEX(nLIST_Months,MONTH(P356))&amp;" "&amp;YEAR(P356)))))))</f>
        <v/>
      </c>
      <c r="S356" s="20" t="str">
        <f>IF(B356="","",Milestones!$L19&amp;"")</f>
        <v/>
      </c>
      <c r="T356" s="20" t="str">
        <f>IF(B356="","",Milestones!$U19&amp;"")</f>
        <v/>
      </c>
      <c r="U356" s="20" t="str">
        <f>IF(B356="","","Milestones row "&amp;ROW(Milestones!$A19)&amp;", Milestone")</f>
        <v/>
      </c>
      <c r="V356" s="20">
        <f>IF(A356="",0,COUNTIF(nTP_Key,A356))</f>
        <v>0</v>
      </c>
      <c r="W356" s="20">
        <f t="shared" si="49"/>
        <v>0</v>
      </c>
      <c r="X356" s="20">
        <f t="shared" si="50"/>
        <v>0</v>
      </c>
      <c r="Y356" s="20">
        <f t="shared" si="51"/>
        <v>0</v>
      </c>
      <c r="Z356" s="20">
        <f t="shared" si="52"/>
        <v>0</v>
      </c>
    </row>
    <row r="357" spans="1:26" x14ac:dyDescent="0.2">
      <c r="A357" s="20" t="str">
        <f t="shared" si="46"/>
        <v/>
      </c>
      <c r="B357" s="20" t="str">
        <f>IF(AND(Milestones!$C20&lt;&gt;"",COUNTA(Milestones!$M20:$T20)&gt;0),Milestones!$C20&amp;"","")</f>
        <v/>
      </c>
      <c r="C357" s="20" t="str">
        <f>IF(B357="","","MILESTONE:"&amp;Milestones!$D20)</f>
        <v/>
      </c>
      <c r="D357" s="20" t="str">
        <f>IF(B357="","",Milestones!$A20&amp;"")</f>
        <v/>
      </c>
      <c r="E357" s="20" t="str">
        <f>IF(B357="","",Milestones!$B20&amp;"")</f>
        <v/>
      </c>
      <c r="F357" s="20" t="str">
        <f t="shared" si="47"/>
        <v/>
      </c>
      <c r="G357" s="20" t="str">
        <f>IF(B357="","",Milestones!$E20&amp;"")</f>
        <v/>
      </c>
      <c r="H357" s="20" t="str">
        <f>IF(B357="","",Milestones!$M20&amp;"")</f>
        <v/>
      </c>
      <c r="I357" s="20" t="str">
        <f>IF(B357="","",Milestones!$P20&amp;"")</f>
        <v/>
      </c>
      <c r="J357" s="20" t="str">
        <f>IF(B357="","",Milestones!$V20&amp;"")</f>
        <v/>
      </c>
      <c r="K357" s="20">
        <f>IF(B357="",0,Milestones!$W20)</f>
        <v>0</v>
      </c>
      <c r="L357" s="20">
        <f>IF(B357="",0,Milestones!$X20)</f>
        <v>0</v>
      </c>
      <c r="M357" s="20" t="str">
        <f>IF(B357="","",Milestones!$AA20)</f>
        <v/>
      </c>
      <c r="N357" s="20" t="str">
        <f>IF(B357="","",Milestones!$AB20)</f>
        <v/>
      </c>
      <c r="O357" s="27" t="str">
        <f>IF(B357="","",Milestones!$Y20)</f>
        <v/>
      </c>
      <c r="P357" s="27" t="str">
        <f>IF(B357="","",Milestones!$Z20)</f>
        <v/>
      </c>
      <c r="Q357" s="20" t="str">
        <f t="shared" si="48"/>
        <v/>
      </c>
      <c r="R357" s="20" t="str">
        <f>IF(A357="","",IF(J357&lt;&gt;"",J357,IF(H357="TIMESTAMP",DAY(INT(M357/1440))&amp;" "&amp;INDEX(nLIST_Months,MONTH(INT(M357/1440)))&amp;" "&amp;YEAR(INT(M357/1440))&amp;" "&amp;RIGHT("0"&amp;INT(MOD(M357,1440)/60),2)&amp;":"&amp;RIGHT("0"&amp;MOD(M357,60),2)&amp;IF(L357=1," (UTC"&amp;I357&amp;")"," (offset unknown)"),IF(H357="DATE",DAY(O357)&amp;" "&amp;INDEX(nLIST_Months,MONTH(O357))&amp;" "&amp;YEAR(O357),IF(H357="MONTH",INDEX(nLIST_Months,MONTH(O357))&amp;" "&amp;YEAR(O357)&amp;" ("&amp;DAY(O357)&amp;" "&amp;INDEX(nLIST_Months,MONTH(O357))&amp;" "&amp;YEAR(O357)&amp;" to "&amp;DAY(P357)&amp;" "&amp;INDEX(nLIST_Months,MONTH(P357))&amp;" "&amp;YEAR(P357)&amp;")",IF(H357="YEAR",YEAR(O357)&amp;" (1 January to 31 December)",DAY(O357)&amp;" "&amp;INDEX(nLIST_Months,MONTH(O357))&amp;" "&amp;YEAR(O357)&amp;" to "&amp;DAY(P357)&amp;" "&amp;INDEX(nLIST_Months,MONTH(P357))&amp;" "&amp;YEAR(P357)))))))</f>
        <v/>
      </c>
      <c r="S357" s="20" t="str">
        <f>IF(B357="","",Milestones!$L20&amp;"")</f>
        <v/>
      </c>
      <c r="T357" s="20" t="str">
        <f>IF(B357="","",Milestones!$U20&amp;"")</f>
        <v/>
      </c>
      <c r="U357" s="20" t="str">
        <f>IF(B357="","","Milestones row "&amp;ROW(Milestones!$A20)&amp;", Milestone")</f>
        <v/>
      </c>
      <c r="V357" s="20">
        <f>IF(A357="",0,COUNTIF(nTP_Key,A357))</f>
        <v>0</v>
      </c>
      <c r="W357" s="20">
        <f t="shared" si="49"/>
        <v>0</v>
      </c>
      <c r="X357" s="20">
        <f t="shared" si="50"/>
        <v>0</v>
      </c>
      <c r="Y357" s="20">
        <f t="shared" si="51"/>
        <v>0</v>
      </c>
      <c r="Z357" s="20">
        <f t="shared" si="52"/>
        <v>0</v>
      </c>
    </row>
    <row r="358" spans="1:26" x14ac:dyDescent="0.2">
      <c r="A358" s="20" t="str">
        <f t="shared" si="46"/>
        <v/>
      </c>
      <c r="B358" s="20" t="str">
        <f>IF(AND(Milestones!$C21&lt;&gt;"",COUNTA(Milestones!$M21:$T21)&gt;0),Milestones!$C21&amp;"","")</f>
        <v/>
      </c>
      <c r="C358" s="20" t="str">
        <f>IF(B358="","","MILESTONE:"&amp;Milestones!$D21)</f>
        <v/>
      </c>
      <c r="D358" s="20" t="str">
        <f>IF(B358="","",Milestones!$A21&amp;"")</f>
        <v/>
      </c>
      <c r="E358" s="20" t="str">
        <f>IF(B358="","",Milestones!$B21&amp;"")</f>
        <v/>
      </c>
      <c r="F358" s="20" t="str">
        <f t="shared" si="47"/>
        <v/>
      </c>
      <c r="G358" s="20" t="str">
        <f>IF(B358="","",Milestones!$E21&amp;"")</f>
        <v/>
      </c>
      <c r="H358" s="20" t="str">
        <f>IF(B358="","",Milestones!$M21&amp;"")</f>
        <v/>
      </c>
      <c r="I358" s="20" t="str">
        <f>IF(B358="","",Milestones!$P21&amp;"")</f>
        <v/>
      </c>
      <c r="J358" s="20" t="str">
        <f>IF(B358="","",Milestones!$V21&amp;"")</f>
        <v/>
      </c>
      <c r="K358" s="20">
        <f>IF(B358="",0,Milestones!$W21)</f>
        <v>0</v>
      </c>
      <c r="L358" s="20">
        <f>IF(B358="",0,Milestones!$X21)</f>
        <v>0</v>
      </c>
      <c r="M358" s="20" t="str">
        <f>IF(B358="","",Milestones!$AA21)</f>
        <v/>
      </c>
      <c r="N358" s="20" t="str">
        <f>IF(B358="","",Milestones!$AB21)</f>
        <v/>
      </c>
      <c r="O358" s="27" t="str">
        <f>IF(B358="","",Milestones!$Y21)</f>
        <v/>
      </c>
      <c r="P358" s="27" t="str">
        <f>IF(B358="","",Milestones!$Z21)</f>
        <v/>
      </c>
      <c r="Q358" s="20" t="str">
        <f t="shared" si="48"/>
        <v/>
      </c>
      <c r="R358" s="20" t="str">
        <f>IF(A358="","",IF(J358&lt;&gt;"",J358,IF(H358="TIMESTAMP",DAY(INT(M358/1440))&amp;" "&amp;INDEX(nLIST_Months,MONTH(INT(M358/1440)))&amp;" "&amp;YEAR(INT(M358/1440))&amp;" "&amp;RIGHT("0"&amp;INT(MOD(M358,1440)/60),2)&amp;":"&amp;RIGHT("0"&amp;MOD(M358,60),2)&amp;IF(L358=1," (UTC"&amp;I358&amp;")"," (offset unknown)"),IF(H358="DATE",DAY(O358)&amp;" "&amp;INDEX(nLIST_Months,MONTH(O358))&amp;" "&amp;YEAR(O358),IF(H358="MONTH",INDEX(nLIST_Months,MONTH(O358))&amp;" "&amp;YEAR(O358)&amp;" ("&amp;DAY(O358)&amp;" "&amp;INDEX(nLIST_Months,MONTH(O358))&amp;" "&amp;YEAR(O358)&amp;" to "&amp;DAY(P358)&amp;" "&amp;INDEX(nLIST_Months,MONTH(P358))&amp;" "&amp;YEAR(P358)&amp;")",IF(H358="YEAR",YEAR(O358)&amp;" (1 January to 31 December)",DAY(O358)&amp;" "&amp;INDEX(nLIST_Months,MONTH(O358))&amp;" "&amp;YEAR(O358)&amp;" to "&amp;DAY(P358)&amp;" "&amp;INDEX(nLIST_Months,MONTH(P358))&amp;" "&amp;YEAR(P358)))))))</f>
        <v/>
      </c>
      <c r="S358" s="20" t="str">
        <f>IF(B358="","",Milestones!$L21&amp;"")</f>
        <v/>
      </c>
      <c r="T358" s="20" t="str">
        <f>IF(B358="","",Milestones!$U21&amp;"")</f>
        <v/>
      </c>
      <c r="U358" s="20" t="str">
        <f>IF(B358="","","Milestones row "&amp;ROW(Milestones!$A21)&amp;", Milestone")</f>
        <v/>
      </c>
      <c r="V358" s="20">
        <f>IF(A358="",0,COUNTIF(nTP_Key,A358))</f>
        <v>0</v>
      </c>
      <c r="W358" s="20">
        <f t="shared" si="49"/>
        <v>0</v>
      </c>
      <c r="X358" s="20">
        <f t="shared" si="50"/>
        <v>0</v>
      </c>
      <c r="Y358" s="20">
        <f t="shared" si="51"/>
        <v>0</v>
      </c>
      <c r="Z358" s="20">
        <f t="shared" si="52"/>
        <v>0</v>
      </c>
    </row>
    <row r="359" spans="1:26" x14ac:dyDescent="0.2">
      <c r="A359" s="20" t="str">
        <f t="shared" si="46"/>
        <v/>
      </c>
      <c r="B359" s="20" t="str">
        <f>IF(AND(Milestones!$C22&lt;&gt;"",COUNTA(Milestones!$M22:$T22)&gt;0),Milestones!$C22&amp;"","")</f>
        <v/>
      </c>
      <c r="C359" s="20" t="str">
        <f>IF(B359="","","MILESTONE:"&amp;Milestones!$D22)</f>
        <v/>
      </c>
      <c r="D359" s="20" t="str">
        <f>IF(B359="","",Milestones!$A22&amp;"")</f>
        <v/>
      </c>
      <c r="E359" s="20" t="str">
        <f>IF(B359="","",Milestones!$B22&amp;"")</f>
        <v/>
      </c>
      <c r="F359" s="20" t="str">
        <f t="shared" si="47"/>
        <v/>
      </c>
      <c r="G359" s="20" t="str">
        <f>IF(B359="","",Milestones!$E22&amp;"")</f>
        <v/>
      </c>
      <c r="H359" s="20" t="str">
        <f>IF(B359="","",Milestones!$M22&amp;"")</f>
        <v/>
      </c>
      <c r="I359" s="20" t="str">
        <f>IF(B359="","",Milestones!$P22&amp;"")</f>
        <v/>
      </c>
      <c r="J359" s="20" t="str">
        <f>IF(B359="","",Milestones!$V22&amp;"")</f>
        <v/>
      </c>
      <c r="K359" s="20">
        <f>IF(B359="",0,Milestones!$W22)</f>
        <v>0</v>
      </c>
      <c r="L359" s="20">
        <f>IF(B359="",0,Milestones!$X22)</f>
        <v>0</v>
      </c>
      <c r="M359" s="20" t="str">
        <f>IF(B359="","",Milestones!$AA22)</f>
        <v/>
      </c>
      <c r="N359" s="20" t="str">
        <f>IF(B359="","",Milestones!$AB22)</f>
        <v/>
      </c>
      <c r="O359" s="27" t="str">
        <f>IF(B359="","",Milestones!$Y22)</f>
        <v/>
      </c>
      <c r="P359" s="27" t="str">
        <f>IF(B359="","",Milestones!$Z22)</f>
        <v/>
      </c>
      <c r="Q359" s="20" t="str">
        <f t="shared" si="48"/>
        <v/>
      </c>
      <c r="R359" s="20" t="str">
        <f>IF(A359="","",IF(J359&lt;&gt;"",J359,IF(H359="TIMESTAMP",DAY(INT(M359/1440))&amp;" "&amp;INDEX(nLIST_Months,MONTH(INT(M359/1440)))&amp;" "&amp;YEAR(INT(M359/1440))&amp;" "&amp;RIGHT("0"&amp;INT(MOD(M359,1440)/60),2)&amp;":"&amp;RIGHT("0"&amp;MOD(M359,60),2)&amp;IF(L359=1," (UTC"&amp;I359&amp;")"," (offset unknown)"),IF(H359="DATE",DAY(O359)&amp;" "&amp;INDEX(nLIST_Months,MONTH(O359))&amp;" "&amp;YEAR(O359),IF(H359="MONTH",INDEX(nLIST_Months,MONTH(O359))&amp;" "&amp;YEAR(O359)&amp;" ("&amp;DAY(O359)&amp;" "&amp;INDEX(nLIST_Months,MONTH(O359))&amp;" "&amp;YEAR(O359)&amp;" to "&amp;DAY(P359)&amp;" "&amp;INDEX(nLIST_Months,MONTH(P359))&amp;" "&amp;YEAR(P359)&amp;")",IF(H359="YEAR",YEAR(O359)&amp;" (1 January to 31 December)",DAY(O359)&amp;" "&amp;INDEX(nLIST_Months,MONTH(O359))&amp;" "&amp;YEAR(O359)&amp;" to "&amp;DAY(P359)&amp;" "&amp;INDEX(nLIST_Months,MONTH(P359))&amp;" "&amp;YEAR(P359)))))))</f>
        <v/>
      </c>
      <c r="S359" s="20" t="str">
        <f>IF(B359="","",Milestones!$L22&amp;"")</f>
        <v/>
      </c>
      <c r="T359" s="20" t="str">
        <f>IF(B359="","",Milestones!$U22&amp;"")</f>
        <v/>
      </c>
      <c r="U359" s="20" t="str">
        <f>IF(B359="","","Milestones row "&amp;ROW(Milestones!$A22)&amp;", Milestone")</f>
        <v/>
      </c>
      <c r="V359" s="20">
        <f>IF(A359="",0,COUNTIF(nTP_Key,A359))</f>
        <v>0</v>
      </c>
      <c r="W359" s="20">
        <f t="shared" si="49"/>
        <v>0</v>
      </c>
      <c r="X359" s="20">
        <f t="shared" si="50"/>
        <v>0</v>
      </c>
      <c r="Y359" s="20">
        <f t="shared" si="51"/>
        <v>0</v>
      </c>
      <c r="Z359" s="20">
        <f t="shared" si="52"/>
        <v>0</v>
      </c>
    </row>
    <row r="360" spans="1:26" x14ac:dyDescent="0.2">
      <c r="A360" s="20" t="str">
        <f t="shared" si="46"/>
        <v/>
      </c>
      <c r="B360" s="20" t="str">
        <f>IF(AND(Milestones!$C23&lt;&gt;"",COUNTA(Milestones!$M23:$T23)&gt;0),Milestones!$C23&amp;"","")</f>
        <v/>
      </c>
      <c r="C360" s="20" t="str">
        <f>IF(B360="","","MILESTONE:"&amp;Milestones!$D23)</f>
        <v/>
      </c>
      <c r="D360" s="20" t="str">
        <f>IF(B360="","",Milestones!$A23&amp;"")</f>
        <v/>
      </c>
      <c r="E360" s="20" t="str">
        <f>IF(B360="","",Milestones!$B23&amp;"")</f>
        <v/>
      </c>
      <c r="F360" s="20" t="str">
        <f t="shared" si="47"/>
        <v/>
      </c>
      <c r="G360" s="20" t="str">
        <f>IF(B360="","",Milestones!$E23&amp;"")</f>
        <v/>
      </c>
      <c r="H360" s="20" t="str">
        <f>IF(B360="","",Milestones!$M23&amp;"")</f>
        <v/>
      </c>
      <c r="I360" s="20" t="str">
        <f>IF(B360="","",Milestones!$P23&amp;"")</f>
        <v/>
      </c>
      <c r="J360" s="20" t="str">
        <f>IF(B360="","",Milestones!$V23&amp;"")</f>
        <v/>
      </c>
      <c r="K360" s="20">
        <f>IF(B360="",0,Milestones!$W23)</f>
        <v>0</v>
      </c>
      <c r="L360" s="20">
        <f>IF(B360="",0,Milestones!$X23)</f>
        <v>0</v>
      </c>
      <c r="M360" s="20" t="str">
        <f>IF(B360="","",Milestones!$AA23)</f>
        <v/>
      </c>
      <c r="N360" s="20" t="str">
        <f>IF(B360="","",Milestones!$AB23)</f>
        <v/>
      </c>
      <c r="O360" s="27" t="str">
        <f>IF(B360="","",Milestones!$Y23)</f>
        <v/>
      </c>
      <c r="P360" s="27" t="str">
        <f>IF(B360="","",Milestones!$Z23)</f>
        <v/>
      </c>
      <c r="Q360" s="20" t="str">
        <f t="shared" si="48"/>
        <v/>
      </c>
      <c r="R360" s="20" t="str">
        <f>IF(A360="","",IF(J360&lt;&gt;"",J360,IF(H360="TIMESTAMP",DAY(INT(M360/1440))&amp;" "&amp;INDEX(nLIST_Months,MONTH(INT(M360/1440)))&amp;" "&amp;YEAR(INT(M360/1440))&amp;" "&amp;RIGHT("0"&amp;INT(MOD(M360,1440)/60),2)&amp;":"&amp;RIGHT("0"&amp;MOD(M360,60),2)&amp;IF(L360=1," (UTC"&amp;I360&amp;")"," (offset unknown)"),IF(H360="DATE",DAY(O360)&amp;" "&amp;INDEX(nLIST_Months,MONTH(O360))&amp;" "&amp;YEAR(O360),IF(H360="MONTH",INDEX(nLIST_Months,MONTH(O360))&amp;" "&amp;YEAR(O360)&amp;" ("&amp;DAY(O360)&amp;" "&amp;INDEX(nLIST_Months,MONTH(O360))&amp;" "&amp;YEAR(O360)&amp;" to "&amp;DAY(P360)&amp;" "&amp;INDEX(nLIST_Months,MONTH(P360))&amp;" "&amp;YEAR(P360)&amp;")",IF(H360="YEAR",YEAR(O360)&amp;" (1 January to 31 December)",DAY(O360)&amp;" "&amp;INDEX(nLIST_Months,MONTH(O360))&amp;" "&amp;YEAR(O360)&amp;" to "&amp;DAY(P360)&amp;" "&amp;INDEX(nLIST_Months,MONTH(P360))&amp;" "&amp;YEAR(P360)))))))</f>
        <v/>
      </c>
      <c r="S360" s="20" t="str">
        <f>IF(B360="","",Milestones!$L23&amp;"")</f>
        <v/>
      </c>
      <c r="T360" s="20" t="str">
        <f>IF(B360="","",Milestones!$U23&amp;"")</f>
        <v/>
      </c>
      <c r="U360" s="20" t="str">
        <f>IF(B360="","","Milestones row "&amp;ROW(Milestones!$A23)&amp;", Milestone")</f>
        <v/>
      </c>
      <c r="V360" s="20">
        <f>IF(A360="",0,COUNTIF(nTP_Key,A360))</f>
        <v>0</v>
      </c>
      <c r="W360" s="20">
        <f t="shared" si="49"/>
        <v>0</v>
      </c>
      <c r="X360" s="20">
        <f t="shared" si="50"/>
        <v>0</v>
      </c>
      <c r="Y360" s="20">
        <f t="shared" si="51"/>
        <v>0</v>
      </c>
      <c r="Z360" s="20">
        <f t="shared" si="52"/>
        <v>0</v>
      </c>
    </row>
    <row r="361" spans="1:26" x14ac:dyDescent="0.2">
      <c r="A361" s="20" t="str">
        <f t="shared" si="46"/>
        <v/>
      </c>
      <c r="B361" s="20" t="str">
        <f>IF(AND(Milestones!$C24&lt;&gt;"",COUNTA(Milestones!$M24:$T24)&gt;0),Milestones!$C24&amp;"","")</f>
        <v/>
      </c>
      <c r="C361" s="20" t="str">
        <f>IF(B361="","","MILESTONE:"&amp;Milestones!$D24)</f>
        <v/>
      </c>
      <c r="D361" s="20" t="str">
        <f>IF(B361="","",Milestones!$A24&amp;"")</f>
        <v/>
      </c>
      <c r="E361" s="20" t="str">
        <f>IF(B361="","",Milestones!$B24&amp;"")</f>
        <v/>
      </c>
      <c r="F361" s="20" t="str">
        <f t="shared" si="47"/>
        <v/>
      </c>
      <c r="G361" s="20" t="str">
        <f>IF(B361="","",Milestones!$E24&amp;"")</f>
        <v/>
      </c>
      <c r="H361" s="20" t="str">
        <f>IF(B361="","",Milestones!$M24&amp;"")</f>
        <v/>
      </c>
      <c r="I361" s="20" t="str">
        <f>IF(B361="","",Milestones!$P24&amp;"")</f>
        <v/>
      </c>
      <c r="J361" s="20" t="str">
        <f>IF(B361="","",Milestones!$V24&amp;"")</f>
        <v/>
      </c>
      <c r="K361" s="20">
        <f>IF(B361="",0,Milestones!$W24)</f>
        <v>0</v>
      </c>
      <c r="L361" s="20">
        <f>IF(B361="",0,Milestones!$X24)</f>
        <v>0</v>
      </c>
      <c r="M361" s="20" t="str">
        <f>IF(B361="","",Milestones!$AA24)</f>
        <v/>
      </c>
      <c r="N361" s="20" t="str">
        <f>IF(B361="","",Milestones!$AB24)</f>
        <v/>
      </c>
      <c r="O361" s="27" t="str">
        <f>IF(B361="","",Milestones!$Y24)</f>
        <v/>
      </c>
      <c r="P361" s="27" t="str">
        <f>IF(B361="","",Milestones!$Z24)</f>
        <v/>
      </c>
      <c r="Q361" s="20" t="str">
        <f t="shared" si="48"/>
        <v/>
      </c>
      <c r="R361" s="20" t="str">
        <f>IF(A361="","",IF(J361&lt;&gt;"",J361,IF(H361="TIMESTAMP",DAY(INT(M361/1440))&amp;" "&amp;INDEX(nLIST_Months,MONTH(INT(M361/1440)))&amp;" "&amp;YEAR(INT(M361/1440))&amp;" "&amp;RIGHT("0"&amp;INT(MOD(M361,1440)/60),2)&amp;":"&amp;RIGHT("0"&amp;MOD(M361,60),2)&amp;IF(L361=1," (UTC"&amp;I361&amp;")"," (offset unknown)"),IF(H361="DATE",DAY(O361)&amp;" "&amp;INDEX(nLIST_Months,MONTH(O361))&amp;" "&amp;YEAR(O361),IF(H361="MONTH",INDEX(nLIST_Months,MONTH(O361))&amp;" "&amp;YEAR(O361)&amp;" ("&amp;DAY(O361)&amp;" "&amp;INDEX(nLIST_Months,MONTH(O361))&amp;" "&amp;YEAR(O361)&amp;" to "&amp;DAY(P361)&amp;" "&amp;INDEX(nLIST_Months,MONTH(P361))&amp;" "&amp;YEAR(P361)&amp;")",IF(H361="YEAR",YEAR(O361)&amp;" (1 January to 31 December)",DAY(O361)&amp;" "&amp;INDEX(nLIST_Months,MONTH(O361))&amp;" "&amp;YEAR(O361)&amp;" to "&amp;DAY(P361)&amp;" "&amp;INDEX(nLIST_Months,MONTH(P361))&amp;" "&amp;YEAR(P361)))))))</f>
        <v/>
      </c>
      <c r="S361" s="20" t="str">
        <f>IF(B361="","",Milestones!$L24&amp;"")</f>
        <v/>
      </c>
      <c r="T361" s="20" t="str">
        <f>IF(B361="","",Milestones!$U24&amp;"")</f>
        <v/>
      </c>
      <c r="U361" s="20" t="str">
        <f>IF(B361="","","Milestones row "&amp;ROW(Milestones!$A24)&amp;", Milestone")</f>
        <v/>
      </c>
      <c r="V361" s="20">
        <f>IF(A361="",0,COUNTIF(nTP_Key,A361))</f>
        <v>0</v>
      </c>
      <c r="W361" s="20">
        <f t="shared" si="49"/>
        <v>0</v>
      </c>
      <c r="X361" s="20">
        <f t="shared" si="50"/>
        <v>0</v>
      </c>
      <c r="Y361" s="20">
        <f t="shared" si="51"/>
        <v>0</v>
      </c>
      <c r="Z361" s="20">
        <f t="shared" si="52"/>
        <v>0</v>
      </c>
    </row>
    <row r="362" spans="1:26" x14ac:dyDescent="0.2">
      <c r="A362" s="20" t="str">
        <f t="shared" si="46"/>
        <v/>
      </c>
      <c r="B362" s="20" t="str">
        <f>IF(AND(Milestones!$C25&lt;&gt;"",COUNTA(Milestones!$M25:$T25)&gt;0),Milestones!$C25&amp;"","")</f>
        <v/>
      </c>
      <c r="C362" s="20" t="str">
        <f>IF(B362="","","MILESTONE:"&amp;Milestones!$D25)</f>
        <v/>
      </c>
      <c r="D362" s="20" t="str">
        <f>IF(B362="","",Milestones!$A25&amp;"")</f>
        <v/>
      </c>
      <c r="E362" s="20" t="str">
        <f>IF(B362="","",Milestones!$B25&amp;"")</f>
        <v/>
      </c>
      <c r="F362" s="20" t="str">
        <f t="shared" si="47"/>
        <v/>
      </c>
      <c r="G362" s="20" t="str">
        <f>IF(B362="","",Milestones!$E25&amp;"")</f>
        <v/>
      </c>
      <c r="H362" s="20" t="str">
        <f>IF(B362="","",Milestones!$M25&amp;"")</f>
        <v/>
      </c>
      <c r="I362" s="20" t="str">
        <f>IF(B362="","",Milestones!$P25&amp;"")</f>
        <v/>
      </c>
      <c r="J362" s="20" t="str">
        <f>IF(B362="","",Milestones!$V25&amp;"")</f>
        <v/>
      </c>
      <c r="K362" s="20">
        <f>IF(B362="",0,Milestones!$W25)</f>
        <v>0</v>
      </c>
      <c r="L362" s="20">
        <f>IF(B362="",0,Milestones!$X25)</f>
        <v>0</v>
      </c>
      <c r="M362" s="20" t="str">
        <f>IF(B362="","",Milestones!$AA25)</f>
        <v/>
      </c>
      <c r="N362" s="20" t="str">
        <f>IF(B362="","",Milestones!$AB25)</f>
        <v/>
      </c>
      <c r="O362" s="27" t="str">
        <f>IF(B362="","",Milestones!$Y25)</f>
        <v/>
      </c>
      <c r="P362" s="27" t="str">
        <f>IF(B362="","",Milestones!$Z25)</f>
        <v/>
      </c>
      <c r="Q362" s="20" t="str">
        <f t="shared" si="48"/>
        <v/>
      </c>
      <c r="R362" s="20" t="str">
        <f>IF(A362="","",IF(J362&lt;&gt;"",J362,IF(H362="TIMESTAMP",DAY(INT(M362/1440))&amp;" "&amp;INDEX(nLIST_Months,MONTH(INT(M362/1440)))&amp;" "&amp;YEAR(INT(M362/1440))&amp;" "&amp;RIGHT("0"&amp;INT(MOD(M362,1440)/60),2)&amp;":"&amp;RIGHT("0"&amp;MOD(M362,60),2)&amp;IF(L362=1," (UTC"&amp;I362&amp;")"," (offset unknown)"),IF(H362="DATE",DAY(O362)&amp;" "&amp;INDEX(nLIST_Months,MONTH(O362))&amp;" "&amp;YEAR(O362),IF(H362="MONTH",INDEX(nLIST_Months,MONTH(O362))&amp;" "&amp;YEAR(O362)&amp;" ("&amp;DAY(O362)&amp;" "&amp;INDEX(nLIST_Months,MONTH(O362))&amp;" "&amp;YEAR(O362)&amp;" to "&amp;DAY(P362)&amp;" "&amp;INDEX(nLIST_Months,MONTH(P362))&amp;" "&amp;YEAR(P362)&amp;")",IF(H362="YEAR",YEAR(O362)&amp;" (1 January to 31 December)",DAY(O362)&amp;" "&amp;INDEX(nLIST_Months,MONTH(O362))&amp;" "&amp;YEAR(O362)&amp;" to "&amp;DAY(P362)&amp;" "&amp;INDEX(nLIST_Months,MONTH(P362))&amp;" "&amp;YEAR(P362)))))))</f>
        <v/>
      </c>
      <c r="S362" s="20" t="str">
        <f>IF(B362="","",Milestones!$L25&amp;"")</f>
        <v/>
      </c>
      <c r="T362" s="20" t="str">
        <f>IF(B362="","",Milestones!$U25&amp;"")</f>
        <v/>
      </c>
      <c r="U362" s="20" t="str">
        <f>IF(B362="","","Milestones row "&amp;ROW(Milestones!$A25)&amp;", Milestone")</f>
        <v/>
      </c>
      <c r="V362" s="20">
        <f>IF(A362="",0,COUNTIF(nTP_Key,A362))</f>
        <v>0</v>
      </c>
      <c r="W362" s="20">
        <f t="shared" si="49"/>
        <v>0</v>
      </c>
      <c r="X362" s="20">
        <f t="shared" si="50"/>
        <v>0</v>
      </c>
      <c r="Y362" s="20">
        <f t="shared" si="51"/>
        <v>0</v>
      </c>
      <c r="Z362" s="20">
        <f t="shared" si="52"/>
        <v>0</v>
      </c>
    </row>
    <row r="363" spans="1:26" x14ac:dyDescent="0.2">
      <c r="A363" s="20" t="str">
        <f t="shared" si="46"/>
        <v/>
      </c>
      <c r="B363" s="20" t="str">
        <f>IF(AND(Milestones!$C26&lt;&gt;"",COUNTA(Milestones!$M26:$T26)&gt;0),Milestones!$C26&amp;"","")</f>
        <v/>
      </c>
      <c r="C363" s="20" t="str">
        <f>IF(B363="","","MILESTONE:"&amp;Milestones!$D26)</f>
        <v/>
      </c>
      <c r="D363" s="20" t="str">
        <f>IF(B363="","",Milestones!$A26&amp;"")</f>
        <v/>
      </c>
      <c r="E363" s="20" t="str">
        <f>IF(B363="","",Milestones!$B26&amp;"")</f>
        <v/>
      </c>
      <c r="F363" s="20" t="str">
        <f t="shared" si="47"/>
        <v/>
      </c>
      <c r="G363" s="20" t="str">
        <f>IF(B363="","",Milestones!$E26&amp;"")</f>
        <v/>
      </c>
      <c r="H363" s="20" t="str">
        <f>IF(B363="","",Milestones!$M26&amp;"")</f>
        <v/>
      </c>
      <c r="I363" s="20" t="str">
        <f>IF(B363="","",Milestones!$P26&amp;"")</f>
        <v/>
      </c>
      <c r="J363" s="20" t="str">
        <f>IF(B363="","",Milestones!$V26&amp;"")</f>
        <v/>
      </c>
      <c r="K363" s="20">
        <f>IF(B363="",0,Milestones!$W26)</f>
        <v>0</v>
      </c>
      <c r="L363" s="20">
        <f>IF(B363="",0,Milestones!$X26)</f>
        <v>0</v>
      </c>
      <c r="M363" s="20" t="str">
        <f>IF(B363="","",Milestones!$AA26)</f>
        <v/>
      </c>
      <c r="N363" s="20" t="str">
        <f>IF(B363="","",Milestones!$AB26)</f>
        <v/>
      </c>
      <c r="O363" s="27" t="str">
        <f>IF(B363="","",Milestones!$Y26)</f>
        <v/>
      </c>
      <c r="P363" s="27" t="str">
        <f>IF(B363="","",Milestones!$Z26)</f>
        <v/>
      </c>
      <c r="Q363" s="20" t="str">
        <f t="shared" si="48"/>
        <v/>
      </c>
      <c r="R363" s="20" t="str">
        <f>IF(A363="","",IF(J363&lt;&gt;"",J363,IF(H363="TIMESTAMP",DAY(INT(M363/1440))&amp;" "&amp;INDEX(nLIST_Months,MONTH(INT(M363/1440)))&amp;" "&amp;YEAR(INT(M363/1440))&amp;" "&amp;RIGHT("0"&amp;INT(MOD(M363,1440)/60),2)&amp;":"&amp;RIGHT("0"&amp;MOD(M363,60),2)&amp;IF(L363=1," (UTC"&amp;I363&amp;")"," (offset unknown)"),IF(H363="DATE",DAY(O363)&amp;" "&amp;INDEX(nLIST_Months,MONTH(O363))&amp;" "&amp;YEAR(O363),IF(H363="MONTH",INDEX(nLIST_Months,MONTH(O363))&amp;" "&amp;YEAR(O363)&amp;" ("&amp;DAY(O363)&amp;" "&amp;INDEX(nLIST_Months,MONTH(O363))&amp;" "&amp;YEAR(O363)&amp;" to "&amp;DAY(P363)&amp;" "&amp;INDEX(nLIST_Months,MONTH(P363))&amp;" "&amp;YEAR(P363)&amp;")",IF(H363="YEAR",YEAR(O363)&amp;" (1 January to 31 December)",DAY(O363)&amp;" "&amp;INDEX(nLIST_Months,MONTH(O363))&amp;" "&amp;YEAR(O363)&amp;" to "&amp;DAY(P363)&amp;" "&amp;INDEX(nLIST_Months,MONTH(P363))&amp;" "&amp;YEAR(P363)))))))</f>
        <v/>
      </c>
      <c r="S363" s="20" t="str">
        <f>IF(B363="","",Milestones!$L26&amp;"")</f>
        <v/>
      </c>
      <c r="T363" s="20" t="str">
        <f>IF(B363="","",Milestones!$U26&amp;"")</f>
        <v/>
      </c>
      <c r="U363" s="20" t="str">
        <f>IF(B363="","","Milestones row "&amp;ROW(Milestones!$A26)&amp;", Milestone")</f>
        <v/>
      </c>
      <c r="V363" s="20">
        <f>IF(A363="",0,COUNTIF(nTP_Key,A363))</f>
        <v>0</v>
      </c>
      <c r="W363" s="20">
        <f t="shared" si="49"/>
        <v>0</v>
      </c>
      <c r="X363" s="20">
        <f t="shared" si="50"/>
        <v>0</v>
      </c>
      <c r="Y363" s="20">
        <f t="shared" si="51"/>
        <v>0</v>
      </c>
      <c r="Z363" s="20">
        <f t="shared" si="52"/>
        <v>0</v>
      </c>
    </row>
    <row r="364" spans="1:26" x14ac:dyDescent="0.2">
      <c r="A364" s="20" t="str">
        <f t="shared" si="46"/>
        <v/>
      </c>
      <c r="B364" s="20" t="str">
        <f>IF(AND(Milestones!$C27&lt;&gt;"",COUNTA(Milestones!$M27:$T27)&gt;0),Milestones!$C27&amp;"","")</f>
        <v/>
      </c>
      <c r="C364" s="20" t="str">
        <f>IF(B364="","","MILESTONE:"&amp;Milestones!$D27)</f>
        <v/>
      </c>
      <c r="D364" s="20" t="str">
        <f>IF(B364="","",Milestones!$A27&amp;"")</f>
        <v/>
      </c>
      <c r="E364" s="20" t="str">
        <f>IF(B364="","",Milestones!$B27&amp;"")</f>
        <v/>
      </c>
      <c r="F364" s="20" t="str">
        <f t="shared" si="47"/>
        <v/>
      </c>
      <c r="G364" s="20" t="str">
        <f>IF(B364="","",Milestones!$E27&amp;"")</f>
        <v/>
      </c>
      <c r="H364" s="20" t="str">
        <f>IF(B364="","",Milestones!$M27&amp;"")</f>
        <v/>
      </c>
      <c r="I364" s="20" t="str">
        <f>IF(B364="","",Milestones!$P27&amp;"")</f>
        <v/>
      </c>
      <c r="J364" s="20" t="str">
        <f>IF(B364="","",Milestones!$V27&amp;"")</f>
        <v/>
      </c>
      <c r="K364" s="20">
        <f>IF(B364="",0,Milestones!$W27)</f>
        <v>0</v>
      </c>
      <c r="L364" s="20">
        <f>IF(B364="",0,Milestones!$X27)</f>
        <v>0</v>
      </c>
      <c r="M364" s="20" t="str">
        <f>IF(B364="","",Milestones!$AA27)</f>
        <v/>
      </c>
      <c r="N364" s="20" t="str">
        <f>IF(B364="","",Milestones!$AB27)</f>
        <v/>
      </c>
      <c r="O364" s="27" t="str">
        <f>IF(B364="","",Milestones!$Y27)</f>
        <v/>
      </c>
      <c r="P364" s="27" t="str">
        <f>IF(B364="","",Milestones!$Z27)</f>
        <v/>
      </c>
      <c r="Q364" s="20" t="str">
        <f t="shared" si="48"/>
        <v/>
      </c>
      <c r="R364" s="20" t="str">
        <f>IF(A364="","",IF(J364&lt;&gt;"",J364,IF(H364="TIMESTAMP",DAY(INT(M364/1440))&amp;" "&amp;INDEX(nLIST_Months,MONTH(INT(M364/1440)))&amp;" "&amp;YEAR(INT(M364/1440))&amp;" "&amp;RIGHT("0"&amp;INT(MOD(M364,1440)/60),2)&amp;":"&amp;RIGHT("0"&amp;MOD(M364,60),2)&amp;IF(L364=1," (UTC"&amp;I364&amp;")"," (offset unknown)"),IF(H364="DATE",DAY(O364)&amp;" "&amp;INDEX(nLIST_Months,MONTH(O364))&amp;" "&amp;YEAR(O364),IF(H364="MONTH",INDEX(nLIST_Months,MONTH(O364))&amp;" "&amp;YEAR(O364)&amp;" ("&amp;DAY(O364)&amp;" "&amp;INDEX(nLIST_Months,MONTH(O364))&amp;" "&amp;YEAR(O364)&amp;" to "&amp;DAY(P364)&amp;" "&amp;INDEX(nLIST_Months,MONTH(P364))&amp;" "&amp;YEAR(P364)&amp;")",IF(H364="YEAR",YEAR(O364)&amp;" (1 January to 31 December)",DAY(O364)&amp;" "&amp;INDEX(nLIST_Months,MONTH(O364))&amp;" "&amp;YEAR(O364)&amp;" to "&amp;DAY(P364)&amp;" "&amp;INDEX(nLIST_Months,MONTH(P364))&amp;" "&amp;YEAR(P364)))))))</f>
        <v/>
      </c>
      <c r="S364" s="20" t="str">
        <f>IF(B364="","",Milestones!$L27&amp;"")</f>
        <v/>
      </c>
      <c r="T364" s="20" t="str">
        <f>IF(B364="","",Milestones!$U27&amp;"")</f>
        <v/>
      </c>
      <c r="U364" s="20" t="str">
        <f>IF(B364="","","Milestones row "&amp;ROW(Milestones!$A27)&amp;", Milestone")</f>
        <v/>
      </c>
      <c r="V364" s="20">
        <f>IF(A364="",0,COUNTIF(nTP_Key,A364))</f>
        <v>0</v>
      </c>
      <c r="W364" s="20">
        <f t="shared" si="49"/>
        <v>0</v>
      </c>
      <c r="X364" s="20">
        <f t="shared" si="50"/>
        <v>0</v>
      </c>
      <c r="Y364" s="20">
        <f t="shared" si="51"/>
        <v>0</v>
      </c>
      <c r="Z364" s="20">
        <f t="shared" si="52"/>
        <v>0</v>
      </c>
    </row>
    <row r="365" spans="1:26" x14ac:dyDescent="0.2">
      <c r="A365" s="20" t="str">
        <f t="shared" si="46"/>
        <v/>
      </c>
      <c r="B365" s="20" t="str">
        <f>IF(AND(Milestones!$C28&lt;&gt;"",COUNTA(Milestones!$M28:$T28)&gt;0),Milestones!$C28&amp;"","")</f>
        <v/>
      </c>
      <c r="C365" s="20" t="str">
        <f>IF(B365="","","MILESTONE:"&amp;Milestones!$D28)</f>
        <v/>
      </c>
      <c r="D365" s="20" t="str">
        <f>IF(B365="","",Milestones!$A28&amp;"")</f>
        <v/>
      </c>
      <c r="E365" s="20" t="str">
        <f>IF(B365="","",Milestones!$B28&amp;"")</f>
        <v/>
      </c>
      <c r="F365" s="20" t="str">
        <f t="shared" si="47"/>
        <v/>
      </c>
      <c r="G365" s="20" t="str">
        <f>IF(B365="","",Milestones!$E28&amp;"")</f>
        <v/>
      </c>
      <c r="H365" s="20" t="str">
        <f>IF(B365="","",Milestones!$M28&amp;"")</f>
        <v/>
      </c>
      <c r="I365" s="20" t="str">
        <f>IF(B365="","",Milestones!$P28&amp;"")</f>
        <v/>
      </c>
      <c r="J365" s="20" t="str">
        <f>IF(B365="","",Milestones!$V28&amp;"")</f>
        <v/>
      </c>
      <c r="K365" s="20">
        <f>IF(B365="",0,Milestones!$W28)</f>
        <v>0</v>
      </c>
      <c r="L365" s="20">
        <f>IF(B365="",0,Milestones!$X28)</f>
        <v>0</v>
      </c>
      <c r="M365" s="20" t="str">
        <f>IF(B365="","",Milestones!$AA28)</f>
        <v/>
      </c>
      <c r="N365" s="20" t="str">
        <f>IF(B365="","",Milestones!$AB28)</f>
        <v/>
      </c>
      <c r="O365" s="27" t="str">
        <f>IF(B365="","",Milestones!$Y28)</f>
        <v/>
      </c>
      <c r="P365" s="27" t="str">
        <f>IF(B365="","",Milestones!$Z28)</f>
        <v/>
      </c>
      <c r="Q365" s="20" t="str">
        <f t="shared" si="48"/>
        <v/>
      </c>
      <c r="R365" s="20" t="str">
        <f>IF(A365="","",IF(J365&lt;&gt;"",J365,IF(H365="TIMESTAMP",DAY(INT(M365/1440))&amp;" "&amp;INDEX(nLIST_Months,MONTH(INT(M365/1440)))&amp;" "&amp;YEAR(INT(M365/1440))&amp;" "&amp;RIGHT("0"&amp;INT(MOD(M365,1440)/60),2)&amp;":"&amp;RIGHT("0"&amp;MOD(M365,60),2)&amp;IF(L365=1," (UTC"&amp;I365&amp;")"," (offset unknown)"),IF(H365="DATE",DAY(O365)&amp;" "&amp;INDEX(nLIST_Months,MONTH(O365))&amp;" "&amp;YEAR(O365),IF(H365="MONTH",INDEX(nLIST_Months,MONTH(O365))&amp;" "&amp;YEAR(O365)&amp;" ("&amp;DAY(O365)&amp;" "&amp;INDEX(nLIST_Months,MONTH(O365))&amp;" "&amp;YEAR(O365)&amp;" to "&amp;DAY(P365)&amp;" "&amp;INDEX(nLIST_Months,MONTH(P365))&amp;" "&amp;YEAR(P365)&amp;")",IF(H365="YEAR",YEAR(O365)&amp;" (1 January to 31 December)",DAY(O365)&amp;" "&amp;INDEX(nLIST_Months,MONTH(O365))&amp;" "&amp;YEAR(O365)&amp;" to "&amp;DAY(P365)&amp;" "&amp;INDEX(nLIST_Months,MONTH(P365))&amp;" "&amp;YEAR(P365)))))))</f>
        <v/>
      </c>
      <c r="S365" s="20" t="str">
        <f>IF(B365="","",Milestones!$L28&amp;"")</f>
        <v/>
      </c>
      <c r="T365" s="20" t="str">
        <f>IF(B365="","",Milestones!$U28&amp;"")</f>
        <v/>
      </c>
      <c r="U365" s="20" t="str">
        <f>IF(B365="","","Milestones row "&amp;ROW(Milestones!$A28)&amp;", Milestone")</f>
        <v/>
      </c>
      <c r="V365" s="20">
        <f>IF(A365="",0,COUNTIF(nTP_Key,A365))</f>
        <v>0</v>
      </c>
      <c r="W365" s="20">
        <f t="shared" si="49"/>
        <v>0</v>
      </c>
      <c r="X365" s="20">
        <f t="shared" si="50"/>
        <v>0</v>
      </c>
      <c r="Y365" s="20">
        <f t="shared" si="51"/>
        <v>0</v>
      </c>
      <c r="Z365" s="20">
        <f t="shared" si="52"/>
        <v>0</v>
      </c>
    </row>
    <row r="366" spans="1:26" x14ac:dyDescent="0.2">
      <c r="A366" s="20" t="str">
        <f t="shared" si="46"/>
        <v/>
      </c>
      <c r="B366" s="20" t="str">
        <f>IF(AND(Milestones!$C29&lt;&gt;"",COUNTA(Milestones!$M29:$T29)&gt;0),Milestones!$C29&amp;"","")</f>
        <v/>
      </c>
      <c r="C366" s="20" t="str">
        <f>IF(B366="","","MILESTONE:"&amp;Milestones!$D29)</f>
        <v/>
      </c>
      <c r="D366" s="20" t="str">
        <f>IF(B366="","",Milestones!$A29&amp;"")</f>
        <v/>
      </c>
      <c r="E366" s="20" t="str">
        <f>IF(B366="","",Milestones!$B29&amp;"")</f>
        <v/>
      </c>
      <c r="F366" s="20" t="str">
        <f t="shared" si="47"/>
        <v/>
      </c>
      <c r="G366" s="20" t="str">
        <f>IF(B366="","",Milestones!$E29&amp;"")</f>
        <v/>
      </c>
      <c r="H366" s="20" t="str">
        <f>IF(B366="","",Milestones!$M29&amp;"")</f>
        <v/>
      </c>
      <c r="I366" s="20" t="str">
        <f>IF(B366="","",Milestones!$P29&amp;"")</f>
        <v/>
      </c>
      <c r="J366" s="20" t="str">
        <f>IF(B366="","",Milestones!$V29&amp;"")</f>
        <v/>
      </c>
      <c r="K366" s="20">
        <f>IF(B366="",0,Milestones!$W29)</f>
        <v>0</v>
      </c>
      <c r="L366" s="20">
        <f>IF(B366="",0,Milestones!$X29)</f>
        <v>0</v>
      </c>
      <c r="M366" s="20" t="str">
        <f>IF(B366="","",Milestones!$AA29)</f>
        <v/>
      </c>
      <c r="N366" s="20" t="str">
        <f>IF(B366="","",Milestones!$AB29)</f>
        <v/>
      </c>
      <c r="O366" s="27" t="str">
        <f>IF(B366="","",Milestones!$Y29)</f>
        <v/>
      </c>
      <c r="P366" s="27" t="str">
        <f>IF(B366="","",Milestones!$Z29)</f>
        <v/>
      </c>
      <c r="Q366" s="20" t="str">
        <f t="shared" si="48"/>
        <v/>
      </c>
      <c r="R366" s="20" t="str">
        <f>IF(A366="","",IF(J366&lt;&gt;"",J366,IF(H366="TIMESTAMP",DAY(INT(M366/1440))&amp;" "&amp;INDEX(nLIST_Months,MONTH(INT(M366/1440)))&amp;" "&amp;YEAR(INT(M366/1440))&amp;" "&amp;RIGHT("0"&amp;INT(MOD(M366,1440)/60),2)&amp;":"&amp;RIGHT("0"&amp;MOD(M366,60),2)&amp;IF(L366=1," (UTC"&amp;I366&amp;")"," (offset unknown)"),IF(H366="DATE",DAY(O366)&amp;" "&amp;INDEX(nLIST_Months,MONTH(O366))&amp;" "&amp;YEAR(O366),IF(H366="MONTH",INDEX(nLIST_Months,MONTH(O366))&amp;" "&amp;YEAR(O366)&amp;" ("&amp;DAY(O366)&amp;" "&amp;INDEX(nLIST_Months,MONTH(O366))&amp;" "&amp;YEAR(O366)&amp;" to "&amp;DAY(P366)&amp;" "&amp;INDEX(nLIST_Months,MONTH(P366))&amp;" "&amp;YEAR(P366)&amp;")",IF(H366="YEAR",YEAR(O366)&amp;" (1 January to 31 December)",DAY(O366)&amp;" "&amp;INDEX(nLIST_Months,MONTH(O366))&amp;" "&amp;YEAR(O366)&amp;" to "&amp;DAY(P366)&amp;" "&amp;INDEX(nLIST_Months,MONTH(P366))&amp;" "&amp;YEAR(P366)))))))</f>
        <v/>
      </c>
      <c r="S366" s="20" t="str">
        <f>IF(B366="","",Milestones!$L29&amp;"")</f>
        <v/>
      </c>
      <c r="T366" s="20" t="str">
        <f>IF(B366="","",Milestones!$U29&amp;"")</f>
        <v/>
      </c>
      <c r="U366" s="20" t="str">
        <f>IF(B366="","","Milestones row "&amp;ROW(Milestones!$A29)&amp;", Milestone")</f>
        <v/>
      </c>
      <c r="V366" s="20">
        <f>IF(A366="",0,COUNTIF(nTP_Key,A366))</f>
        <v>0</v>
      </c>
      <c r="W366" s="20">
        <f t="shared" si="49"/>
        <v>0</v>
      </c>
      <c r="X366" s="20">
        <f t="shared" si="50"/>
        <v>0</v>
      </c>
      <c r="Y366" s="20">
        <f t="shared" si="51"/>
        <v>0</v>
      </c>
      <c r="Z366" s="20">
        <f t="shared" si="52"/>
        <v>0</v>
      </c>
    </row>
    <row r="367" spans="1:26" x14ac:dyDescent="0.2">
      <c r="A367" s="20" t="str">
        <f t="shared" si="46"/>
        <v/>
      </c>
      <c r="B367" s="20" t="str">
        <f>IF(AND(Milestones!$C30&lt;&gt;"",COUNTA(Milestones!$M30:$T30)&gt;0),Milestones!$C30&amp;"","")</f>
        <v/>
      </c>
      <c r="C367" s="20" t="str">
        <f>IF(B367="","","MILESTONE:"&amp;Milestones!$D30)</f>
        <v/>
      </c>
      <c r="D367" s="20" t="str">
        <f>IF(B367="","",Milestones!$A30&amp;"")</f>
        <v/>
      </c>
      <c r="E367" s="20" t="str">
        <f>IF(B367="","",Milestones!$B30&amp;"")</f>
        <v/>
      </c>
      <c r="F367" s="20" t="str">
        <f t="shared" si="47"/>
        <v/>
      </c>
      <c r="G367" s="20" t="str">
        <f>IF(B367="","",Milestones!$E30&amp;"")</f>
        <v/>
      </c>
      <c r="H367" s="20" t="str">
        <f>IF(B367="","",Milestones!$M30&amp;"")</f>
        <v/>
      </c>
      <c r="I367" s="20" t="str">
        <f>IF(B367="","",Milestones!$P30&amp;"")</f>
        <v/>
      </c>
      <c r="J367" s="20" t="str">
        <f>IF(B367="","",Milestones!$V30&amp;"")</f>
        <v/>
      </c>
      <c r="K367" s="20">
        <f>IF(B367="",0,Milestones!$W30)</f>
        <v>0</v>
      </c>
      <c r="L367" s="20">
        <f>IF(B367="",0,Milestones!$X30)</f>
        <v>0</v>
      </c>
      <c r="M367" s="20" t="str">
        <f>IF(B367="","",Milestones!$AA30)</f>
        <v/>
      </c>
      <c r="N367" s="20" t="str">
        <f>IF(B367="","",Milestones!$AB30)</f>
        <v/>
      </c>
      <c r="O367" s="27" t="str">
        <f>IF(B367="","",Milestones!$Y30)</f>
        <v/>
      </c>
      <c r="P367" s="27" t="str">
        <f>IF(B367="","",Milestones!$Z30)</f>
        <v/>
      </c>
      <c r="Q367" s="20" t="str">
        <f t="shared" si="48"/>
        <v/>
      </c>
      <c r="R367" s="20" t="str">
        <f>IF(A367="","",IF(J367&lt;&gt;"",J367,IF(H367="TIMESTAMP",DAY(INT(M367/1440))&amp;" "&amp;INDEX(nLIST_Months,MONTH(INT(M367/1440)))&amp;" "&amp;YEAR(INT(M367/1440))&amp;" "&amp;RIGHT("0"&amp;INT(MOD(M367,1440)/60),2)&amp;":"&amp;RIGHT("0"&amp;MOD(M367,60),2)&amp;IF(L367=1," (UTC"&amp;I367&amp;")"," (offset unknown)"),IF(H367="DATE",DAY(O367)&amp;" "&amp;INDEX(nLIST_Months,MONTH(O367))&amp;" "&amp;YEAR(O367),IF(H367="MONTH",INDEX(nLIST_Months,MONTH(O367))&amp;" "&amp;YEAR(O367)&amp;" ("&amp;DAY(O367)&amp;" "&amp;INDEX(nLIST_Months,MONTH(O367))&amp;" "&amp;YEAR(O367)&amp;" to "&amp;DAY(P367)&amp;" "&amp;INDEX(nLIST_Months,MONTH(P367))&amp;" "&amp;YEAR(P367)&amp;")",IF(H367="YEAR",YEAR(O367)&amp;" (1 January to 31 December)",DAY(O367)&amp;" "&amp;INDEX(nLIST_Months,MONTH(O367))&amp;" "&amp;YEAR(O367)&amp;" to "&amp;DAY(P367)&amp;" "&amp;INDEX(nLIST_Months,MONTH(P367))&amp;" "&amp;YEAR(P367)))))))</f>
        <v/>
      </c>
      <c r="S367" s="20" t="str">
        <f>IF(B367="","",Milestones!$L30&amp;"")</f>
        <v/>
      </c>
      <c r="T367" s="20" t="str">
        <f>IF(B367="","",Milestones!$U30&amp;"")</f>
        <v/>
      </c>
      <c r="U367" s="20" t="str">
        <f>IF(B367="","","Milestones row "&amp;ROW(Milestones!$A30)&amp;", Milestone")</f>
        <v/>
      </c>
      <c r="V367" s="20">
        <f>IF(A367="",0,COUNTIF(nTP_Key,A367))</f>
        <v>0</v>
      </c>
      <c r="W367" s="20">
        <f t="shared" si="49"/>
        <v>0</v>
      </c>
      <c r="X367" s="20">
        <f t="shared" si="50"/>
        <v>0</v>
      </c>
      <c r="Y367" s="20">
        <f t="shared" si="51"/>
        <v>0</v>
      </c>
      <c r="Z367" s="20">
        <f t="shared" si="52"/>
        <v>0</v>
      </c>
    </row>
    <row r="368" spans="1:26" x14ac:dyDescent="0.2">
      <c r="A368" s="20" t="str">
        <f t="shared" si="46"/>
        <v/>
      </c>
      <c r="B368" s="20" t="str">
        <f>IF(AND(Milestones!$C31&lt;&gt;"",COUNTA(Milestones!$M31:$T31)&gt;0),Milestones!$C31&amp;"","")</f>
        <v/>
      </c>
      <c r="C368" s="20" t="str">
        <f>IF(B368="","","MILESTONE:"&amp;Milestones!$D31)</f>
        <v/>
      </c>
      <c r="D368" s="20" t="str">
        <f>IF(B368="","",Milestones!$A31&amp;"")</f>
        <v/>
      </c>
      <c r="E368" s="20" t="str">
        <f>IF(B368="","",Milestones!$B31&amp;"")</f>
        <v/>
      </c>
      <c r="F368" s="20" t="str">
        <f t="shared" si="47"/>
        <v/>
      </c>
      <c r="G368" s="20" t="str">
        <f>IF(B368="","",Milestones!$E31&amp;"")</f>
        <v/>
      </c>
      <c r="H368" s="20" t="str">
        <f>IF(B368="","",Milestones!$M31&amp;"")</f>
        <v/>
      </c>
      <c r="I368" s="20" t="str">
        <f>IF(B368="","",Milestones!$P31&amp;"")</f>
        <v/>
      </c>
      <c r="J368" s="20" t="str">
        <f>IF(B368="","",Milestones!$V31&amp;"")</f>
        <v/>
      </c>
      <c r="K368" s="20">
        <f>IF(B368="",0,Milestones!$W31)</f>
        <v>0</v>
      </c>
      <c r="L368" s="20">
        <f>IF(B368="",0,Milestones!$X31)</f>
        <v>0</v>
      </c>
      <c r="M368" s="20" t="str">
        <f>IF(B368="","",Milestones!$AA31)</f>
        <v/>
      </c>
      <c r="N368" s="20" t="str">
        <f>IF(B368="","",Milestones!$AB31)</f>
        <v/>
      </c>
      <c r="O368" s="27" t="str">
        <f>IF(B368="","",Milestones!$Y31)</f>
        <v/>
      </c>
      <c r="P368" s="27" t="str">
        <f>IF(B368="","",Milestones!$Z31)</f>
        <v/>
      </c>
      <c r="Q368" s="20" t="str">
        <f t="shared" si="48"/>
        <v/>
      </c>
      <c r="R368" s="20" t="str">
        <f>IF(A368="","",IF(J368&lt;&gt;"",J368,IF(H368="TIMESTAMP",DAY(INT(M368/1440))&amp;" "&amp;INDEX(nLIST_Months,MONTH(INT(M368/1440)))&amp;" "&amp;YEAR(INT(M368/1440))&amp;" "&amp;RIGHT("0"&amp;INT(MOD(M368,1440)/60),2)&amp;":"&amp;RIGHT("0"&amp;MOD(M368,60),2)&amp;IF(L368=1," (UTC"&amp;I368&amp;")"," (offset unknown)"),IF(H368="DATE",DAY(O368)&amp;" "&amp;INDEX(nLIST_Months,MONTH(O368))&amp;" "&amp;YEAR(O368),IF(H368="MONTH",INDEX(nLIST_Months,MONTH(O368))&amp;" "&amp;YEAR(O368)&amp;" ("&amp;DAY(O368)&amp;" "&amp;INDEX(nLIST_Months,MONTH(O368))&amp;" "&amp;YEAR(O368)&amp;" to "&amp;DAY(P368)&amp;" "&amp;INDEX(nLIST_Months,MONTH(P368))&amp;" "&amp;YEAR(P368)&amp;")",IF(H368="YEAR",YEAR(O368)&amp;" (1 January to 31 December)",DAY(O368)&amp;" "&amp;INDEX(nLIST_Months,MONTH(O368))&amp;" "&amp;YEAR(O368)&amp;" to "&amp;DAY(P368)&amp;" "&amp;INDEX(nLIST_Months,MONTH(P368))&amp;" "&amp;YEAR(P368)))))))</f>
        <v/>
      </c>
      <c r="S368" s="20" t="str">
        <f>IF(B368="","",Milestones!$L31&amp;"")</f>
        <v/>
      </c>
      <c r="T368" s="20" t="str">
        <f>IF(B368="","",Milestones!$U31&amp;"")</f>
        <v/>
      </c>
      <c r="U368" s="20" t="str">
        <f>IF(B368="","","Milestones row "&amp;ROW(Milestones!$A31)&amp;", Milestone")</f>
        <v/>
      </c>
      <c r="V368" s="20">
        <f>IF(A368="",0,COUNTIF(nTP_Key,A368))</f>
        <v>0</v>
      </c>
      <c r="W368" s="20">
        <f t="shared" si="49"/>
        <v>0</v>
      </c>
      <c r="X368" s="20">
        <f t="shared" si="50"/>
        <v>0</v>
      </c>
      <c r="Y368" s="20">
        <f t="shared" si="51"/>
        <v>0</v>
      </c>
      <c r="Z368" s="20">
        <f t="shared" si="52"/>
        <v>0</v>
      </c>
    </row>
    <row r="369" spans="1:26" x14ac:dyDescent="0.2">
      <c r="A369" s="20" t="str">
        <f t="shared" si="46"/>
        <v/>
      </c>
      <c r="B369" s="20" t="str">
        <f>IF(AND(Milestones!$C32&lt;&gt;"",COUNTA(Milestones!$M32:$T32)&gt;0),Milestones!$C32&amp;"","")</f>
        <v/>
      </c>
      <c r="C369" s="20" t="str">
        <f>IF(B369="","","MILESTONE:"&amp;Milestones!$D32)</f>
        <v/>
      </c>
      <c r="D369" s="20" t="str">
        <f>IF(B369="","",Milestones!$A32&amp;"")</f>
        <v/>
      </c>
      <c r="E369" s="20" t="str">
        <f>IF(B369="","",Milestones!$B32&amp;"")</f>
        <v/>
      </c>
      <c r="F369" s="20" t="str">
        <f t="shared" si="47"/>
        <v/>
      </c>
      <c r="G369" s="20" t="str">
        <f>IF(B369="","",Milestones!$E32&amp;"")</f>
        <v/>
      </c>
      <c r="H369" s="20" t="str">
        <f>IF(B369="","",Milestones!$M32&amp;"")</f>
        <v/>
      </c>
      <c r="I369" s="20" t="str">
        <f>IF(B369="","",Milestones!$P32&amp;"")</f>
        <v/>
      </c>
      <c r="J369" s="20" t="str">
        <f>IF(B369="","",Milestones!$V32&amp;"")</f>
        <v/>
      </c>
      <c r="K369" s="20">
        <f>IF(B369="",0,Milestones!$W32)</f>
        <v>0</v>
      </c>
      <c r="L369" s="20">
        <f>IF(B369="",0,Milestones!$X32)</f>
        <v>0</v>
      </c>
      <c r="M369" s="20" t="str">
        <f>IF(B369="","",Milestones!$AA32)</f>
        <v/>
      </c>
      <c r="N369" s="20" t="str">
        <f>IF(B369="","",Milestones!$AB32)</f>
        <v/>
      </c>
      <c r="O369" s="27" t="str">
        <f>IF(B369="","",Milestones!$Y32)</f>
        <v/>
      </c>
      <c r="P369" s="27" t="str">
        <f>IF(B369="","",Milestones!$Z32)</f>
        <v/>
      </c>
      <c r="Q369" s="20" t="str">
        <f t="shared" si="48"/>
        <v/>
      </c>
      <c r="R369" s="20" t="str">
        <f>IF(A369="","",IF(J369&lt;&gt;"",J369,IF(H369="TIMESTAMP",DAY(INT(M369/1440))&amp;" "&amp;INDEX(nLIST_Months,MONTH(INT(M369/1440)))&amp;" "&amp;YEAR(INT(M369/1440))&amp;" "&amp;RIGHT("0"&amp;INT(MOD(M369,1440)/60),2)&amp;":"&amp;RIGHT("0"&amp;MOD(M369,60),2)&amp;IF(L369=1," (UTC"&amp;I369&amp;")"," (offset unknown)"),IF(H369="DATE",DAY(O369)&amp;" "&amp;INDEX(nLIST_Months,MONTH(O369))&amp;" "&amp;YEAR(O369),IF(H369="MONTH",INDEX(nLIST_Months,MONTH(O369))&amp;" "&amp;YEAR(O369)&amp;" ("&amp;DAY(O369)&amp;" "&amp;INDEX(nLIST_Months,MONTH(O369))&amp;" "&amp;YEAR(O369)&amp;" to "&amp;DAY(P369)&amp;" "&amp;INDEX(nLIST_Months,MONTH(P369))&amp;" "&amp;YEAR(P369)&amp;")",IF(H369="YEAR",YEAR(O369)&amp;" (1 January to 31 December)",DAY(O369)&amp;" "&amp;INDEX(nLIST_Months,MONTH(O369))&amp;" "&amp;YEAR(O369)&amp;" to "&amp;DAY(P369)&amp;" "&amp;INDEX(nLIST_Months,MONTH(P369))&amp;" "&amp;YEAR(P369)))))))</f>
        <v/>
      </c>
      <c r="S369" s="20" t="str">
        <f>IF(B369="","",Milestones!$L32&amp;"")</f>
        <v/>
      </c>
      <c r="T369" s="20" t="str">
        <f>IF(B369="","",Milestones!$U32&amp;"")</f>
        <v/>
      </c>
      <c r="U369" s="20" t="str">
        <f>IF(B369="","","Milestones row "&amp;ROW(Milestones!$A32)&amp;", Milestone")</f>
        <v/>
      </c>
      <c r="V369" s="20">
        <f>IF(A369="",0,COUNTIF(nTP_Key,A369))</f>
        <v>0</v>
      </c>
      <c r="W369" s="20">
        <f t="shared" si="49"/>
        <v>0</v>
      </c>
      <c r="X369" s="20">
        <f t="shared" si="50"/>
        <v>0</v>
      </c>
      <c r="Y369" s="20">
        <f t="shared" si="51"/>
        <v>0</v>
      </c>
      <c r="Z369" s="20">
        <f t="shared" si="52"/>
        <v>0</v>
      </c>
    </row>
    <row r="370" spans="1:26" x14ac:dyDescent="0.2">
      <c r="A370" s="20" t="str">
        <f t="shared" si="46"/>
        <v/>
      </c>
      <c r="B370" s="20" t="str">
        <f>IF(AND(Milestones!$C33&lt;&gt;"",COUNTA(Milestones!$M33:$T33)&gt;0),Milestones!$C33&amp;"","")</f>
        <v/>
      </c>
      <c r="C370" s="20" t="str">
        <f>IF(B370="","","MILESTONE:"&amp;Milestones!$D33)</f>
        <v/>
      </c>
      <c r="D370" s="20" t="str">
        <f>IF(B370="","",Milestones!$A33&amp;"")</f>
        <v/>
      </c>
      <c r="E370" s="20" t="str">
        <f>IF(B370="","",Milestones!$B33&amp;"")</f>
        <v/>
      </c>
      <c r="F370" s="20" t="str">
        <f t="shared" si="47"/>
        <v/>
      </c>
      <c r="G370" s="20" t="str">
        <f>IF(B370="","",Milestones!$E33&amp;"")</f>
        <v/>
      </c>
      <c r="H370" s="20" t="str">
        <f>IF(B370="","",Milestones!$M33&amp;"")</f>
        <v/>
      </c>
      <c r="I370" s="20" t="str">
        <f>IF(B370="","",Milestones!$P33&amp;"")</f>
        <v/>
      </c>
      <c r="J370" s="20" t="str">
        <f>IF(B370="","",Milestones!$V33&amp;"")</f>
        <v/>
      </c>
      <c r="K370" s="20">
        <f>IF(B370="",0,Milestones!$W33)</f>
        <v>0</v>
      </c>
      <c r="L370" s="20">
        <f>IF(B370="",0,Milestones!$X33)</f>
        <v>0</v>
      </c>
      <c r="M370" s="20" t="str">
        <f>IF(B370="","",Milestones!$AA33)</f>
        <v/>
      </c>
      <c r="N370" s="20" t="str">
        <f>IF(B370="","",Milestones!$AB33)</f>
        <v/>
      </c>
      <c r="O370" s="27" t="str">
        <f>IF(B370="","",Milestones!$Y33)</f>
        <v/>
      </c>
      <c r="P370" s="27" t="str">
        <f>IF(B370="","",Milestones!$Z33)</f>
        <v/>
      </c>
      <c r="Q370" s="20" t="str">
        <f t="shared" si="48"/>
        <v/>
      </c>
      <c r="R370" s="20" t="str">
        <f>IF(A370="","",IF(J370&lt;&gt;"",J370,IF(H370="TIMESTAMP",DAY(INT(M370/1440))&amp;" "&amp;INDEX(nLIST_Months,MONTH(INT(M370/1440)))&amp;" "&amp;YEAR(INT(M370/1440))&amp;" "&amp;RIGHT("0"&amp;INT(MOD(M370,1440)/60),2)&amp;":"&amp;RIGHT("0"&amp;MOD(M370,60),2)&amp;IF(L370=1," (UTC"&amp;I370&amp;")"," (offset unknown)"),IF(H370="DATE",DAY(O370)&amp;" "&amp;INDEX(nLIST_Months,MONTH(O370))&amp;" "&amp;YEAR(O370),IF(H370="MONTH",INDEX(nLIST_Months,MONTH(O370))&amp;" "&amp;YEAR(O370)&amp;" ("&amp;DAY(O370)&amp;" "&amp;INDEX(nLIST_Months,MONTH(O370))&amp;" "&amp;YEAR(O370)&amp;" to "&amp;DAY(P370)&amp;" "&amp;INDEX(nLIST_Months,MONTH(P370))&amp;" "&amp;YEAR(P370)&amp;")",IF(H370="YEAR",YEAR(O370)&amp;" (1 January to 31 December)",DAY(O370)&amp;" "&amp;INDEX(nLIST_Months,MONTH(O370))&amp;" "&amp;YEAR(O370)&amp;" to "&amp;DAY(P370)&amp;" "&amp;INDEX(nLIST_Months,MONTH(P370))&amp;" "&amp;YEAR(P370)))))))</f>
        <v/>
      </c>
      <c r="S370" s="20" t="str">
        <f>IF(B370="","",Milestones!$L33&amp;"")</f>
        <v/>
      </c>
      <c r="T370" s="20" t="str">
        <f>IF(B370="","",Milestones!$U33&amp;"")</f>
        <v/>
      </c>
      <c r="U370" s="20" t="str">
        <f>IF(B370="","","Milestones row "&amp;ROW(Milestones!$A33)&amp;", Milestone")</f>
        <v/>
      </c>
      <c r="V370" s="20">
        <f>IF(A370="",0,COUNTIF(nTP_Key,A370))</f>
        <v>0</v>
      </c>
      <c r="W370" s="20">
        <f t="shared" si="49"/>
        <v>0</v>
      </c>
      <c r="X370" s="20">
        <f t="shared" si="50"/>
        <v>0</v>
      </c>
      <c r="Y370" s="20">
        <f t="shared" si="51"/>
        <v>0</v>
      </c>
      <c r="Z370" s="20">
        <f t="shared" si="52"/>
        <v>0</v>
      </c>
    </row>
    <row r="371" spans="1:26" x14ac:dyDescent="0.2">
      <c r="A371" s="20" t="str">
        <f t="shared" si="46"/>
        <v/>
      </c>
      <c r="B371" s="20" t="str">
        <f>IF(AND(Milestones!$C34&lt;&gt;"",COUNTA(Milestones!$M34:$T34)&gt;0),Milestones!$C34&amp;"","")</f>
        <v/>
      </c>
      <c r="C371" s="20" t="str">
        <f>IF(B371="","","MILESTONE:"&amp;Milestones!$D34)</f>
        <v/>
      </c>
      <c r="D371" s="20" t="str">
        <f>IF(B371="","",Milestones!$A34&amp;"")</f>
        <v/>
      </c>
      <c r="E371" s="20" t="str">
        <f>IF(B371="","",Milestones!$B34&amp;"")</f>
        <v/>
      </c>
      <c r="F371" s="20" t="str">
        <f t="shared" si="47"/>
        <v/>
      </c>
      <c r="G371" s="20" t="str">
        <f>IF(B371="","",Milestones!$E34&amp;"")</f>
        <v/>
      </c>
      <c r="H371" s="20" t="str">
        <f>IF(B371="","",Milestones!$M34&amp;"")</f>
        <v/>
      </c>
      <c r="I371" s="20" t="str">
        <f>IF(B371="","",Milestones!$P34&amp;"")</f>
        <v/>
      </c>
      <c r="J371" s="20" t="str">
        <f>IF(B371="","",Milestones!$V34&amp;"")</f>
        <v/>
      </c>
      <c r="K371" s="20">
        <f>IF(B371="",0,Milestones!$W34)</f>
        <v>0</v>
      </c>
      <c r="L371" s="20">
        <f>IF(B371="",0,Milestones!$X34)</f>
        <v>0</v>
      </c>
      <c r="M371" s="20" t="str">
        <f>IF(B371="","",Milestones!$AA34)</f>
        <v/>
      </c>
      <c r="N371" s="20" t="str">
        <f>IF(B371="","",Milestones!$AB34)</f>
        <v/>
      </c>
      <c r="O371" s="27" t="str">
        <f>IF(B371="","",Milestones!$Y34)</f>
        <v/>
      </c>
      <c r="P371" s="27" t="str">
        <f>IF(B371="","",Milestones!$Z34)</f>
        <v/>
      </c>
      <c r="Q371" s="20" t="str">
        <f t="shared" si="48"/>
        <v/>
      </c>
      <c r="R371" s="20" t="str">
        <f>IF(A371="","",IF(J371&lt;&gt;"",J371,IF(H371="TIMESTAMP",DAY(INT(M371/1440))&amp;" "&amp;INDEX(nLIST_Months,MONTH(INT(M371/1440)))&amp;" "&amp;YEAR(INT(M371/1440))&amp;" "&amp;RIGHT("0"&amp;INT(MOD(M371,1440)/60),2)&amp;":"&amp;RIGHT("0"&amp;MOD(M371,60),2)&amp;IF(L371=1," (UTC"&amp;I371&amp;")"," (offset unknown)"),IF(H371="DATE",DAY(O371)&amp;" "&amp;INDEX(nLIST_Months,MONTH(O371))&amp;" "&amp;YEAR(O371),IF(H371="MONTH",INDEX(nLIST_Months,MONTH(O371))&amp;" "&amp;YEAR(O371)&amp;" ("&amp;DAY(O371)&amp;" "&amp;INDEX(nLIST_Months,MONTH(O371))&amp;" "&amp;YEAR(O371)&amp;" to "&amp;DAY(P371)&amp;" "&amp;INDEX(nLIST_Months,MONTH(P371))&amp;" "&amp;YEAR(P371)&amp;")",IF(H371="YEAR",YEAR(O371)&amp;" (1 January to 31 December)",DAY(O371)&amp;" "&amp;INDEX(nLIST_Months,MONTH(O371))&amp;" "&amp;YEAR(O371)&amp;" to "&amp;DAY(P371)&amp;" "&amp;INDEX(nLIST_Months,MONTH(P371))&amp;" "&amp;YEAR(P371)))))))</f>
        <v/>
      </c>
      <c r="S371" s="20" t="str">
        <f>IF(B371="","",Milestones!$L34&amp;"")</f>
        <v/>
      </c>
      <c r="T371" s="20" t="str">
        <f>IF(B371="","",Milestones!$U34&amp;"")</f>
        <v/>
      </c>
      <c r="U371" s="20" t="str">
        <f>IF(B371="","","Milestones row "&amp;ROW(Milestones!$A34)&amp;", Milestone")</f>
        <v/>
      </c>
      <c r="V371" s="20">
        <f>IF(A371="",0,COUNTIF(nTP_Key,A371))</f>
        <v>0</v>
      </c>
      <c r="W371" s="20">
        <f t="shared" si="49"/>
        <v>0</v>
      </c>
      <c r="X371" s="20">
        <f t="shared" si="50"/>
        <v>0</v>
      </c>
      <c r="Y371" s="20">
        <f t="shared" si="51"/>
        <v>0</v>
      </c>
      <c r="Z371" s="20">
        <f t="shared" si="52"/>
        <v>0</v>
      </c>
    </row>
    <row r="372" spans="1:26" x14ac:dyDescent="0.2">
      <c r="A372" s="20" t="str">
        <f t="shared" si="46"/>
        <v/>
      </c>
      <c r="B372" s="20" t="str">
        <f>IF(AND(Milestones!$C35&lt;&gt;"",COUNTA(Milestones!$M35:$T35)&gt;0),Milestones!$C35&amp;"","")</f>
        <v/>
      </c>
      <c r="C372" s="20" t="str">
        <f>IF(B372="","","MILESTONE:"&amp;Milestones!$D35)</f>
        <v/>
      </c>
      <c r="D372" s="20" t="str">
        <f>IF(B372="","",Milestones!$A35&amp;"")</f>
        <v/>
      </c>
      <c r="E372" s="20" t="str">
        <f>IF(B372="","",Milestones!$B35&amp;"")</f>
        <v/>
      </c>
      <c r="F372" s="20" t="str">
        <f t="shared" si="47"/>
        <v/>
      </c>
      <c r="G372" s="20" t="str">
        <f>IF(B372="","",Milestones!$E35&amp;"")</f>
        <v/>
      </c>
      <c r="H372" s="20" t="str">
        <f>IF(B372="","",Milestones!$M35&amp;"")</f>
        <v/>
      </c>
      <c r="I372" s="20" t="str">
        <f>IF(B372="","",Milestones!$P35&amp;"")</f>
        <v/>
      </c>
      <c r="J372" s="20" t="str">
        <f>IF(B372="","",Milestones!$V35&amp;"")</f>
        <v/>
      </c>
      <c r="K372" s="20">
        <f>IF(B372="",0,Milestones!$W35)</f>
        <v>0</v>
      </c>
      <c r="L372" s="20">
        <f>IF(B372="",0,Milestones!$X35)</f>
        <v>0</v>
      </c>
      <c r="M372" s="20" t="str">
        <f>IF(B372="","",Milestones!$AA35)</f>
        <v/>
      </c>
      <c r="N372" s="20" t="str">
        <f>IF(B372="","",Milestones!$AB35)</f>
        <v/>
      </c>
      <c r="O372" s="27" t="str">
        <f>IF(B372="","",Milestones!$Y35)</f>
        <v/>
      </c>
      <c r="P372" s="27" t="str">
        <f>IF(B372="","",Milestones!$Z35)</f>
        <v/>
      </c>
      <c r="Q372" s="20" t="str">
        <f t="shared" si="48"/>
        <v/>
      </c>
      <c r="R372" s="20" t="str">
        <f>IF(A372="","",IF(J372&lt;&gt;"",J372,IF(H372="TIMESTAMP",DAY(INT(M372/1440))&amp;" "&amp;INDEX(nLIST_Months,MONTH(INT(M372/1440)))&amp;" "&amp;YEAR(INT(M372/1440))&amp;" "&amp;RIGHT("0"&amp;INT(MOD(M372,1440)/60),2)&amp;":"&amp;RIGHT("0"&amp;MOD(M372,60),2)&amp;IF(L372=1," (UTC"&amp;I372&amp;")"," (offset unknown)"),IF(H372="DATE",DAY(O372)&amp;" "&amp;INDEX(nLIST_Months,MONTH(O372))&amp;" "&amp;YEAR(O372),IF(H372="MONTH",INDEX(nLIST_Months,MONTH(O372))&amp;" "&amp;YEAR(O372)&amp;" ("&amp;DAY(O372)&amp;" "&amp;INDEX(nLIST_Months,MONTH(O372))&amp;" "&amp;YEAR(O372)&amp;" to "&amp;DAY(P372)&amp;" "&amp;INDEX(nLIST_Months,MONTH(P372))&amp;" "&amp;YEAR(P372)&amp;")",IF(H372="YEAR",YEAR(O372)&amp;" (1 January to 31 December)",DAY(O372)&amp;" "&amp;INDEX(nLIST_Months,MONTH(O372))&amp;" "&amp;YEAR(O372)&amp;" to "&amp;DAY(P372)&amp;" "&amp;INDEX(nLIST_Months,MONTH(P372))&amp;" "&amp;YEAR(P372)))))))</f>
        <v/>
      </c>
      <c r="S372" s="20" t="str">
        <f>IF(B372="","",Milestones!$L35&amp;"")</f>
        <v/>
      </c>
      <c r="T372" s="20" t="str">
        <f>IF(B372="","",Milestones!$U35&amp;"")</f>
        <v/>
      </c>
      <c r="U372" s="20" t="str">
        <f>IF(B372="","","Milestones row "&amp;ROW(Milestones!$A35)&amp;", Milestone")</f>
        <v/>
      </c>
      <c r="V372" s="20">
        <f>IF(A372="",0,COUNTIF(nTP_Key,A372))</f>
        <v>0</v>
      </c>
      <c r="W372" s="20">
        <f t="shared" si="49"/>
        <v>0</v>
      </c>
      <c r="X372" s="20">
        <f t="shared" si="50"/>
        <v>0</v>
      </c>
      <c r="Y372" s="20">
        <f t="shared" si="51"/>
        <v>0</v>
      </c>
      <c r="Z372" s="20">
        <f t="shared" si="52"/>
        <v>0</v>
      </c>
    </row>
    <row r="373" spans="1:26" x14ac:dyDescent="0.2">
      <c r="A373" s="20" t="str">
        <f t="shared" si="46"/>
        <v/>
      </c>
      <c r="B373" s="20" t="str">
        <f>IF(AND(Milestones!$C36&lt;&gt;"",COUNTA(Milestones!$M36:$T36)&gt;0),Milestones!$C36&amp;"","")</f>
        <v/>
      </c>
      <c r="C373" s="20" t="str">
        <f>IF(B373="","","MILESTONE:"&amp;Milestones!$D36)</f>
        <v/>
      </c>
      <c r="D373" s="20" t="str">
        <f>IF(B373="","",Milestones!$A36&amp;"")</f>
        <v/>
      </c>
      <c r="E373" s="20" t="str">
        <f>IF(B373="","",Milestones!$B36&amp;"")</f>
        <v/>
      </c>
      <c r="F373" s="20" t="str">
        <f t="shared" si="47"/>
        <v/>
      </c>
      <c r="G373" s="20" t="str">
        <f>IF(B373="","",Milestones!$E36&amp;"")</f>
        <v/>
      </c>
      <c r="H373" s="20" t="str">
        <f>IF(B373="","",Milestones!$M36&amp;"")</f>
        <v/>
      </c>
      <c r="I373" s="20" t="str">
        <f>IF(B373="","",Milestones!$P36&amp;"")</f>
        <v/>
      </c>
      <c r="J373" s="20" t="str">
        <f>IF(B373="","",Milestones!$V36&amp;"")</f>
        <v/>
      </c>
      <c r="K373" s="20">
        <f>IF(B373="",0,Milestones!$W36)</f>
        <v>0</v>
      </c>
      <c r="L373" s="20">
        <f>IF(B373="",0,Milestones!$X36)</f>
        <v>0</v>
      </c>
      <c r="M373" s="20" t="str">
        <f>IF(B373="","",Milestones!$AA36)</f>
        <v/>
      </c>
      <c r="N373" s="20" t="str">
        <f>IF(B373="","",Milestones!$AB36)</f>
        <v/>
      </c>
      <c r="O373" s="27" t="str">
        <f>IF(B373="","",Milestones!$Y36)</f>
        <v/>
      </c>
      <c r="P373" s="27" t="str">
        <f>IF(B373="","",Milestones!$Z36)</f>
        <v/>
      </c>
      <c r="Q373" s="20" t="str">
        <f t="shared" si="48"/>
        <v/>
      </c>
      <c r="R373" s="20" t="str">
        <f>IF(A373="","",IF(J373&lt;&gt;"",J373,IF(H373="TIMESTAMP",DAY(INT(M373/1440))&amp;" "&amp;INDEX(nLIST_Months,MONTH(INT(M373/1440)))&amp;" "&amp;YEAR(INT(M373/1440))&amp;" "&amp;RIGHT("0"&amp;INT(MOD(M373,1440)/60),2)&amp;":"&amp;RIGHT("0"&amp;MOD(M373,60),2)&amp;IF(L373=1," (UTC"&amp;I373&amp;")"," (offset unknown)"),IF(H373="DATE",DAY(O373)&amp;" "&amp;INDEX(nLIST_Months,MONTH(O373))&amp;" "&amp;YEAR(O373),IF(H373="MONTH",INDEX(nLIST_Months,MONTH(O373))&amp;" "&amp;YEAR(O373)&amp;" ("&amp;DAY(O373)&amp;" "&amp;INDEX(nLIST_Months,MONTH(O373))&amp;" "&amp;YEAR(O373)&amp;" to "&amp;DAY(P373)&amp;" "&amp;INDEX(nLIST_Months,MONTH(P373))&amp;" "&amp;YEAR(P373)&amp;")",IF(H373="YEAR",YEAR(O373)&amp;" (1 January to 31 December)",DAY(O373)&amp;" "&amp;INDEX(nLIST_Months,MONTH(O373))&amp;" "&amp;YEAR(O373)&amp;" to "&amp;DAY(P373)&amp;" "&amp;INDEX(nLIST_Months,MONTH(P373))&amp;" "&amp;YEAR(P373)))))))</f>
        <v/>
      </c>
      <c r="S373" s="20" t="str">
        <f>IF(B373="","",Milestones!$L36&amp;"")</f>
        <v/>
      </c>
      <c r="T373" s="20" t="str">
        <f>IF(B373="","",Milestones!$U36&amp;"")</f>
        <v/>
      </c>
      <c r="U373" s="20" t="str">
        <f>IF(B373="","","Milestones row "&amp;ROW(Milestones!$A36)&amp;", Milestone")</f>
        <v/>
      </c>
      <c r="V373" s="20">
        <f>IF(A373="",0,COUNTIF(nTP_Key,A373))</f>
        <v>0</v>
      </c>
      <c r="W373" s="20">
        <f t="shared" si="49"/>
        <v>0</v>
      </c>
      <c r="X373" s="20">
        <f t="shared" si="50"/>
        <v>0</v>
      </c>
      <c r="Y373" s="20">
        <f t="shared" si="51"/>
        <v>0</v>
      </c>
      <c r="Z373" s="20">
        <f t="shared" si="52"/>
        <v>0</v>
      </c>
    </row>
    <row r="374" spans="1:26" x14ac:dyDescent="0.2">
      <c r="A374" s="20" t="str">
        <f t="shared" si="46"/>
        <v/>
      </c>
      <c r="B374" s="20" t="str">
        <f>IF(AND(Milestones!$C37&lt;&gt;"",COUNTA(Milestones!$M37:$T37)&gt;0),Milestones!$C37&amp;"","")</f>
        <v/>
      </c>
      <c r="C374" s="20" t="str">
        <f>IF(B374="","","MILESTONE:"&amp;Milestones!$D37)</f>
        <v/>
      </c>
      <c r="D374" s="20" t="str">
        <f>IF(B374="","",Milestones!$A37&amp;"")</f>
        <v/>
      </c>
      <c r="E374" s="20" t="str">
        <f>IF(B374="","",Milestones!$B37&amp;"")</f>
        <v/>
      </c>
      <c r="F374" s="20" t="str">
        <f t="shared" si="47"/>
        <v/>
      </c>
      <c r="G374" s="20" t="str">
        <f>IF(B374="","",Milestones!$E37&amp;"")</f>
        <v/>
      </c>
      <c r="H374" s="20" t="str">
        <f>IF(B374="","",Milestones!$M37&amp;"")</f>
        <v/>
      </c>
      <c r="I374" s="20" t="str">
        <f>IF(B374="","",Milestones!$P37&amp;"")</f>
        <v/>
      </c>
      <c r="J374" s="20" t="str">
        <f>IF(B374="","",Milestones!$V37&amp;"")</f>
        <v/>
      </c>
      <c r="K374" s="20">
        <f>IF(B374="",0,Milestones!$W37)</f>
        <v>0</v>
      </c>
      <c r="L374" s="20">
        <f>IF(B374="",0,Milestones!$X37)</f>
        <v>0</v>
      </c>
      <c r="M374" s="20" t="str">
        <f>IF(B374="","",Milestones!$AA37)</f>
        <v/>
      </c>
      <c r="N374" s="20" t="str">
        <f>IF(B374="","",Milestones!$AB37)</f>
        <v/>
      </c>
      <c r="O374" s="27" t="str">
        <f>IF(B374="","",Milestones!$Y37)</f>
        <v/>
      </c>
      <c r="P374" s="27" t="str">
        <f>IF(B374="","",Milestones!$Z37)</f>
        <v/>
      </c>
      <c r="Q374" s="20" t="str">
        <f t="shared" si="48"/>
        <v/>
      </c>
      <c r="R374" s="20" t="str">
        <f>IF(A374="","",IF(J374&lt;&gt;"",J374,IF(H374="TIMESTAMP",DAY(INT(M374/1440))&amp;" "&amp;INDEX(nLIST_Months,MONTH(INT(M374/1440)))&amp;" "&amp;YEAR(INT(M374/1440))&amp;" "&amp;RIGHT("0"&amp;INT(MOD(M374,1440)/60),2)&amp;":"&amp;RIGHT("0"&amp;MOD(M374,60),2)&amp;IF(L374=1," (UTC"&amp;I374&amp;")"," (offset unknown)"),IF(H374="DATE",DAY(O374)&amp;" "&amp;INDEX(nLIST_Months,MONTH(O374))&amp;" "&amp;YEAR(O374),IF(H374="MONTH",INDEX(nLIST_Months,MONTH(O374))&amp;" "&amp;YEAR(O374)&amp;" ("&amp;DAY(O374)&amp;" "&amp;INDEX(nLIST_Months,MONTH(O374))&amp;" "&amp;YEAR(O374)&amp;" to "&amp;DAY(P374)&amp;" "&amp;INDEX(nLIST_Months,MONTH(P374))&amp;" "&amp;YEAR(P374)&amp;")",IF(H374="YEAR",YEAR(O374)&amp;" (1 January to 31 December)",DAY(O374)&amp;" "&amp;INDEX(nLIST_Months,MONTH(O374))&amp;" "&amp;YEAR(O374)&amp;" to "&amp;DAY(P374)&amp;" "&amp;INDEX(nLIST_Months,MONTH(P374))&amp;" "&amp;YEAR(P374)))))))</f>
        <v/>
      </c>
      <c r="S374" s="20" t="str">
        <f>IF(B374="","",Milestones!$L37&amp;"")</f>
        <v/>
      </c>
      <c r="T374" s="20" t="str">
        <f>IF(B374="","",Milestones!$U37&amp;"")</f>
        <v/>
      </c>
      <c r="U374" s="20" t="str">
        <f>IF(B374="","","Milestones row "&amp;ROW(Milestones!$A37)&amp;", Milestone")</f>
        <v/>
      </c>
      <c r="V374" s="20">
        <f>IF(A374="",0,COUNTIF(nTP_Key,A374))</f>
        <v>0</v>
      </c>
      <c r="W374" s="20">
        <f t="shared" si="49"/>
        <v>0</v>
      </c>
      <c r="X374" s="20">
        <f t="shared" si="50"/>
        <v>0</v>
      </c>
      <c r="Y374" s="20">
        <f t="shared" si="51"/>
        <v>0</v>
      </c>
      <c r="Z374" s="20">
        <f t="shared" si="52"/>
        <v>0</v>
      </c>
    </row>
    <row r="375" spans="1:26" x14ac:dyDescent="0.2">
      <c r="A375" s="20" t="str">
        <f t="shared" si="46"/>
        <v/>
      </c>
      <c r="B375" s="20" t="str">
        <f>IF(AND(Milestones!$C38&lt;&gt;"",COUNTA(Milestones!$M38:$T38)&gt;0),Milestones!$C38&amp;"","")</f>
        <v/>
      </c>
      <c r="C375" s="20" t="str">
        <f>IF(B375="","","MILESTONE:"&amp;Milestones!$D38)</f>
        <v/>
      </c>
      <c r="D375" s="20" t="str">
        <f>IF(B375="","",Milestones!$A38&amp;"")</f>
        <v/>
      </c>
      <c r="E375" s="20" t="str">
        <f>IF(B375="","",Milestones!$B38&amp;"")</f>
        <v/>
      </c>
      <c r="F375" s="20" t="str">
        <f t="shared" si="47"/>
        <v/>
      </c>
      <c r="G375" s="20" t="str">
        <f>IF(B375="","",Milestones!$E38&amp;"")</f>
        <v/>
      </c>
      <c r="H375" s="20" t="str">
        <f>IF(B375="","",Milestones!$M38&amp;"")</f>
        <v/>
      </c>
      <c r="I375" s="20" t="str">
        <f>IF(B375="","",Milestones!$P38&amp;"")</f>
        <v/>
      </c>
      <c r="J375" s="20" t="str">
        <f>IF(B375="","",Milestones!$V38&amp;"")</f>
        <v/>
      </c>
      <c r="K375" s="20">
        <f>IF(B375="",0,Milestones!$W38)</f>
        <v>0</v>
      </c>
      <c r="L375" s="20">
        <f>IF(B375="",0,Milestones!$X38)</f>
        <v>0</v>
      </c>
      <c r="M375" s="20" t="str">
        <f>IF(B375="","",Milestones!$AA38)</f>
        <v/>
      </c>
      <c r="N375" s="20" t="str">
        <f>IF(B375="","",Milestones!$AB38)</f>
        <v/>
      </c>
      <c r="O375" s="27" t="str">
        <f>IF(B375="","",Milestones!$Y38)</f>
        <v/>
      </c>
      <c r="P375" s="27" t="str">
        <f>IF(B375="","",Milestones!$Z38)</f>
        <v/>
      </c>
      <c r="Q375" s="20" t="str">
        <f t="shared" si="48"/>
        <v/>
      </c>
      <c r="R375" s="20" t="str">
        <f>IF(A375="","",IF(J375&lt;&gt;"",J375,IF(H375="TIMESTAMP",DAY(INT(M375/1440))&amp;" "&amp;INDEX(nLIST_Months,MONTH(INT(M375/1440)))&amp;" "&amp;YEAR(INT(M375/1440))&amp;" "&amp;RIGHT("0"&amp;INT(MOD(M375,1440)/60),2)&amp;":"&amp;RIGHT("0"&amp;MOD(M375,60),2)&amp;IF(L375=1," (UTC"&amp;I375&amp;")"," (offset unknown)"),IF(H375="DATE",DAY(O375)&amp;" "&amp;INDEX(nLIST_Months,MONTH(O375))&amp;" "&amp;YEAR(O375),IF(H375="MONTH",INDEX(nLIST_Months,MONTH(O375))&amp;" "&amp;YEAR(O375)&amp;" ("&amp;DAY(O375)&amp;" "&amp;INDEX(nLIST_Months,MONTH(O375))&amp;" "&amp;YEAR(O375)&amp;" to "&amp;DAY(P375)&amp;" "&amp;INDEX(nLIST_Months,MONTH(P375))&amp;" "&amp;YEAR(P375)&amp;")",IF(H375="YEAR",YEAR(O375)&amp;" (1 January to 31 December)",DAY(O375)&amp;" "&amp;INDEX(nLIST_Months,MONTH(O375))&amp;" "&amp;YEAR(O375)&amp;" to "&amp;DAY(P375)&amp;" "&amp;INDEX(nLIST_Months,MONTH(P375))&amp;" "&amp;YEAR(P375)))))))</f>
        <v/>
      </c>
      <c r="S375" s="20" t="str">
        <f>IF(B375="","",Milestones!$L38&amp;"")</f>
        <v/>
      </c>
      <c r="T375" s="20" t="str">
        <f>IF(B375="","",Milestones!$U38&amp;"")</f>
        <v/>
      </c>
      <c r="U375" s="20" t="str">
        <f>IF(B375="","","Milestones row "&amp;ROW(Milestones!$A38)&amp;", Milestone")</f>
        <v/>
      </c>
      <c r="V375" s="20">
        <f>IF(A375="",0,COUNTIF(nTP_Key,A375))</f>
        <v>0</v>
      </c>
      <c r="W375" s="20">
        <f t="shared" si="49"/>
        <v>0</v>
      </c>
      <c r="X375" s="20">
        <f t="shared" si="50"/>
        <v>0</v>
      </c>
      <c r="Y375" s="20">
        <f t="shared" si="51"/>
        <v>0</v>
      </c>
      <c r="Z375" s="20">
        <f t="shared" si="52"/>
        <v>0</v>
      </c>
    </row>
    <row r="376" spans="1:26" x14ac:dyDescent="0.2">
      <c r="A376" s="20" t="str">
        <f t="shared" si="46"/>
        <v/>
      </c>
      <c r="B376" s="20" t="str">
        <f>IF(AND(Milestones!$C39&lt;&gt;"",COUNTA(Milestones!$M39:$T39)&gt;0),Milestones!$C39&amp;"","")</f>
        <v/>
      </c>
      <c r="C376" s="20" t="str">
        <f>IF(B376="","","MILESTONE:"&amp;Milestones!$D39)</f>
        <v/>
      </c>
      <c r="D376" s="20" t="str">
        <f>IF(B376="","",Milestones!$A39&amp;"")</f>
        <v/>
      </c>
      <c r="E376" s="20" t="str">
        <f>IF(B376="","",Milestones!$B39&amp;"")</f>
        <v/>
      </c>
      <c r="F376" s="20" t="str">
        <f t="shared" si="47"/>
        <v/>
      </c>
      <c r="G376" s="20" t="str">
        <f>IF(B376="","",Milestones!$E39&amp;"")</f>
        <v/>
      </c>
      <c r="H376" s="20" t="str">
        <f>IF(B376="","",Milestones!$M39&amp;"")</f>
        <v/>
      </c>
      <c r="I376" s="20" t="str">
        <f>IF(B376="","",Milestones!$P39&amp;"")</f>
        <v/>
      </c>
      <c r="J376" s="20" t="str">
        <f>IF(B376="","",Milestones!$V39&amp;"")</f>
        <v/>
      </c>
      <c r="K376" s="20">
        <f>IF(B376="",0,Milestones!$W39)</f>
        <v>0</v>
      </c>
      <c r="L376" s="20">
        <f>IF(B376="",0,Milestones!$X39)</f>
        <v>0</v>
      </c>
      <c r="M376" s="20" t="str">
        <f>IF(B376="","",Milestones!$AA39)</f>
        <v/>
      </c>
      <c r="N376" s="20" t="str">
        <f>IF(B376="","",Milestones!$AB39)</f>
        <v/>
      </c>
      <c r="O376" s="27" t="str">
        <f>IF(B376="","",Milestones!$Y39)</f>
        <v/>
      </c>
      <c r="P376" s="27" t="str">
        <f>IF(B376="","",Milestones!$Z39)</f>
        <v/>
      </c>
      <c r="Q376" s="20" t="str">
        <f t="shared" si="48"/>
        <v/>
      </c>
      <c r="R376" s="20" t="str">
        <f>IF(A376="","",IF(J376&lt;&gt;"",J376,IF(H376="TIMESTAMP",DAY(INT(M376/1440))&amp;" "&amp;INDEX(nLIST_Months,MONTH(INT(M376/1440)))&amp;" "&amp;YEAR(INT(M376/1440))&amp;" "&amp;RIGHT("0"&amp;INT(MOD(M376,1440)/60),2)&amp;":"&amp;RIGHT("0"&amp;MOD(M376,60),2)&amp;IF(L376=1," (UTC"&amp;I376&amp;")"," (offset unknown)"),IF(H376="DATE",DAY(O376)&amp;" "&amp;INDEX(nLIST_Months,MONTH(O376))&amp;" "&amp;YEAR(O376),IF(H376="MONTH",INDEX(nLIST_Months,MONTH(O376))&amp;" "&amp;YEAR(O376)&amp;" ("&amp;DAY(O376)&amp;" "&amp;INDEX(nLIST_Months,MONTH(O376))&amp;" "&amp;YEAR(O376)&amp;" to "&amp;DAY(P376)&amp;" "&amp;INDEX(nLIST_Months,MONTH(P376))&amp;" "&amp;YEAR(P376)&amp;")",IF(H376="YEAR",YEAR(O376)&amp;" (1 January to 31 December)",DAY(O376)&amp;" "&amp;INDEX(nLIST_Months,MONTH(O376))&amp;" "&amp;YEAR(O376)&amp;" to "&amp;DAY(P376)&amp;" "&amp;INDEX(nLIST_Months,MONTH(P376))&amp;" "&amp;YEAR(P376)))))))</f>
        <v/>
      </c>
      <c r="S376" s="20" t="str">
        <f>IF(B376="","",Milestones!$L39&amp;"")</f>
        <v/>
      </c>
      <c r="T376" s="20" t="str">
        <f>IF(B376="","",Milestones!$U39&amp;"")</f>
        <v/>
      </c>
      <c r="U376" s="20" t="str">
        <f>IF(B376="","","Milestones row "&amp;ROW(Milestones!$A39)&amp;", Milestone")</f>
        <v/>
      </c>
      <c r="V376" s="20">
        <f>IF(A376="",0,COUNTIF(nTP_Key,A376))</f>
        <v>0</v>
      </c>
      <c r="W376" s="20">
        <f t="shared" si="49"/>
        <v>0</v>
      </c>
      <c r="X376" s="20">
        <f t="shared" si="50"/>
        <v>0</v>
      </c>
      <c r="Y376" s="20">
        <f t="shared" si="51"/>
        <v>0</v>
      </c>
      <c r="Z376" s="20">
        <f t="shared" si="52"/>
        <v>0</v>
      </c>
    </row>
    <row r="377" spans="1:26" x14ac:dyDescent="0.2">
      <c r="A377" s="20" t="str">
        <f t="shared" si="46"/>
        <v/>
      </c>
      <c r="B377" s="20" t="str">
        <f>IF(AND(Milestones!$C40&lt;&gt;"",COUNTA(Milestones!$M40:$T40)&gt;0),Milestones!$C40&amp;"","")</f>
        <v/>
      </c>
      <c r="C377" s="20" t="str">
        <f>IF(B377="","","MILESTONE:"&amp;Milestones!$D40)</f>
        <v/>
      </c>
      <c r="D377" s="20" t="str">
        <f>IF(B377="","",Milestones!$A40&amp;"")</f>
        <v/>
      </c>
      <c r="E377" s="20" t="str">
        <f>IF(B377="","",Milestones!$B40&amp;"")</f>
        <v/>
      </c>
      <c r="F377" s="20" t="str">
        <f t="shared" si="47"/>
        <v/>
      </c>
      <c r="G377" s="20" t="str">
        <f>IF(B377="","",Milestones!$E40&amp;"")</f>
        <v/>
      </c>
      <c r="H377" s="20" t="str">
        <f>IF(B377="","",Milestones!$M40&amp;"")</f>
        <v/>
      </c>
      <c r="I377" s="20" t="str">
        <f>IF(B377="","",Milestones!$P40&amp;"")</f>
        <v/>
      </c>
      <c r="J377" s="20" t="str">
        <f>IF(B377="","",Milestones!$V40&amp;"")</f>
        <v/>
      </c>
      <c r="K377" s="20">
        <f>IF(B377="",0,Milestones!$W40)</f>
        <v>0</v>
      </c>
      <c r="L377" s="20">
        <f>IF(B377="",0,Milestones!$X40)</f>
        <v>0</v>
      </c>
      <c r="M377" s="20" t="str">
        <f>IF(B377="","",Milestones!$AA40)</f>
        <v/>
      </c>
      <c r="N377" s="20" t="str">
        <f>IF(B377="","",Milestones!$AB40)</f>
        <v/>
      </c>
      <c r="O377" s="27" t="str">
        <f>IF(B377="","",Milestones!$Y40)</f>
        <v/>
      </c>
      <c r="P377" s="27" t="str">
        <f>IF(B377="","",Milestones!$Z40)</f>
        <v/>
      </c>
      <c r="Q377" s="20" t="str">
        <f t="shared" si="48"/>
        <v/>
      </c>
      <c r="R377" s="20" t="str">
        <f>IF(A377="","",IF(J377&lt;&gt;"",J377,IF(H377="TIMESTAMP",DAY(INT(M377/1440))&amp;" "&amp;INDEX(nLIST_Months,MONTH(INT(M377/1440)))&amp;" "&amp;YEAR(INT(M377/1440))&amp;" "&amp;RIGHT("0"&amp;INT(MOD(M377,1440)/60),2)&amp;":"&amp;RIGHT("0"&amp;MOD(M377,60),2)&amp;IF(L377=1," (UTC"&amp;I377&amp;")"," (offset unknown)"),IF(H377="DATE",DAY(O377)&amp;" "&amp;INDEX(nLIST_Months,MONTH(O377))&amp;" "&amp;YEAR(O377),IF(H377="MONTH",INDEX(nLIST_Months,MONTH(O377))&amp;" "&amp;YEAR(O377)&amp;" ("&amp;DAY(O377)&amp;" "&amp;INDEX(nLIST_Months,MONTH(O377))&amp;" "&amp;YEAR(O377)&amp;" to "&amp;DAY(P377)&amp;" "&amp;INDEX(nLIST_Months,MONTH(P377))&amp;" "&amp;YEAR(P377)&amp;")",IF(H377="YEAR",YEAR(O377)&amp;" (1 January to 31 December)",DAY(O377)&amp;" "&amp;INDEX(nLIST_Months,MONTH(O377))&amp;" "&amp;YEAR(O377)&amp;" to "&amp;DAY(P377)&amp;" "&amp;INDEX(nLIST_Months,MONTH(P377))&amp;" "&amp;YEAR(P377)))))))</f>
        <v/>
      </c>
      <c r="S377" s="20" t="str">
        <f>IF(B377="","",Milestones!$L40&amp;"")</f>
        <v/>
      </c>
      <c r="T377" s="20" t="str">
        <f>IF(B377="","",Milestones!$U40&amp;"")</f>
        <v/>
      </c>
      <c r="U377" s="20" t="str">
        <f>IF(B377="","","Milestones row "&amp;ROW(Milestones!$A40)&amp;", Milestone")</f>
        <v/>
      </c>
      <c r="V377" s="20">
        <f>IF(A377="",0,COUNTIF(nTP_Key,A377))</f>
        <v>0</v>
      </c>
      <c r="W377" s="20">
        <f t="shared" si="49"/>
        <v>0</v>
      </c>
      <c r="X377" s="20">
        <f t="shared" si="50"/>
        <v>0</v>
      </c>
      <c r="Y377" s="20">
        <f t="shared" si="51"/>
        <v>0</v>
      </c>
      <c r="Z377" s="20">
        <f t="shared" si="52"/>
        <v>0</v>
      </c>
    </row>
    <row r="378" spans="1:26" x14ac:dyDescent="0.2">
      <c r="A378" s="20" t="str">
        <f t="shared" si="46"/>
        <v/>
      </c>
      <c r="B378" s="20" t="str">
        <f>IF(AND(Milestones!$C41&lt;&gt;"",COUNTA(Milestones!$M41:$T41)&gt;0),Milestones!$C41&amp;"","")</f>
        <v/>
      </c>
      <c r="C378" s="20" t="str">
        <f>IF(B378="","","MILESTONE:"&amp;Milestones!$D41)</f>
        <v/>
      </c>
      <c r="D378" s="20" t="str">
        <f>IF(B378="","",Milestones!$A41&amp;"")</f>
        <v/>
      </c>
      <c r="E378" s="20" t="str">
        <f>IF(B378="","",Milestones!$B41&amp;"")</f>
        <v/>
      </c>
      <c r="F378" s="20" t="str">
        <f t="shared" si="47"/>
        <v/>
      </c>
      <c r="G378" s="20" t="str">
        <f>IF(B378="","",Milestones!$E41&amp;"")</f>
        <v/>
      </c>
      <c r="H378" s="20" t="str">
        <f>IF(B378="","",Milestones!$M41&amp;"")</f>
        <v/>
      </c>
      <c r="I378" s="20" t="str">
        <f>IF(B378="","",Milestones!$P41&amp;"")</f>
        <v/>
      </c>
      <c r="J378" s="20" t="str">
        <f>IF(B378="","",Milestones!$V41&amp;"")</f>
        <v/>
      </c>
      <c r="K378" s="20">
        <f>IF(B378="",0,Milestones!$W41)</f>
        <v>0</v>
      </c>
      <c r="L378" s="20">
        <f>IF(B378="",0,Milestones!$X41)</f>
        <v>0</v>
      </c>
      <c r="M378" s="20" t="str">
        <f>IF(B378="","",Milestones!$AA41)</f>
        <v/>
      </c>
      <c r="N378" s="20" t="str">
        <f>IF(B378="","",Milestones!$AB41)</f>
        <v/>
      </c>
      <c r="O378" s="27" t="str">
        <f>IF(B378="","",Milestones!$Y41)</f>
        <v/>
      </c>
      <c r="P378" s="27" t="str">
        <f>IF(B378="","",Milestones!$Z41)</f>
        <v/>
      </c>
      <c r="Q378" s="20" t="str">
        <f t="shared" si="48"/>
        <v/>
      </c>
      <c r="R378" s="20" t="str">
        <f>IF(A378="","",IF(J378&lt;&gt;"",J378,IF(H378="TIMESTAMP",DAY(INT(M378/1440))&amp;" "&amp;INDEX(nLIST_Months,MONTH(INT(M378/1440)))&amp;" "&amp;YEAR(INT(M378/1440))&amp;" "&amp;RIGHT("0"&amp;INT(MOD(M378,1440)/60),2)&amp;":"&amp;RIGHT("0"&amp;MOD(M378,60),2)&amp;IF(L378=1," (UTC"&amp;I378&amp;")"," (offset unknown)"),IF(H378="DATE",DAY(O378)&amp;" "&amp;INDEX(nLIST_Months,MONTH(O378))&amp;" "&amp;YEAR(O378),IF(H378="MONTH",INDEX(nLIST_Months,MONTH(O378))&amp;" "&amp;YEAR(O378)&amp;" ("&amp;DAY(O378)&amp;" "&amp;INDEX(nLIST_Months,MONTH(O378))&amp;" "&amp;YEAR(O378)&amp;" to "&amp;DAY(P378)&amp;" "&amp;INDEX(nLIST_Months,MONTH(P378))&amp;" "&amp;YEAR(P378)&amp;")",IF(H378="YEAR",YEAR(O378)&amp;" (1 January to 31 December)",DAY(O378)&amp;" "&amp;INDEX(nLIST_Months,MONTH(O378))&amp;" "&amp;YEAR(O378)&amp;" to "&amp;DAY(P378)&amp;" "&amp;INDEX(nLIST_Months,MONTH(P378))&amp;" "&amp;YEAR(P378)))))))</f>
        <v/>
      </c>
      <c r="S378" s="20" t="str">
        <f>IF(B378="","",Milestones!$L41&amp;"")</f>
        <v/>
      </c>
      <c r="T378" s="20" t="str">
        <f>IF(B378="","",Milestones!$U41&amp;"")</f>
        <v/>
      </c>
      <c r="U378" s="20" t="str">
        <f>IF(B378="","","Milestones row "&amp;ROW(Milestones!$A41)&amp;", Milestone")</f>
        <v/>
      </c>
      <c r="V378" s="20">
        <f>IF(A378="",0,COUNTIF(nTP_Key,A378))</f>
        <v>0</v>
      </c>
      <c r="W378" s="20">
        <f t="shared" si="49"/>
        <v>0</v>
      </c>
      <c r="X378" s="20">
        <f t="shared" si="50"/>
        <v>0</v>
      </c>
      <c r="Y378" s="20">
        <f t="shared" si="51"/>
        <v>0</v>
      </c>
      <c r="Z378" s="20">
        <f t="shared" si="52"/>
        <v>0</v>
      </c>
    </row>
    <row r="379" spans="1:26" x14ac:dyDescent="0.2">
      <c r="A379" s="20" t="str">
        <f t="shared" si="46"/>
        <v/>
      </c>
      <c r="B379" s="20" t="str">
        <f>IF(AND(Milestones!$C42&lt;&gt;"",COUNTA(Milestones!$M42:$T42)&gt;0),Milestones!$C42&amp;"","")</f>
        <v/>
      </c>
      <c r="C379" s="20" t="str">
        <f>IF(B379="","","MILESTONE:"&amp;Milestones!$D42)</f>
        <v/>
      </c>
      <c r="D379" s="20" t="str">
        <f>IF(B379="","",Milestones!$A42&amp;"")</f>
        <v/>
      </c>
      <c r="E379" s="20" t="str">
        <f>IF(B379="","",Milestones!$B42&amp;"")</f>
        <v/>
      </c>
      <c r="F379" s="20" t="str">
        <f t="shared" si="47"/>
        <v/>
      </c>
      <c r="G379" s="20" t="str">
        <f>IF(B379="","",Milestones!$E42&amp;"")</f>
        <v/>
      </c>
      <c r="H379" s="20" t="str">
        <f>IF(B379="","",Milestones!$M42&amp;"")</f>
        <v/>
      </c>
      <c r="I379" s="20" t="str">
        <f>IF(B379="","",Milestones!$P42&amp;"")</f>
        <v/>
      </c>
      <c r="J379" s="20" t="str">
        <f>IF(B379="","",Milestones!$V42&amp;"")</f>
        <v/>
      </c>
      <c r="K379" s="20">
        <f>IF(B379="",0,Milestones!$W42)</f>
        <v>0</v>
      </c>
      <c r="L379" s="20">
        <f>IF(B379="",0,Milestones!$X42)</f>
        <v>0</v>
      </c>
      <c r="M379" s="20" t="str">
        <f>IF(B379="","",Milestones!$AA42)</f>
        <v/>
      </c>
      <c r="N379" s="20" t="str">
        <f>IF(B379="","",Milestones!$AB42)</f>
        <v/>
      </c>
      <c r="O379" s="27" t="str">
        <f>IF(B379="","",Milestones!$Y42)</f>
        <v/>
      </c>
      <c r="P379" s="27" t="str">
        <f>IF(B379="","",Milestones!$Z42)</f>
        <v/>
      </c>
      <c r="Q379" s="20" t="str">
        <f t="shared" si="48"/>
        <v/>
      </c>
      <c r="R379" s="20" t="str">
        <f>IF(A379="","",IF(J379&lt;&gt;"",J379,IF(H379="TIMESTAMP",DAY(INT(M379/1440))&amp;" "&amp;INDEX(nLIST_Months,MONTH(INT(M379/1440)))&amp;" "&amp;YEAR(INT(M379/1440))&amp;" "&amp;RIGHT("0"&amp;INT(MOD(M379,1440)/60),2)&amp;":"&amp;RIGHT("0"&amp;MOD(M379,60),2)&amp;IF(L379=1," (UTC"&amp;I379&amp;")"," (offset unknown)"),IF(H379="DATE",DAY(O379)&amp;" "&amp;INDEX(nLIST_Months,MONTH(O379))&amp;" "&amp;YEAR(O379),IF(H379="MONTH",INDEX(nLIST_Months,MONTH(O379))&amp;" "&amp;YEAR(O379)&amp;" ("&amp;DAY(O379)&amp;" "&amp;INDEX(nLIST_Months,MONTH(O379))&amp;" "&amp;YEAR(O379)&amp;" to "&amp;DAY(P379)&amp;" "&amp;INDEX(nLIST_Months,MONTH(P379))&amp;" "&amp;YEAR(P379)&amp;")",IF(H379="YEAR",YEAR(O379)&amp;" (1 January to 31 December)",DAY(O379)&amp;" "&amp;INDEX(nLIST_Months,MONTH(O379))&amp;" "&amp;YEAR(O379)&amp;" to "&amp;DAY(P379)&amp;" "&amp;INDEX(nLIST_Months,MONTH(P379))&amp;" "&amp;YEAR(P379)))))))</f>
        <v/>
      </c>
      <c r="S379" s="20" t="str">
        <f>IF(B379="","",Milestones!$L42&amp;"")</f>
        <v/>
      </c>
      <c r="T379" s="20" t="str">
        <f>IF(B379="","",Milestones!$U42&amp;"")</f>
        <v/>
      </c>
      <c r="U379" s="20" t="str">
        <f>IF(B379="","","Milestones row "&amp;ROW(Milestones!$A42)&amp;", Milestone")</f>
        <v/>
      </c>
      <c r="V379" s="20">
        <f>IF(A379="",0,COUNTIF(nTP_Key,A379))</f>
        <v>0</v>
      </c>
      <c r="W379" s="20">
        <f t="shared" si="49"/>
        <v>0</v>
      </c>
      <c r="X379" s="20">
        <f t="shared" si="50"/>
        <v>0</v>
      </c>
      <c r="Y379" s="20">
        <f t="shared" si="51"/>
        <v>0</v>
      </c>
      <c r="Z379" s="20">
        <f t="shared" si="52"/>
        <v>0</v>
      </c>
    </row>
    <row r="380" spans="1:26" x14ac:dyDescent="0.2">
      <c r="A380" s="20" t="str">
        <f t="shared" si="46"/>
        <v/>
      </c>
      <c r="B380" s="20" t="str">
        <f>IF(AND(Milestones!$C43&lt;&gt;"",COUNTA(Milestones!$M43:$T43)&gt;0),Milestones!$C43&amp;"","")</f>
        <v/>
      </c>
      <c r="C380" s="20" t="str">
        <f>IF(B380="","","MILESTONE:"&amp;Milestones!$D43)</f>
        <v/>
      </c>
      <c r="D380" s="20" t="str">
        <f>IF(B380="","",Milestones!$A43&amp;"")</f>
        <v/>
      </c>
      <c r="E380" s="20" t="str">
        <f>IF(B380="","",Milestones!$B43&amp;"")</f>
        <v/>
      </c>
      <c r="F380" s="20" t="str">
        <f t="shared" si="47"/>
        <v/>
      </c>
      <c r="G380" s="20" t="str">
        <f>IF(B380="","",Milestones!$E43&amp;"")</f>
        <v/>
      </c>
      <c r="H380" s="20" t="str">
        <f>IF(B380="","",Milestones!$M43&amp;"")</f>
        <v/>
      </c>
      <c r="I380" s="20" t="str">
        <f>IF(B380="","",Milestones!$P43&amp;"")</f>
        <v/>
      </c>
      <c r="J380" s="20" t="str">
        <f>IF(B380="","",Milestones!$V43&amp;"")</f>
        <v/>
      </c>
      <c r="K380" s="20">
        <f>IF(B380="",0,Milestones!$W43)</f>
        <v>0</v>
      </c>
      <c r="L380" s="20">
        <f>IF(B380="",0,Milestones!$X43)</f>
        <v>0</v>
      </c>
      <c r="M380" s="20" t="str">
        <f>IF(B380="","",Milestones!$AA43)</f>
        <v/>
      </c>
      <c r="N380" s="20" t="str">
        <f>IF(B380="","",Milestones!$AB43)</f>
        <v/>
      </c>
      <c r="O380" s="27" t="str">
        <f>IF(B380="","",Milestones!$Y43)</f>
        <v/>
      </c>
      <c r="P380" s="27" t="str">
        <f>IF(B380="","",Milestones!$Z43)</f>
        <v/>
      </c>
      <c r="Q380" s="20" t="str">
        <f t="shared" si="48"/>
        <v/>
      </c>
      <c r="R380" s="20" t="str">
        <f>IF(A380="","",IF(J380&lt;&gt;"",J380,IF(H380="TIMESTAMP",DAY(INT(M380/1440))&amp;" "&amp;INDEX(nLIST_Months,MONTH(INT(M380/1440)))&amp;" "&amp;YEAR(INT(M380/1440))&amp;" "&amp;RIGHT("0"&amp;INT(MOD(M380,1440)/60),2)&amp;":"&amp;RIGHT("0"&amp;MOD(M380,60),2)&amp;IF(L380=1," (UTC"&amp;I380&amp;")"," (offset unknown)"),IF(H380="DATE",DAY(O380)&amp;" "&amp;INDEX(nLIST_Months,MONTH(O380))&amp;" "&amp;YEAR(O380),IF(H380="MONTH",INDEX(nLIST_Months,MONTH(O380))&amp;" "&amp;YEAR(O380)&amp;" ("&amp;DAY(O380)&amp;" "&amp;INDEX(nLIST_Months,MONTH(O380))&amp;" "&amp;YEAR(O380)&amp;" to "&amp;DAY(P380)&amp;" "&amp;INDEX(nLIST_Months,MONTH(P380))&amp;" "&amp;YEAR(P380)&amp;")",IF(H380="YEAR",YEAR(O380)&amp;" (1 January to 31 December)",DAY(O380)&amp;" "&amp;INDEX(nLIST_Months,MONTH(O380))&amp;" "&amp;YEAR(O380)&amp;" to "&amp;DAY(P380)&amp;" "&amp;INDEX(nLIST_Months,MONTH(P380))&amp;" "&amp;YEAR(P380)))))))</f>
        <v/>
      </c>
      <c r="S380" s="20" t="str">
        <f>IF(B380="","",Milestones!$L43&amp;"")</f>
        <v/>
      </c>
      <c r="T380" s="20" t="str">
        <f>IF(B380="","",Milestones!$U43&amp;"")</f>
        <v/>
      </c>
      <c r="U380" s="20" t="str">
        <f>IF(B380="","","Milestones row "&amp;ROW(Milestones!$A43)&amp;", Milestone")</f>
        <v/>
      </c>
      <c r="V380" s="20">
        <f>IF(A380="",0,COUNTIF(nTP_Key,A380))</f>
        <v>0</v>
      </c>
      <c r="W380" s="20">
        <f t="shared" si="49"/>
        <v>0</v>
      </c>
      <c r="X380" s="20">
        <f t="shared" si="50"/>
        <v>0</v>
      </c>
      <c r="Y380" s="20">
        <f t="shared" si="51"/>
        <v>0</v>
      </c>
      <c r="Z380" s="20">
        <f t="shared" si="52"/>
        <v>0</v>
      </c>
    </row>
    <row r="381" spans="1:26" x14ac:dyDescent="0.2">
      <c r="A381" s="20" t="str">
        <f t="shared" si="46"/>
        <v/>
      </c>
      <c r="B381" s="20" t="str">
        <f>IF(AND(Milestones!$C44&lt;&gt;"",COUNTA(Milestones!$M44:$T44)&gt;0),Milestones!$C44&amp;"","")</f>
        <v/>
      </c>
      <c r="C381" s="20" t="str">
        <f>IF(B381="","","MILESTONE:"&amp;Milestones!$D44)</f>
        <v/>
      </c>
      <c r="D381" s="20" t="str">
        <f>IF(B381="","",Milestones!$A44&amp;"")</f>
        <v/>
      </c>
      <c r="E381" s="20" t="str">
        <f>IF(B381="","",Milestones!$B44&amp;"")</f>
        <v/>
      </c>
      <c r="F381" s="20" t="str">
        <f t="shared" si="47"/>
        <v/>
      </c>
      <c r="G381" s="20" t="str">
        <f>IF(B381="","",Milestones!$E44&amp;"")</f>
        <v/>
      </c>
      <c r="H381" s="20" t="str">
        <f>IF(B381="","",Milestones!$M44&amp;"")</f>
        <v/>
      </c>
      <c r="I381" s="20" t="str">
        <f>IF(B381="","",Milestones!$P44&amp;"")</f>
        <v/>
      </c>
      <c r="J381" s="20" t="str">
        <f>IF(B381="","",Milestones!$V44&amp;"")</f>
        <v/>
      </c>
      <c r="K381" s="20">
        <f>IF(B381="",0,Milestones!$W44)</f>
        <v>0</v>
      </c>
      <c r="L381" s="20">
        <f>IF(B381="",0,Milestones!$X44)</f>
        <v>0</v>
      </c>
      <c r="M381" s="20" t="str">
        <f>IF(B381="","",Milestones!$AA44)</f>
        <v/>
      </c>
      <c r="N381" s="20" t="str">
        <f>IF(B381="","",Milestones!$AB44)</f>
        <v/>
      </c>
      <c r="O381" s="27" t="str">
        <f>IF(B381="","",Milestones!$Y44)</f>
        <v/>
      </c>
      <c r="P381" s="27" t="str">
        <f>IF(B381="","",Milestones!$Z44)</f>
        <v/>
      </c>
      <c r="Q381" s="20" t="str">
        <f t="shared" si="48"/>
        <v/>
      </c>
      <c r="R381" s="20" t="str">
        <f>IF(A381="","",IF(J381&lt;&gt;"",J381,IF(H381="TIMESTAMP",DAY(INT(M381/1440))&amp;" "&amp;INDEX(nLIST_Months,MONTH(INT(M381/1440)))&amp;" "&amp;YEAR(INT(M381/1440))&amp;" "&amp;RIGHT("0"&amp;INT(MOD(M381,1440)/60),2)&amp;":"&amp;RIGHT("0"&amp;MOD(M381,60),2)&amp;IF(L381=1," (UTC"&amp;I381&amp;")"," (offset unknown)"),IF(H381="DATE",DAY(O381)&amp;" "&amp;INDEX(nLIST_Months,MONTH(O381))&amp;" "&amp;YEAR(O381),IF(H381="MONTH",INDEX(nLIST_Months,MONTH(O381))&amp;" "&amp;YEAR(O381)&amp;" ("&amp;DAY(O381)&amp;" "&amp;INDEX(nLIST_Months,MONTH(O381))&amp;" "&amp;YEAR(O381)&amp;" to "&amp;DAY(P381)&amp;" "&amp;INDEX(nLIST_Months,MONTH(P381))&amp;" "&amp;YEAR(P381)&amp;")",IF(H381="YEAR",YEAR(O381)&amp;" (1 January to 31 December)",DAY(O381)&amp;" "&amp;INDEX(nLIST_Months,MONTH(O381))&amp;" "&amp;YEAR(O381)&amp;" to "&amp;DAY(P381)&amp;" "&amp;INDEX(nLIST_Months,MONTH(P381))&amp;" "&amp;YEAR(P381)))))))</f>
        <v/>
      </c>
      <c r="S381" s="20" t="str">
        <f>IF(B381="","",Milestones!$L44&amp;"")</f>
        <v/>
      </c>
      <c r="T381" s="20" t="str">
        <f>IF(B381="","",Milestones!$U44&amp;"")</f>
        <v/>
      </c>
      <c r="U381" s="20" t="str">
        <f>IF(B381="","","Milestones row "&amp;ROW(Milestones!$A44)&amp;", Milestone")</f>
        <v/>
      </c>
      <c r="V381" s="20">
        <f>IF(A381="",0,COUNTIF(nTP_Key,A381))</f>
        <v>0</v>
      </c>
      <c r="W381" s="20">
        <f t="shared" si="49"/>
        <v>0</v>
      </c>
      <c r="X381" s="20">
        <f t="shared" si="50"/>
        <v>0</v>
      </c>
      <c r="Y381" s="20">
        <f t="shared" si="51"/>
        <v>0</v>
      </c>
      <c r="Z381" s="20">
        <f t="shared" si="52"/>
        <v>0</v>
      </c>
    </row>
    <row r="382" spans="1:26" x14ac:dyDescent="0.2">
      <c r="A382" s="20" t="str">
        <f t="shared" si="46"/>
        <v/>
      </c>
      <c r="B382" s="20" t="str">
        <f>IF(AND(Milestones!$C45&lt;&gt;"",COUNTA(Milestones!$M45:$T45)&gt;0),Milestones!$C45&amp;"","")</f>
        <v/>
      </c>
      <c r="C382" s="20" t="str">
        <f>IF(B382="","","MILESTONE:"&amp;Milestones!$D45)</f>
        <v/>
      </c>
      <c r="D382" s="20" t="str">
        <f>IF(B382="","",Milestones!$A45&amp;"")</f>
        <v/>
      </c>
      <c r="E382" s="20" t="str">
        <f>IF(B382="","",Milestones!$B45&amp;"")</f>
        <v/>
      </c>
      <c r="F382" s="20" t="str">
        <f t="shared" si="47"/>
        <v/>
      </c>
      <c r="G382" s="20" t="str">
        <f>IF(B382="","",Milestones!$E45&amp;"")</f>
        <v/>
      </c>
      <c r="H382" s="20" t="str">
        <f>IF(B382="","",Milestones!$M45&amp;"")</f>
        <v/>
      </c>
      <c r="I382" s="20" t="str">
        <f>IF(B382="","",Milestones!$P45&amp;"")</f>
        <v/>
      </c>
      <c r="J382" s="20" t="str">
        <f>IF(B382="","",Milestones!$V45&amp;"")</f>
        <v/>
      </c>
      <c r="K382" s="20">
        <f>IF(B382="",0,Milestones!$W45)</f>
        <v>0</v>
      </c>
      <c r="L382" s="20">
        <f>IF(B382="",0,Milestones!$X45)</f>
        <v>0</v>
      </c>
      <c r="M382" s="20" t="str">
        <f>IF(B382="","",Milestones!$AA45)</f>
        <v/>
      </c>
      <c r="N382" s="20" t="str">
        <f>IF(B382="","",Milestones!$AB45)</f>
        <v/>
      </c>
      <c r="O382" s="27" t="str">
        <f>IF(B382="","",Milestones!$Y45)</f>
        <v/>
      </c>
      <c r="P382" s="27" t="str">
        <f>IF(B382="","",Milestones!$Z45)</f>
        <v/>
      </c>
      <c r="Q382" s="20" t="str">
        <f t="shared" si="48"/>
        <v/>
      </c>
      <c r="R382" s="20" t="str">
        <f>IF(A382="","",IF(J382&lt;&gt;"",J382,IF(H382="TIMESTAMP",DAY(INT(M382/1440))&amp;" "&amp;INDEX(nLIST_Months,MONTH(INT(M382/1440)))&amp;" "&amp;YEAR(INT(M382/1440))&amp;" "&amp;RIGHT("0"&amp;INT(MOD(M382,1440)/60),2)&amp;":"&amp;RIGHT("0"&amp;MOD(M382,60),2)&amp;IF(L382=1," (UTC"&amp;I382&amp;")"," (offset unknown)"),IF(H382="DATE",DAY(O382)&amp;" "&amp;INDEX(nLIST_Months,MONTH(O382))&amp;" "&amp;YEAR(O382),IF(H382="MONTH",INDEX(nLIST_Months,MONTH(O382))&amp;" "&amp;YEAR(O382)&amp;" ("&amp;DAY(O382)&amp;" "&amp;INDEX(nLIST_Months,MONTH(O382))&amp;" "&amp;YEAR(O382)&amp;" to "&amp;DAY(P382)&amp;" "&amp;INDEX(nLIST_Months,MONTH(P382))&amp;" "&amp;YEAR(P382)&amp;")",IF(H382="YEAR",YEAR(O382)&amp;" (1 January to 31 December)",DAY(O382)&amp;" "&amp;INDEX(nLIST_Months,MONTH(O382))&amp;" "&amp;YEAR(O382)&amp;" to "&amp;DAY(P382)&amp;" "&amp;INDEX(nLIST_Months,MONTH(P382))&amp;" "&amp;YEAR(P382)))))))</f>
        <v/>
      </c>
      <c r="S382" s="20" t="str">
        <f>IF(B382="","",Milestones!$L45&amp;"")</f>
        <v/>
      </c>
      <c r="T382" s="20" t="str">
        <f>IF(B382="","",Milestones!$U45&amp;"")</f>
        <v/>
      </c>
      <c r="U382" s="20" t="str">
        <f>IF(B382="","","Milestones row "&amp;ROW(Milestones!$A45)&amp;", Milestone")</f>
        <v/>
      </c>
      <c r="V382" s="20">
        <f>IF(A382="",0,COUNTIF(nTP_Key,A382))</f>
        <v>0</v>
      </c>
      <c r="W382" s="20">
        <f t="shared" si="49"/>
        <v>0</v>
      </c>
      <c r="X382" s="20">
        <f t="shared" si="50"/>
        <v>0</v>
      </c>
      <c r="Y382" s="20">
        <f t="shared" si="51"/>
        <v>0</v>
      </c>
      <c r="Z382" s="20">
        <f t="shared" si="52"/>
        <v>0</v>
      </c>
    </row>
    <row r="383" spans="1:26" x14ac:dyDescent="0.2">
      <c r="A383" s="20" t="str">
        <f t="shared" si="46"/>
        <v>EX-C01|2|M-BASE</v>
      </c>
      <c r="B383" s="20" t="str">
        <f>IF(AND(Milestones!$C46&lt;&gt;"",COUNTA(Milestones!$M46:$T46)&gt;0),Milestones!$C46&amp;"","")</f>
        <v>M-BASE</v>
      </c>
      <c r="C383" s="20" t="str">
        <f>IF(B383="","","MILESTONE:"&amp;Milestones!$D46)</f>
        <v>MILESTONE:BASELINE</v>
      </c>
      <c r="D383" s="20" t="str">
        <f>IF(B383="","",Milestones!$A46&amp;"")</f>
        <v>EX-C01</v>
      </c>
      <c r="E383" s="20" t="str">
        <f>IF(B383="","",Milestones!$B46&amp;"")</f>
        <v>2</v>
      </c>
      <c r="F383" s="20" t="str">
        <f t="shared" si="47"/>
        <v>EX-C01|2</v>
      </c>
      <c r="G383" s="20" t="str">
        <f>IF(B383="","",Milestones!$E46&amp;"")</f>
        <v/>
      </c>
      <c r="H383" s="20" t="str">
        <f>IF(B383="","",Milestones!$M46&amp;"")</f>
        <v>TIMESTAMP</v>
      </c>
      <c r="I383" s="20" t="str">
        <f>IF(B383="","",Milestones!$P46&amp;"")</f>
        <v>-05:00</v>
      </c>
      <c r="J383" s="20" t="str">
        <f>IF(B383="","",Milestones!$V46&amp;"")</f>
        <v/>
      </c>
      <c r="K383" s="20">
        <f>IF(B383="",0,Milestones!$W46)</f>
        <v>1</v>
      </c>
      <c r="L383" s="20">
        <f>IF(B383="",0,Milestones!$X46)</f>
        <v>1</v>
      </c>
      <c r="M383" s="20">
        <f>IF(B383="","",Milestones!$AA46)</f>
        <v>66286610</v>
      </c>
      <c r="N383" s="20">
        <f>IF(B383="","",Milestones!$AB46)</f>
        <v>66286910</v>
      </c>
      <c r="O383" s="27">
        <f>IF(B383="","",Milestones!$Y46)</f>
        <v>46032</v>
      </c>
      <c r="P383" s="27">
        <f>IF(B383="","",Milestones!$Z46)</f>
        <v>46032</v>
      </c>
      <c r="Q383" s="20" t="str">
        <f t="shared" si="48"/>
        <v>2026-01-10T08:50-05:00</v>
      </c>
      <c r="R383" s="20" t="str">
        <f>IF(A383="","",IF(J383&lt;&gt;"",J383,IF(H383="TIMESTAMP",DAY(INT(M383/1440))&amp;" "&amp;INDEX(nLIST_Months,MONTH(INT(M383/1440)))&amp;" "&amp;YEAR(INT(M383/1440))&amp;" "&amp;RIGHT("0"&amp;INT(MOD(M383,1440)/60),2)&amp;":"&amp;RIGHT("0"&amp;MOD(M383,60),2)&amp;IF(L383=1," (UTC"&amp;I383&amp;")"," (offset unknown)"),IF(H383="DATE",DAY(O383)&amp;" "&amp;INDEX(nLIST_Months,MONTH(O383))&amp;" "&amp;YEAR(O383),IF(H383="MONTH",INDEX(nLIST_Months,MONTH(O383))&amp;" "&amp;YEAR(O383)&amp;" ("&amp;DAY(O383)&amp;" "&amp;INDEX(nLIST_Months,MONTH(O383))&amp;" "&amp;YEAR(O383)&amp;" to "&amp;DAY(P383)&amp;" "&amp;INDEX(nLIST_Months,MONTH(P383))&amp;" "&amp;YEAR(P383)&amp;")",IF(H383="YEAR",YEAR(O383)&amp;" (1 January to 31 December)",DAY(O383)&amp;" "&amp;INDEX(nLIST_Months,MONTH(O383))&amp;" "&amp;YEAR(O383)&amp;" to "&amp;DAY(P383)&amp;" "&amp;INDEX(nLIST_Months,MONTH(P383))&amp;" "&amp;YEAR(P383)))))))</f>
        <v>10 January 2026 08:50 (UTC-05:00)</v>
      </c>
      <c r="S383" s="20" t="str">
        <f>IF(B383="","",Milestones!$L46&amp;"")</f>
        <v>08:50 pre-infusion obs</v>
      </c>
      <c r="T383" s="20" t="str">
        <f>IF(B383="","",Milestones!$U46&amp;"")</f>
        <v>Nursing chart</v>
      </c>
      <c r="U383" s="20" t="str">
        <f>IF(B383="","","Milestones row "&amp;ROW(Milestones!$A46)&amp;", Milestone")</f>
        <v>Milestones row 46, Milestone</v>
      </c>
      <c r="V383" s="20">
        <f>IF(A383="",0,COUNTIF(nTP_Key,A383))</f>
        <v>1</v>
      </c>
      <c r="W383" s="20">
        <f t="shared" si="49"/>
        <v>66286610</v>
      </c>
      <c r="X383" s="20">
        <f t="shared" si="50"/>
        <v>66286910</v>
      </c>
      <c r="Y383" s="20">
        <f t="shared" si="51"/>
        <v>46032</v>
      </c>
      <c r="Z383" s="20">
        <f t="shared" si="52"/>
        <v>46032</v>
      </c>
    </row>
    <row r="384" spans="1:26" x14ac:dyDescent="0.2">
      <c r="A384" s="20" t="str">
        <f t="shared" si="46"/>
        <v>EX-C01|2|M-EMERG</v>
      </c>
      <c r="B384" s="20" t="str">
        <f>IF(AND(Milestones!$C47&lt;&gt;"",COUNTA(Milestones!$M47:$T47)&gt;0),Milestones!$C47&amp;"","")</f>
        <v>M-EMERG</v>
      </c>
      <c r="C384" s="20" t="str">
        <f>IF(B384="","","MILESTONE:"&amp;Milestones!$D47)</f>
        <v>MILESTONE:INTERVENTION</v>
      </c>
      <c r="D384" s="20" t="str">
        <f>IF(B384="","",Milestones!$A47&amp;"")</f>
        <v>EX-C01</v>
      </c>
      <c r="E384" s="20" t="str">
        <f>IF(B384="","",Milestones!$B47&amp;"")</f>
        <v>2</v>
      </c>
      <c r="F384" s="20" t="str">
        <f t="shared" si="47"/>
        <v>EX-C01|2</v>
      </c>
      <c r="G384" s="20" t="str">
        <f>IF(B384="","",Milestones!$E47&amp;"")</f>
        <v/>
      </c>
      <c r="H384" s="20" t="str">
        <f>IF(B384="","",Milestones!$M47&amp;"")</f>
        <v>TIMESTAMP</v>
      </c>
      <c r="I384" s="20" t="str">
        <f>IF(B384="","",Milestones!$P47&amp;"")</f>
        <v>-05:00</v>
      </c>
      <c r="J384" s="20" t="str">
        <f>IF(B384="","",Milestones!$V47&amp;"")</f>
        <v/>
      </c>
      <c r="K384" s="20">
        <f>IF(B384="",0,Milestones!$W47)</f>
        <v>1</v>
      </c>
      <c r="L384" s="20">
        <f>IF(B384="",0,Milestones!$X47)</f>
        <v>1</v>
      </c>
      <c r="M384" s="20">
        <f>IF(B384="","",Milestones!$AA47)</f>
        <v>66286638</v>
      </c>
      <c r="N384" s="20">
        <f>IF(B384="","",Milestones!$AB47)</f>
        <v>66286938</v>
      </c>
      <c r="O384" s="27">
        <f>IF(B384="","",Milestones!$Y47)</f>
        <v>46032</v>
      </c>
      <c r="P384" s="27">
        <f>IF(B384="","",Milestones!$Z47)</f>
        <v>46032</v>
      </c>
      <c r="Q384" s="20" t="str">
        <f t="shared" si="48"/>
        <v>2026-01-10T09:18-05:00</v>
      </c>
      <c r="R384" s="20" t="str">
        <f>IF(A384="","",IF(J384&lt;&gt;"",J384,IF(H384="TIMESTAMP",DAY(INT(M384/1440))&amp;" "&amp;INDEX(nLIST_Months,MONTH(INT(M384/1440)))&amp;" "&amp;YEAR(INT(M384/1440))&amp;" "&amp;RIGHT("0"&amp;INT(MOD(M384,1440)/60),2)&amp;":"&amp;RIGHT("0"&amp;MOD(M384,60),2)&amp;IF(L384=1," (UTC"&amp;I384&amp;")"," (offset unknown)"),IF(H384="DATE",DAY(O384)&amp;" "&amp;INDEX(nLIST_Months,MONTH(O384))&amp;" "&amp;YEAR(O384),IF(H384="MONTH",INDEX(nLIST_Months,MONTH(O384))&amp;" "&amp;YEAR(O384)&amp;" ("&amp;DAY(O384)&amp;" "&amp;INDEX(nLIST_Months,MONTH(O384))&amp;" "&amp;YEAR(O384)&amp;" to "&amp;DAY(P384)&amp;" "&amp;INDEX(nLIST_Months,MONTH(P384))&amp;" "&amp;YEAR(P384)&amp;")",IF(H384="YEAR",YEAR(O384)&amp;" (1 January to 31 December)",DAY(O384)&amp;" "&amp;INDEX(nLIST_Months,MONTH(O384))&amp;" "&amp;YEAR(O384)&amp;" to "&amp;DAY(P384)&amp;" "&amp;INDEX(nLIST_Months,MONTH(P384))&amp;" "&amp;YEAR(P384)))))))</f>
        <v>10 January 2026 09:18 (UTC-05:00)</v>
      </c>
      <c r="S384" s="20" t="str">
        <f>IF(B384="","",Milestones!$L47&amp;"")</f>
        <v>Emergency medicines administered from 09:18</v>
      </c>
      <c r="T384" s="20" t="str">
        <f>IF(B384="","",Milestones!$U47&amp;"")</f>
        <v>Medication administration record</v>
      </c>
      <c r="U384" s="20" t="str">
        <f>IF(B384="","","Milestones row "&amp;ROW(Milestones!$A47)&amp;", Milestone")</f>
        <v>Milestones row 47, Milestone</v>
      </c>
      <c r="V384" s="20">
        <f>IF(A384="",0,COUNTIF(nTP_Key,A384))</f>
        <v>1</v>
      </c>
      <c r="W384" s="20">
        <f t="shared" si="49"/>
        <v>66286638</v>
      </c>
      <c r="X384" s="20">
        <f t="shared" si="50"/>
        <v>66286938</v>
      </c>
      <c r="Y384" s="20">
        <f t="shared" si="51"/>
        <v>46032</v>
      </c>
      <c r="Z384" s="20">
        <f t="shared" si="52"/>
        <v>46032</v>
      </c>
    </row>
    <row r="385" spans="1:26" x14ac:dyDescent="0.2">
      <c r="A385" s="20" t="str">
        <f t="shared" si="46"/>
        <v>EX-C01|2|M-IMPROVE</v>
      </c>
      <c r="B385" s="20" t="str">
        <f>IF(AND(Milestones!$C48&lt;&gt;"",COUNTA(Milestones!$M48:$T48)&gt;0),Milestones!$C48&amp;"","")</f>
        <v>M-IMPROVE</v>
      </c>
      <c r="C385" s="20" t="str">
        <f>IF(B385="","","MILESTONE:"&amp;Milestones!$D48)</f>
        <v>MILESTONE:RECOVERY</v>
      </c>
      <c r="D385" s="20" t="str">
        <f>IF(B385="","",Milestones!$A48&amp;"")</f>
        <v>EX-C01</v>
      </c>
      <c r="E385" s="20" t="str">
        <f>IF(B385="","",Milestones!$B48&amp;"")</f>
        <v>2</v>
      </c>
      <c r="F385" s="20" t="str">
        <f t="shared" si="47"/>
        <v>EX-C01|2</v>
      </c>
      <c r="G385" s="20" t="str">
        <f>IF(B385="","",Milestones!$E48&amp;"")</f>
        <v/>
      </c>
      <c r="H385" s="20" t="str">
        <f>IF(B385="","",Milestones!$M48&amp;"")</f>
        <v>TIMESTAMP</v>
      </c>
      <c r="I385" s="20" t="str">
        <f>IF(B385="","",Milestones!$P48&amp;"")</f>
        <v>-05:00</v>
      </c>
      <c r="J385" s="20" t="str">
        <f>IF(B385="","",Milestones!$V48&amp;"")</f>
        <v/>
      </c>
      <c r="K385" s="20">
        <f>IF(B385="",0,Milestones!$W48)</f>
        <v>1</v>
      </c>
      <c r="L385" s="20">
        <f>IF(B385="",0,Milestones!$X48)</f>
        <v>1</v>
      </c>
      <c r="M385" s="20">
        <f>IF(B385="","",Milestones!$AA48)</f>
        <v>66286655</v>
      </c>
      <c r="N385" s="20">
        <f>IF(B385="","",Milestones!$AB48)</f>
        <v>66286955</v>
      </c>
      <c r="O385" s="27">
        <f>IF(B385="","",Milestones!$Y48)</f>
        <v>46032</v>
      </c>
      <c r="P385" s="27">
        <f>IF(B385="","",Milestones!$Z48)</f>
        <v>46032</v>
      </c>
      <c r="Q385" s="20" t="str">
        <f t="shared" si="48"/>
        <v>2026-01-10T09:35-05:00</v>
      </c>
      <c r="R385" s="20" t="str">
        <f>IF(A385="","",IF(J385&lt;&gt;"",J385,IF(H385="TIMESTAMP",DAY(INT(M385/1440))&amp;" "&amp;INDEX(nLIST_Months,MONTH(INT(M385/1440)))&amp;" "&amp;YEAR(INT(M385/1440))&amp;" "&amp;RIGHT("0"&amp;INT(MOD(M385,1440)/60),2)&amp;":"&amp;RIGHT("0"&amp;MOD(M385,60),2)&amp;IF(L385=1," (UTC"&amp;I385&amp;")"," (offset unknown)"),IF(H385="DATE",DAY(O385)&amp;" "&amp;INDEX(nLIST_Months,MONTH(O385))&amp;" "&amp;YEAR(O385),IF(H385="MONTH",INDEX(nLIST_Months,MONTH(O385))&amp;" "&amp;YEAR(O385)&amp;" ("&amp;DAY(O385)&amp;" "&amp;INDEX(nLIST_Months,MONTH(O385))&amp;" "&amp;YEAR(O385)&amp;" to "&amp;DAY(P385)&amp;" "&amp;INDEX(nLIST_Months,MONTH(P385))&amp;" "&amp;YEAR(P385)&amp;")",IF(H385="YEAR",YEAR(O385)&amp;" (1 January to 31 December)",DAY(O385)&amp;" "&amp;INDEX(nLIST_Months,MONTH(O385))&amp;" "&amp;YEAR(O385)&amp;" to "&amp;DAY(P385)&amp;" "&amp;INDEX(nLIST_Months,MONTH(P385))&amp;" "&amp;YEAR(P385)))))))</f>
        <v>10 January 2026 09:35 (UTC-05:00)</v>
      </c>
      <c r="S385" s="20" t="str">
        <f>IF(B385="","",Milestones!$L48&amp;"")</f>
        <v>09:35 wheeze settling, BP 108/70</v>
      </c>
      <c r="T385" s="20" t="str">
        <f>IF(B385="","",Milestones!$U48&amp;"")</f>
        <v>Nursing chart</v>
      </c>
      <c r="U385" s="20" t="str">
        <f>IF(B385="","","Milestones row "&amp;ROW(Milestones!$A48)&amp;", Milestone")</f>
        <v>Milestones row 48, Milestone</v>
      </c>
      <c r="V385" s="20">
        <f>IF(A385="",0,COUNTIF(nTP_Key,A385))</f>
        <v>1</v>
      </c>
      <c r="W385" s="20">
        <f t="shared" si="49"/>
        <v>66286655</v>
      </c>
      <c r="X385" s="20">
        <f t="shared" si="50"/>
        <v>66286955</v>
      </c>
      <c r="Y385" s="20">
        <f t="shared" si="51"/>
        <v>46032</v>
      </c>
      <c r="Z385" s="20">
        <f t="shared" si="52"/>
        <v>46032</v>
      </c>
    </row>
    <row r="386" spans="1:26" x14ac:dyDescent="0.2">
      <c r="A386" s="20" t="str">
        <f t="shared" si="46"/>
        <v>EX-C01|2|M-DIAG</v>
      </c>
      <c r="B386" s="20" t="str">
        <f>IF(AND(Milestones!$C49&lt;&gt;"",COUNTA(Milestones!$M49:$T49)&gt;0),Milestones!$C49&amp;"","")</f>
        <v>M-DIAG</v>
      </c>
      <c r="C386" s="20" t="str">
        <f>IF(B386="","","MILESTONE:"&amp;Milestones!$D49)</f>
        <v>MILESTONE:DIAGNOSIS</v>
      </c>
      <c r="D386" s="20" t="str">
        <f>IF(B386="","",Milestones!$A49&amp;"")</f>
        <v>EX-C01</v>
      </c>
      <c r="E386" s="20" t="str">
        <f>IF(B386="","",Milestones!$B49&amp;"")</f>
        <v>2</v>
      </c>
      <c r="F386" s="20" t="str">
        <f t="shared" si="47"/>
        <v>EX-C01|2</v>
      </c>
      <c r="G386" s="20" t="str">
        <f>IF(B386="","",Milestones!$E49&amp;"")</f>
        <v/>
      </c>
      <c r="H386" s="20" t="str">
        <f>IF(B386="","",Milestones!$M49&amp;"")</f>
        <v>TIMESTAMP</v>
      </c>
      <c r="I386" s="20" t="str">
        <f>IF(B386="","",Milestones!$P49&amp;"")</f>
        <v>-05:00</v>
      </c>
      <c r="J386" s="20" t="str">
        <f>IF(B386="","",Milestones!$V49&amp;"")</f>
        <v/>
      </c>
      <c r="K386" s="20">
        <f>IF(B386="",0,Milestones!$W49)</f>
        <v>1</v>
      </c>
      <c r="L386" s="20">
        <f>IF(B386="",0,Milestones!$X49)</f>
        <v>1</v>
      </c>
      <c r="M386" s="20">
        <f>IF(B386="","",Milestones!$AA49)</f>
        <v>66286670</v>
      </c>
      <c r="N386" s="20">
        <f>IF(B386="","",Milestones!$AB49)</f>
        <v>66286970</v>
      </c>
      <c r="O386" s="27">
        <f>IF(B386="","",Milestones!$Y49)</f>
        <v>46032</v>
      </c>
      <c r="P386" s="27">
        <f>IF(B386="","",Milestones!$Z49)</f>
        <v>46032</v>
      </c>
      <c r="Q386" s="20" t="str">
        <f t="shared" si="48"/>
        <v>2026-01-10T09:50-05:00</v>
      </c>
      <c r="R386" s="20" t="str">
        <f>IF(A386="","",IF(J386&lt;&gt;"",J386,IF(H386="TIMESTAMP",DAY(INT(M386/1440))&amp;" "&amp;INDEX(nLIST_Months,MONTH(INT(M386/1440)))&amp;" "&amp;YEAR(INT(M386/1440))&amp;" "&amp;RIGHT("0"&amp;INT(MOD(M386,1440)/60),2)&amp;":"&amp;RIGHT("0"&amp;MOD(M386,60),2)&amp;IF(L386=1," (UTC"&amp;I386&amp;")"," (offset unknown)"),IF(H386="DATE",DAY(O386)&amp;" "&amp;INDEX(nLIST_Months,MONTH(O386))&amp;" "&amp;YEAR(O386),IF(H386="MONTH",INDEX(nLIST_Months,MONTH(O386))&amp;" "&amp;YEAR(O386)&amp;" ("&amp;DAY(O386)&amp;" "&amp;INDEX(nLIST_Months,MONTH(O386))&amp;" "&amp;YEAR(O386)&amp;" to "&amp;DAY(P386)&amp;" "&amp;INDEX(nLIST_Months,MONTH(P386))&amp;" "&amp;YEAR(P386)&amp;")",IF(H386="YEAR",YEAR(O386)&amp;" (1 January to 31 December)",DAY(O386)&amp;" "&amp;INDEX(nLIST_Months,MONTH(O386))&amp;" "&amp;YEAR(O386)&amp;" to "&amp;DAY(P386)&amp;" "&amp;INDEX(nLIST_Months,MONTH(P386))&amp;" "&amp;YEAR(P386)))))))</f>
        <v>10 January 2026 09:50 (UTC-05:00)</v>
      </c>
      <c r="S386" s="20" t="str">
        <f>IF(B386="","",Milestones!$L49&amp;"")</f>
        <v>Physician note written at 09:50</v>
      </c>
      <c r="T386" s="20" t="str">
        <f>IF(B386="","",Milestones!$U49&amp;"")</f>
        <v>Physician note (version 2)</v>
      </c>
      <c r="U386" s="20" t="str">
        <f>IF(B386="","","Milestones row "&amp;ROW(Milestones!$A49)&amp;", Milestone")</f>
        <v>Milestones row 49, Milestone</v>
      </c>
      <c r="V386" s="20">
        <f>IF(A386="",0,COUNTIF(nTP_Key,A386))</f>
        <v>1</v>
      </c>
      <c r="W386" s="20">
        <f t="shared" si="49"/>
        <v>66286670</v>
      </c>
      <c r="X386" s="20">
        <f t="shared" si="50"/>
        <v>66286970</v>
      </c>
      <c r="Y386" s="20">
        <f t="shared" si="51"/>
        <v>46032</v>
      </c>
      <c r="Z386" s="20">
        <f t="shared" si="52"/>
        <v>46032</v>
      </c>
    </row>
    <row r="387" spans="1:26" x14ac:dyDescent="0.2">
      <c r="A387" s="20" t="str">
        <f t="shared" si="46"/>
        <v>EX-C01|2|M-TRYP</v>
      </c>
      <c r="B387" s="20" t="str">
        <f>IF(AND(Milestones!$C50&lt;&gt;"",COUNTA(Milestones!$M50:$T50)&gt;0),Milestones!$C50&amp;"","")</f>
        <v>M-TRYP</v>
      </c>
      <c r="C387" s="20" t="str">
        <f>IF(B387="","","MILESTONE:"&amp;Milestones!$D50)</f>
        <v>MILESTONE:TEST</v>
      </c>
      <c r="D387" s="20" t="str">
        <f>IF(B387="","",Milestones!$A50&amp;"")</f>
        <v>EX-C01</v>
      </c>
      <c r="E387" s="20" t="str">
        <f>IF(B387="","",Milestones!$B50&amp;"")</f>
        <v>2</v>
      </c>
      <c r="F387" s="20" t="str">
        <f t="shared" si="47"/>
        <v>EX-C01|2</v>
      </c>
      <c r="G387" s="20" t="str">
        <f>IF(B387="","",Milestones!$E50&amp;"")</f>
        <v/>
      </c>
      <c r="H387" s="20" t="str">
        <f>IF(B387="","",Milestones!$M50&amp;"")</f>
        <v>TIMESTAMP</v>
      </c>
      <c r="I387" s="20" t="str">
        <f>IF(B387="","",Milestones!$P50&amp;"")</f>
        <v>-05:00</v>
      </c>
      <c r="J387" s="20" t="str">
        <f>IF(B387="","",Milestones!$V50&amp;"")</f>
        <v/>
      </c>
      <c r="K387" s="20">
        <f>IF(B387="",0,Milestones!$W50)</f>
        <v>1</v>
      </c>
      <c r="L387" s="20">
        <f>IF(B387="",0,Milestones!$X50)</f>
        <v>1</v>
      </c>
      <c r="M387" s="20">
        <f>IF(B387="","",Milestones!$AA50)</f>
        <v>66286685</v>
      </c>
      <c r="N387" s="20">
        <f>IF(B387="","",Milestones!$AB50)</f>
        <v>66286985</v>
      </c>
      <c r="O387" s="27">
        <f>IF(B387="","",Milestones!$Y50)</f>
        <v>46032</v>
      </c>
      <c r="P387" s="27">
        <f>IF(B387="","",Milestones!$Z50)</f>
        <v>46032</v>
      </c>
      <c r="Q387" s="20" t="str">
        <f t="shared" si="48"/>
        <v>2026-01-10T10:05-05:00</v>
      </c>
      <c r="R387" s="20" t="str">
        <f>IF(A387="","",IF(J387&lt;&gt;"",J387,IF(H387="TIMESTAMP",DAY(INT(M387/1440))&amp;" "&amp;INDEX(nLIST_Months,MONTH(INT(M387/1440)))&amp;" "&amp;YEAR(INT(M387/1440))&amp;" "&amp;RIGHT("0"&amp;INT(MOD(M387,1440)/60),2)&amp;":"&amp;RIGHT("0"&amp;MOD(M387,60),2)&amp;IF(L387=1," (UTC"&amp;I387&amp;")"," (offset unknown)"),IF(H387="DATE",DAY(O387)&amp;" "&amp;INDEX(nLIST_Months,MONTH(O387))&amp;" "&amp;YEAR(O387),IF(H387="MONTH",INDEX(nLIST_Months,MONTH(O387))&amp;" "&amp;YEAR(O387)&amp;" ("&amp;DAY(O387)&amp;" "&amp;INDEX(nLIST_Months,MONTH(O387))&amp;" "&amp;YEAR(O387)&amp;" to "&amp;DAY(P387)&amp;" "&amp;INDEX(nLIST_Months,MONTH(P387))&amp;" "&amp;YEAR(P387)&amp;")",IF(H387="YEAR",YEAR(O387)&amp;" (1 January to 31 December)",DAY(O387)&amp;" "&amp;INDEX(nLIST_Months,MONTH(O387))&amp;" "&amp;YEAR(O387)&amp;" to "&amp;DAY(P387)&amp;" "&amp;INDEX(nLIST_Months,MONTH(P387))&amp;" "&amp;YEAR(P387)))))))</f>
        <v>10 January 2026 10:05 (UTC-05:00)</v>
      </c>
      <c r="S387" s="20" t="str">
        <f>IF(B387="","",Milestones!$L50&amp;"")</f>
        <v>tryptase sample 10:05</v>
      </c>
      <c r="T387" s="20" t="str">
        <f>IF(B387="","",Milestones!$U50&amp;"")</f>
        <v>Follow-up, version 2</v>
      </c>
      <c r="U387" s="20" t="str">
        <f>IF(B387="","","Milestones row "&amp;ROW(Milestones!$A50)&amp;", Milestone")</f>
        <v>Milestones row 50, Milestone</v>
      </c>
      <c r="V387" s="20">
        <f>IF(A387="",0,COUNTIF(nTP_Key,A387))</f>
        <v>1</v>
      </c>
      <c r="W387" s="20">
        <f t="shared" si="49"/>
        <v>66286685</v>
      </c>
      <c r="X387" s="20">
        <f t="shared" si="50"/>
        <v>66286985</v>
      </c>
      <c r="Y387" s="20">
        <f t="shared" si="51"/>
        <v>46032</v>
      </c>
      <c r="Z387" s="20">
        <f t="shared" si="52"/>
        <v>46032</v>
      </c>
    </row>
    <row r="388" spans="1:26" x14ac:dyDescent="0.2">
      <c r="A388" s="20" t="str">
        <f t="shared" si="46"/>
        <v>EX-C04|2|M-CR1</v>
      </c>
      <c r="B388" s="20" t="str">
        <f>IF(AND(Milestones!$C51&lt;&gt;"",COUNTA(Milestones!$M51:$T51)&gt;0),Milestones!$C51&amp;"","")</f>
        <v>M-CR1</v>
      </c>
      <c r="C388" s="20" t="str">
        <f>IF(B388="","","MILESTONE:"&amp;Milestones!$D51)</f>
        <v>MILESTONE:ORGAN_FUNCTION</v>
      </c>
      <c r="D388" s="20" t="str">
        <f>IF(B388="","",Milestones!$A51&amp;"")</f>
        <v>EX-C04</v>
      </c>
      <c r="E388" s="20" t="str">
        <f>IF(B388="","",Milestones!$B51&amp;"")</f>
        <v>2</v>
      </c>
      <c r="F388" s="20" t="str">
        <f t="shared" si="47"/>
        <v>EX-C04|2</v>
      </c>
      <c r="G388" s="20" t="str">
        <f>IF(B388="","",Milestones!$E51&amp;"")</f>
        <v/>
      </c>
      <c r="H388" s="20" t="str">
        <f>IF(B388="","",Milestones!$M51&amp;"")</f>
        <v>DATE</v>
      </c>
      <c r="I388" s="20" t="str">
        <f>IF(B388="","",Milestones!$P51&amp;"")</f>
        <v/>
      </c>
      <c r="J388" s="20" t="str">
        <f>IF(B388="","",Milestones!$V51&amp;"")</f>
        <v/>
      </c>
      <c r="K388" s="20">
        <f>IF(B388="",0,Milestones!$W51)</f>
        <v>0</v>
      </c>
      <c r="L388" s="20">
        <f>IF(B388="",0,Milestones!$X51)</f>
        <v>0</v>
      </c>
      <c r="M388" s="20" t="str">
        <f>IF(B388="","",Milestones!$AA51)</f>
        <v/>
      </c>
      <c r="N388" s="20" t="str">
        <f>IF(B388="","",Milestones!$AB51)</f>
        <v/>
      </c>
      <c r="O388" s="27">
        <f>IF(B388="","",Milestones!$Y51)</f>
        <v>45975</v>
      </c>
      <c r="P388" s="27">
        <f>IF(B388="","",Milestones!$Z51)</f>
        <v>45975</v>
      </c>
      <c r="Q388" s="20" t="str">
        <f t="shared" si="48"/>
        <v>2025-11-14</v>
      </c>
      <c r="R388" s="20" t="str">
        <f>IF(A388="","",IF(J388&lt;&gt;"",J388,IF(H388="TIMESTAMP",DAY(INT(M388/1440))&amp;" "&amp;INDEX(nLIST_Months,MONTH(INT(M388/1440)))&amp;" "&amp;YEAR(INT(M388/1440))&amp;" "&amp;RIGHT("0"&amp;INT(MOD(M388,1440)/60),2)&amp;":"&amp;RIGHT("0"&amp;MOD(M388,60),2)&amp;IF(L388=1," (UTC"&amp;I388&amp;")"," (offset unknown)"),IF(H388="DATE",DAY(O388)&amp;" "&amp;INDEX(nLIST_Months,MONTH(O388))&amp;" "&amp;YEAR(O388),IF(H388="MONTH",INDEX(nLIST_Months,MONTH(O388))&amp;" "&amp;YEAR(O388)&amp;" ("&amp;DAY(O388)&amp;" "&amp;INDEX(nLIST_Months,MONTH(O388))&amp;" "&amp;YEAR(O388)&amp;" to "&amp;DAY(P388)&amp;" "&amp;INDEX(nLIST_Months,MONTH(P388))&amp;" "&amp;YEAR(P388)&amp;")",IF(H388="YEAR",YEAR(O388)&amp;" (1 January to 31 December)",DAY(O388)&amp;" "&amp;INDEX(nLIST_Months,MONTH(O388))&amp;" "&amp;YEAR(O388)&amp;" to "&amp;DAY(P388)&amp;" "&amp;INDEX(nLIST_Months,MONTH(P388))&amp;" "&amp;YEAR(P388)))))))</f>
        <v>14 November 2025</v>
      </c>
      <c r="S388" s="20" t="str">
        <f>IF(B388="","",Milestones!$L51&amp;"")</f>
        <v>Creatinine 1.0 mg/dL on 14 November 2025</v>
      </c>
      <c r="T388" s="20" t="str">
        <f>IF(B388="","",Milestones!$U51&amp;"")</f>
        <v>GP letter</v>
      </c>
      <c r="U388" s="20" t="str">
        <f>IF(B388="","","Milestones row "&amp;ROW(Milestones!$A51)&amp;", Milestone")</f>
        <v>Milestones row 51, Milestone</v>
      </c>
      <c r="V388" s="20">
        <f>IF(A388="",0,COUNTIF(nTP_Key,A388))</f>
        <v>1</v>
      </c>
      <c r="W388" s="20">
        <f t="shared" si="49"/>
        <v>0</v>
      </c>
      <c r="X388" s="20">
        <f t="shared" si="50"/>
        <v>0</v>
      </c>
      <c r="Y388" s="20">
        <f t="shared" si="51"/>
        <v>45975</v>
      </c>
      <c r="Z388" s="20">
        <f t="shared" si="52"/>
        <v>45975</v>
      </c>
    </row>
    <row r="389" spans="1:26" x14ac:dyDescent="0.2">
      <c r="A389" s="20" t="str">
        <f t="shared" ref="A389:A452" si="53">IF(B389="","",F389&amp;"|"&amp;B389)</f>
        <v>EX-C04|2|M-CR2</v>
      </c>
      <c r="B389" s="20" t="str">
        <f>IF(AND(Milestones!$C52&lt;&gt;"",COUNTA(Milestones!$M52:$T52)&gt;0),Milestones!$C52&amp;"","")</f>
        <v>M-CR2</v>
      </c>
      <c r="C389" s="20" t="str">
        <f>IF(B389="","","MILESTONE:"&amp;Milestones!$D52)</f>
        <v>MILESTONE:ORGAN_FUNCTION</v>
      </c>
      <c r="D389" s="20" t="str">
        <f>IF(B389="","",Milestones!$A52&amp;"")</f>
        <v>EX-C04</v>
      </c>
      <c r="E389" s="20" t="str">
        <f>IF(B389="","",Milestones!$B52&amp;"")</f>
        <v>2</v>
      </c>
      <c r="F389" s="20" t="str">
        <f t="shared" ref="F389:F452" si="54">IF(B389="","",D389&amp;"|"&amp;E389)</f>
        <v>EX-C04|2</v>
      </c>
      <c r="G389" s="20" t="str">
        <f>IF(B389="","",Milestones!$E52&amp;"")</f>
        <v/>
      </c>
      <c r="H389" s="20" t="str">
        <f>IF(B389="","",Milestones!$M52&amp;"")</f>
        <v>DATE</v>
      </c>
      <c r="I389" s="20" t="str">
        <f>IF(B389="","",Milestones!$P52&amp;"")</f>
        <v/>
      </c>
      <c r="J389" s="20" t="str">
        <f>IF(B389="","",Milestones!$V52&amp;"")</f>
        <v/>
      </c>
      <c r="K389" s="20">
        <f>IF(B389="",0,Milestones!$W52)</f>
        <v>0</v>
      </c>
      <c r="L389" s="20">
        <f>IF(B389="",0,Milestones!$X52)</f>
        <v>0</v>
      </c>
      <c r="M389" s="20" t="str">
        <f>IF(B389="","",Milestones!$AA52)</f>
        <v/>
      </c>
      <c r="N389" s="20" t="str">
        <f>IF(B389="","",Milestones!$AB52)</f>
        <v/>
      </c>
      <c r="O389" s="27">
        <f>IF(B389="","",Milestones!$Y52)</f>
        <v>46093</v>
      </c>
      <c r="P389" s="27">
        <f>IF(B389="","",Milestones!$Z52)</f>
        <v>46093</v>
      </c>
      <c r="Q389" s="20" t="str">
        <f t="shared" ref="Q389:Q452" si="55">IF(OR(A389="",J389&lt;&gt;""),"",IF(H389="TIMESTAMP",YEAR(INT(M389/1440))&amp;"-"&amp;RIGHT("0"&amp;MONTH(INT(M389/1440)),2)&amp;"-"&amp;RIGHT("0"&amp;DAY(INT(M389/1440)),2)&amp;"T"&amp;RIGHT("0"&amp;INT(MOD(M389,1440)/60),2)&amp;":"&amp;RIGHT("0"&amp;MOD(M389,60),2)&amp;IF(L389=1,I389,""),IF(H389="DATE",YEAR(O389)&amp;"-"&amp;RIGHT("0"&amp;MONTH(O389),2)&amp;"-"&amp;RIGHT("0"&amp;DAY(O389),2),IF(H389="MONTH",YEAR(O389)&amp;"-"&amp;RIGHT("0"&amp;MONTH(O389),2),IF(H389="YEAR",YEAR(O389)&amp;"",YEAR(O389)&amp;"-"&amp;RIGHT("0"&amp;MONTH(O389),2)&amp;"-"&amp;RIGHT("0"&amp;DAY(O389),2)&amp;"/"&amp;YEAR(P389)&amp;"-"&amp;RIGHT("0"&amp;MONTH(P389),2)&amp;"-"&amp;RIGHT("0"&amp;DAY(P389),2))))))</f>
        <v>2026-03-12</v>
      </c>
      <c r="R389" s="20" t="str">
        <f>IF(A389="","",IF(J389&lt;&gt;"",J389,IF(H389="TIMESTAMP",DAY(INT(M389/1440))&amp;" "&amp;INDEX(nLIST_Months,MONTH(INT(M389/1440)))&amp;" "&amp;YEAR(INT(M389/1440))&amp;" "&amp;RIGHT("0"&amp;INT(MOD(M389,1440)/60),2)&amp;":"&amp;RIGHT("0"&amp;MOD(M389,60),2)&amp;IF(L389=1," (UTC"&amp;I389&amp;")"," (offset unknown)"),IF(H389="DATE",DAY(O389)&amp;" "&amp;INDEX(nLIST_Months,MONTH(O389))&amp;" "&amp;YEAR(O389),IF(H389="MONTH",INDEX(nLIST_Months,MONTH(O389))&amp;" "&amp;YEAR(O389)&amp;" ("&amp;DAY(O389)&amp;" "&amp;INDEX(nLIST_Months,MONTH(O389))&amp;" "&amp;YEAR(O389)&amp;" to "&amp;DAY(P389)&amp;" "&amp;INDEX(nLIST_Months,MONTH(P389))&amp;" "&amp;YEAR(P389)&amp;")",IF(H389="YEAR",YEAR(O389)&amp;" (1 January to 31 December)",DAY(O389)&amp;" "&amp;INDEX(nLIST_Months,MONTH(O389))&amp;" "&amp;YEAR(O389)&amp;" to "&amp;DAY(P389)&amp;" "&amp;INDEX(nLIST_Months,MONTH(P389))&amp;" "&amp;YEAR(P389)))))))</f>
        <v>12 March 2026</v>
      </c>
      <c r="S389" s="20" t="str">
        <f>IF(B389="","",Milestones!$L52&amp;"")</f>
        <v>Creatinine 1.0 mg/dL on 12 March 2026</v>
      </c>
      <c r="T389" s="20" t="str">
        <f>IF(B389="","",Milestones!$U52&amp;"")</f>
        <v>GP letter</v>
      </c>
      <c r="U389" s="20" t="str">
        <f>IF(B389="","","Milestones row "&amp;ROW(Milestones!$A52)&amp;", Milestone")</f>
        <v>Milestones row 52, Milestone</v>
      </c>
      <c r="V389" s="20">
        <f>IF(A389="",0,COUNTIF(nTP_Key,A389))</f>
        <v>1</v>
      </c>
      <c r="W389" s="20">
        <f t="shared" ref="W389:W403" si="56">IF(M389="",0,M389)</f>
        <v>0</v>
      </c>
      <c r="X389" s="20">
        <f t="shared" ref="X389:X403" si="57">IF(N389="",0,N389)</f>
        <v>0</v>
      </c>
      <c r="Y389" s="20">
        <f t="shared" ref="Y389:Y403" si="58">IF(O389="",0,O389)</f>
        <v>46093</v>
      </c>
      <c r="Z389" s="20">
        <f t="shared" ref="Z389:Z403" si="59">IF(P389="",0,P389)</f>
        <v>46093</v>
      </c>
    </row>
    <row r="390" spans="1:26" x14ac:dyDescent="0.2">
      <c r="A390" s="20" t="str">
        <f t="shared" si="53"/>
        <v>EX-C04|2|M-CR3</v>
      </c>
      <c r="B390" s="20" t="str">
        <f>IF(AND(Milestones!$C53&lt;&gt;"",COUNTA(Milestones!$M53:$T53)&gt;0),Milestones!$C53&amp;"","")</f>
        <v>M-CR3</v>
      </c>
      <c r="C390" s="20" t="str">
        <f>IF(B390="","","MILESTONE:"&amp;Milestones!$D53)</f>
        <v>MILESTONE:ORGAN_FUNCTION</v>
      </c>
      <c r="D390" s="20" t="str">
        <f>IF(B390="","",Milestones!$A53&amp;"")</f>
        <v>EX-C04</v>
      </c>
      <c r="E390" s="20" t="str">
        <f>IF(B390="","",Milestones!$B53&amp;"")</f>
        <v>2</v>
      </c>
      <c r="F390" s="20" t="str">
        <f t="shared" si="54"/>
        <v>EX-C04|2</v>
      </c>
      <c r="G390" s="20" t="str">
        <f>IF(B390="","",Milestones!$E53&amp;"")</f>
        <v/>
      </c>
      <c r="H390" s="20" t="str">
        <f>IF(B390="","",Milestones!$M53&amp;"")</f>
        <v>DATE</v>
      </c>
      <c r="I390" s="20" t="str">
        <f>IF(B390="","",Milestones!$P53&amp;"")</f>
        <v/>
      </c>
      <c r="J390" s="20" t="str">
        <f>IF(B390="","",Milestones!$V53&amp;"")</f>
        <v/>
      </c>
      <c r="K390" s="20">
        <f>IF(B390="",0,Milestones!$W53)</f>
        <v>0</v>
      </c>
      <c r="L390" s="20">
        <f>IF(B390="",0,Milestones!$X53)</f>
        <v>0</v>
      </c>
      <c r="M390" s="20" t="str">
        <f>IF(B390="","",Milestones!$AA53)</f>
        <v/>
      </c>
      <c r="N390" s="20" t="str">
        <f>IF(B390="","",Milestones!$AB53)</f>
        <v/>
      </c>
      <c r="O390" s="27">
        <f>IF(B390="","",Milestones!$Y53)</f>
        <v>46204</v>
      </c>
      <c r="P390" s="27">
        <f>IF(B390="","",Milestones!$Z53)</f>
        <v>46204</v>
      </c>
      <c r="Q390" s="20" t="str">
        <f t="shared" si="55"/>
        <v>2026-07-01</v>
      </c>
      <c r="R390" s="20" t="str">
        <f>IF(A390="","",IF(J390&lt;&gt;"",J390,IF(H390="TIMESTAMP",DAY(INT(M390/1440))&amp;" "&amp;INDEX(nLIST_Months,MONTH(INT(M390/1440)))&amp;" "&amp;YEAR(INT(M390/1440))&amp;" "&amp;RIGHT("0"&amp;INT(MOD(M390,1440)/60),2)&amp;":"&amp;RIGHT("0"&amp;MOD(M390,60),2)&amp;IF(L390=1," (UTC"&amp;I390&amp;")"," (offset unknown)"),IF(H390="DATE",DAY(O390)&amp;" "&amp;INDEX(nLIST_Months,MONTH(O390))&amp;" "&amp;YEAR(O390),IF(H390="MONTH",INDEX(nLIST_Months,MONTH(O390))&amp;" "&amp;YEAR(O390)&amp;" ("&amp;DAY(O390)&amp;" "&amp;INDEX(nLIST_Months,MONTH(O390))&amp;" "&amp;YEAR(O390)&amp;" to "&amp;DAY(P390)&amp;" "&amp;INDEX(nLIST_Months,MONTH(P390))&amp;" "&amp;YEAR(P390)&amp;")",IF(H390="YEAR",YEAR(O390)&amp;" (1 January to 31 December)",DAY(O390)&amp;" "&amp;INDEX(nLIST_Months,MONTH(O390))&amp;" "&amp;YEAR(O390)&amp;" to "&amp;DAY(P390)&amp;" "&amp;INDEX(nLIST_Months,MONTH(P390))&amp;" "&amp;YEAR(P390)))))))</f>
        <v>1 July 2026</v>
      </c>
      <c r="S390" s="20" t="str">
        <f>IF(B390="","",Milestones!$L53&amp;"")</f>
        <v>Seen 1 July ... creatinine 1.7</v>
      </c>
      <c r="T390" s="20" t="str">
        <f>IF(B390="","",Milestones!$U53&amp;"")</f>
        <v>GP letter</v>
      </c>
      <c r="U390" s="20" t="str">
        <f>IF(B390="","","Milestones row "&amp;ROW(Milestones!$A53)&amp;", Milestone")</f>
        <v>Milestones row 53, Milestone</v>
      </c>
      <c r="V390" s="20">
        <f>IF(A390="",0,COUNTIF(nTP_Key,A390))</f>
        <v>1</v>
      </c>
      <c r="W390" s="20">
        <f t="shared" si="56"/>
        <v>0</v>
      </c>
      <c r="X390" s="20">
        <f t="shared" si="57"/>
        <v>0</v>
      </c>
      <c r="Y390" s="20">
        <f t="shared" si="58"/>
        <v>46204</v>
      </c>
      <c r="Z390" s="20">
        <f t="shared" si="59"/>
        <v>46204</v>
      </c>
    </row>
    <row r="391" spans="1:26" x14ac:dyDescent="0.2">
      <c r="A391" s="20" t="str">
        <f t="shared" si="53"/>
        <v>EX-C04|2|M-CR4</v>
      </c>
      <c r="B391" s="20" t="str">
        <f>IF(AND(Milestones!$C54&lt;&gt;"",COUNTA(Milestones!$M54:$T54)&gt;0),Milestones!$C54&amp;"","")</f>
        <v>M-CR4</v>
      </c>
      <c r="C391" s="20" t="str">
        <f>IF(B391="","","MILESTONE:"&amp;Milestones!$D54)</f>
        <v>MILESTONE:ORGAN_FUNCTION</v>
      </c>
      <c r="D391" s="20" t="str">
        <f>IF(B391="","",Milestones!$A54&amp;"")</f>
        <v>EX-C04</v>
      </c>
      <c r="E391" s="20" t="str">
        <f>IF(B391="","",Milestones!$B54&amp;"")</f>
        <v>2</v>
      </c>
      <c r="F391" s="20" t="str">
        <f t="shared" si="54"/>
        <v>EX-C04|2</v>
      </c>
      <c r="G391" s="20" t="str">
        <f>IF(B391="","",Milestones!$E54&amp;"")</f>
        <v/>
      </c>
      <c r="H391" s="20" t="str">
        <f>IF(B391="","",Milestones!$M54&amp;"")</f>
        <v>DATE</v>
      </c>
      <c r="I391" s="20" t="str">
        <f>IF(B391="","",Milestones!$P54&amp;"")</f>
        <v/>
      </c>
      <c r="J391" s="20" t="str">
        <f>IF(B391="","",Milestones!$V54&amp;"")</f>
        <v/>
      </c>
      <c r="K391" s="20">
        <f>IF(B391="",0,Milestones!$W54)</f>
        <v>0</v>
      </c>
      <c r="L391" s="20">
        <f>IF(B391="",0,Milestones!$X54)</f>
        <v>0</v>
      </c>
      <c r="M391" s="20" t="str">
        <f>IF(B391="","",Milestones!$AA54)</f>
        <v/>
      </c>
      <c r="N391" s="20" t="str">
        <f>IF(B391="","",Milestones!$AB54)</f>
        <v/>
      </c>
      <c r="O391" s="27">
        <f>IF(B391="","",Milestones!$Y54)</f>
        <v>46208</v>
      </c>
      <c r="P391" s="27">
        <f>IF(B391="","",Milestones!$Z54)</f>
        <v>46208</v>
      </c>
      <c r="Q391" s="20" t="str">
        <f t="shared" si="55"/>
        <v>2026-07-05</v>
      </c>
      <c r="R391" s="20" t="str">
        <f>IF(A391="","",IF(J391&lt;&gt;"",J391,IF(H391="TIMESTAMP",DAY(INT(M391/1440))&amp;" "&amp;INDEX(nLIST_Months,MONTH(INT(M391/1440)))&amp;" "&amp;YEAR(INT(M391/1440))&amp;" "&amp;RIGHT("0"&amp;INT(MOD(M391,1440)/60),2)&amp;":"&amp;RIGHT("0"&amp;MOD(M391,60),2)&amp;IF(L391=1," (UTC"&amp;I391&amp;")"," (offset unknown)"),IF(H391="DATE",DAY(O391)&amp;" "&amp;INDEX(nLIST_Months,MONTH(O391))&amp;" "&amp;YEAR(O391),IF(H391="MONTH",INDEX(nLIST_Months,MONTH(O391))&amp;" "&amp;YEAR(O391)&amp;" ("&amp;DAY(O391)&amp;" "&amp;INDEX(nLIST_Months,MONTH(O391))&amp;" "&amp;YEAR(O391)&amp;" to "&amp;DAY(P391)&amp;" "&amp;INDEX(nLIST_Months,MONTH(P391))&amp;" "&amp;YEAR(P391)&amp;")",IF(H391="YEAR",YEAR(O391)&amp;" (1 January to 31 December)",DAY(O391)&amp;" "&amp;INDEX(nLIST_Months,MONTH(O391))&amp;" "&amp;YEAR(O391)&amp;" to "&amp;DAY(P391)&amp;" "&amp;INDEX(nLIST_Months,MONTH(P391))&amp;" "&amp;YEAR(P391)))))))</f>
        <v>5 July 2026</v>
      </c>
      <c r="S391" s="20" t="str">
        <f>IF(B391="","",Milestones!$L54&amp;"")</f>
        <v>Creatinine 2.4 mg/dL</v>
      </c>
      <c r="T391" s="20" t="str">
        <f>IF(B391="","",Milestones!$U54&amp;"")</f>
        <v>Emergency department note</v>
      </c>
      <c r="U391" s="20" t="str">
        <f>IF(B391="","","Milestones row "&amp;ROW(Milestones!$A54)&amp;", Milestone")</f>
        <v>Milestones row 54, Milestone</v>
      </c>
      <c r="V391" s="20">
        <f>IF(A391="",0,COUNTIF(nTP_Key,A391))</f>
        <v>1</v>
      </c>
      <c r="W391" s="20">
        <f t="shared" si="56"/>
        <v>0</v>
      </c>
      <c r="X391" s="20">
        <f t="shared" si="57"/>
        <v>0</v>
      </c>
      <c r="Y391" s="20">
        <f t="shared" si="58"/>
        <v>46208</v>
      </c>
      <c r="Z391" s="20">
        <f t="shared" si="59"/>
        <v>46208</v>
      </c>
    </row>
    <row r="392" spans="1:26" x14ac:dyDescent="0.2">
      <c r="A392" s="20" t="str">
        <f t="shared" si="53"/>
        <v>EX-C04|2|M-DIGC</v>
      </c>
      <c r="B392" s="20" t="str">
        <f>IF(AND(Milestones!$C55&lt;&gt;"",COUNTA(Milestones!$M55:$T55)&gt;0),Milestones!$C55&amp;"","")</f>
        <v>M-DIGC</v>
      </c>
      <c r="C392" s="20" t="str">
        <f>IF(B392="","","MILESTONE:"&amp;Milestones!$D55)</f>
        <v>MILESTONE:CONCENTRATION</v>
      </c>
      <c r="D392" s="20" t="str">
        <f>IF(B392="","",Milestones!$A55&amp;"")</f>
        <v>EX-C04</v>
      </c>
      <c r="E392" s="20" t="str">
        <f>IF(B392="","",Milestones!$B55&amp;"")</f>
        <v>2</v>
      </c>
      <c r="F392" s="20" t="str">
        <f t="shared" si="54"/>
        <v>EX-C04|2</v>
      </c>
      <c r="G392" s="20" t="str">
        <f>IF(B392="","",Milestones!$E55&amp;"")</f>
        <v/>
      </c>
      <c r="H392" s="20" t="str">
        <f>IF(B392="","",Milestones!$M55&amp;"")</f>
        <v>TIMESTAMP</v>
      </c>
      <c r="I392" s="20" t="str">
        <f>IF(B392="","",Milestones!$P55&amp;"")</f>
        <v>unknown</v>
      </c>
      <c r="J392" s="20" t="str">
        <f>IF(B392="","",Milestones!$V55&amp;"")</f>
        <v/>
      </c>
      <c r="K392" s="20">
        <f>IF(B392="",0,Milestones!$W55)</f>
        <v>1</v>
      </c>
      <c r="L392" s="20">
        <f>IF(B392="",0,Milestones!$X55)</f>
        <v>0</v>
      </c>
      <c r="M392" s="20">
        <f>IF(B392="","",Milestones!$AA55)</f>
        <v>66540220</v>
      </c>
      <c r="N392" s="20" t="str">
        <f>IF(B392="","",Milestones!$AB55)</f>
        <v/>
      </c>
      <c r="O392" s="27">
        <f>IF(B392="","",Milestones!$Y55)</f>
        <v>46208</v>
      </c>
      <c r="P392" s="27">
        <f>IF(B392="","",Milestones!$Z55)</f>
        <v>46208</v>
      </c>
      <c r="Q392" s="20" t="str">
        <f t="shared" si="55"/>
        <v>2026-07-05T11:40</v>
      </c>
      <c r="R392" s="20" t="str">
        <f>IF(A392="","",IF(J392&lt;&gt;"",J392,IF(H392="TIMESTAMP",DAY(INT(M392/1440))&amp;" "&amp;INDEX(nLIST_Months,MONTH(INT(M392/1440)))&amp;" "&amp;YEAR(INT(M392/1440))&amp;" "&amp;RIGHT("0"&amp;INT(MOD(M392,1440)/60),2)&amp;":"&amp;RIGHT("0"&amp;MOD(M392,60),2)&amp;IF(L392=1," (UTC"&amp;I392&amp;")"," (offset unknown)"),IF(H392="DATE",DAY(O392)&amp;" "&amp;INDEX(nLIST_Months,MONTH(O392))&amp;" "&amp;YEAR(O392),IF(H392="MONTH",INDEX(nLIST_Months,MONTH(O392))&amp;" "&amp;YEAR(O392)&amp;" ("&amp;DAY(O392)&amp;" "&amp;INDEX(nLIST_Months,MONTH(O392))&amp;" "&amp;YEAR(O392)&amp;" to "&amp;DAY(P392)&amp;" "&amp;INDEX(nLIST_Months,MONTH(P392))&amp;" "&amp;YEAR(P392)&amp;")",IF(H392="YEAR",YEAR(O392)&amp;" (1 January to 31 December)",DAY(O392)&amp;" "&amp;INDEX(nLIST_Months,MONTH(O392))&amp;" "&amp;YEAR(O392)&amp;" to "&amp;DAY(P392)&amp;" "&amp;INDEX(nLIST_Months,MONTH(P392))&amp;" "&amp;YEAR(P392)))))))</f>
        <v>5 July 2026 11:40 (offset unknown)</v>
      </c>
      <c r="S392" s="20" t="str">
        <f>IF(B392="","",Milestones!$L55&amp;"")</f>
        <v>Serum digoxin 2.9 ng/mL (sample 11:40; laboratory reference 0.5-2.0)</v>
      </c>
      <c r="T392" s="20" t="str">
        <f>IF(B392="","",Milestones!$U55&amp;"")</f>
        <v>Emergency department note</v>
      </c>
      <c r="U392" s="20" t="str">
        <f>IF(B392="","","Milestones row "&amp;ROW(Milestones!$A55)&amp;", Milestone")</f>
        <v>Milestones row 55, Milestone</v>
      </c>
      <c r="V392" s="20">
        <f>IF(A392="",0,COUNTIF(nTP_Key,A392))</f>
        <v>1</v>
      </c>
      <c r="W392" s="20">
        <f t="shared" si="56"/>
        <v>66540220</v>
      </c>
      <c r="X392" s="20">
        <f t="shared" si="57"/>
        <v>0</v>
      </c>
      <c r="Y392" s="20">
        <f t="shared" si="58"/>
        <v>46208</v>
      </c>
      <c r="Z392" s="20">
        <f t="shared" si="59"/>
        <v>46208</v>
      </c>
    </row>
    <row r="393" spans="1:26" x14ac:dyDescent="0.2">
      <c r="A393" s="20" t="str">
        <f t="shared" si="53"/>
        <v>EX-C04|2|M-K</v>
      </c>
      <c r="B393" s="20" t="str">
        <f>IF(AND(Milestones!$C56&lt;&gt;"",COUNTA(Milestones!$M56:$T56)&gt;0),Milestones!$C56&amp;"","")</f>
        <v>M-K</v>
      </c>
      <c r="C393" s="20" t="str">
        <f>IF(B393="","","MILESTONE:"&amp;Milestones!$D56)</f>
        <v>MILESTONE:TEST</v>
      </c>
      <c r="D393" s="20" t="str">
        <f>IF(B393="","",Milestones!$A56&amp;"")</f>
        <v>EX-C04</v>
      </c>
      <c r="E393" s="20" t="str">
        <f>IF(B393="","",Milestones!$B56&amp;"")</f>
        <v>2</v>
      </c>
      <c r="F393" s="20" t="str">
        <f t="shared" si="54"/>
        <v>EX-C04|2</v>
      </c>
      <c r="G393" s="20" t="str">
        <f>IF(B393="","",Milestones!$E56&amp;"")</f>
        <v/>
      </c>
      <c r="H393" s="20" t="str">
        <f>IF(B393="","",Milestones!$M56&amp;"")</f>
        <v>DATE</v>
      </c>
      <c r="I393" s="20" t="str">
        <f>IF(B393="","",Milestones!$P56&amp;"")</f>
        <v/>
      </c>
      <c r="J393" s="20" t="str">
        <f>IF(B393="","",Milestones!$V56&amp;"")</f>
        <v/>
      </c>
      <c r="K393" s="20">
        <f>IF(B393="",0,Milestones!$W56)</f>
        <v>0</v>
      </c>
      <c r="L393" s="20">
        <f>IF(B393="",0,Milestones!$X56)</f>
        <v>0</v>
      </c>
      <c r="M393" s="20" t="str">
        <f>IF(B393="","",Milestones!$AA56)</f>
        <v/>
      </c>
      <c r="N393" s="20" t="str">
        <f>IF(B393="","",Milestones!$AB56)</f>
        <v/>
      </c>
      <c r="O393" s="27">
        <f>IF(B393="","",Milestones!$Y56)</f>
        <v>46208</v>
      </c>
      <c r="P393" s="27">
        <f>IF(B393="","",Milestones!$Z56)</f>
        <v>46208</v>
      </c>
      <c r="Q393" s="20" t="str">
        <f t="shared" si="55"/>
        <v>2026-07-05</v>
      </c>
      <c r="R393" s="20" t="str">
        <f>IF(A393="","",IF(J393&lt;&gt;"",J393,IF(H393="TIMESTAMP",DAY(INT(M393/1440))&amp;" "&amp;INDEX(nLIST_Months,MONTH(INT(M393/1440)))&amp;" "&amp;YEAR(INT(M393/1440))&amp;" "&amp;RIGHT("0"&amp;INT(MOD(M393,1440)/60),2)&amp;":"&amp;RIGHT("0"&amp;MOD(M393,60),2)&amp;IF(L393=1," (UTC"&amp;I393&amp;")"," (offset unknown)"),IF(H393="DATE",DAY(O393)&amp;" "&amp;INDEX(nLIST_Months,MONTH(O393))&amp;" "&amp;YEAR(O393),IF(H393="MONTH",INDEX(nLIST_Months,MONTH(O393))&amp;" "&amp;YEAR(O393)&amp;" ("&amp;DAY(O393)&amp;" "&amp;INDEX(nLIST_Months,MONTH(O393))&amp;" "&amp;YEAR(O393)&amp;" to "&amp;DAY(P393)&amp;" "&amp;INDEX(nLIST_Months,MONTH(P393))&amp;" "&amp;YEAR(P393)&amp;")",IF(H393="YEAR",YEAR(O393)&amp;" (1 January to 31 December)",DAY(O393)&amp;" "&amp;INDEX(nLIST_Months,MONTH(O393))&amp;" "&amp;YEAR(O393)&amp;" to "&amp;DAY(P393)&amp;" "&amp;INDEX(nLIST_Months,MONTH(P393))&amp;" "&amp;YEAR(P393)))))))</f>
        <v>5 July 2026</v>
      </c>
      <c r="S393" s="20" t="str">
        <f>IF(B393="","",Milestones!$L56&amp;"")</f>
        <v>potassium 4.8 mmol/L</v>
      </c>
      <c r="T393" s="20" t="str">
        <f>IF(B393="","",Milestones!$U56&amp;"")</f>
        <v>Emergency department note</v>
      </c>
      <c r="U393" s="20" t="str">
        <f>IF(B393="","","Milestones row "&amp;ROW(Milestones!$A56)&amp;", Milestone")</f>
        <v>Milestones row 56, Milestone</v>
      </c>
      <c r="V393" s="20">
        <f>IF(A393="",0,COUNTIF(nTP_Key,A393))</f>
        <v>1</v>
      </c>
      <c r="W393" s="20">
        <f t="shared" si="56"/>
        <v>0</v>
      </c>
      <c r="X393" s="20">
        <f t="shared" si="57"/>
        <v>0</v>
      </c>
      <c r="Y393" s="20">
        <f t="shared" si="58"/>
        <v>46208</v>
      </c>
      <c r="Z393" s="20">
        <f t="shared" si="59"/>
        <v>46208</v>
      </c>
    </row>
    <row r="394" spans="1:26" x14ac:dyDescent="0.2">
      <c r="A394" s="20" t="str">
        <f t="shared" si="53"/>
        <v>EX-C04|2|M-FLUIDS</v>
      </c>
      <c r="B394" s="20" t="str">
        <f>IF(AND(Milestones!$C57&lt;&gt;"",COUNTA(Milestones!$M57:$T57)&gt;0),Milestones!$C57&amp;"","")</f>
        <v>M-FLUIDS</v>
      </c>
      <c r="C394" s="20" t="str">
        <f>IF(B394="","","MILESTONE:"&amp;Milestones!$D57)</f>
        <v>MILESTONE:INTERVENTION</v>
      </c>
      <c r="D394" s="20" t="str">
        <f>IF(B394="","",Milestones!$A57&amp;"")</f>
        <v>EX-C04</v>
      </c>
      <c r="E394" s="20" t="str">
        <f>IF(B394="","",Milestones!$B57&amp;"")</f>
        <v>2</v>
      </c>
      <c r="F394" s="20" t="str">
        <f t="shared" si="54"/>
        <v>EX-C04|2</v>
      </c>
      <c r="G394" s="20" t="str">
        <f>IF(B394="","",Milestones!$E57&amp;"")</f>
        <v/>
      </c>
      <c r="H394" s="20" t="str">
        <f>IF(B394="","",Milestones!$M57&amp;"")</f>
        <v>DATE</v>
      </c>
      <c r="I394" s="20" t="str">
        <f>IF(B394="","",Milestones!$P57&amp;"")</f>
        <v/>
      </c>
      <c r="J394" s="20" t="str">
        <f>IF(B394="","",Milestones!$V57&amp;"")</f>
        <v/>
      </c>
      <c r="K394" s="20">
        <f>IF(B394="",0,Milestones!$W57)</f>
        <v>0</v>
      </c>
      <c r="L394" s="20">
        <f>IF(B394="",0,Milestones!$X57)</f>
        <v>0</v>
      </c>
      <c r="M394" s="20" t="str">
        <f>IF(B394="","",Milestones!$AA57)</f>
        <v/>
      </c>
      <c r="N394" s="20" t="str">
        <f>IF(B394="","",Milestones!$AB57)</f>
        <v/>
      </c>
      <c r="O394" s="27">
        <f>IF(B394="","",Milestones!$Y57)</f>
        <v>46208</v>
      </c>
      <c r="P394" s="27">
        <f>IF(B394="","",Milestones!$Z57)</f>
        <v>46208</v>
      </c>
      <c r="Q394" s="20" t="str">
        <f t="shared" si="55"/>
        <v>2026-07-05</v>
      </c>
      <c r="R394" s="20" t="str">
        <f>IF(A394="","",IF(J394&lt;&gt;"",J394,IF(H394="TIMESTAMP",DAY(INT(M394/1440))&amp;" "&amp;INDEX(nLIST_Months,MONTH(INT(M394/1440)))&amp;" "&amp;YEAR(INT(M394/1440))&amp;" "&amp;RIGHT("0"&amp;INT(MOD(M394,1440)/60),2)&amp;":"&amp;RIGHT("0"&amp;MOD(M394,60),2)&amp;IF(L394=1," (UTC"&amp;I394&amp;")"," (offset unknown)"),IF(H394="DATE",DAY(O394)&amp;" "&amp;INDEX(nLIST_Months,MONTH(O394))&amp;" "&amp;YEAR(O394),IF(H394="MONTH",INDEX(nLIST_Months,MONTH(O394))&amp;" "&amp;YEAR(O394)&amp;" ("&amp;DAY(O394)&amp;" "&amp;INDEX(nLIST_Months,MONTH(O394))&amp;" "&amp;YEAR(O394)&amp;" to "&amp;DAY(P394)&amp;" "&amp;INDEX(nLIST_Months,MONTH(P394))&amp;" "&amp;YEAR(P394)&amp;")",IF(H394="YEAR",YEAR(O394)&amp;" (1 January to 31 December)",DAY(O394)&amp;" "&amp;INDEX(nLIST_Months,MONTH(O394))&amp;" "&amp;YEAR(O394)&amp;" to "&amp;DAY(P394)&amp;" "&amp;INDEX(nLIST_Months,MONTH(P394))&amp;" "&amp;YEAR(P394)))))))</f>
        <v>5 July 2026</v>
      </c>
      <c r="S394" s="20" t="str">
        <f>IF(B394="","",Milestones!$L57&amp;"")</f>
        <v>IV fluids, cardiac monitoring</v>
      </c>
      <c r="T394" s="20" t="str">
        <f>IF(B394="","",Milestones!$U57&amp;"")</f>
        <v>Emergency department note</v>
      </c>
      <c r="U394" s="20" t="str">
        <f>IF(B394="","","Milestones row "&amp;ROW(Milestones!$A57)&amp;", Milestone")</f>
        <v>Milestones row 57, Milestone</v>
      </c>
      <c r="V394" s="20">
        <f>IF(A394="",0,COUNTIF(nTP_Key,A394))</f>
        <v>1</v>
      </c>
      <c r="W394" s="20">
        <f t="shared" si="56"/>
        <v>0</v>
      </c>
      <c r="X394" s="20">
        <f t="shared" si="57"/>
        <v>0</v>
      </c>
      <c r="Y394" s="20">
        <f t="shared" si="58"/>
        <v>46208</v>
      </c>
      <c r="Z394" s="20">
        <f t="shared" si="59"/>
        <v>46208</v>
      </c>
    </row>
    <row r="395" spans="1:26" x14ac:dyDescent="0.2">
      <c r="A395" s="20" t="str">
        <f t="shared" si="53"/>
        <v>EX-C04|2|M-IMPROVE</v>
      </c>
      <c r="B395" s="20" t="str">
        <f>IF(AND(Milestones!$C58&lt;&gt;"",COUNTA(Milestones!$M58:$T58)&gt;0),Milestones!$C58&amp;"","")</f>
        <v>M-IMPROVE</v>
      </c>
      <c r="C395" s="20" t="str">
        <f>IF(B395="","","MILESTONE:"&amp;Milestones!$D58)</f>
        <v>MILESTONE:RECOVERY</v>
      </c>
      <c r="D395" s="20" t="str">
        <f>IF(B395="","",Milestones!$A58&amp;"")</f>
        <v>EX-C04</v>
      </c>
      <c r="E395" s="20" t="str">
        <f>IF(B395="","",Milestones!$B58&amp;"")</f>
        <v>2</v>
      </c>
      <c r="F395" s="20" t="str">
        <f t="shared" si="54"/>
        <v>EX-C04|2</v>
      </c>
      <c r="G395" s="20" t="str">
        <f>IF(B395="","",Milestones!$E58&amp;"")</f>
        <v/>
      </c>
      <c r="H395" s="20" t="str">
        <f>IF(B395="","",Milestones!$M58&amp;"")</f>
        <v>DATE</v>
      </c>
      <c r="I395" s="20" t="str">
        <f>IF(B395="","",Milestones!$P58&amp;"")</f>
        <v/>
      </c>
      <c r="J395" s="20" t="str">
        <f>IF(B395="","",Milestones!$V58&amp;"")</f>
        <v/>
      </c>
      <c r="K395" s="20">
        <f>IF(B395="",0,Milestones!$W58)</f>
        <v>0</v>
      </c>
      <c r="L395" s="20">
        <f>IF(B395="",0,Milestones!$X58)</f>
        <v>0</v>
      </c>
      <c r="M395" s="20" t="str">
        <f>IF(B395="","",Milestones!$AA58)</f>
        <v/>
      </c>
      <c r="N395" s="20" t="str">
        <f>IF(B395="","",Milestones!$AB58)</f>
        <v/>
      </c>
      <c r="O395" s="27">
        <f>IF(B395="","",Milestones!$Y58)</f>
        <v>46211</v>
      </c>
      <c r="P395" s="27">
        <f>IF(B395="","",Milestones!$Z58)</f>
        <v>46211</v>
      </c>
      <c r="Q395" s="20" t="str">
        <f t="shared" si="55"/>
        <v>2026-07-08</v>
      </c>
      <c r="R395" s="20" t="str">
        <f>IF(A395="","",IF(J395&lt;&gt;"",J395,IF(H395="TIMESTAMP",DAY(INT(M395/1440))&amp;" "&amp;INDEX(nLIST_Months,MONTH(INT(M395/1440)))&amp;" "&amp;YEAR(INT(M395/1440))&amp;" "&amp;RIGHT("0"&amp;INT(MOD(M395,1440)/60),2)&amp;":"&amp;RIGHT("0"&amp;MOD(M395,60),2)&amp;IF(L395=1," (UTC"&amp;I395&amp;")"," (offset unknown)"),IF(H395="DATE",DAY(O395)&amp;" "&amp;INDEX(nLIST_Months,MONTH(O395))&amp;" "&amp;YEAR(O395),IF(H395="MONTH",INDEX(nLIST_Months,MONTH(O395))&amp;" "&amp;YEAR(O395)&amp;" ("&amp;DAY(O395)&amp;" "&amp;INDEX(nLIST_Months,MONTH(O395))&amp;" "&amp;YEAR(O395)&amp;" to "&amp;DAY(P395)&amp;" "&amp;INDEX(nLIST_Months,MONTH(P395))&amp;" "&amp;YEAR(P395)&amp;")",IF(H395="YEAR",YEAR(O395)&amp;" (1 January to 31 December)",DAY(O395)&amp;" "&amp;INDEX(nLIST_Months,MONTH(O395))&amp;" "&amp;YEAR(O395)&amp;" to "&amp;DAY(P395)&amp;" "&amp;INDEX(nLIST_Months,MONTH(P395))&amp;" "&amp;YEAR(P395)))))))</f>
        <v>8 July 2026</v>
      </c>
      <c r="S395" s="20" t="str">
        <f>IF(B395="","",Milestones!$L58&amp;"")</f>
        <v>Nausea resolved, ventricular rate 64</v>
      </c>
      <c r="T395" s="20" t="str">
        <f>IF(B395="","",Milestones!$U58&amp;"")</f>
        <v>Ward note, 8 July 2026</v>
      </c>
      <c r="U395" s="20" t="str">
        <f>IF(B395="","","Milestones row "&amp;ROW(Milestones!$A58)&amp;", Milestone")</f>
        <v>Milestones row 58, Milestone</v>
      </c>
      <c r="V395" s="20">
        <f>IF(A395="",0,COUNTIF(nTP_Key,A395))</f>
        <v>1</v>
      </c>
      <c r="W395" s="20">
        <f t="shared" si="56"/>
        <v>0</v>
      </c>
      <c r="X395" s="20">
        <f t="shared" si="57"/>
        <v>0</v>
      </c>
      <c r="Y395" s="20">
        <f t="shared" si="58"/>
        <v>46211</v>
      </c>
      <c r="Z395" s="20">
        <f t="shared" si="59"/>
        <v>46211</v>
      </c>
    </row>
    <row r="396" spans="1:26" x14ac:dyDescent="0.2">
      <c r="A396" s="20" t="str">
        <f t="shared" si="53"/>
        <v>EX-C28|2|M-HBV0</v>
      </c>
      <c r="B396" s="20" t="str">
        <f>IF(AND(Milestones!$C59&lt;&gt;"",COUNTA(Milestones!$M59:$T59)&gt;0),Milestones!$C59&amp;"","")</f>
        <v>M-HBV0</v>
      </c>
      <c r="C396" s="20" t="str">
        <f>IF(B396="","","MILESTONE:"&amp;Milestones!$D59)</f>
        <v>MILESTONE:BASELINE</v>
      </c>
      <c r="D396" s="20" t="str">
        <f>IF(B396="","",Milestones!$A59&amp;"")</f>
        <v>EX-C28</v>
      </c>
      <c r="E396" s="20" t="str">
        <f>IF(B396="","",Milestones!$B59&amp;"")</f>
        <v>2</v>
      </c>
      <c r="F396" s="20" t="str">
        <f t="shared" si="54"/>
        <v>EX-C28|2</v>
      </c>
      <c r="G396" s="20" t="str">
        <f>IF(B396="","",Milestones!$E59&amp;"")</f>
        <v/>
      </c>
      <c r="H396" s="20" t="str">
        <f>IF(B396="","",Milestones!$M59&amp;"")</f>
        <v>DATE</v>
      </c>
      <c r="I396" s="20" t="str">
        <f>IF(B396="","",Milestones!$P59&amp;"")</f>
        <v/>
      </c>
      <c r="J396" s="20" t="str">
        <f>IF(B396="","",Milestones!$V59&amp;"")</f>
        <v/>
      </c>
      <c r="K396" s="20">
        <f>IF(B396="",0,Milestones!$W59)</f>
        <v>0</v>
      </c>
      <c r="L396" s="20">
        <f>IF(B396="",0,Milestones!$X59)</f>
        <v>0</v>
      </c>
      <c r="M396" s="20" t="str">
        <f>IF(B396="","",Milestones!$AA59)</f>
        <v/>
      </c>
      <c r="N396" s="20" t="str">
        <f>IF(B396="","",Milestones!$AB59)</f>
        <v/>
      </c>
      <c r="O396" s="27">
        <f>IF(B396="","",Milestones!$Y59)</f>
        <v>45607</v>
      </c>
      <c r="P396" s="27">
        <f>IF(B396="","",Milestones!$Z59)</f>
        <v>45607</v>
      </c>
      <c r="Q396" s="20" t="str">
        <f t="shared" si="55"/>
        <v>2024-11-11</v>
      </c>
      <c r="R396" s="20" t="str">
        <f>IF(A396="","",IF(J396&lt;&gt;"",J396,IF(H396="TIMESTAMP",DAY(INT(M396/1440))&amp;" "&amp;INDEX(nLIST_Months,MONTH(INT(M396/1440)))&amp;" "&amp;YEAR(INT(M396/1440))&amp;" "&amp;RIGHT("0"&amp;INT(MOD(M396,1440)/60),2)&amp;":"&amp;RIGHT("0"&amp;MOD(M396,60),2)&amp;IF(L396=1," (UTC"&amp;I396&amp;")"," (offset unknown)"),IF(H396="DATE",DAY(O396)&amp;" "&amp;INDEX(nLIST_Months,MONTH(O396))&amp;" "&amp;YEAR(O396),IF(H396="MONTH",INDEX(nLIST_Months,MONTH(O396))&amp;" "&amp;YEAR(O396)&amp;" ("&amp;DAY(O396)&amp;" "&amp;INDEX(nLIST_Months,MONTH(O396))&amp;" "&amp;YEAR(O396)&amp;" to "&amp;DAY(P396)&amp;" "&amp;INDEX(nLIST_Months,MONTH(P396))&amp;" "&amp;YEAR(P396)&amp;")",IF(H396="YEAR",YEAR(O396)&amp;" (1 January to 31 December)",DAY(O396)&amp;" "&amp;INDEX(nLIST_Months,MONTH(O396))&amp;" "&amp;YEAR(O396)&amp;" to "&amp;DAY(P396)&amp;" "&amp;INDEX(nLIST_Months,MONTH(P396))&amp;" "&amp;YEAR(P396)))))))</f>
        <v>11 November 2024</v>
      </c>
      <c r="S396" s="20" t="str">
        <f>IF(B396="","",Milestones!$L59&amp;"")</f>
        <v>Baseline 11/11/2024</v>
      </c>
      <c r="T396" s="20" t="str">
        <f>IF(B396="","",Milestones!$U59&amp;"")</f>
        <v>Hematology summary</v>
      </c>
      <c r="U396" s="20" t="str">
        <f>IF(B396="","","Milestones row "&amp;ROW(Milestones!$A59)&amp;", Milestone")</f>
        <v>Milestones row 59, Milestone</v>
      </c>
      <c r="V396" s="20">
        <f>IF(A396="",0,COUNTIF(nTP_Key,A396))</f>
        <v>1</v>
      </c>
      <c r="W396" s="20">
        <f t="shared" si="56"/>
        <v>0</v>
      </c>
      <c r="X396" s="20">
        <f t="shared" si="57"/>
        <v>0</v>
      </c>
      <c r="Y396" s="20">
        <f t="shared" si="58"/>
        <v>45607</v>
      </c>
      <c r="Z396" s="20">
        <f t="shared" si="59"/>
        <v>45607</v>
      </c>
    </row>
    <row r="397" spans="1:26" x14ac:dyDescent="0.2">
      <c r="A397" s="20" t="str">
        <f t="shared" si="53"/>
        <v>EX-C28|2|M-HBV1</v>
      </c>
      <c r="B397" s="20" t="str">
        <f>IF(AND(Milestones!$C60&lt;&gt;"",COUNTA(Milestones!$M60:$T60)&gt;0),Milestones!$C60&amp;"","")</f>
        <v>M-HBV1</v>
      </c>
      <c r="C397" s="20" t="str">
        <f>IF(B397="","","MILESTONE:"&amp;Milestones!$D60)</f>
        <v>MILESTONE:TEST</v>
      </c>
      <c r="D397" s="20" t="str">
        <f>IF(B397="","",Milestones!$A60&amp;"")</f>
        <v>EX-C28</v>
      </c>
      <c r="E397" s="20" t="str">
        <f>IF(B397="","",Milestones!$B60&amp;"")</f>
        <v>2</v>
      </c>
      <c r="F397" s="20" t="str">
        <f t="shared" si="54"/>
        <v>EX-C28|2</v>
      </c>
      <c r="G397" s="20" t="str">
        <f>IF(B397="","",Milestones!$E60&amp;"")</f>
        <v/>
      </c>
      <c r="H397" s="20" t="str">
        <f>IF(B397="","",Milestones!$M60&amp;"")</f>
        <v>DATE</v>
      </c>
      <c r="I397" s="20" t="str">
        <f>IF(B397="","",Milestones!$P60&amp;"")</f>
        <v/>
      </c>
      <c r="J397" s="20" t="str">
        <f>IF(B397="","",Milestones!$V60&amp;"")</f>
        <v/>
      </c>
      <c r="K397" s="20">
        <f>IF(B397="",0,Milestones!$W60)</f>
        <v>0</v>
      </c>
      <c r="L397" s="20">
        <f>IF(B397="",0,Milestones!$X60)</f>
        <v>0</v>
      </c>
      <c r="M397" s="20" t="str">
        <f>IF(B397="","",Milestones!$AA60)</f>
        <v/>
      </c>
      <c r="N397" s="20" t="str">
        <f>IF(B397="","",Milestones!$AB60)</f>
        <v/>
      </c>
      <c r="O397" s="27">
        <f>IF(B397="","",Milestones!$Y60)</f>
        <v>45901</v>
      </c>
      <c r="P397" s="27">
        <f>IF(B397="","",Milestones!$Z60)</f>
        <v>45901</v>
      </c>
      <c r="Q397" s="20" t="str">
        <f t="shared" si="55"/>
        <v>2025-09-01</v>
      </c>
      <c r="R397" s="20" t="str">
        <f>IF(A397="","",IF(J397&lt;&gt;"",J397,IF(H397="TIMESTAMP",DAY(INT(M397/1440))&amp;" "&amp;INDEX(nLIST_Months,MONTH(INT(M397/1440)))&amp;" "&amp;YEAR(INT(M397/1440))&amp;" "&amp;RIGHT("0"&amp;INT(MOD(M397,1440)/60),2)&amp;":"&amp;RIGHT("0"&amp;MOD(M397,60),2)&amp;IF(L397=1," (UTC"&amp;I397&amp;")"," (offset unknown)"),IF(H397="DATE",DAY(O397)&amp;" "&amp;INDEX(nLIST_Months,MONTH(O397))&amp;" "&amp;YEAR(O397),IF(H397="MONTH",INDEX(nLIST_Months,MONTH(O397))&amp;" "&amp;YEAR(O397)&amp;" ("&amp;DAY(O397)&amp;" "&amp;INDEX(nLIST_Months,MONTH(O397))&amp;" "&amp;YEAR(O397)&amp;" to "&amp;DAY(P397)&amp;" "&amp;INDEX(nLIST_Months,MONTH(P397))&amp;" "&amp;YEAR(P397)&amp;")",IF(H397="YEAR",YEAR(O397)&amp;" (1 January to 31 December)",DAY(O397)&amp;" "&amp;INDEX(nLIST_Months,MONTH(O397))&amp;" "&amp;YEAR(O397)&amp;" to "&amp;DAY(P397)&amp;" "&amp;INDEX(nLIST_Months,MONTH(P397))&amp;" "&amp;YEAR(P397)))))))</f>
        <v>1 September 2025</v>
      </c>
      <c r="S397" s="20" t="str">
        <f>IF(B397="","",Milestones!$L60&amp;"")</f>
        <v>not detected 01/09/2025</v>
      </c>
      <c r="T397" s="20" t="str">
        <f>IF(B397="","",Milestones!$U60&amp;"")</f>
        <v>Hematology summary</v>
      </c>
      <c r="U397" s="20" t="str">
        <f>IF(B397="","","Milestones row "&amp;ROW(Milestones!$A60)&amp;", Milestone")</f>
        <v>Milestones row 60, Milestone</v>
      </c>
      <c r="V397" s="20">
        <f>IF(A397="",0,COUNTIF(nTP_Key,A397))</f>
        <v>1</v>
      </c>
      <c r="W397" s="20">
        <f t="shared" si="56"/>
        <v>0</v>
      </c>
      <c r="X397" s="20">
        <f t="shared" si="57"/>
        <v>0</v>
      </c>
      <c r="Y397" s="20">
        <f t="shared" si="58"/>
        <v>45901</v>
      </c>
      <c r="Z397" s="20">
        <f t="shared" si="59"/>
        <v>45901</v>
      </c>
    </row>
    <row r="398" spans="1:26" x14ac:dyDescent="0.2">
      <c r="A398" s="20" t="str">
        <f t="shared" si="53"/>
        <v>EX-C28|2|M-HBV2</v>
      </c>
      <c r="B398" s="20" t="str">
        <f>IF(AND(Milestones!$C61&lt;&gt;"",COUNTA(Milestones!$M61:$T61)&gt;0),Milestones!$C61&amp;"","")</f>
        <v>M-HBV2</v>
      </c>
      <c r="C398" s="20" t="str">
        <f>IF(B398="","","MILESTONE:"&amp;Milestones!$D61)</f>
        <v>MILESTONE:TEST</v>
      </c>
      <c r="D398" s="20" t="str">
        <f>IF(B398="","",Milestones!$A61&amp;"")</f>
        <v>EX-C28</v>
      </c>
      <c r="E398" s="20" t="str">
        <f>IF(B398="","",Milestones!$B61&amp;"")</f>
        <v>2</v>
      </c>
      <c r="F398" s="20" t="str">
        <f t="shared" si="54"/>
        <v>EX-C28|2</v>
      </c>
      <c r="G398" s="20" t="str">
        <f>IF(B398="","",Milestones!$E61&amp;"")</f>
        <v/>
      </c>
      <c r="H398" s="20" t="str">
        <f>IF(B398="","",Milestones!$M61&amp;"")</f>
        <v>DATE</v>
      </c>
      <c r="I398" s="20" t="str">
        <f>IF(B398="","",Milestones!$P61&amp;"")</f>
        <v/>
      </c>
      <c r="J398" s="20" t="str">
        <f>IF(B398="","",Milestones!$V61&amp;"")</f>
        <v/>
      </c>
      <c r="K398" s="20">
        <f>IF(B398="",0,Milestones!$W61)</f>
        <v>0</v>
      </c>
      <c r="L398" s="20">
        <f>IF(B398="",0,Milestones!$X61)</f>
        <v>0</v>
      </c>
      <c r="M398" s="20" t="str">
        <f>IF(B398="","",Milestones!$AA61)</f>
        <v/>
      </c>
      <c r="N398" s="20" t="str">
        <f>IF(B398="","",Milestones!$AB61)</f>
        <v/>
      </c>
      <c r="O398" s="27">
        <f>IF(B398="","",Milestones!$Y61)</f>
        <v>45992</v>
      </c>
      <c r="P398" s="27">
        <f>IF(B398="","",Milestones!$Z61)</f>
        <v>45992</v>
      </c>
      <c r="Q398" s="20" t="str">
        <f t="shared" si="55"/>
        <v>2025-12-01</v>
      </c>
      <c r="R398" s="20" t="str">
        <f>IF(A398="","",IF(J398&lt;&gt;"",J398,IF(H398="TIMESTAMP",DAY(INT(M398/1440))&amp;" "&amp;INDEX(nLIST_Months,MONTH(INT(M398/1440)))&amp;" "&amp;YEAR(INT(M398/1440))&amp;" "&amp;RIGHT("0"&amp;INT(MOD(M398,1440)/60),2)&amp;":"&amp;RIGHT("0"&amp;MOD(M398,60),2)&amp;IF(L398=1," (UTC"&amp;I398&amp;")"," (offset unknown)"),IF(H398="DATE",DAY(O398)&amp;" "&amp;INDEX(nLIST_Months,MONTH(O398))&amp;" "&amp;YEAR(O398),IF(H398="MONTH",INDEX(nLIST_Months,MONTH(O398))&amp;" "&amp;YEAR(O398)&amp;" ("&amp;DAY(O398)&amp;" "&amp;INDEX(nLIST_Months,MONTH(O398))&amp;" "&amp;YEAR(O398)&amp;" to "&amp;DAY(P398)&amp;" "&amp;INDEX(nLIST_Months,MONTH(P398))&amp;" "&amp;YEAR(P398)&amp;")",IF(H398="YEAR",YEAR(O398)&amp;" (1 January to 31 December)",DAY(O398)&amp;" "&amp;INDEX(nLIST_Months,MONTH(O398))&amp;" "&amp;YEAR(O398)&amp;" to "&amp;DAY(P398)&amp;" "&amp;INDEX(nLIST_Months,MONTH(P398))&amp;" "&amp;YEAR(P398)))))))</f>
        <v>1 December 2025</v>
      </c>
      <c r="S398" s="20" t="str">
        <f>IF(B398="","",Milestones!$L61&amp;"")</f>
        <v>not detected 01/12/2025</v>
      </c>
      <c r="T398" s="20" t="str">
        <f>IF(B398="","",Milestones!$U61&amp;"")</f>
        <v>Hematology summary</v>
      </c>
      <c r="U398" s="20" t="str">
        <f>IF(B398="","","Milestones row "&amp;ROW(Milestones!$A61)&amp;", Milestone")</f>
        <v>Milestones row 61, Milestone</v>
      </c>
      <c r="V398" s="20">
        <f>IF(A398="",0,COUNTIF(nTP_Key,A398))</f>
        <v>1</v>
      </c>
      <c r="W398" s="20">
        <f t="shared" si="56"/>
        <v>0</v>
      </c>
      <c r="X398" s="20">
        <f t="shared" si="57"/>
        <v>0</v>
      </c>
      <c r="Y398" s="20">
        <f t="shared" si="58"/>
        <v>45992</v>
      </c>
      <c r="Z398" s="20">
        <f t="shared" si="59"/>
        <v>45992</v>
      </c>
    </row>
    <row r="399" spans="1:26" x14ac:dyDescent="0.2">
      <c r="A399" s="20" t="str">
        <f t="shared" si="53"/>
        <v>EX-C28|2|M-HBV3</v>
      </c>
      <c r="B399" s="20" t="str">
        <f>IF(AND(Milestones!$C62&lt;&gt;"",COUNTA(Milestones!$M62:$T62)&gt;0),Milestones!$C62&amp;"","")</f>
        <v>M-HBV3</v>
      </c>
      <c r="C399" s="20" t="str">
        <f>IF(B399="","","MILESTONE:"&amp;Milestones!$D62)</f>
        <v>MILESTONE:TEST</v>
      </c>
      <c r="D399" s="20" t="str">
        <f>IF(B399="","",Milestones!$A62&amp;"")</f>
        <v>EX-C28</v>
      </c>
      <c r="E399" s="20" t="str">
        <f>IF(B399="","",Milestones!$B62&amp;"")</f>
        <v>2</v>
      </c>
      <c r="F399" s="20" t="str">
        <f t="shared" si="54"/>
        <v>EX-C28|2</v>
      </c>
      <c r="G399" s="20" t="str">
        <f>IF(B399="","",Milestones!$E62&amp;"")</f>
        <v/>
      </c>
      <c r="H399" s="20" t="str">
        <f>IF(B399="","",Milestones!$M62&amp;"")</f>
        <v>DATE</v>
      </c>
      <c r="I399" s="20" t="str">
        <f>IF(B399="","",Milestones!$P62&amp;"")</f>
        <v/>
      </c>
      <c r="J399" s="20" t="str">
        <f>IF(B399="","",Milestones!$V62&amp;"")</f>
        <v/>
      </c>
      <c r="K399" s="20">
        <f>IF(B399="",0,Milestones!$W62)</f>
        <v>0</v>
      </c>
      <c r="L399" s="20">
        <f>IF(B399="",0,Milestones!$X62)</f>
        <v>0</v>
      </c>
      <c r="M399" s="20" t="str">
        <f>IF(B399="","",Milestones!$AA62)</f>
        <v/>
      </c>
      <c r="N399" s="20" t="str">
        <f>IF(B399="","",Milestones!$AB62)</f>
        <v/>
      </c>
      <c r="O399" s="27">
        <f>IF(B399="","",Milestones!$Y62)</f>
        <v>46062</v>
      </c>
      <c r="P399" s="27">
        <f>IF(B399="","",Milestones!$Z62)</f>
        <v>46062</v>
      </c>
      <c r="Q399" s="20" t="str">
        <f t="shared" si="55"/>
        <v>2026-02-09</v>
      </c>
      <c r="R399" s="20" t="str">
        <f>IF(A399="","",IF(J399&lt;&gt;"",J399,IF(H399="TIMESTAMP",DAY(INT(M399/1440))&amp;" "&amp;INDEX(nLIST_Months,MONTH(INT(M399/1440)))&amp;" "&amp;YEAR(INT(M399/1440))&amp;" "&amp;RIGHT("0"&amp;INT(MOD(M399,1440)/60),2)&amp;":"&amp;RIGHT("0"&amp;MOD(M399,60),2)&amp;IF(L399=1," (UTC"&amp;I399&amp;")"," (offset unknown)"),IF(H399="DATE",DAY(O399)&amp;" "&amp;INDEX(nLIST_Months,MONTH(O399))&amp;" "&amp;YEAR(O399),IF(H399="MONTH",INDEX(nLIST_Months,MONTH(O399))&amp;" "&amp;YEAR(O399)&amp;" ("&amp;DAY(O399)&amp;" "&amp;INDEX(nLIST_Months,MONTH(O399))&amp;" "&amp;YEAR(O399)&amp;" to "&amp;DAY(P399)&amp;" "&amp;INDEX(nLIST_Months,MONTH(P399))&amp;" "&amp;YEAR(P399)&amp;")",IF(H399="YEAR",YEAR(O399)&amp;" (1 January to 31 December)",DAY(O399)&amp;" "&amp;INDEX(nLIST_Months,MONTH(O399))&amp;" "&amp;YEAR(O399)&amp;" to "&amp;DAY(P399)&amp;" "&amp;INDEX(nLIST_Months,MONTH(P399))&amp;" "&amp;YEAR(P399)))))))</f>
        <v>9 February 2026</v>
      </c>
      <c r="S399" s="20" t="str">
        <f>IF(B399="","",Milestones!$L62&amp;"")</f>
        <v>not detected 09/02/2026</v>
      </c>
      <c r="T399" s="20" t="str">
        <f>IF(B399="","",Milestones!$U62&amp;"")</f>
        <v>Hematology summary</v>
      </c>
      <c r="U399" s="20" t="str">
        <f>IF(B399="","","Milestones row "&amp;ROW(Milestones!$A62)&amp;", Milestone")</f>
        <v>Milestones row 62, Milestone</v>
      </c>
      <c r="V399" s="20">
        <f>IF(A399="",0,COUNTIF(nTP_Key,A399))</f>
        <v>1</v>
      </c>
      <c r="W399" s="20">
        <f t="shared" si="56"/>
        <v>0</v>
      </c>
      <c r="X399" s="20">
        <f t="shared" si="57"/>
        <v>0</v>
      </c>
      <c r="Y399" s="20">
        <f t="shared" si="58"/>
        <v>46062</v>
      </c>
      <c r="Z399" s="20">
        <f t="shared" si="59"/>
        <v>46062</v>
      </c>
    </row>
    <row r="400" spans="1:26" x14ac:dyDescent="0.2">
      <c r="A400" s="20" t="str">
        <f t="shared" si="53"/>
        <v>EX-C28|2|M-HBV4</v>
      </c>
      <c r="B400" s="20" t="str">
        <f>IF(AND(Milestones!$C63&lt;&gt;"",COUNTA(Milestones!$M63:$T63)&gt;0),Milestones!$C63&amp;"","")</f>
        <v>M-HBV4</v>
      </c>
      <c r="C400" s="20" t="str">
        <f>IF(B400="","","MILESTONE:"&amp;Milestones!$D63)</f>
        <v>MILESTONE:TEST</v>
      </c>
      <c r="D400" s="20" t="str">
        <f>IF(B400="","",Milestones!$A63&amp;"")</f>
        <v>EX-C28</v>
      </c>
      <c r="E400" s="20" t="str">
        <f>IF(B400="","",Milestones!$B63&amp;"")</f>
        <v>2</v>
      </c>
      <c r="F400" s="20" t="str">
        <f t="shared" si="54"/>
        <v>EX-C28|2</v>
      </c>
      <c r="G400" s="20" t="str">
        <f>IF(B400="","",Milestones!$E63&amp;"")</f>
        <v/>
      </c>
      <c r="H400" s="20" t="str">
        <f>IF(B400="","",Milestones!$M63&amp;"")</f>
        <v>DATE</v>
      </c>
      <c r="I400" s="20" t="str">
        <f>IF(B400="","",Milestones!$P63&amp;"")</f>
        <v/>
      </c>
      <c r="J400" s="20" t="str">
        <f>IF(B400="","",Milestones!$V63&amp;"")</f>
        <v/>
      </c>
      <c r="K400" s="20">
        <f>IF(B400="",0,Milestones!$W63)</f>
        <v>0</v>
      </c>
      <c r="L400" s="20">
        <f>IF(B400="",0,Milestones!$X63)</f>
        <v>0</v>
      </c>
      <c r="M400" s="20" t="str">
        <f>IF(B400="","",Milestones!$AA63)</f>
        <v/>
      </c>
      <c r="N400" s="20" t="str">
        <f>IF(B400="","",Milestones!$AB63)</f>
        <v/>
      </c>
      <c r="O400" s="27">
        <f>IF(B400="","",Milestones!$Y63)</f>
        <v>46154</v>
      </c>
      <c r="P400" s="27">
        <f>IF(B400="","",Milestones!$Z63)</f>
        <v>46154</v>
      </c>
      <c r="Q400" s="20" t="str">
        <f t="shared" si="55"/>
        <v>2026-05-12</v>
      </c>
      <c r="R400" s="20" t="str">
        <f>IF(A400="","",IF(J400&lt;&gt;"",J400,IF(H400="TIMESTAMP",DAY(INT(M400/1440))&amp;" "&amp;INDEX(nLIST_Months,MONTH(INT(M400/1440)))&amp;" "&amp;YEAR(INT(M400/1440))&amp;" "&amp;RIGHT("0"&amp;INT(MOD(M400,1440)/60),2)&amp;":"&amp;RIGHT("0"&amp;MOD(M400,60),2)&amp;IF(L400=1," (UTC"&amp;I400&amp;")"," (offset unknown)"),IF(H400="DATE",DAY(O400)&amp;" "&amp;INDEX(nLIST_Months,MONTH(O400))&amp;" "&amp;YEAR(O400),IF(H400="MONTH",INDEX(nLIST_Months,MONTH(O400))&amp;" "&amp;YEAR(O400)&amp;" ("&amp;DAY(O400)&amp;" "&amp;INDEX(nLIST_Months,MONTH(O400))&amp;" "&amp;YEAR(O400)&amp;" to "&amp;DAY(P400)&amp;" "&amp;INDEX(nLIST_Months,MONTH(P400))&amp;" "&amp;YEAR(P400)&amp;")",IF(H400="YEAR",YEAR(O400)&amp;" (1 January to 31 December)",DAY(O400)&amp;" "&amp;INDEX(nLIST_Months,MONTH(O400))&amp;" "&amp;YEAR(O400)&amp;" to "&amp;DAY(P400)&amp;" "&amp;INDEX(nLIST_Months,MONTH(P400))&amp;" "&amp;YEAR(P400)))))))</f>
        <v>12 May 2026</v>
      </c>
      <c r="S400" s="20" t="str">
        <f>IF(B400="","",Milestones!$L63&amp;"")</f>
        <v>12/05/2026 HBV DNA 1,850 IU/mL</v>
      </c>
      <c r="T400" s="20" t="str">
        <f>IF(B400="","",Milestones!$U63&amp;"")</f>
        <v>Hepatology letter</v>
      </c>
      <c r="U400" s="20" t="str">
        <f>IF(B400="","","Milestones row "&amp;ROW(Milestones!$A63)&amp;", Milestone")</f>
        <v>Milestones row 63, Milestone</v>
      </c>
      <c r="V400" s="20">
        <f>IF(A400="",0,COUNTIF(nTP_Key,A400))</f>
        <v>1</v>
      </c>
      <c r="W400" s="20">
        <f t="shared" si="56"/>
        <v>0</v>
      </c>
      <c r="X400" s="20">
        <f t="shared" si="57"/>
        <v>0</v>
      </c>
      <c r="Y400" s="20">
        <f t="shared" si="58"/>
        <v>46154</v>
      </c>
      <c r="Z400" s="20">
        <f t="shared" si="59"/>
        <v>46154</v>
      </c>
    </row>
    <row r="401" spans="1:26" x14ac:dyDescent="0.2">
      <c r="A401" s="20" t="str">
        <f t="shared" si="53"/>
        <v>EX-C28|2|M-BCELL</v>
      </c>
      <c r="B401" s="20" t="str">
        <f>IF(AND(Milestones!$C64&lt;&gt;"",COUNTA(Milestones!$M64:$T64)&gt;0),Milestones!$C64&amp;"","")</f>
        <v>M-BCELL</v>
      </c>
      <c r="C401" s="20" t="str">
        <f>IF(B401="","","MILESTONE:"&amp;Milestones!$D64)</f>
        <v>MILESTONE:TEST</v>
      </c>
      <c r="D401" s="20" t="str">
        <f>IF(B401="","",Milestones!$A64&amp;"")</f>
        <v>EX-C28</v>
      </c>
      <c r="E401" s="20" t="str">
        <f>IF(B401="","",Milestones!$B64&amp;"")</f>
        <v>2</v>
      </c>
      <c r="F401" s="20" t="str">
        <f t="shared" si="54"/>
        <v>EX-C28|2</v>
      </c>
      <c r="G401" s="20" t="str">
        <f>IF(B401="","",Milestones!$E64&amp;"")</f>
        <v/>
      </c>
      <c r="H401" s="20" t="str">
        <f>IF(B401="","",Milestones!$M64&amp;"")</f>
        <v>DATE</v>
      </c>
      <c r="I401" s="20" t="str">
        <f>IF(B401="","",Milestones!$P64&amp;"")</f>
        <v/>
      </c>
      <c r="J401" s="20" t="str">
        <f>IF(B401="","",Milestones!$V64&amp;"")</f>
        <v/>
      </c>
      <c r="K401" s="20">
        <f>IF(B401="",0,Milestones!$W64)</f>
        <v>0</v>
      </c>
      <c r="L401" s="20">
        <f>IF(B401="",0,Milestones!$X64)</f>
        <v>0</v>
      </c>
      <c r="M401" s="20" t="str">
        <f>IF(B401="","",Milestones!$AA64)</f>
        <v/>
      </c>
      <c r="N401" s="20" t="str">
        <f>IF(B401="","",Milestones!$AB64)</f>
        <v/>
      </c>
      <c r="O401" s="27">
        <f>IF(B401="","",Milestones!$Y64)</f>
        <v>46154</v>
      </c>
      <c r="P401" s="27">
        <f>IF(B401="","",Milestones!$Z64)</f>
        <v>46154</v>
      </c>
      <c r="Q401" s="20" t="str">
        <f t="shared" si="55"/>
        <v>2026-05-12</v>
      </c>
      <c r="R401" s="20" t="str">
        <f>IF(A401="","",IF(J401&lt;&gt;"",J401,IF(H401="TIMESTAMP",DAY(INT(M401/1440))&amp;" "&amp;INDEX(nLIST_Months,MONTH(INT(M401/1440)))&amp;" "&amp;YEAR(INT(M401/1440))&amp;" "&amp;RIGHT("0"&amp;INT(MOD(M401,1440)/60),2)&amp;":"&amp;RIGHT("0"&amp;MOD(M401,60),2)&amp;IF(L401=1," (UTC"&amp;I401&amp;")"," (offset unknown)"),IF(H401="DATE",DAY(O401)&amp;" "&amp;INDEX(nLIST_Months,MONTH(O401))&amp;" "&amp;YEAR(O401),IF(H401="MONTH",INDEX(nLIST_Months,MONTH(O401))&amp;" "&amp;YEAR(O401)&amp;" ("&amp;DAY(O401)&amp;" "&amp;INDEX(nLIST_Months,MONTH(O401))&amp;" "&amp;YEAR(O401)&amp;" to "&amp;DAY(P401)&amp;" "&amp;INDEX(nLIST_Months,MONTH(P401))&amp;" "&amp;YEAR(P401)&amp;")",IF(H401="YEAR",YEAR(O401)&amp;" (1 January to 31 December)",DAY(O401)&amp;" "&amp;INDEX(nLIST_Months,MONTH(O401))&amp;" "&amp;YEAR(O401)&amp;" to "&amp;DAY(P401)&amp;" "&amp;INDEX(nLIST_Months,MONTH(P401))&amp;" "&amp;YEAR(P401)))))))</f>
        <v>12 May 2026</v>
      </c>
      <c r="S401" s="20" t="str">
        <f>IF(B401="","",Milestones!$L64&amp;"")</f>
        <v>CD19 B cells and IgG below reference range on 12/05/2026</v>
      </c>
      <c r="T401" s="20" t="str">
        <f>IF(B401="","",Milestones!$U64&amp;"")</f>
        <v>Hepatology letter</v>
      </c>
      <c r="U401" s="20" t="str">
        <f>IF(B401="","","Milestones row "&amp;ROW(Milestones!$A64)&amp;", Milestone")</f>
        <v>Milestones row 64, Milestone</v>
      </c>
      <c r="V401" s="20">
        <f>IF(A401="",0,COUNTIF(nTP_Key,A401))</f>
        <v>1</v>
      </c>
      <c r="W401" s="20">
        <f t="shared" si="56"/>
        <v>0</v>
      </c>
      <c r="X401" s="20">
        <f t="shared" si="57"/>
        <v>0</v>
      </c>
      <c r="Y401" s="20">
        <f t="shared" si="58"/>
        <v>46154</v>
      </c>
      <c r="Z401" s="20">
        <f t="shared" si="59"/>
        <v>46154</v>
      </c>
    </row>
    <row r="402" spans="1:26" x14ac:dyDescent="0.2">
      <c r="A402" s="20" t="str">
        <f t="shared" si="53"/>
        <v>EX-C28|2|M-HEP</v>
      </c>
      <c r="B402" s="20" t="str">
        <f>IF(AND(Milestones!$C65&lt;&gt;"",COUNTA(Milestones!$M65:$T65)&gt;0),Milestones!$C65&amp;"","")</f>
        <v>M-HEP</v>
      </c>
      <c r="C402" s="20" t="str">
        <f>IF(B402="","","MILESTONE:"&amp;Milestones!$D65)</f>
        <v>MILESTONE:TEST</v>
      </c>
      <c r="D402" s="20" t="str">
        <f>IF(B402="","",Milestones!$A65&amp;"")</f>
        <v>EX-C28</v>
      </c>
      <c r="E402" s="20" t="str">
        <f>IF(B402="","",Milestones!$B65&amp;"")</f>
        <v>2</v>
      </c>
      <c r="F402" s="20" t="str">
        <f t="shared" si="54"/>
        <v>EX-C28|2</v>
      </c>
      <c r="G402" s="20" t="str">
        <f>IF(B402="","",Milestones!$E65&amp;"")</f>
        <v/>
      </c>
      <c r="H402" s="20" t="str">
        <f>IF(B402="","",Milestones!$M65&amp;"")</f>
        <v>DATE</v>
      </c>
      <c r="I402" s="20" t="str">
        <f>IF(B402="","",Milestones!$P65&amp;"")</f>
        <v/>
      </c>
      <c r="J402" s="20" t="str">
        <f>IF(B402="","",Milestones!$V65&amp;"")</f>
        <v/>
      </c>
      <c r="K402" s="20">
        <f>IF(B402="",0,Milestones!$W65)</f>
        <v>0</v>
      </c>
      <c r="L402" s="20">
        <f>IF(B402="",0,Milestones!$X65)</f>
        <v>0</v>
      </c>
      <c r="M402" s="20" t="str">
        <f>IF(B402="","",Milestones!$AA65)</f>
        <v/>
      </c>
      <c r="N402" s="20" t="str">
        <f>IF(B402="","",Milestones!$AB65)</f>
        <v/>
      </c>
      <c r="O402" s="27">
        <f>IF(B402="","",Milestones!$Y65)</f>
        <v>46168</v>
      </c>
      <c r="P402" s="27">
        <f>IF(B402="","",Milestones!$Z65)</f>
        <v>46168</v>
      </c>
      <c r="Q402" s="20" t="str">
        <f t="shared" si="55"/>
        <v>2026-05-26</v>
      </c>
      <c r="R402" s="20" t="str">
        <f>IF(A402="","",IF(J402&lt;&gt;"",J402,IF(H402="TIMESTAMP",DAY(INT(M402/1440))&amp;" "&amp;INDEX(nLIST_Months,MONTH(INT(M402/1440)))&amp;" "&amp;YEAR(INT(M402/1440))&amp;" "&amp;RIGHT("0"&amp;INT(MOD(M402,1440)/60),2)&amp;":"&amp;RIGHT("0"&amp;MOD(M402,60),2)&amp;IF(L402=1," (UTC"&amp;I402&amp;")"," (offset unknown)"),IF(H402="DATE",DAY(O402)&amp;" "&amp;INDEX(nLIST_Months,MONTH(O402))&amp;" "&amp;YEAR(O402),IF(H402="MONTH",INDEX(nLIST_Months,MONTH(O402))&amp;" "&amp;YEAR(O402)&amp;" ("&amp;DAY(O402)&amp;" "&amp;INDEX(nLIST_Months,MONTH(O402))&amp;" "&amp;YEAR(O402)&amp;" to "&amp;DAY(P402)&amp;" "&amp;INDEX(nLIST_Months,MONTH(P402))&amp;" "&amp;YEAR(P402)&amp;")",IF(H402="YEAR",YEAR(O402)&amp;" (1 January to 31 December)",DAY(O402)&amp;" "&amp;INDEX(nLIST_Months,MONTH(O402))&amp;" "&amp;YEAR(O402)&amp;" to "&amp;DAY(P402)&amp;" "&amp;INDEX(nLIST_Months,MONTH(P402))&amp;" "&amp;YEAR(P402)))))))</f>
        <v>26 May 2026</v>
      </c>
      <c r="S402" s="20" t="str">
        <f>IF(B402="","",Milestones!$L65&amp;"")</f>
        <v>26/05/2026 HBV DNA 64,000 IU/mL, HBsAg positive, ALT 142 U/L</v>
      </c>
      <c r="T402" s="20" t="str">
        <f>IF(B402="","",Milestones!$U65&amp;"")</f>
        <v>Hepatology letter</v>
      </c>
      <c r="U402" s="20" t="str">
        <f>IF(B402="","","Milestones row "&amp;ROW(Milestones!$A65)&amp;", Milestone")</f>
        <v>Milestones row 65, Milestone</v>
      </c>
      <c r="V402" s="20">
        <f>IF(A402="",0,COUNTIF(nTP_Key,A402))</f>
        <v>1</v>
      </c>
      <c r="W402" s="20">
        <f t="shared" si="56"/>
        <v>0</v>
      </c>
      <c r="X402" s="20">
        <f t="shared" si="57"/>
        <v>0</v>
      </c>
      <c r="Y402" s="20">
        <f t="shared" si="58"/>
        <v>46168</v>
      </c>
      <c r="Z402" s="20">
        <f t="shared" si="59"/>
        <v>46168</v>
      </c>
    </row>
    <row r="403" spans="1:26" x14ac:dyDescent="0.2">
      <c r="A403" s="20" t="str">
        <f t="shared" si="53"/>
        <v>EX-C28|2|M-AV</v>
      </c>
      <c r="B403" s="20" t="str">
        <f>IF(AND(Milestones!$C66&lt;&gt;"",COUNTA(Milestones!$M66:$T66)&gt;0),Milestones!$C66&amp;"","")</f>
        <v>M-AV</v>
      </c>
      <c r="C403" s="20" t="str">
        <f>IF(B403="","","MILESTONE:"&amp;Milestones!$D66)</f>
        <v>MILESTONE:INTERVENTION</v>
      </c>
      <c r="D403" s="20" t="str">
        <f>IF(B403="","",Milestones!$A66&amp;"")</f>
        <v>EX-C28</v>
      </c>
      <c r="E403" s="20" t="str">
        <f>IF(B403="","",Milestones!$B66&amp;"")</f>
        <v>2</v>
      </c>
      <c r="F403" s="20" t="str">
        <f t="shared" si="54"/>
        <v>EX-C28|2</v>
      </c>
      <c r="G403" s="20" t="str">
        <f>IF(B403="","",Milestones!$E66&amp;"")</f>
        <v/>
      </c>
      <c r="H403" s="20" t="str">
        <f>IF(B403="","",Milestones!$M66&amp;"")</f>
        <v>DATE</v>
      </c>
      <c r="I403" s="20" t="str">
        <f>IF(B403="","",Milestones!$P66&amp;"")</f>
        <v/>
      </c>
      <c r="J403" s="20" t="str">
        <f>IF(B403="","",Milestones!$V66&amp;"")</f>
        <v/>
      </c>
      <c r="K403" s="20">
        <f>IF(B403="",0,Milestones!$W66)</f>
        <v>0</v>
      </c>
      <c r="L403" s="20">
        <f>IF(B403="",0,Milestones!$X66)</f>
        <v>0</v>
      </c>
      <c r="M403" s="20" t="str">
        <f>IF(B403="","",Milestones!$AA66)</f>
        <v/>
      </c>
      <c r="N403" s="20" t="str">
        <f>IF(B403="","",Milestones!$AB66)</f>
        <v/>
      </c>
      <c r="O403" s="27">
        <f>IF(B403="","",Milestones!$Y66)</f>
        <v>46169</v>
      </c>
      <c r="P403" s="27">
        <f>IF(B403="","",Milestones!$Z66)</f>
        <v>46169</v>
      </c>
      <c r="Q403" s="20" t="str">
        <f t="shared" si="55"/>
        <v>2026-05-27</v>
      </c>
      <c r="R403" s="20" t="str">
        <f>IF(A403="","",IF(J403&lt;&gt;"",J403,IF(H403="TIMESTAMP",DAY(INT(M403/1440))&amp;" "&amp;INDEX(nLIST_Months,MONTH(INT(M403/1440)))&amp;" "&amp;YEAR(INT(M403/1440))&amp;" "&amp;RIGHT("0"&amp;INT(MOD(M403,1440)/60),2)&amp;":"&amp;RIGHT("0"&amp;MOD(M403,60),2)&amp;IF(L403=1," (UTC"&amp;I403&amp;")"," (offset unknown)"),IF(H403="DATE",DAY(O403)&amp;" "&amp;INDEX(nLIST_Months,MONTH(O403))&amp;" "&amp;YEAR(O403),IF(H403="MONTH",INDEX(nLIST_Months,MONTH(O403))&amp;" "&amp;YEAR(O403)&amp;" ("&amp;DAY(O403)&amp;" "&amp;INDEX(nLIST_Months,MONTH(O403))&amp;" "&amp;YEAR(O403)&amp;" to "&amp;DAY(P403)&amp;" "&amp;INDEX(nLIST_Months,MONTH(P403))&amp;" "&amp;YEAR(P403)&amp;")",IF(H403="YEAR",YEAR(O403)&amp;" (1 January to 31 December)",DAY(O403)&amp;" "&amp;INDEX(nLIST_Months,MONTH(O403))&amp;" "&amp;YEAR(O403)&amp;" to "&amp;DAY(P403)&amp;" "&amp;INDEX(nLIST_Months,MONTH(P403))&amp;" "&amp;YEAR(P403)))))))</f>
        <v>27 May 2026</v>
      </c>
      <c r="S403" s="20" t="str">
        <f>IF(B403="","",Milestones!$L66&amp;"")</f>
        <v>Antiviral A restarted 27/05/2026</v>
      </c>
      <c r="T403" s="20" t="str">
        <f>IF(B403="","",Milestones!$U66&amp;"")</f>
        <v>Hepatology letter</v>
      </c>
      <c r="U403" s="20" t="str">
        <f>IF(B403="","","Milestones row "&amp;ROW(Milestones!$A66)&amp;", Milestone")</f>
        <v>Milestones row 66, Milestone</v>
      </c>
      <c r="V403" s="20">
        <f>IF(A403="",0,COUNTIF(nTP_Key,A403))</f>
        <v>1</v>
      </c>
      <c r="W403" s="20">
        <f t="shared" si="56"/>
        <v>0</v>
      </c>
      <c r="X403" s="20">
        <f t="shared" si="57"/>
        <v>0</v>
      </c>
      <c r="Y403" s="20">
        <f t="shared" si="58"/>
        <v>46169</v>
      </c>
      <c r="Z403" s="20">
        <f t="shared" si="59"/>
        <v>46169</v>
      </c>
    </row>
  </sheetData>
  <sheetProtection sheet="1" objects="1" scenarios="1" formatColumns="0" formatRows="0" autoFilter="0"/>
  <autoFilter ref="A4:Z403" xr:uid="{A332B6E1-9981-469E-A2A7-99AD5F9661E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7D9EC3-9155-42DE-A6B3-77873FB2A81A}">
  <dimension ref="A1:D28"/>
  <sheetViews>
    <sheetView zoomScale="90" zoomScaleNormal="90" workbookViewId="0"/>
  </sheetViews>
  <sheetFormatPr defaultRowHeight="12.75" x14ac:dyDescent="0.2"/>
  <cols>
    <col min="1" max="1" width="36.7109375" style="1" customWidth="1"/>
    <col min="2" max="2" width="9.7109375" style="1" customWidth="1"/>
    <col min="3" max="3" width="48.7109375" style="1" customWidth="1"/>
    <col min="4" max="4" width="95.7109375" style="1" customWidth="1"/>
    <col min="5" max="16384" width="9.140625" style="1"/>
  </cols>
  <sheetData>
    <row r="1" spans="1:4" ht="17.25" x14ac:dyDescent="0.3">
      <c r="A1" s="3" t="s">
        <v>190</v>
      </c>
    </row>
    <row r="2" spans="1:4" x14ac:dyDescent="0.2">
      <c r="A2" s="1" t="s">
        <v>191</v>
      </c>
    </row>
    <row r="4" spans="1:4" x14ac:dyDescent="0.2">
      <c r="A4" s="5" t="s">
        <v>192</v>
      </c>
      <c r="B4" s="5" t="s">
        <v>193</v>
      </c>
      <c r="C4" s="5" t="s">
        <v>194</v>
      </c>
      <c r="D4" s="5" t="s">
        <v>195</v>
      </c>
    </row>
    <row r="5" spans="1:4" x14ac:dyDescent="0.2">
      <c r="A5" s="1" t="s">
        <v>196</v>
      </c>
      <c r="B5" s="1" t="s">
        <v>197</v>
      </c>
      <c r="C5" s="1" t="s">
        <v>198</v>
      </c>
      <c r="D5" s="1" t="s">
        <v>199</v>
      </c>
    </row>
    <row r="6" spans="1:4" x14ac:dyDescent="0.2">
      <c r="A6" s="1" t="s">
        <v>200</v>
      </c>
      <c r="B6" s="1" t="s">
        <v>197</v>
      </c>
      <c r="C6" s="1" t="s">
        <v>201</v>
      </c>
      <c r="D6" s="1" t="s">
        <v>202</v>
      </c>
    </row>
    <row r="7" spans="1:4" x14ac:dyDescent="0.2">
      <c r="A7" s="1" t="s">
        <v>203</v>
      </c>
      <c r="B7" s="1" t="s">
        <v>197</v>
      </c>
      <c r="C7" s="1" t="s">
        <v>204</v>
      </c>
      <c r="D7" s="1" t="s">
        <v>205</v>
      </c>
    </row>
    <row r="8" spans="1:4" x14ac:dyDescent="0.2">
      <c r="A8" s="1" t="s">
        <v>206</v>
      </c>
      <c r="B8" s="1" t="s">
        <v>197</v>
      </c>
      <c r="C8" s="1" t="s">
        <v>207</v>
      </c>
      <c r="D8" s="1" t="s">
        <v>208</v>
      </c>
    </row>
    <row r="9" spans="1:4" x14ac:dyDescent="0.2">
      <c r="A9" s="1" t="s">
        <v>209</v>
      </c>
      <c r="B9" s="1" t="s">
        <v>197</v>
      </c>
      <c r="C9" s="1" t="s">
        <v>210</v>
      </c>
      <c r="D9" s="1" t="s">
        <v>211</v>
      </c>
    </row>
    <row r="10" spans="1:4" x14ac:dyDescent="0.2">
      <c r="A10" s="1" t="s">
        <v>212</v>
      </c>
      <c r="B10" s="1" t="s">
        <v>197</v>
      </c>
      <c r="C10" s="1" t="s">
        <v>213</v>
      </c>
      <c r="D10" s="1" t="s">
        <v>214</v>
      </c>
    </row>
    <row r="11" spans="1:4" x14ac:dyDescent="0.2">
      <c r="A11" s="1" t="s">
        <v>215</v>
      </c>
      <c r="B11" s="1" t="s">
        <v>197</v>
      </c>
      <c r="C11" s="1" t="s">
        <v>216</v>
      </c>
      <c r="D11" s="1" t="s">
        <v>217</v>
      </c>
    </row>
    <row r="12" spans="1:4" x14ac:dyDescent="0.2">
      <c r="A12" s="1" t="s">
        <v>218</v>
      </c>
      <c r="B12" s="1" t="s">
        <v>197</v>
      </c>
      <c r="C12" s="1" t="s">
        <v>219</v>
      </c>
      <c r="D12" s="1" t="s">
        <v>220</v>
      </c>
    </row>
    <row r="13" spans="1:4" x14ac:dyDescent="0.2">
      <c r="A13" s="1" t="s">
        <v>221</v>
      </c>
      <c r="B13" s="1" t="s">
        <v>197</v>
      </c>
      <c r="C13" s="1" t="s">
        <v>222</v>
      </c>
      <c r="D13" s="1" t="s">
        <v>223</v>
      </c>
    </row>
    <row r="14" spans="1:4" x14ac:dyDescent="0.2">
      <c r="A14" s="1" t="s">
        <v>224</v>
      </c>
      <c r="B14" s="1" t="s">
        <v>197</v>
      </c>
      <c r="C14" s="1" t="s">
        <v>225</v>
      </c>
      <c r="D14" s="1" t="s">
        <v>226</v>
      </c>
    </row>
    <row r="15" spans="1:4" x14ac:dyDescent="0.2">
      <c r="A15" s="1" t="s">
        <v>227</v>
      </c>
      <c r="B15" s="1" t="s">
        <v>197</v>
      </c>
      <c r="C15" s="1" t="s">
        <v>228</v>
      </c>
      <c r="D15" s="1" t="s">
        <v>229</v>
      </c>
    </row>
    <row r="16" spans="1:4" x14ac:dyDescent="0.2">
      <c r="A16" s="1" t="s">
        <v>230</v>
      </c>
      <c r="B16" s="1" t="s">
        <v>231</v>
      </c>
      <c r="C16" s="1" t="s">
        <v>232</v>
      </c>
      <c r="D16" s="1" t="s">
        <v>233</v>
      </c>
    </row>
    <row r="17" spans="1:4" x14ac:dyDescent="0.2">
      <c r="A17" s="1" t="s">
        <v>234</v>
      </c>
      <c r="B17" s="1" t="s">
        <v>231</v>
      </c>
      <c r="C17" s="1" t="s">
        <v>235</v>
      </c>
      <c r="D17" s="1" t="s">
        <v>236</v>
      </c>
    </row>
    <row r="18" spans="1:4" x14ac:dyDescent="0.2">
      <c r="A18" s="1" t="s">
        <v>237</v>
      </c>
      <c r="B18" s="1" t="s">
        <v>231</v>
      </c>
      <c r="C18" s="1" t="s">
        <v>238</v>
      </c>
      <c r="D18" s="1" t="s">
        <v>239</v>
      </c>
    </row>
    <row r="19" spans="1:4" x14ac:dyDescent="0.2">
      <c r="A19" s="1" t="s">
        <v>240</v>
      </c>
      <c r="B19" s="1" t="s">
        <v>231</v>
      </c>
      <c r="C19" s="1" t="s">
        <v>241</v>
      </c>
      <c r="D19" s="1" t="s">
        <v>242</v>
      </c>
    </row>
    <row r="20" spans="1:4" x14ac:dyDescent="0.2">
      <c r="A20" s="1" t="s">
        <v>243</v>
      </c>
      <c r="B20" s="1" t="s">
        <v>231</v>
      </c>
      <c r="C20" s="1" t="s">
        <v>244</v>
      </c>
      <c r="D20" s="1" t="s">
        <v>245</v>
      </c>
    </row>
    <row r="21" spans="1:4" x14ac:dyDescent="0.2">
      <c r="A21" s="1" t="s">
        <v>246</v>
      </c>
      <c r="B21" s="1" t="s">
        <v>231</v>
      </c>
      <c r="C21" s="1" t="s">
        <v>247</v>
      </c>
      <c r="D21" s="1" t="s">
        <v>248</v>
      </c>
    </row>
    <row r="22" spans="1:4" x14ac:dyDescent="0.2">
      <c r="A22" s="1" t="s">
        <v>249</v>
      </c>
      <c r="B22" s="1" t="s">
        <v>231</v>
      </c>
      <c r="C22" s="1" t="s">
        <v>250</v>
      </c>
      <c r="D22" s="1" t="s">
        <v>251</v>
      </c>
    </row>
    <row r="23" spans="1:4" x14ac:dyDescent="0.2">
      <c r="A23" s="1" t="s">
        <v>252</v>
      </c>
      <c r="B23" s="1" t="s">
        <v>231</v>
      </c>
      <c r="C23" s="1" t="s">
        <v>253</v>
      </c>
      <c r="D23" s="1" t="s">
        <v>254</v>
      </c>
    </row>
    <row r="24" spans="1:4" x14ac:dyDescent="0.2">
      <c r="A24" s="1" t="s">
        <v>255</v>
      </c>
      <c r="B24" s="1" t="s">
        <v>231</v>
      </c>
      <c r="C24" s="1" t="s">
        <v>256</v>
      </c>
      <c r="D24" s="1" t="s">
        <v>257</v>
      </c>
    </row>
    <row r="25" spans="1:4" x14ac:dyDescent="0.2">
      <c r="A25" s="1" t="s">
        <v>258</v>
      </c>
      <c r="B25" s="1" t="s">
        <v>259</v>
      </c>
      <c r="C25" s="1" t="s">
        <v>260</v>
      </c>
      <c r="D25" s="1" t="s">
        <v>261</v>
      </c>
    </row>
    <row r="26" spans="1:4" x14ac:dyDescent="0.2">
      <c r="A26" s="1" t="s">
        <v>262</v>
      </c>
      <c r="B26" s="1" t="s">
        <v>259</v>
      </c>
      <c r="C26" s="1" t="s">
        <v>263</v>
      </c>
      <c r="D26" s="1" t="s">
        <v>264</v>
      </c>
    </row>
    <row r="27" spans="1:4" x14ac:dyDescent="0.2">
      <c r="A27" s="1" t="s">
        <v>265</v>
      </c>
      <c r="B27" s="1" t="s">
        <v>259</v>
      </c>
      <c r="C27" s="1" t="s">
        <v>266</v>
      </c>
      <c r="D27" s="1" t="s">
        <v>267</v>
      </c>
    </row>
    <row r="28" spans="1:4" x14ac:dyDescent="0.2">
      <c r="A28" s="1" t="s">
        <v>268</v>
      </c>
      <c r="B28" s="1" t="s">
        <v>259</v>
      </c>
      <c r="C28" s="1" t="s">
        <v>269</v>
      </c>
      <c r="D28" s="1" t="s">
        <v>270</v>
      </c>
    </row>
  </sheetData>
  <sheetProtection sheet="1" objects="1" scenarios="1" formatColumns="0" formatRows="0" autoFilter="0"/>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43FC39-7A41-4014-8A05-E77BA3AC3F62}">
  <dimension ref="A1:AE43"/>
  <sheetViews>
    <sheetView zoomScale="90" zoomScaleNormal="90" workbookViewId="0"/>
  </sheetViews>
  <sheetFormatPr defaultRowHeight="12.75" x14ac:dyDescent="0.2"/>
  <cols>
    <col min="1" max="2" width="12.7109375" style="1" customWidth="1"/>
    <col min="3" max="3" width="24.7109375" style="1" customWidth="1"/>
    <col min="4" max="4" width="12.7109375" style="1" customWidth="1"/>
    <col min="5" max="6" width="15.7109375" style="1" customWidth="1"/>
    <col min="7" max="9" width="12.7109375" style="1" customWidth="1"/>
    <col min="10" max="10" width="22.7109375" style="1" customWidth="1"/>
    <col min="11" max="11" width="12.7109375" style="1" customWidth="1"/>
    <col min="12" max="13" width="14.7109375" style="1" customWidth="1"/>
    <col min="14" max="14" width="12.7109375" style="1" customWidth="1"/>
    <col min="15" max="15" width="18.7109375" style="1" customWidth="1"/>
    <col min="16" max="16" width="12.7109375" style="1" customWidth="1"/>
    <col min="17" max="17" width="26.7109375" style="1" customWidth="1"/>
    <col min="18" max="18" width="24.7109375" style="1" customWidth="1"/>
    <col min="19" max="19" width="17.7109375" style="1" customWidth="1"/>
    <col min="20" max="20" width="12.7109375" style="1" customWidth="1"/>
    <col min="21" max="21" width="41.7109375" style="1" customWidth="1"/>
    <col min="22" max="22" width="34.7109375" style="1" customWidth="1"/>
    <col min="23" max="23" width="15.7109375" style="1" customWidth="1"/>
    <col min="24" max="24" width="16.7109375" style="1" customWidth="1"/>
    <col min="25" max="25" width="22.7109375" style="1" customWidth="1"/>
    <col min="26" max="26" width="14.7109375" style="1" customWidth="1"/>
    <col min="27" max="27" width="24.7109375" style="1" customWidth="1"/>
    <col min="28" max="29" width="12.7109375" style="1" customWidth="1"/>
    <col min="30" max="30" width="19.7109375" style="1" customWidth="1"/>
    <col min="31" max="31" width="12.7109375" style="1" customWidth="1"/>
    <col min="32" max="16384" width="9.140625" style="1"/>
  </cols>
  <sheetData>
    <row r="1" spans="1:31" ht="17.25" x14ac:dyDescent="0.3">
      <c r="A1" s="3" t="s">
        <v>0</v>
      </c>
    </row>
    <row r="2" spans="1:31" x14ac:dyDescent="0.2">
      <c r="A2" s="1" t="s">
        <v>1</v>
      </c>
    </row>
    <row r="4" spans="1:31" x14ac:dyDescent="0.2">
      <c r="A4" s="2" t="s">
        <v>2</v>
      </c>
      <c r="B4" s="2" t="s">
        <v>8</v>
      </c>
      <c r="C4" s="2" t="s">
        <v>48</v>
      </c>
      <c r="D4" s="2" t="s">
        <v>56</v>
      </c>
      <c r="E4" s="2" t="s">
        <v>60</v>
      </c>
      <c r="F4" s="2" t="s">
        <v>63</v>
      </c>
      <c r="G4" s="2" t="s">
        <v>71</v>
      </c>
      <c r="H4" s="2" t="s">
        <v>72</v>
      </c>
      <c r="I4" s="2" t="s">
        <v>73</v>
      </c>
      <c r="J4" s="2" t="s">
        <v>76</v>
      </c>
      <c r="K4" s="2" t="s">
        <v>82</v>
      </c>
      <c r="L4" s="2" t="s">
        <v>85</v>
      </c>
      <c r="M4" s="2" t="s">
        <v>89</v>
      </c>
      <c r="N4" s="2" t="s">
        <v>93</v>
      </c>
      <c r="O4" s="2" t="s">
        <v>96</v>
      </c>
      <c r="P4" s="2" t="s">
        <v>99</v>
      </c>
      <c r="Q4" s="2" t="s">
        <v>102</v>
      </c>
      <c r="R4" s="2" t="s">
        <v>110</v>
      </c>
      <c r="S4" s="2" t="s">
        <v>117</v>
      </c>
      <c r="T4" s="2" t="s">
        <v>126</v>
      </c>
      <c r="U4" s="2" t="s">
        <v>130</v>
      </c>
      <c r="V4" s="2" t="s">
        <v>135</v>
      </c>
      <c r="W4" s="2" t="s">
        <v>142</v>
      </c>
      <c r="X4" s="2" t="s">
        <v>146</v>
      </c>
      <c r="Y4" s="2" t="s">
        <v>151</v>
      </c>
      <c r="Z4" s="2" t="s">
        <v>156</v>
      </c>
      <c r="AA4" s="2" t="s">
        <v>159</v>
      </c>
      <c r="AB4" s="2" t="s">
        <v>165</v>
      </c>
      <c r="AC4" s="2" t="s">
        <v>169</v>
      </c>
      <c r="AD4" s="2" t="s">
        <v>174</v>
      </c>
      <c r="AE4" s="2" t="s">
        <v>177</v>
      </c>
    </row>
    <row r="5" spans="1:31" x14ac:dyDescent="0.2">
      <c r="A5" s="4" t="s">
        <v>3</v>
      </c>
      <c r="B5" s="4" t="s">
        <v>9</v>
      </c>
      <c r="C5" s="4" t="s">
        <v>49</v>
      </c>
      <c r="D5" s="4" t="s">
        <v>57</v>
      </c>
      <c r="E5" s="4" t="s">
        <v>61</v>
      </c>
      <c r="F5" s="4" t="s">
        <v>64</v>
      </c>
      <c r="G5" s="4" t="s">
        <v>64</v>
      </c>
      <c r="H5" s="4" t="s">
        <v>66</v>
      </c>
      <c r="I5" s="4" t="s">
        <v>74</v>
      </c>
      <c r="J5" s="4" t="s">
        <v>77</v>
      </c>
      <c r="K5" s="4" t="s">
        <v>83</v>
      </c>
      <c r="L5" s="4" t="s">
        <v>86</v>
      </c>
      <c r="M5" s="4" t="s">
        <v>90</v>
      </c>
      <c r="N5" s="4" t="s">
        <v>94</v>
      </c>
      <c r="O5" s="4" t="s">
        <v>97</v>
      </c>
      <c r="P5" s="4" t="s">
        <v>100</v>
      </c>
      <c r="Q5" s="4" t="s">
        <v>103</v>
      </c>
      <c r="R5" s="4" t="s">
        <v>111</v>
      </c>
      <c r="S5" s="4" t="s">
        <v>118</v>
      </c>
      <c r="T5" s="4" t="s">
        <v>127</v>
      </c>
      <c r="U5" s="4" t="s">
        <v>131</v>
      </c>
      <c r="V5" s="4" t="s">
        <v>136</v>
      </c>
      <c r="W5" s="4" t="s">
        <v>143</v>
      </c>
      <c r="X5" s="4" t="s">
        <v>147</v>
      </c>
      <c r="Y5" s="4" t="s">
        <v>152</v>
      </c>
      <c r="Z5" s="4" t="s">
        <v>157</v>
      </c>
      <c r="AA5" s="4" t="s">
        <v>160</v>
      </c>
      <c r="AB5" s="4" t="s">
        <v>166</v>
      </c>
      <c r="AC5" s="4" t="s">
        <v>170</v>
      </c>
      <c r="AD5" s="4" t="s">
        <v>175</v>
      </c>
      <c r="AE5" s="4" t="s">
        <v>178</v>
      </c>
    </row>
    <row r="6" spans="1:31" x14ac:dyDescent="0.2">
      <c r="A6" s="4" t="s">
        <v>4</v>
      </c>
      <c r="B6" s="4" t="s">
        <v>10</v>
      </c>
      <c r="C6" s="4" t="s">
        <v>50</v>
      </c>
      <c r="D6" s="4" t="s">
        <v>58</v>
      </c>
      <c r="E6" s="4" t="s">
        <v>62</v>
      </c>
      <c r="F6" s="4" t="s">
        <v>65</v>
      </c>
      <c r="G6" s="4" t="s">
        <v>65</v>
      </c>
      <c r="I6" s="4" t="s">
        <v>75</v>
      </c>
      <c r="J6" s="4" t="s">
        <v>78</v>
      </c>
      <c r="K6" s="4" t="s">
        <v>84</v>
      </c>
      <c r="L6" s="4" t="s">
        <v>87</v>
      </c>
      <c r="M6" s="4" t="s">
        <v>91</v>
      </c>
      <c r="N6" s="4" t="s">
        <v>95</v>
      </c>
      <c r="O6" s="4" t="s">
        <v>98</v>
      </c>
      <c r="P6" s="4" t="s">
        <v>101</v>
      </c>
      <c r="Q6" s="4" t="s">
        <v>104</v>
      </c>
      <c r="R6" s="4" t="s">
        <v>112</v>
      </c>
      <c r="S6" s="4" t="s">
        <v>119</v>
      </c>
      <c r="T6" s="4" t="s">
        <v>128</v>
      </c>
      <c r="U6" s="4" t="s">
        <v>132</v>
      </c>
      <c r="V6" s="4" t="s">
        <v>137</v>
      </c>
      <c r="W6" s="4" t="s">
        <v>144</v>
      </c>
      <c r="X6" s="4" t="s">
        <v>148</v>
      </c>
      <c r="Y6" s="4" t="s">
        <v>153</v>
      </c>
      <c r="Z6" s="4" t="s">
        <v>158</v>
      </c>
      <c r="AA6" s="4" t="s">
        <v>161</v>
      </c>
      <c r="AB6" s="4" t="s">
        <v>167</v>
      </c>
      <c r="AC6" s="4" t="s">
        <v>171</v>
      </c>
      <c r="AD6" s="4" t="s">
        <v>176</v>
      </c>
      <c r="AE6" s="4" t="s">
        <v>179</v>
      </c>
    </row>
    <row r="7" spans="1:31" x14ac:dyDescent="0.2">
      <c r="A7" s="4" t="s">
        <v>5</v>
      </c>
      <c r="B7" s="4" t="s">
        <v>11</v>
      </c>
      <c r="C7" s="4" t="s">
        <v>51</v>
      </c>
      <c r="D7" s="4" t="s">
        <v>59</v>
      </c>
      <c r="F7" s="4" t="s">
        <v>66</v>
      </c>
      <c r="G7" s="4" t="s">
        <v>66</v>
      </c>
      <c r="J7" s="4" t="s">
        <v>79</v>
      </c>
      <c r="L7" s="4" t="s">
        <v>88</v>
      </c>
      <c r="M7" s="4" t="s">
        <v>92</v>
      </c>
      <c r="O7" s="4" t="s">
        <v>55</v>
      </c>
      <c r="Q7" s="4" t="s">
        <v>105</v>
      </c>
      <c r="R7" s="4" t="s">
        <v>113</v>
      </c>
      <c r="S7" s="4" t="s">
        <v>120</v>
      </c>
      <c r="T7" s="4" t="s">
        <v>129</v>
      </c>
      <c r="U7" s="4" t="s">
        <v>133</v>
      </c>
      <c r="V7" s="4" t="s">
        <v>138</v>
      </c>
      <c r="W7" s="4" t="s">
        <v>145</v>
      </c>
      <c r="X7" s="4" t="s">
        <v>149</v>
      </c>
      <c r="Y7" s="4" t="s">
        <v>154</v>
      </c>
      <c r="AA7" s="4" t="s">
        <v>162</v>
      </c>
      <c r="AB7" s="4" t="s">
        <v>168</v>
      </c>
      <c r="AC7" s="4" t="s">
        <v>172</v>
      </c>
      <c r="AE7" s="4" t="s">
        <v>180</v>
      </c>
    </row>
    <row r="8" spans="1:31" x14ac:dyDescent="0.2">
      <c r="A8" s="4" t="s">
        <v>6</v>
      </c>
      <c r="B8" s="4" t="s">
        <v>12</v>
      </c>
      <c r="C8" s="4" t="s">
        <v>52</v>
      </c>
      <c r="F8" s="4" t="s">
        <v>67</v>
      </c>
      <c r="J8" s="4" t="s">
        <v>80</v>
      </c>
      <c r="M8" s="4" t="s">
        <v>88</v>
      </c>
      <c r="Q8" s="4" t="s">
        <v>106</v>
      </c>
      <c r="R8" s="4" t="s">
        <v>114</v>
      </c>
      <c r="S8" s="4" t="s">
        <v>121</v>
      </c>
      <c r="U8" s="4" t="s">
        <v>134</v>
      </c>
      <c r="V8" s="4" t="s">
        <v>139</v>
      </c>
      <c r="W8" s="4" t="s">
        <v>116</v>
      </c>
      <c r="X8" s="4" t="s">
        <v>150</v>
      </c>
      <c r="Y8" s="4" t="s">
        <v>155</v>
      </c>
      <c r="AA8" s="4" t="s">
        <v>163</v>
      </c>
      <c r="AC8" s="4" t="s">
        <v>173</v>
      </c>
      <c r="AE8" s="4" t="s">
        <v>181</v>
      </c>
    </row>
    <row r="9" spans="1:31" x14ac:dyDescent="0.2">
      <c r="A9" s="4" t="s">
        <v>7</v>
      </c>
      <c r="B9" s="4" t="s">
        <v>13</v>
      </c>
      <c r="C9" s="4" t="s">
        <v>53</v>
      </c>
      <c r="F9" s="4" t="s">
        <v>68</v>
      </c>
      <c r="J9" s="4" t="s">
        <v>81</v>
      </c>
      <c r="Q9" s="4" t="s">
        <v>107</v>
      </c>
      <c r="R9" s="4" t="s">
        <v>115</v>
      </c>
      <c r="S9" s="4" t="s">
        <v>122</v>
      </c>
      <c r="V9" s="4" t="s">
        <v>140</v>
      </c>
      <c r="AA9" s="4" t="s">
        <v>164</v>
      </c>
      <c r="AE9" s="4" t="s">
        <v>182</v>
      </c>
    </row>
    <row r="10" spans="1:31" x14ac:dyDescent="0.2">
      <c r="B10" s="4" t="s">
        <v>14</v>
      </c>
      <c r="C10" s="4" t="s">
        <v>54</v>
      </c>
      <c r="F10" s="4" t="s">
        <v>69</v>
      </c>
      <c r="Q10" s="4" t="s">
        <v>108</v>
      </c>
      <c r="R10" s="4" t="s">
        <v>116</v>
      </c>
      <c r="S10" s="4" t="s">
        <v>123</v>
      </c>
      <c r="V10" s="4" t="s">
        <v>141</v>
      </c>
      <c r="AE10" s="4" t="s">
        <v>183</v>
      </c>
    </row>
    <row r="11" spans="1:31" x14ac:dyDescent="0.2">
      <c r="B11" s="4" t="s">
        <v>15</v>
      </c>
      <c r="C11" s="4" t="s">
        <v>55</v>
      </c>
      <c r="F11" s="4" t="s">
        <v>70</v>
      </c>
      <c r="Q11" s="4" t="s">
        <v>109</v>
      </c>
      <c r="S11" s="4" t="s">
        <v>124</v>
      </c>
      <c r="AE11" s="4" t="s">
        <v>184</v>
      </c>
    </row>
    <row r="12" spans="1:31" x14ac:dyDescent="0.2">
      <c r="B12" s="4" t="s">
        <v>16</v>
      </c>
      <c r="S12" s="4" t="s">
        <v>125</v>
      </c>
      <c r="AE12" s="4" t="s">
        <v>185</v>
      </c>
    </row>
    <row r="13" spans="1:31" x14ac:dyDescent="0.2">
      <c r="B13" s="4" t="s">
        <v>17</v>
      </c>
      <c r="S13" s="4" t="s">
        <v>55</v>
      </c>
      <c r="AE13" s="4" t="s">
        <v>186</v>
      </c>
    </row>
    <row r="14" spans="1:31" x14ac:dyDescent="0.2">
      <c r="B14" s="4" t="s">
        <v>18</v>
      </c>
      <c r="AE14" s="4" t="s">
        <v>187</v>
      </c>
    </row>
    <row r="15" spans="1:31" x14ac:dyDescent="0.2">
      <c r="B15" s="4" t="s">
        <v>19</v>
      </c>
      <c r="AE15" s="4" t="s">
        <v>188</v>
      </c>
    </row>
    <row r="16" spans="1:31" x14ac:dyDescent="0.2">
      <c r="B16" s="4" t="s">
        <v>20</v>
      </c>
      <c r="AE16" s="4" t="s">
        <v>189</v>
      </c>
    </row>
    <row r="17" spans="2:2" x14ac:dyDescent="0.2">
      <c r="B17" s="4" t="s">
        <v>21</v>
      </c>
    </row>
    <row r="18" spans="2:2" x14ac:dyDescent="0.2">
      <c r="B18" s="4" t="s">
        <v>22</v>
      </c>
    </row>
    <row r="19" spans="2:2" x14ac:dyDescent="0.2">
      <c r="B19" s="4" t="s">
        <v>23</v>
      </c>
    </row>
    <row r="20" spans="2:2" x14ac:dyDescent="0.2">
      <c r="B20" s="4" t="s">
        <v>24</v>
      </c>
    </row>
    <row r="21" spans="2:2" x14ac:dyDescent="0.2">
      <c r="B21" s="4" t="s">
        <v>25</v>
      </c>
    </row>
    <row r="22" spans="2:2" x14ac:dyDescent="0.2">
      <c r="B22" s="4" t="s">
        <v>26</v>
      </c>
    </row>
    <row r="23" spans="2:2" x14ac:dyDescent="0.2">
      <c r="B23" s="4" t="s">
        <v>27</v>
      </c>
    </row>
    <row r="24" spans="2:2" x14ac:dyDescent="0.2">
      <c r="B24" s="4" t="s">
        <v>28</v>
      </c>
    </row>
    <row r="25" spans="2:2" x14ac:dyDescent="0.2">
      <c r="B25" s="4" t="s">
        <v>29</v>
      </c>
    </row>
    <row r="26" spans="2:2" x14ac:dyDescent="0.2">
      <c r="B26" s="4" t="s">
        <v>30</v>
      </c>
    </row>
    <row r="27" spans="2:2" x14ac:dyDescent="0.2">
      <c r="B27" s="4" t="s">
        <v>31</v>
      </c>
    </row>
    <row r="28" spans="2:2" x14ac:dyDescent="0.2">
      <c r="B28" s="4" t="s">
        <v>32</v>
      </c>
    </row>
    <row r="29" spans="2:2" x14ac:dyDescent="0.2">
      <c r="B29" s="4" t="s">
        <v>33</v>
      </c>
    </row>
    <row r="30" spans="2:2" x14ac:dyDescent="0.2">
      <c r="B30" s="4" t="s">
        <v>34</v>
      </c>
    </row>
    <row r="31" spans="2:2" x14ac:dyDescent="0.2">
      <c r="B31" s="4" t="s">
        <v>35</v>
      </c>
    </row>
    <row r="32" spans="2:2" x14ac:dyDescent="0.2">
      <c r="B32" s="4" t="s">
        <v>36</v>
      </c>
    </row>
    <row r="33" spans="2:2" x14ac:dyDescent="0.2">
      <c r="B33" s="4" t="s">
        <v>37</v>
      </c>
    </row>
    <row r="34" spans="2:2" x14ac:dyDescent="0.2">
      <c r="B34" s="4" t="s">
        <v>38</v>
      </c>
    </row>
    <row r="35" spans="2:2" x14ac:dyDescent="0.2">
      <c r="B35" s="4" t="s">
        <v>39</v>
      </c>
    </row>
    <row r="36" spans="2:2" x14ac:dyDescent="0.2">
      <c r="B36" s="4" t="s">
        <v>40</v>
      </c>
    </row>
    <row r="37" spans="2:2" x14ac:dyDescent="0.2">
      <c r="B37" s="4" t="s">
        <v>41</v>
      </c>
    </row>
    <row r="38" spans="2:2" x14ac:dyDescent="0.2">
      <c r="B38" s="4" t="s">
        <v>42</v>
      </c>
    </row>
    <row r="39" spans="2:2" x14ac:dyDescent="0.2">
      <c r="B39" s="4" t="s">
        <v>43</v>
      </c>
    </row>
    <row r="40" spans="2:2" x14ac:dyDescent="0.2">
      <c r="B40" s="4" t="s">
        <v>44</v>
      </c>
    </row>
    <row r="41" spans="2:2" x14ac:dyDescent="0.2">
      <c r="B41" s="4" t="s">
        <v>45</v>
      </c>
    </row>
    <row r="42" spans="2:2" x14ac:dyDescent="0.2">
      <c r="B42" s="4" t="s">
        <v>46</v>
      </c>
    </row>
    <row r="43" spans="2:2" x14ac:dyDescent="0.2">
      <c r="B43" s="4" t="s">
        <v>47</v>
      </c>
    </row>
  </sheetData>
  <sheetProtection sheet="1" objects="1" scenarios="1" formatColumns="0" formatRows="0" autoFilter="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592</vt:i4>
      </vt:variant>
    </vt:vector>
  </HeadingPairs>
  <TitlesOfParts>
    <vt:vector size="614" baseType="lpstr">
      <vt:lpstr>Read_Me</vt:lpstr>
      <vt:lpstr>Cases</vt:lpstr>
      <vt:lpstr>Exposures</vt:lpstr>
      <vt:lpstr>Administrations</vt:lpstr>
      <vt:lpstr>Events</vt:lpstr>
      <vt:lpstr>Milestones</vt:lpstr>
      <vt:lpstr>Drug_Event_Links</vt:lpstr>
      <vt:lpstr>Intervals</vt:lpstr>
      <vt:lpstr>Product_Dossier</vt:lpstr>
      <vt:lpstr>Parameter_Register</vt:lpstr>
      <vt:lpstr>PK_Exercises</vt:lpstr>
      <vt:lpstr>PD_Profile</vt:lpstr>
      <vt:lpstr>Temporal_Profile</vt:lpstr>
      <vt:lpstr>Biology_Review</vt:lpstr>
      <vt:lpstr>Dechallenge_Rechallenge</vt:lpstr>
      <vt:lpstr>Alternatives_Followup</vt:lpstr>
      <vt:lpstr>Assessment_QC</vt:lpstr>
      <vt:lpstr>Examples</vt:lpstr>
      <vt:lpstr>Verification</vt:lpstr>
      <vt:lpstr>Timepoints</vt:lpstr>
      <vt:lpstr>Flags_Messages</vt:lpstr>
      <vt:lpstr>Lists</vt:lpstr>
      <vt:lpstr>nADM_A_Date</vt:lpstr>
      <vt:lpstr>nADM_A_Err</vt:lpstr>
      <vt:lpstr>nADM_A_Hi</vt:lpstr>
      <vt:lpstr>nADM_A_HT</vt:lpstr>
      <vt:lpstr>nADM_A_Lo</vt:lpstr>
      <vt:lpstr>nADM_A_Loc</vt:lpstr>
      <vt:lpstr>nADM_A_Lower</vt:lpstr>
      <vt:lpstr>nADM_A_Month</vt:lpstr>
      <vt:lpstr>nADM_A_Off</vt:lpstr>
      <vt:lpstr>nADM_A_OK</vt:lpstr>
      <vt:lpstr>nADM_A_Prec</vt:lpstr>
      <vt:lpstr>nADM_A_Src</vt:lpstr>
      <vt:lpstr>nADM_A_Text</vt:lpstr>
      <vt:lpstr>nADM_A_Time</vt:lpstr>
      <vt:lpstr>nADM_A_Upper</vt:lpstr>
      <vt:lpstr>nADM_A_UTC</vt:lpstr>
      <vt:lpstr>nADM_A_Year</vt:lpstr>
      <vt:lpstr>nADM_Admin_ID</vt:lpstr>
      <vt:lpstr>nADM_BSA_div</vt:lpstr>
      <vt:lpstr>nADM_BSA_m2</vt:lpstr>
      <vt:lpstr>nADM_BSA_n</vt:lpstr>
      <vt:lpstr>nADM_Case_ID</vt:lpstr>
      <vt:lpstr>nADM_Case_Version</vt:lpstr>
      <vt:lpstr>nADM_Check_Message</vt:lpstr>
      <vt:lpstr>nADM_Dose</vt:lpstr>
      <vt:lpstr>nADM_Dose_n</vt:lpstr>
      <vt:lpstr>nADM_Dose_per_BSA</vt:lpstr>
      <vt:lpstr>nADM_Dose_Unit</vt:lpstr>
      <vt:lpstr>nADM_Dup</vt:lpstr>
      <vt:lpstr>nADM_End_Date</vt:lpstr>
      <vt:lpstr>nADM_End_Off</vt:lpstr>
      <vt:lpstr>nADM_End_Src</vt:lpstr>
      <vt:lpstr>nADM_End_Time</vt:lpstr>
      <vt:lpstr>nADM_Ep_Found</vt:lpstr>
      <vt:lpstr>nADM_Exposure_Episode_ID</vt:lpstr>
      <vt:lpstr>nADM_HasBSA</vt:lpstr>
      <vt:lpstr>nADM_HasDose</vt:lpstr>
      <vt:lpstr>nADM_Key</vt:lpstr>
      <vt:lpstr>nADM_Kind</vt:lpstr>
      <vt:lpstr>nADM_Lo_n</vt:lpstr>
      <vt:lpstr>nADM_Loc_n</vt:lpstr>
      <vt:lpstr>nADM_Missing_Reason</vt:lpstr>
      <vt:lpstr>nADM_Notes</vt:lpstr>
      <vt:lpstr>nADM_Overlap</vt:lpstr>
      <vt:lpstr>nADM_Rate</vt:lpstr>
      <vt:lpstr>nADM_Rate_n</vt:lpstr>
      <vt:lpstr>nADM_Rate_Unit</vt:lpstr>
      <vt:lpstr>nADM_Record_Check</vt:lpstr>
      <vt:lpstr>nADM_SE_Err</vt:lpstr>
      <vt:lpstr>nADM_SE_Loc</vt:lpstr>
      <vt:lpstr>nADM_SE_OK</vt:lpstr>
      <vt:lpstr>nADM_SE_UTC</vt:lpstr>
      <vt:lpstr>nADM_Seg_Check</vt:lpstr>
      <vt:lpstr>nADM_SegE_cmp</vt:lpstr>
      <vt:lpstr>nADM_SegE_Loc_n</vt:lpstr>
      <vt:lpstr>nADM_SegE_UTC_n</vt:lpstr>
      <vt:lpstr>nADM_SegOK</vt:lpstr>
      <vt:lpstr>nADM_SegS_cmp</vt:lpstr>
      <vt:lpstr>nADM_SegS_Loc_n</vt:lpstr>
      <vt:lpstr>nADM_SegS_UTC_n</vt:lpstr>
      <vt:lpstr>nADM_SelKey</vt:lpstr>
      <vt:lpstr>nADM_Sort_n</vt:lpstr>
      <vt:lpstr>nADM_UTC_n</vt:lpstr>
      <vt:lpstr>nADM_Valid</vt:lpstr>
      <vt:lpstr>nCASE_Key</vt:lpstr>
      <vt:lpstr>nEVT_Key</vt:lpstr>
      <vt:lpstr>nEX_Match</vt:lpstr>
      <vt:lpstr>nEX_Status</vt:lpstr>
      <vt:lpstr>nEXP_Key</vt:lpstr>
      <vt:lpstr>nINT_A_Dup</vt:lpstr>
      <vt:lpstr>nINT_A_Err</vt:lpstr>
      <vt:lpstr>nINT_A_Hi</vt:lpstr>
      <vt:lpstr>nINT_A_HT</vt:lpstr>
      <vt:lpstr>nINT_A_Lo</vt:lpstr>
      <vt:lpstr>nINT_A_Loc</vt:lpstr>
      <vt:lpstr>nINT_A_OK</vt:lpstr>
      <vt:lpstr>nINT_A_Prec</vt:lpstr>
      <vt:lpstr>nINT_A_Row</vt:lpstr>
      <vt:lpstr>nINT_A_Type</vt:lpstr>
      <vt:lpstr>nINT_A_UTC</vt:lpstr>
      <vt:lpstr>nINT_Anchor_Description</vt:lpstr>
      <vt:lpstr>nINT_Anchor_Display</vt:lpstr>
      <vt:lpstr>nINT_Anchor_ISO</vt:lpstr>
      <vt:lpstr>nINT_Anchor_Record_ID</vt:lpstr>
      <vt:lpstr>nINT_Anchor_Record_ID_Used</vt:lpstr>
      <vt:lpstr>nINT_Anchor_Type</vt:lpstr>
      <vt:lpstr>nINT_Assumptions</vt:lpstr>
      <vt:lpstr>nINT_C5_MaxKey</vt:lpstr>
      <vt:lpstr>nINT_C5_Row</vt:lpstr>
      <vt:lpstr>nINT_C5_Selected</vt:lpstr>
      <vt:lpstr>nINT_C6_Code</vt:lpstr>
      <vt:lpstr>nINT_C6_Factor</vt:lpstr>
      <vt:lpstr>nINT_C7_Note</vt:lpstr>
      <vt:lpstr>nINT_Calculation_Mode</vt:lpstr>
      <vt:lpstr>nINT_Calculation_Mode_Used</vt:lpstr>
      <vt:lpstr>nINT_Calculation_Version</vt:lpstr>
      <vt:lpstr>nINT_Case_ID</vt:lpstr>
      <vt:lpstr>nINT_Case_Version</vt:lpstr>
      <vt:lpstr>nINT_CaseKey</vt:lpstr>
      <vt:lpstr>nINT_Constrained_Maximum</vt:lpstr>
      <vt:lpstr>nINT_Constrained_Minimum</vt:lpstr>
      <vt:lpstr>nINT_Constraint_Not_After</vt:lpstr>
      <vt:lpstr>nINT_Constraint_Not_Before</vt:lpstr>
      <vt:lpstr>nINT_Constraint_Source</vt:lpstr>
      <vt:lpstr>nINT_Dup</vt:lpstr>
      <vt:lpstr>nINT_End_Display</vt:lpstr>
      <vt:lpstr>nINT_End_ISO</vt:lpstr>
      <vt:lpstr>nINT_End_Record_ID</vt:lpstr>
      <vt:lpstr>nINT_Event_Episode_ID</vt:lpstr>
      <vt:lpstr>nINT_Exposure_Episode_ID</vt:lpstr>
      <vt:lpstr>nINT_f_AdminSame</vt:lpstr>
      <vt:lpstr>nINT_f_C7</vt:lpstr>
      <vt:lpstr>nINT_f_Interv</vt:lpstr>
      <vt:lpstr>nINT_f_SameDate</vt:lpstr>
      <vt:lpstr>nINT_f_SeqUnc</vt:lpstr>
      <vt:lpstr>nINT_f_TDundef</vt:lpstr>
      <vt:lpstr>nINT_f_TZ</vt:lpstr>
      <vt:lpstr>nINT_Interval_ID</vt:lpstr>
      <vt:lpstr>nINT_Interval_Maximum</vt:lpstr>
      <vt:lpstr>nINT_Interval_Minimum</vt:lpstr>
      <vt:lpstr>nINT_Interval_Value</vt:lpstr>
      <vt:lpstr>nINT_IntervCount</vt:lpstr>
      <vt:lpstr>nINT_K_CErr</vt:lpstr>
      <vt:lpstr>nINT_K_CHi</vt:lpstr>
      <vt:lpstr>nINT_K_CLo</vt:lpstr>
      <vt:lpstr>nINT_K_Days</vt:lpstr>
      <vt:lpstr>nINT_K_Err</vt:lpstr>
      <vt:lpstr>nINT_K_HasC</vt:lpstr>
      <vt:lpstr>nINT_K_Max4</vt:lpstr>
      <vt:lpstr>nINT_K_Min</vt:lpstr>
      <vt:lpstr>nINT_K_Min4</vt:lpstr>
      <vt:lpstr>nINT_K_Needs</vt:lpstr>
      <vt:lpstr>nINT_K_TZU</vt:lpstr>
      <vt:lpstr>nINT_Key</vt:lpstr>
      <vt:lpstr>nINT_Link_ID</vt:lpstr>
      <vt:lpstr>nINT_LinkRow</vt:lpstr>
      <vt:lpstr>nINT_Messages</vt:lpstr>
      <vt:lpstr>nINT_O_Dup</vt:lpstr>
      <vt:lpstr>nINT_O_Err</vt:lpstr>
      <vt:lpstr>nINT_O_Hi</vt:lpstr>
      <vt:lpstr>nINT_O_HT</vt:lpstr>
      <vt:lpstr>nINT_O_Lo</vt:lpstr>
      <vt:lpstr>nINT_O_Loc</vt:lpstr>
      <vt:lpstr>nINT_O_OK</vt:lpstr>
      <vt:lpstr>nINT_O_Prec</vt:lpstr>
      <vt:lpstr>nINT_O_Row</vt:lpstr>
      <vt:lpstr>nINT_O_Type</vt:lpstr>
      <vt:lpstr>nINT_O_UTC</vt:lpstr>
      <vt:lpstr>nINT_Pre_Err</vt:lpstr>
      <vt:lpstr>nINT_Pre_Needs</vt:lpstr>
      <vt:lpstr>nINT_QC_Flags</vt:lpstr>
      <vt:lpstr>nINT_Reported_Bounds_Justification</vt:lpstr>
      <vt:lpstr>nINT_Reported_Lower</vt:lpstr>
      <vt:lpstr>nINT_Reported_Text</vt:lpstr>
      <vt:lpstr>nINT_Reported_Timing_Result</vt:lpstr>
      <vt:lpstr>nINT_Reported_Unit</vt:lpstr>
      <vt:lpstr>nINT_Reported_Upper</vt:lpstr>
      <vt:lpstr>nINT_Result_Display</vt:lpstr>
      <vt:lpstr>nINT_Reviewer_Note</vt:lpstr>
      <vt:lpstr>nINT_RowEmpty</vt:lpstr>
      <vt:lpstr>nINT_Sequence_Status</vt:lpstr>
      <vt:lpstr>nINT_Treatment_Day</vt:lpstr>
      <vt:lpstr>nINT_Treatment_Day_Convention</vt:lpstr>
      <vt:lpstr>nINT_Unit</vt:lpstr>
      <vt:lpstr>nLIST_Action</vt:lpstr>
      <vt:lpstr>nLIST_AdminKind</vt:lpstr>
      <vt:lpstr>nLIST_AnchorType</vt:lpstr>
      <vt:lpstr>nLIST_CLUnit</vt:lpstr>
      <vt:lpstr>nLIST_DaysOnly</vt:lpstr>
      <vt:lpstr>nLIST_DocType</vt:lpstr>
      <vt:lpstr>nLIST_DoseUnit</vt:lpstr>
      <vt:lpstr>nLIST_Fit</vt:lpstr>
      <vt:lpstr>nLIST_HalfLifeType</vt:lpstr>
      <vt:lpstr>nLIST_ItemType</vt:lpstr>
      <vt:lpstr>nLIST_MechStatus</vt:lpstr>
      <vt:lpstr>nLIST_MethodB</vt:lpstr>
      <vt:lpstr>nLIST_MilestoneType</vt:lpstr>
      <vt:lpstr>nLIST_MissingReason</vt:lpstr>
      <vt:lpstr>nLIST_Mode</vt:lpstr>
      <vt:lpstr>nLIST_Months</vt:lpstr>
      <vt:lpstr>nLIST_Offset</vt:lpstr>
      <vt:lpstr>nLIST_Precision</vt:lpstr>
      <vt:lpstr>nLIST_Priority</vt:lpstr>
      <vt:lpstr>nLIST_QueryStatus</vt:lpstr>
      <vt:lpstr>nLIST_RateUnit</vt:lpstr>
      <vt:lpstr>nLIST_ReportedUnit</vt:lpstr>
      <vt:lpstr>nLIST_Role</vt:lpstr>
      <vt:lpstr>nLIST_SCrUnit</vt:lpstr>
      <vt:lpstr>nLIST_Sex</vt:lpstr>
      <vt:lpstr>nLIST_Status</vt:lpstr>
      <vt:lpstr>nLIST_TD</vt:lpstr>
      <vt:lpstr>nLIST_TimeUnit</vt:lpstr>
      <vt:lpstr>nLIST_TimingType</vt:lpstr>
      <vt:lpstr>nLIST_WeightType</vt:lpstr>
      <vt:lpstr>nLIST_YesNo</vt:lpstr>
      <vt:lpstr>nLNK_Case_ID</vt:lpstr>
      <vt:lpstr>nLNK_Case_Version</vt:lpstr>
      <vt:lpstr>nLNK_Check_Message</vt:lpstr>
      <vt:lpstr>nLNK_Dup</vt:lpstr>
      <vt:lpstr>nLNK_Event_Episode_ID</vt:lpstr>
      <vt:lpstr>nLNK_Evt_Found</vt:lpstr>
      <vt:lpstr>nLNK_Exp_Found</vt:lpstr>
      <vt:lpstr>nLNK_Exposure_Episode_ID</vt:lpstr>
      <vt:lpstr>nLNK_Key</vt:lpstr>
      <vt:lpstr>nLNK_Link_ID</vt:lpstr>
      <vt:lpstr>nLNK_Reason</vt:lpstr>
      <vt:lpstr>nLNK_Record_Check</vt:lpstr>
      <vt:lpstr>nLNK_Selected_By</vt:lpstr>
      <vt:lpstr>nMS_Key</vt:lpstr>
      <vt:lpstr>nMSG_Code</vt:lpstr>
      <vt:lpstr>nMSG_Text</vt:lpstr>
      <vt:lpstr>nQ1_Assumptions</vt:lpstr>
      <vt:lpstr>nQ1_Calc_ID</vt:lpstr>
      <vt:lpstr>nQ1_Calculation_Version</vt:lpstr>
      <vt:lpstr>nQ1_Case_ID</vt:lpstr>
      <vt:lpstr>nQ1_Case_Version</vt:lpstr>
      <vt:lpstr>nQ1_Err</vt:lpstr>
      <vt:lpstr>nQ1_Formula_in_words</vt:lpstr>
      <vt:lpstr>nQ1_Fraction_Remaining</vt:lpstr>
      <vt:lpstr>nQ1_G_Model</vt:lpstr>
      <vt:lpstr>nQ1_G_Params</vt:lpstr>
      <vt:lpstr>nQ1_G_RefTime</vt:lpstr>
      <vt:lpstr>nQ1_G_Status</vt:lpstr>
      <vt:lpstr>nQ1_k_per_hour</vt:lpstr>
      <vt:lpstr>nQ1_k_per_unit</vt:lpstr>
      <vt:lpstr>nQ1_Key</vt:lpstr>
      <vt:lpstr>nQ1_Mandatory_Text</vt:lpstr>
      <vt:lpstr>nQ1_Messages</vt:lpstr>
      <vt:lpstr>nQ1_Needs</vt:lpstr>
      <vt:lpstr>nQ1_Ok</vt:lpstr>
      <vt:lpstr>nQ1_Parameter_Set</vt:lpstr>
      <vt:lpstr>nQ1_Percent_Remaining</vt:lpstr>
      <vt:lpstr>nQ1_QC_Flags</vt:lpstr>
      <vt:lpstr>nQ1_Question</vt:lpstr>
      <vt:lpstr>nQ1_Result_Display</vt:lpstr>
      <vt:lpstr>nQ1_RowEmpty</vt:lpstr>
      <vt:lpstr>nQ1_t</vt:lpstr>
      <vt:lpstr>nQ1_t_half</vt:lpstr>
      <vt:lpstr>nQ1_t_half_Source</vt:lpstr>
      <vt:lpstr>nQ1_t_half_Status</vt:lpstr>
      <vt:lpstr>nQ1_t_Source</vt:lpstr>
      <vt:lpstr>nQ1_t_Status</vt:lpstr>
      <vt:lpstr>nQ1_Time_Unit</vt:lpstr>
      <vt:lpstr>nQ10_Calc_ID</vt:lpstr>
      <vt:lpstr>nQ10_Calculation_Version</vt:lpstr>
      <vt:lpstr>nQ10_Case_ID</vt:lpstr>
      <vt:lpstr>nQ10_Case_Version</vt:lpstr>
      <vt:lpstr>nQ10_Err</vt:lpstr>
      <vt:lpstr>nQ10_Exposure_Episode_ID</vt:lpstr>
      <vt:lpstr>nQ10_FirstRow</vt:lpstr>
      <vt:lpstr>nQ10_Formula_in_words</vt:lpstr>
      <vt:lpstr>nQ10_Key</vt:lpstr>
      <vt:lpstr>nQ10_Mandatory_Text</vt:lpstr>
      <vt:lpstr>nQ10_MaxSort</vt:lpstr>
      <vt:lpstr>nQ10_Messages</vt:lpstr>
      <vt:lpstr>nQ10_Method_A_mg_m2</vt:lpstr>
      <vt:lpstr>nQ10_Method_B</vt:lpstr>
      <vt:lpstr>nQ10_Method_B_BSA_m2</vt:lpstr>
      <vt:lpstr>nQ10_Method_B_BSA_Source</vt:lpstr>
      <vt:lpstr>nQ10_Method_B_mg_m2</vt:lpstr>
      <vt:lpstr>nQ10_Method_B_Stated_BSA</vt:lpstr>
      <vt:lpstr>nQ10_MethodB_Err</vt:lpstr>
      <vt:lpstr>nQ10_MinSort</vt:lpstr>
      <vt:lpstr>nQ10_N_Doses</vt:lpstr>
      <vt:lpstr>nQ10_N_With_BSA</vt:lpstr>
      <vt:lpstr>nQ10_Needs</vt:lpstr>
      <vt:lpstr>nQ10_Ok</vt:lpstr>
      <vt:lpstr>nQ10_Parameter_Set</vt:lpstr>
      <vt:lpstr>nQ10_QC_Flags</vt:lpstr>
      <vt:lpstr>nQ10_Question</vt:lpstr>
      <vt:lpstr>nQ10_Result_Display</vt:lpstr>
      <vt:lpstr>nQ10_RowEmpty</vt:lpstr>
      <vt:lpstr>nQ10_SelKey</vt:lpstr>
      <vt:lpstr>nQ10_Total_Dose_mg</vt:lpstr>
      <vt:lpstr>nQ11_Age_Status</vt:lpstr>
      <vt:lpstr>nQ11_Age_years</vt:lpstr>
      <vt:lpstr>nQ11_Calc_ID</vt:lpstr>
      <vt:lpstr>nQ11_Calculation_Version</vt:lpstr>
      <vt:lpstr>nQ11_Case_ID</vt:lpstr>
      <vt:lpstr>nQ11_Case_Version</vt:lpstr>
      <vt:lpstr>nQ11_CrCl_Female_If_Sex_Not_Recorded</vt:lpstr>
      <vt:lpstr>nQ11_CrCl_Male_If_Sex_Not_Recorded</vt:lpstr>
      <vt:lpstr>nQ11_CrCl_mL_min</vt:lpstr>
      <vt:lpstr>nQ11_Err</vt:lpstr>
      <vt:lpstr>nQ11_Formula_in_words</vt:lpstr>
      <vt:lpstr>nQ11_Key</vt:lpstr>
      <vt:lpstr>nQ11_Mandatory_Text</vt:lpstr>
      <vt:lpstr>nQ11_Messages</vt:lpstr>
      <vt:lpstr>nQ11_Needs</vt:lpstr>
      <vt:lpstr>nQ11_Ok</vt:lpstr>
      <vt:lpstr>nQ11_Parameter_Set</vt:lpstr>
      <vt:lpstr>nQ11_QC_Flags</vt:lpstr>
      <vt:lpstr>nQ11_Question</vt:lpstr>
      <vt:lpstr>nQ11_Result_Display</vt:lpstr>
      <vt:lpstr>nQ11_RowEmpty</vt:lpstr>
      <vt:lpstr>nQ11_SCr</vt:lpstr>
      <vt:lpstr>nQ11_SCr_mg_dL</vt:lpstr>
      <vt:lpstr>nQ11_SCr_Source</vt:lpstr>
      <vt:lpstr>nQ11_SCr_Status</vt:lpstr>
      <vt:lpstr>nQ11_SCr_Unit</vt:lpstr>
      <vt:lpstr>nQ11_Sex</vt:lpstr>
      <vt:lpstr>nQ11_Stability_Basis</vt:lpstr>
      <vt:lpstr>nQ11_Stability_Confirmed</vt:lpstr>
      <vt:lpstr>nQ11_Weight_kg</vt:lpstr>
      <vt:lpstr>nQ11_Weight_Status</vt:lpstr>
      <vt:lpstr>nQ11_Weight_Type</vt:lpstr>
      <vt:lpstr>nQ2_Assumptions</vt:lpstr>
      <vt:lpstr>nQ2_Calc_ID</vt:lpstr>
      <vt:lpstr>nQ2_Calculation_Version</vt:lpstr>
      <vt:lpstr>nQ2_Case_ID</vt:lpstr>
      <vt:lpstr>nQ2_Case_Version</vt:lpstr>
      <vt:lpstr>nQ2_Err</vt:lpstr>
      <vt:lpstr>nQ2_f_target</vt:lpstr>
      <vt:lpstr>nQ2_f_target_Source</vt:lpstr>
      <vt:lpstr>nQ2_f_target_Status</vt:lpstr>
      <vt:lpstr>nQ2_Formula_in_words</vt:lpstr>
      <vt:lpstr>nQ2_G_Model</vt:lpstr>
      <vt:lpstr>nQ2_G_Params</vt:lpstr>
      <vt:lpstr>nQ2_G_RefTime</vt:lpstr>
      <vt:lpstr>nQ2_G_Status</vt:lpstr>
      <vt:lpstr>nQ2_Half_Lives</vt:lpstr>
      <vt:lpstr>nQ2_Key</vt:lpstr>
      <vt:lpstr>nQ2_Mandatory_Text</vt:lpstr>
      <vt:lpstr>nQ2_Messages</vt:lpstr>
      <vt:lpstr>nQ2_Needs</vt:lpstr>
      <vt:lpstr>nQ2_Ok</vt:lpstr>
      <vt:lpstr>nQ2_Parameter_Set</vt:lpstr>
      <vt:lpstr>nQ2_QC_Flags</vt:lpstr>
      <vt:lpstr>nQ2_Question</vt:lpstr>
      <vt:lpstr>nQ2_Result_Display</vt:lpstr>
      <vt:lpstr>nQ2_RowEmpty</vt:lpstr>
      <vt:lpstr>nQ2_t_half</vt:lpstr>
      <vt:lpstr>nQ2_t_half_Source</vt:lpstr>
      <vt:lpstr>nQ2_t_half_Status</vt:lpstr>
      <vt:lpstr>nQ2_Time_to_f</vt:lpstr>
      <vt:lpstr>nQ2_Time_Unit</vt:lpstr>
      <vt:lpstr>nQ3_Accumulation_Factor</vt:lpstr>
      <vt:lpstr>nQ3_Assumptions</vt:lpstr>
      <vt:lpstr>nQ3_Calc_ID</vt:lpstr>
      <vt:lpstr>nQ3_Calculation_Version</vt:lpstr>
      <vt:lpstr>nQ3_Case_ID</vt:lpstr>
      <vt:lpstr>nQ3_Case_Version</vt:lpstr>
      <vt:lpstr>nQ3_Err</vt:lpstr>
      <vt:lpstr>nQ3_Formula_in_words</vt:lpstr>
      <vt:lpstr>nQ3_G_Model</vt:lpstr>
      <vt:lpstr>nQ3_G_Params</vt:lpstr>
      <vt:lpstr>nQ3_G_RefTime</vt:lpstr>
      <vt:lpstr>nQ3_G_Status</vt:lpstr>
      <vt:lpstr>nQ3_Key</vt:lpstr>
      <vt:lpstr>nQ3_Mandatory_Text</vt:lpstr>
      <vt:lpstr>nQ3_Messages</vt:lpstr>
      <vt:lpstr>nQ3_Needs</vt:lpstr>
      <vt:lpstr>nQ3_Ok</vt:lpstr>
      <vt:lpstr>nQ3_Parameter_Set</vt:lpstr>
      <vt:lpstr>nQ3_QC_Flags</vt:lpstr>
      <vt:lpstr>nQ3_Question</vt:lpstr>
      <vt:lpstr>nQ3_Result_Display</vt:lpstr>
      <vt:lpstr>nQ3_RowEmpty</vt:lpstr>
      <vt:lpstr>nQ3_t_half</vt:lpstr>
      <vt:lpstr>nQ3_t_half_Source</vt:lpstr>
      <vt:lpstr>nQ3_t_half_Status</vt:lpstr>
      <vt:lpstr>nQ3_tau</vt:lpstr>
      <vt:lpstr>nQ3_tau_Source</vt:lpstr>
      <vt:lpstr>nQ3_tau_Status</vt:lpstr>
      <vt:lpstr>nQ3_Time_Unit</vt:lpstr>
      <vt:lpstr>nQ4_Assumptions</vt:lpstr>
      <vt:lpstr>nQ4_Calc_ID</vt:lpstr>
      <vt:lpstr>nQ4_Calculation_Version</vt:lpstr>
      <vt:lpstr>nQ4_Case_ID</vt:lpstr>
      <vt:lpstr>nQ4_Case_Version</vt:lpstr>
      <vt:lpstr>nQ4_CL_after</vt:lpstr>
      <vt:lpstr>nQ4_CL_after_Source</vt:lpstr>
      <vt:lpstr>nQ4_CL_after_Status</vt:lpstr>
      <vt:lpstr>nQ4_CL_before</vt:lpstr>
      <vt:lpstr>nQ4_CL_before_Source</vt:lpstr>
      <vt:lpstr>nQ4_CL_before_Status</vt:lpstr>
      <vt:lpstr>nQ4_CL_Unit</vt:lpstr>
      <vt:lpstr>nQ4_Css_Ratio</vt:lpstr>
      <vt:lpstr>nQ4_Err</vt:lpstr>
      <vt:lpstr>nQ4_Formula_in_words</vt:lpstr>
      <vt:lpstr>nQ4_G_Model</vt:lpstr>
      <vt:lpstr>nQ4_G_Params</vt:lpstr>
      <vt:lpstr>nQ4_G_RefTime</vt:lpstr>
      <vt:lpstr>nQ4_G_Status</vt:lpstr>
      <vt:lpstr>nQ4_HalfLife_Ratio</vt:lpstr>
      <vt:lpstr>nQ4_Key</vt:lpstr>
      <vt:lpstr>nQ4_Mandatory_Text</vt:lpstr>
      <vt:lpstr>nQ4_Messages</vt:lpstr>
      <vt:lpstr>nQ4_Needs</vt:lpstr>
      <vt:lpstr>nQ4_Ok</vt:lpstr>
      <vt:lpstr>nQ4_Parameter_Set</vt:lpstr>
      <vt:lpstr>nQ4_QC_Flags</vt:lpstr>
      <vt:lpstr>nQ4_Question</vt:lpstr>
      <vt:lpstr>nQ4_Result_Display</vt:lpstr>
      <vt:lpstr>nQ4_RowEmpty</vt:lpstr>
      <vt:lpstr>nQ4_t_half_after_h</vt:lpstr>
      <vt:lpstr>nQ4_t_half_before_h</vt:lpstr>
      <vt:lpstr>nQ4_V_L</vt:lpstr>
      <vt:lpstr>nQ4_V_L_Source</vt:lpstr>
      <vt:lpstr>nQ4_V_L_Status</vt:lpstr>
      <vt:lpstr>nQ5_Assumptions</vt:lpstr>
      <vt:lpstr>nQ5_Calc_ID</vt:lpstr>
      <vt:lpstr>nQ5_Calculation_Version</vt:lpstr>
      <vt:lpstr>nQ5_Case_ID</vt:lpstr>
      <vt:lpstr>nQ5_Case_Version</vt:lpstr>
      <vt:lpstr>nQ5_Err</vt:lpstr>
      <vt:lpstr>nQ5_Formula_in_words</vt:lpstr>
      <vt:lpstr>nQ5_G_Model</vt:lpstr>
      <vt:lpstr>nQ5_G_Params</vt:lpstr>
      <vt:lpstr>nQ5_G_RefTime</vt:lpstr>
      <vt:lpstr>nQ5_G_Status</vt:lpstr>
      <vt:lpstr>nQ5_Key</vt:lpstr>
      <vt:lpstr>nQ5_Mandatory_Text</vt:lpstr>
      <vt:lpstr>nQ5_Messages</vt:lpstr>
      <vt:lpstr>nQ5_Metabolite_Percent</vt:lpstr>
      <vt:lpstr>nQ5_Metabolite_t_half</vt:lpstr>
      <vt:lpstr>nQ5_Metabolite_t_half_Source</vt:lpstr>
      <vt:lpstr>nQ5_Metabolite_t_half_Status</vt:lpstr>
      <vt:lpstr>nQ5_Needs</vt:lpstr>
      <vt:lpstr>nQ5_Ok</vt:lpstr>
      <vt:lpstr>nQ5_Parameter_Set</vt:lpstr>
      <vt:lpstr>nQ5_Parent_Percent</vt:lpstr>
      <vt:lpstr>nQ5_Parent_t_half</vt:lpstr>
      <vt:lpstr>nQ5_Parent_t_half_Source</vt:lpstr>
      <vt:lpstr>nQ5_Parent_t_half_Status</vt:lpstr>
      <vt:lpstr>nQ5_QC_Flags</vt:lpstr>
      <vt:lpstr>nQ5_Question</vt:lpstr>
      <vt:lpstr>nQ5_Result_Display</vt:lpstr>
      <vt:lpstr>nQ5_RowEmpty</vt:lpstr>
      <vt:lpstr>nQ5_t</vt:lpstr>
      <vt:lpstr>nQ5_t_Source</vt:lpstr>
      <vt:lpstr>nQ5_t_Status</vt:lpstr>
      <vt:lpstr>nQ5_Time_Unit</vt:lpstr>
      <vt:lpstr>nQ6_Calc_ID</vt:lpstr>
      <vt:lpstr>nQ6_Calculation_Version</vt:lpstr>
      <vt:lpstr>nQ6_Case_ID</vt:lpstr>
      <vt:lpstr>nQ6_Case_Version</vt:lpstr>
      <vt:lpstr>nQ6_Err</vt:lpstr>
      <vt:lpstr>nQ6_Formula_in_words</vt:lpstr>
      <vt:lpstr>nQ6_Fraction_Replaced</vt:lpstr>
      <vt:lpstr>nQ6_Key</vt:lpstr>
      <vt:lpstr>nQ6_Mandatory_Text</vt:lpstr>
      <vt:lpstr>nQ6_Messages</vt:lpstr>
      <vt:lpstr>nQ6_Needs</vt:lpstr>
      <vt:lpstr>nQ6_Ok</vt:lpstr>
      <vt:lpstr>nQ6_Parameter_Set</vt:lpstr>
      <vt:lpstr>nQ6_Percent_Replaced</vt:lpstr>
      <vt:lpstr>nQ6_QC_Flags</vt:lpstr>
      <vt:lpstr>nQ6_Question</vt:lpstr>
      <vt:lpstr>nQ6_Replacement_Half_Time</vt:lpstr>
      <vt:lpstr>nQ6_Replacement_Half_Time_Source</vt:lpstr>
      <vt:lpstr>nQ6_Replacement_Half_Time_Status</vt:lpstr>
      <vt:lpstr>nQ6_Result_Display</vt:lpstr>
      <vt:lpstr>nQ6_RowEmpty</vt:lpstr>
      <vt:lpstr>nQ6_t</vt:lpstr>
      <vt:lpstr>nQ6_t_Source</vt:lpstr>
      <vt:lpstr>nQ6_t_Status</vt:lpstr>
      <vt:lpstr>nQ6_Teaching_Switch</vt:lpstr>
      <vt:lpstr>nQ6_Time_Unit</vt:lpstr>
      <vt:lpstr>nQ7_Assumptions</vt:lpstr>
      <vt:lpstr>nQ7_Calc_ID</vt:lpstr>
      <vt:lpstr>nQ7_Calculation_Version</vt:lpstr>
      <vt:lpstr>nQ7_Case_ID</vt:lpstr>
      <vt:lpstr>nQ7_Case_Version</vt:lpstr>
      <vt:lpstr>nQ7_Err</vt:lpstr>
      <vt:lpstr>nQ7_Formula_in_words</vt:lpstr>
      <vt:lpstr>nQ7_Fraction_Remaining</vt:lpstr>
      <vt:lpstr>nQ7_G_Model</vt:lpstr>
      <vt:lpstr>nQ7_G_Params</vt:lpstr>
      <vt:lpstr>nQ7_G_RefTime</vt:lpstr>
      <vt:lpstr>nQ7_G_Status</vt:lpstr>
      <vt:lpstr>nQ7_Key</vt:lpstr>
      <vt:lpstr>nQ7_Mandatory_Text</vt:lpstr>
      <vt:lpstr>nQ7_Messages</vt:lpstr>
      <vt:lpstr>nQ7_Needs</vt:lpstr>
      <vt:lpstr>nQ7_Ok</vt:lpstr>
      <vt:lpstr>nQ7_Parameter_Set</vt:lpstr>
      <vt:lpstr>nQ7_Percent_Remaining</vt:lpstr>
      <vt:lpstr>nQ7_QC_Flags</vt:lpstr>
      <vt:lpstr>nQ7_Question</vt:lpstr>
      <vt:lpstr>nQ7_Result_Display</vt:lpstr>
      <vt:lpstr>nQ7_RowEmpty</vt:lpstr>
      <vt:lpstr>nQ7_t</vt:lpstr>
      <vt:lpstr>nQ7_t_half</vt:lpstr>
      <vt:lpstr>nQ7_t_half_Source</vt:lpstr>
      <vt:lpstr>nQ7_t_half_Status</vt:lpstr>
      <vt:lpstr>nQ7_t_Source</vt:lpstr>
      <vt:lpstr>nQ7_t_Status</vt:lpstr>
      <vt:lpstr>nQ7_Time_Unit</vt:lpstr>
      <vt:lpstr>nQ8_Assumptions</vt:lpstr>
      <vt:lpstr>nQ8_Calc_ID</vt:lpstr>
      <vt:lpstr>nQ8_Calculation_Version</vt:lpstr>
      <vt:lpstr>nQ8_Case_ID</vt:lpstr>
      <vt:lpstr>nQ8_Case_Version</vt:lpstr>
      <vt:lpstr>nQ8_Err</vt:lpstr>
      <vt:lpstr>nQ8_Formula_in_words</vt:lpstr>
      <vt:lpstr>nQ8_Fraction_at_Lower</vt:lpstr>
      <vt:lpstr>nQ8_Fraction_at_Upper</vt:lpstr>
      <vt:lpstr>nQ8_G_Model</vt:lpstr>
      <vt:lpstr>nQ8_G_Params</vt:lpstr>
      <vt:lpstr>nQ8_G_RefTime</vt:lpstr>
      <vt:lpstr>nQ8_G_Status</vt:lpstr>
      <vt:lpstr>nQ8_Key</vt:lpstr>
      <vt:lpstr>nQ8_Mandatory_Text</vt:lpstr>
      <vt:lpstr>nQ8_Messages</vt:lpstr>
      <vt:lpstr>nQ8_Needs</vt:lpstr>
      <vt:lpstr>nQ8_Ok</vt:lpstr>
      <vt:lpstr>nQ8_Parameter_Set</vt:lpstr>
      <vt:lpstr>nQ8_Percent_at_Lower</vt:lpstr>
      <vt:lpstr>nQ8_Percent_at_Upper</vt:lpstr>
      <vt:lpstr>nQ8_QC_Flags</vt:lpstr>
      <vt:lpstr>nQ8_Question</vt:lpstr>
      <vt:lpstr>nQ8_Result_Display</vt:lpstr>
      <vt:lpstr>nQ8_RowEmpty</vt:lpstr>
      <vt:lpstr>nQ8_t</vt:lpstr>
      <vt:lpstr>nQ8_t_half_lower</vt:lpstr>
      <vt:lpstr>nQ8_t_half_lower_Source</vt:lpstr>
      <vt:lpstr>nQ8_t_half_lower_Status</vt:lpstr>
      <vt:lpstr>nQ8_t_half_upper</vt:lpstr>
      <vt:lpstr>nQ8_t_half_upper_Source</vt:lpstr>
      <vt:lpstr>nQ8_t_half_upper_Status</vt:lpstr>
      <vt:lpstr>nQ8_t_Source</vt:lpstr>
      <vt:lpstr>nQ8_t_Status</vt:lpstr>
      <vt:lpstr>nQ8_Time_Unit</vt:lpstr>
      <vt:lpstr>nQ9_AllKnown</vt:lpstr>
      <vt:lpstr>nQ9_Amount_mg</vt:lpstr>
      <vt:lpstr>nQ9_BadSeg</vt:lpstr>
      <vt:lpstr>nQ9_Calc_ID</vt:lpstr>
      <vt:lpstr>nQ9_Calculation_Version</vt:lpstr>
      <vt:lpstr>nQ9_Case_ID</vt:lpstr>
      <vt:lpstr>nQ9_Case_Version</vt:lpstr>
      <vt:lpstr>nQ9_Err</vt:lpstr>
      <vt:lpstr>nQ9_Exposure_Episode_ID</vt:lpstr>
      <vt:lpstr>nQ9_Formula_in_words</vt:lpstr>
      <vt:lpstr>nQ9_Key</vt:lpstr>
      <vt:lpstr>nQ9_Mandatory_Text</vt:lpstr>
      <vt:lpstr>nQ9_Messages</vt:lpstr>
      <vt:lpstr>nQ9_N_Seg</vt:lpstr>
      <vt:lpstr>nQ9_Needs</vt:lpstr>
      <vt:lpstr>nQ9_O_HT</vt:lpstr>
      <vt:lpstr>nQ9_O_Loc</vt:lpstr>
      <vt:lpstr>nQ9_O_OK</vt:lpstr>
      <vt:lpstr>nQ9_O_Row</vt:lpstr>
      <vt:lpstr>nQ9_O_UTC</vt:lpstr>
      <vt:lpstr>nQ9_Ok</vt:lpstr>
      <vt:lpstr>nQ9_Onset_Record_ID</vt:lpstr>
      <vt:lpstr>nQ9_Parameter_Set</vt:lpstr>
      <vt:lpstr>nQ9_Percent_of_Planned</vt:lpstr>
      <vt:lpstr>nQ9_Planned_Dose_mg</vt:lpstr>
      <vt:lpstr>nQ9_Planned_Dose_mg_Source</vt:lpstr>
      <vt:lpstr>nQ9_Planned_Dose_mg_Status</vt:lpstr>
      <vt:lpstr>nQ9_QC_Flags</vt:lpstr>
      <vt:lpstr>nQ9_Question</vt:lpstr>
      <vt:lpstr>nQ9_Result_Display</vt:lpstr>
      <vt:lpstr>nQ9_RowEmpty</vt:lpstr>
      <vt:lpstr>nQ9_Segments_Used</vt:lpstr>
      <vt:lpstr>nQ9_SelKey</vt:lpstr>
      <vt:lpstr>nQ9_Sum_Loc</vt:lpstr>
      <vt:lpstr>nQ9_Sum_UTC</vt:lpstr>
      <vt:lpstr>nQ9_Time_Basis</vt:lpstr>
      <vt:lpstr>nTOL_ABS</vt:lpstr>
      <vt:lpstr>nTOL_REL</vt:lpstr>
      <vt:lpstr>nTP_Case_ID</vt:lpstr>
      <vt:lpstr>nTP_Case_Key</vt:lpstr>
      <vt:lpstr>nTP_Case_Version</vt:lpstr>
      <vt:lpstr>nTP_Display</vt:lpstr>
      <vt:lpstr>nTP_Dup</vt:lpstr>
      <vt:lpstr>nTP_Episode_ID</vt:lpstr>
      <vt:lpstr>nTP_Err</vt:lpstr>
      <vt:lpstr>nTP_Hi</vt:lpstr>
      <vt:lpstr>nTP_Hi_n</vt:lpstr>
      <vt:lpstr>nTP_HT</vt:lpstr>
      <vt:lpstr>nTP_ISO</vt:lpstr>
      <vt:lpstr>nTP_Key</vt:lpstr>
      <vt:lpstr>nTP_Lo</vt:lpstr>
      <vt:lpstr>nTP_Lo_n</vt:lpstr>
      <vt:lpstr>nTP_Loc</vt:lpstr>
      <vt:lpstr>nTP_Loc_n</vt:lpstr>
      <vt:lpstr>nTP_Offset</vt:lpstr>
      <vt:lpstr>nTP_OK</vt:lpstr>
      <vt:lpstr>nTP_Original_Text</vt:lpstr>
      <vt:lpstr>nTP_Precision</vt:lpstr>
      <vt:lpstr>nTP_Record_ID</vt:lpstr>
      <vt:lpstr>nTP_Record_Type</vt:lpstr>
      <vt:lpstr>nTP_Source</vt:lpstr>
      <vt:lpstr>nTP_Source_Location</vt:lpstr>
      <vt:lpstr>nTP_UTC</vt:lpstr>
      <vt:lpstr>nTP_UTC_n</vt:lpstr>
      <vt:lpstr>nVER_Overall</vt:lpstr>
      <vt:lpstr>Examples!Print_Area</vt:lpstr>
      <vt:lpstr>Read_Me!Print_Area</vt:lpstr>
      <vt:lpstr>Verification!Print_Area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ABDULHAFEZ SELEEM</dc:creator>
  <cp:lastModifiedBy>ABDULHAFEZ SELEEM</cp:lastModifiedBy>
  <dcterms:created xsi:type="dcterms:W3CDTF">2026-10-21T02:04:41Z</dcterms:created>
  <dcterms:modified xsi:type="dcterms:W3CDTF">2026-10-21T02:06:33Z</dcterms:modified>
</cp:coreProperties>
</file>